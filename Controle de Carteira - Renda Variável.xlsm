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trlProps/ctrlProp5.xml" ContentType="application/vnd.ms-excel.controlpropertie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gabri\OneDrive\Documentos\Planilha de Investimentos\"/>
    </mc:Choice>
  </mc:AlternateContent>
  <xr:revisionPtr revIDLastSave="0" documentId="13_ncr:1_{33444E4B-C35E-469E-A094-F39B7044EB49}" xr6:coauthVersionLast="47" xr6:coauthVersionMax="47" xr10:uidLastSave="{00000000-0000-0000-0000-000000000000}"/>
  <bookViews>
    <workbookView xWindow="-120" yWindow="-120" windowWidth="20730" windowHeight="11760" tabRatio="641" activeTab="3" xr2:uid="{7005AB6D-3FF3-4DE3-98BB-2E56C8F44E0E}"/>
  </bookViews>
  <sheets>
    <sheet name="Visão Geral" sheetId="1" r:id="rId1"/>
    <sheet name="Ações" sheetId="4" r:id="rId2"/>
    <sheet name="BDRs" sheetId="8" r:id="rId3"/>
    <sheet name="FIIs" sheetId="11" r:id="rId4"/>
    <sheet name="Patrimônio" sheetId="10" state="hidden" r:id="rId5"/>
    <sheet name="Auxiliar" sheetId="7" state="hidden" r:id="rId6"/>
  </sheets>
  <functionGroups builtInGroupCount="19"/>
  <definedNames>
    <definedName name="_xlnm._FilterDatabase" localSheetId="1" hidden="1">Ações!$D$18:$Q$18</definedName>
    <definedName name="_xlnm._FilterDatabase" localSheetId="2" hidden="1">BDRs!$D$18:$Q$18</definedName>
    <definedName name="_xlnm._FilterDatabase" localSheetId="3" hidden="1">FIIs!$D$18:$Q$18</definedName>
  </definedNames>
  <calcPr calcId="191029"/>
  <pivotCaches>
    <pivotCache cacheId="22" r:id="rId7"/>
    <pivotCache cacheId="25" r:id="rId8"/>
    <pivotCache cacheId="28" r:id="rId9"/>
    <pivotCache cacheId="31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6" i="4" l="1"/>
  <c r="J66" i="4"/>
  <c r="K66" i="4"/>
  <c r="N66" i="4"/>
  <c r="F13" i="4"/>
  <c r="F12" i="4"/>
  <c r="F19" i="4"/>
  <c r="N19" i="4"/>
  <c r="G66" i="8"/>
  <c r="F19" i="8"/>
  <c r="N19" i="8"/>
  <c r="F19" i="11"/>
  <c r="K19" i="11"/>
  <c r="N19" i="11"/>
  <c r="H11" i="8"/>
  <c r="F12" i="8"/>
  <c r="F14" i="8"/>
  <c r="F13" i="8"/>
  <c r="N14" i="11"/>
  <c r="N14" i="8"/>
  <c r="N14" i="4"/>
  <c r="L19" i="4"/>
  <c r="L19" i="11"/>
  <c r="L19" i="8"/>
  <c r="G4" i="4" l="1"/>
  <c r="J19" i="4"/>
  <c r="H19" i="4" s="1"/>
  <c r="M19" i="4"/>
  <c r="M19" i="8"/>
  <c r="J19" i="11"/>
  <c r="H19" i="11" s="1"/>
  <c r="M19" i="11"/>
  <c r="S2" i="10"/>
  <c r="T2" i="10"/>
  <c r="U2" i="10"/>
  <c r="V2" i="10"/>
  <c r="W2" i="10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J226" i="10"/>
  <c r="J227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J668" i="10"/>
  <c r="J669" i="10"/>
  <c r="J670" i="10"/>
  <c r="J671" i="10"/>
  <c r="J672" i="10"/>
  <c r="J673" i="10"/>
  <c r="J674" i="10"/>
  <c r="J675" i="10"/>
  <c r="J676" i="10"/>
  <c r="J677" i="10"/>
  <c r="J678" i="10"/>
  <c r="J679" i="10"/>
  <c r="J680" i="10"/>
  <c r="J681" i="10"/>
  <c r="J682" i="10"/>
  <c r="J683" i="10"/>
  <c r="J684" i="10"/>
  <c r="J685" i="10"/>
  <c r="J686" i="10"/>
  <c r="J687" i="10"/>
  <c r="J688" i="10"/>
  <c r="J689" i="10"/>
  <c r="J690" i="10"/>
  <c r="J691" i="10"/>
  <c r="J692" i="10"/>
  <c r="J693" i="10"/>
  <c r="J694" i="10"/>
  <c r="J695" i="10"/>
  <c r="J696" i="10"/>
  <c r="J697" i="10"/>
  <c r="J698" i="10"/>
  <c r="J699" i="10"/>
  <c r="J700" i="10"/>
  <c r="J701" i="10"/>
  <c r="J702" i="10"/>
  <c r="J703" i="10"/>
  <c r="J704" i="10"/>
  <c r="J705" i="10"/>
  <c r="J706" i="10"/>
  <c r="J707" i="10"/>
  <c r="J708" i="10"/>
  <c r="J709" i="10"/>
  <c r="J710" i="10"/>
  <c r="J711" i="10"/>
  <c r="J712" i="10"/>
  <c r="J713" i="10"/>
  <c r="J714" i="10"/>
  <c r="J715" i="10"/>
  <c r="J716" i="10"/>
  <c r="J717" i="10"/>
  <c r="J718" i="10"/>
  <c r="J719" i="10"/>
  <c r="J720" i="10"/>
  <c r="J721" i="10"/>
  <c r="J722" i="10"/>
  <c r="J723" i="10"/>
  <c r="J724" i="10"/>
  <c r="J725" i="10"/>
  <c r="J726" i="10"/>
  <c r="J727" i="10"/>
  <c r="J728" i="10"/>
  <c r="J729" i="10"/>
  <c r="J730" i="10"/>
  <c r="J731" i="10"/>
  <c r="J732" i="10"/>
  <c r="J733" i="10"/>
  <c r="J734" i="10"/>
  <c r="J735" i="10"/>
  <c r="J736" i="10"/>
  <c r="J737" i="10"/>
  <c r="J738" i="10"/>
  <c r="J739" i="10"/>
  <c r="J740" i="10"/>
  <c r="J741" i="10"/>
  <c r="J742" i="10"/>
  <c r="J743" i="10"/>
  <c r="J744" i="10"/>
  <c r="J745" i="10"/>
  <c r="J746" i="10"/>
  <c r="J747" i="10"/>
  <c r="J748" i="10"/>
  <c r="J749" i="10"/>
  <c r="J750" i="10"/>
  <c r="J751" i="10"/>
  <c r="J752" i="10"/>
  <c r="J753" i="10"/>
  <c r="J754" i="10"/>
  <c r="J755" i="10"/>
  <c r="J756" i="10"/>
  <c r="J757" i="10"/>
  <c r="J758" i="10"/>
  <c r="J759" i="10"/>
  <c r="J760" i="10"/>
  <c r="J761" i="10"/>
  <c r="J762" i="10"/>
  <c r="J763" i="10"/>
  <c r="J764" i="10"/>
  <c r="J765" i="10"/>
  <c r="J766" i="10"/>
  <c r="J767" i="10"/>
  <c r="J768" i="10"/>
  <c r="J769" i="10"/>
  <c r="J770" i="10"/>
  <c r="J771" i="10"/>
  <c r="J772" i="10"/>
  <c r="J773" i="10"/>
  <c r="J774" i="10"/>
  <c r="J775" i="10"/>
  <c r="J776" i="10"/>
  <c r="J777" i="10"/>
  <c r="J778" i="10"/>
  <c r="J779" i="10"/>
  <c r="J780" i="10"/>
  <c r="J781" i="10"/>
  <c r="J782" i="10"/>
  <c r="J783" i="10"/>
  <c r="J784" i="10"/>
  <c r="J785" i="10"/>
  <c r="J786" i="10"/>
  <c r="J787" i="10"/>
  <c r="J788" i="10"/>
  <c r="J789" i="10"/>
  <c r="J790" i="10"/>
  <c r="J791" i="10"/>
  <c r="J792" i="10"/>
  <c r="J793" i="10"/>
  <c r="J794" i="10"/>
  <c r="J795" i="10"/>
  <c r="J796" i="10"/>
  <c r="J797" i="10"/>
  <c r="J798" i="10"/>
  <c r="J799" i="10"/>
  <c r="J800" i="10"/>
  <c r="J801" i="10"/>
  <c r="J802" i="10"/>
  <c r="J803" i="10"/>
  <c r="J804" i="10"/>
  <c r="J805" i="10"/>
  <c r="J806" i="10"/>
  <c r="J807" i="10"/>
  <c r="J808" i="10"/>
  <c r="J809" i="10"/>
  <c r="J810" i="10"/>
  <c r="J811" i="10"/>
  <c r="J812" i="10"/>
  <c r="J813" i="10"/>
  <c r="J814" i="10"/>
  <c r="J815" i="10"/>
  <c r="J816" i="10"/>
  <c r="J817" i="10"/>
  <c r="J818" i="10"/>
  <c r="J819" i="10"/>
  <c r="J820" i="10"/>
  <c r="J821" i="10"/>
  <c r="J822" i="10"/>
  <c r="J823" i="10"/>
  <c r="J824" i="10"/>
  <c r="J825" i="10"/>
  <c r="J826" i="10"/>
  <c r="J827" i="10"/>
  <c r="J828" i="10"/>
  <c r="J829" i="10"/>
  <c r="J830" i="10"/>
  <c r="J831" i="10"/>
  <c r="J832" i="10"/>
  <c r="J833" i="10"/>
  <c r="J834" i="10"/>
  <c r="J835" i="10"/>
  <c r="J836" i="10"/>
  <c r="J837" i="10"/>
  <c r="J838" i="10"/>
  <c r="J839" i="10"/>
  <c r="J840" i="10"/>
  <c r="J841" i="10"/>
  <c r="J842" i="10"/>
  <c r="J843" i="10"/>
  <c r="J844" i="10"/>
  <c r="J845" i="10"/>
  <c r="J846" i="10"/>
  <c r="J847" i="10"/>
  <c r="J848" i="10"/>
  <c r="J849" i="10"/>
  <c r="J850" i="10"/>
  <c r="J851" i="10"/>
  <c r="J852" i="10"/>
  <c r="J853" i="10"/>
  <c r="J854" i="10"/>
  <c r="J855" i="10"/>
  <c r="J856" i="10"/>
  <c r="J857" i="10"/>
  <c r="J858" i="10"/>
  <c r="J859" i="10"/>
  <c r="J860" i="10"/>
  <c r="J861" i="10"/>
  <c r="J862" i="10"/>
  <c r="J863" i="10"/>
  <c r="J864" i="10"/>
  <c r="J865" i="10"/>
  <c r="J866" i="10"/>
  <c r="J867" i="10"/>
  <c r="J868" i="10"/>
  <c r="J869" i="10"/>
  <c r="J870" i="10"/>
  <c r="J871" i="10"/>
  <c r="J872" i="10"/>
  <c r="J873" i="10"/>
  <c r="J874" i="10"/>
  <c r="J875" i="10"/>
  <c r="J876" i="10"/>
  <c r="J877" i="10"/>
  <c r="J878" i="10"/>
  <c r="J879" i="10"/>
  <c r="J880" i="10"/>
  <c r="J881" i="10"/>
  <c r="J882" i="10"/>
  <c r="J883" i="10"/>
  <c r="J884" i="10"/>
  <c r="J885" i="10"/>
  <c r="J886" i="10"/>
  <c r="J887" i="10"/>
  <c r="J888" i="10"/>
  <c r="J889" i="10"/>
  <c r="J890" i="10"/>
  <c r="J891" i="10"/>
  <c r="J892" i="10"/>
  <c r="J893" i="10"/>
  <c r="J894" i="10"/>
  <c r="J895" i="10"/>
  <c r="J896" i="10"/>
  <c r="J897" i="10"/>
  <c r="J898" i="10"/>
  <c r="J899" i="10"/>
  <c r="J900" i="10"/>
  <c r="J901" i="10"/>
  <c r="J902" i="10"/>
  <c r="J903" i="10"/>
  <c r="J904" i="10"/>
  <c r="J905" i="10"/>
  <c r="J906" i="10"/>
  <c r="J907" i="10"/>
  <c r="J908" i="10"/>
  <c r="J909" i="10"/>
  <c r="J910" i="10"/>
  <c r="J911" i="10"/>
  <c r="J912" i="10"/>
  <c r="J913" i="10"/>
  <c r="J914" i="10"/>
  <c r="J915" i="10"/>
  <c r="J916" i="10"/>
  <c r="J917" i="10"/>
  <c r="J918" i="10"/>
  <c r="J919" i="10"/>
  <c r="J920" i="10"/>
  <c r="J921" i="10"/>
  <c r="J922" i="10"/>
  <c r="J923" i="10"/>
  <c r="J924" i="10"/>
  <c r="J925" i="10"/>
  <c r="J926" i="10"/>
  <c r="J927" i="10"/>
  <c r="J928" i="10"/>
  <c r="J929" i="10"/>
  <c r="J930" i="10"/>
  <c r="J931" i="10"/>
  <c r="J932" i="10"/>
  <c r="J933" i="10"/>
  <c r="J934" i="10"/>
  <c r="J935" i="10"/>
  <c r="J936" i="10"/>
  <c r="J937" i="10"/>
  <c r="J938" i="10"/>
  <c r="J939" i="10"/>
  <c r="J940" i="10"/>
  <c r="J941" i="10"/>
  <c r="J942" i="10"/>
  <c r="J943" i="10"/>
  <c r="J944" i="10"/>
  <c r="J945" i="10"/>
  <c r="J946" i="10"/>
  <c r="J947" i="10"/>
  <c r="J948" i="10"/>
  <c r="J949" i="10"/>
  <c r="J950" i="10"/>
  <c r="J951" i="10"/>
  <c r="J952" i="10"/>
  <c r="J953" i="10"/>
  <c r="J954" i="10"/>
  <c r="J955" i="10"/>
  <c r="J956" i="10"/>
  <c r="J957" i="10"/>
  <c r="J958" i="10"/>
  <c r="J959" i="10"/>
  <c r="J960" i="10"/>
  <c r="J961" i="10"/>
  <c r="J962" i="10"/>
  <c r="J963" i="10"/>
  <c r="J964" i="10"/>
  <c r="J965" i="10"/>
  <c r="J966" i="10"/>
  <c r="J967" i="10"/>
  <c r="J968" i="10"/>
  <c r="J969" i="10"/>
  <c r="J970" i="10"/>
  <c r="J971" i="10"/>
  <c r="J972" i="10"/>
  <c r="J2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09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3" i="10"/>
  <c r="I224" i="10"/>
  <c r="I225" i="10"/>
  <c r="I226" i="10"/>
  <c r="I227" i="10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I451" i="10"/>
  <c r="I452" i="10"/>
  <c r="I453" i="10"/>
  <c r="I454" i="10"/>
  <c r="I455" i="10"/>
  <c r="I456" i="10"/>
  <c r="I457" i="10"/>
  <c r="I458" i="10"/>
  <c r="I459" i="10"/>
  <c r="I460" i="10"/>
  <c r="I461" i="10"/>
  <c r="I462" i="10"/>
  <c r="I463" i="10"/>
  <c r="I464" i="10"/>
  <c r="I465" i="10"/>
  <c r="I466" i="10"/>
  <c r="I467" i="10"/>
  <c r="I468" i="10"/>
  <c r="I469" i="10"/>
  <c r="I470" i="10"/>
  <c r="I471" i="10"/>
  <c r="I472" i="10"/>
  <c r="I473" i="10"/>
  <c r="I474" i="10"/>
  <c r="I475" i="10"/>
  <c r="I476" i="10"/>
  <c r="I477" i="10"/>
  <c r="I478" i="10"/>
  <c r="I479" i="10"/>
  <c r="I480" i="10"/>
  <c r="I481" i="10"/>
  <c r="I482" i="10"/>
  <c r="I483" i="10"/>
  <c r="I484" i="10"/>
  <c r="I485" i="10"/>
  <c r="I486" i="10"/>
  <c r="I487" i="10"/>
  <c r="I488" i="10"/>
  <c r="I489" i="10"/>
  <c r="I490" i="10"/>
  <c r="I491" i="10"/>
  <c r="I492" i="10"/>
  <c r="I493" i="10"/>
  <c r="I494" i="10"/>
  <c r="I495" i="10"/>
  <c r="I496" i="10"/>
  <c r="I497" i="10"/>
  <c r="I498" i="10"/>
  <c r="I499" i="10"/>
  <c r="I500" i="10"/>
  <c r="I501" i="10"/>
  <c r="I502" i="10"/>
  <c r="I503" i="10"/>
  <c r="I504" i="10"/>
  <c r="I505" i="10"/>
  <c r="I506" i="10"/>
  <c r="I507" i="10"/>
  <c r="I508" i="10"/>
  <c r="I509" i="10"/>
  <c r="I510" i="10"/>
  <c r="I511" i="10"/>
  <c r="I512" i="10"/>
  <c r="I513" i="10"/>
  <c r="I514" i="10"/>
  <c r="I515" i="10"/>
  <c r="I516" i="10"/>
  <c r="I517" i="10"/>
  <c r="I518" i="10"/>
  <c r="I519" i="10"/>
  <c r="I520" i="10"/>
  <c r="I521" i="10"/>
  <c r="I522" i="10"/>
  <c r="I523" i="10"/>
  <c r="I524" i="10"/>
  <c r="I525" i="10"/>
  <c r="I526" i="10"/>
  <c r="I527" i="10"/>
  <c r="I528" i="10"/>
  <c r="I529" i="10"/>
  <c r="I530" i="10"/>
  <c r="I531" i="10"/>
  <c r="I532" i="10"/>
  <c r="I533" i="10"/>
  <c r="I534" i="10"/>
  <c r="I535" i="10"/>
  <c r="I536" i="10"/>
  <c r="I537" i="10"/>
  <c r="I538" i="10"/>
  <c r="I539" i="10"/>
  <c r="I540" i="10"/>
  <c r="I541" i="10"/>
  <c r="I542" i="10"/>
  <c r="I543" i="10"/>
  <c r="I544" i="10"/>
  <c r="I545" i="10"/>
  <c r="I546" i="10"/>
  <c r="I547" i="10"/>
  <c r="I548" i="10"/>
  <c r="I549" i="10"/>
  <c r="I550" i="10"/>
  <c r="I551" i="10"/>
  <c r="I552" i="10"/>
  <c r="I553" i="10"/>
  <c r="I554" i="10"/>
  <c r="I555" i="10"/>
  <c r="I556" i="10"/>
  <c r="I557" i="10"/>
  <c r="I558" i="10"/>
  <c r="I559" i="10"/>
  <c r="I560" i="10"/>
  <c r="I561" i="10"/>
  <c r="I562" i="10"/>
  <c r="I563" i="10"/>
  <c r="I564" i="10"/>
  <c r="I565" i="10"/>
  <c r="I566" i="10"/>
  <c r="I567" i="10"/>
  <c r="I568" i="10"/>
  <c r="I569" i="10"/>
  <c r="I570" i="10"/>
  <c r="I571" i="10"/>
  <c r="I572" i="10"/>
  <c r="I573" i="10"/>
  <c r="I574" i="10"/>
  <c r="I575" i="10"/>
  <c r="I576" i="10"/>
  <c r="I577" i="10"/>
  <c r="I578" i="10"/>
  <c r="I579" i="10"/>
  <c r="I580" i="10"/>
  <c r="I581" i="10"/>
  <c r="I582" i="10"/>
  <c r="I583" i="10"/>
  <c r="I584" i="10"/>
  <c r="I585" i="10"/>
  <c r="I586" i="10"/>
  <c r="I587" i="10"/>
  <c r="I588" i="10"/>
  <c r="I589" i="10"/>
  <c r="I590" i="10"/>
  <c r="I591" i="10"/>
  <c r="I592" i="10"/>
  <c r="I593" i="10"/>
  <c r="I594" i="10"/>
  <c r="I595" i="10"/>
  <c r="I596" i="10"/>
  <c r="I597" i="10"/>
  <c r="I598" i="10"/>
  <c r="I599" i="10"/>
  <c r="I600" i="10"/>
  <c r="I601" i="10"/>
  <c r="I602" i="10"/>
  <c r="I603" i="10"/>
  <c r="I604" i="10"/>
  <c r="I605" i="10"/>
  <c r="I606" i="10"/>
  <c r="I607" i="10"/>
  <c r="I608" i="10"/>
  <c r="I609" i="10"/>
  <c r="I610" i="10"/>
  <c r="I611" i="10"/>
  <c r="I612" i="10"/>
  <c r="I613" i="10"/>
  <c r="I614" i="10"/>
  <c r="I615" i="10"/>
  <c r="I616" i="10"/>
  <c r="I617" i="10"/>
  <c r="I618" i="10"/>
  <c r="I619" i="10"/>
  <c r="I620" i="10"/>
  <c r="I621" i="10"/>
  <c r="I622" i="10"/>
  <c r="I623" i="10"/>
  <c r="I624" i="10"/>
  <c r="I625" i="10"/>
  <c r="I626" i="10"/>
  <c r="I627" i="10"/>
  <c r="I628" i="10"/>
  <c r="I629" i="10"/>
  <c r="I630" i="10"/>
  <c r="I631" i="10"/>
  <c r="I632" i="10"/>
  <c r="I633" i="10"/>
  <c r="I634" i="10"/>
  <c r="I635" i="10"/>
  <c r="I636" i="10"/>
  <c r="I637" i="10"/>
  <c r="I638" i="10"/>
  <c r="I639" i="10"/>
  <c r="I640" i="10"/>
  <c r="I641" i="10"/>
  <c r="I642" i="10"/>
  <c r="I643" i="10"/>
  <c r="I644" i="10"/>
  <c r="I645" i="10"/>
  <c r="I646" i="10"/>
  <c r="I647" i="10"/>
  <c r="I648" i="10"/>
  <c r="I649" i="10"/>
  <c r="I650" i="10"/>
  <c r="I651" i="10"/>
  <c r="I652" i="10"/>
  <c r="I653" i="10"/>
  <c r="I654" i="10"/>
  <c r="I655" i="10"/>
  <c r="I656" i="10"/>
  <c r="I657" i="10"/>
  <c r="I658" i="10"/>
  <c r="I659" i="10"/>
  <c r="I660" i="10"/>
  <c r="I661" i="10"/>
  <c r="I662" i="10"/>
  <c r="I663" i="10"/>
  <c r="I664" i="10"/>
  <c r="I665" i="10"/>
  <c r="I666" i="10"/>
  <c r="I667" i="10"/>
  <c r="I668" i="10"/>
  <c r="I669" i="10"/>
  <c r="I670" i="10"/>
  <c r="I671" i="10"/>
  <c r="I672" i="10"/>
  <c r="I673" i="10"/>
  <c r="I674" i="10"/>
  <c r="I675" i="10"/>
  <c r="I676" i="10"/>
  <c r="I677" i="10"/>
  <c r="I678" i="10"/>
  <c r="I679" i="10"/>
  <c r="I680" i="10"/>
  <c r="I681" i="10"/>
  <c r="I682" i="10"/>
  <c r="I683" i="10"/>
  <c r="I684" i="10"/>
  <c r="I685" i="10"/>
  <c r="I686" i="10"/>
  <c r="I687" i="10"/>
  <c r="I688" i="10"/>
  <c r="I689" i="10"/>
  <c r="I690" i="10"/>
  <c r="I691" i="10"/>
  <c r="I692" i="10"/>
  <c r="I693" i="10"/>
  <c r="I694" i="10"/>
  <c r="I695" i="10"/>
  <c r="I696" i="10"/>
  <c r="I697" i="10"/>
  <c r="I698" i="10"/>
  <c r="I699" i="10"/>
  <c r="I700" i="10"/>
  <c r="I701" i="10"/>
  <c r="I702" i="10"/>
  <c r="I703" i="10"/>
  <c r="I704" i="10"/>
  <c r="I705" i="10"/>
  <c r="I706" i="10"/>
  <c r="I707" i="10"/>
  <c r="I708" i="10"/>
  <c r="I709" i="10"/>
  <c r="I710" i="10"/>
  <c r="I711" i="10"/>
  <c r="I712" i="10"/>
  <c r="I713" i="10"/>
  <c r="I714" i="10"/>
  <c r="I715" i="10"/>
  <c r="I716" i="10"/>
  <c r="I717" i="10"/>
  <c r="I718" i="10"/>
  <c r="I719" i="10"/>
  <c r="I720" i="10"/>
  <c r="I721" i="10"/>
  <c r="I722" i="10"/>
  <c r="I723" i="10"/>
  <c r="I724" i="10"/>
  <c r="I725" i="10"/>
  <c r="I726" i="10"/>
  <c r="I727" i="10"/>
  <c r="I728" i="10"/>
  <c r="I729" i="10"/>
  <c r="I730" i="10"/>
  <c r="I731" i="10"/>
  <c r="I732" i="10"/>
  <c r="I733" i="10"/>
  <c r="I734" i="10"/>
  <c r="I735" i="10"/>
  <c r="I736" i="10"/>
  <c r="I737" i="10"/>
  <c r="I738" i="10"/>
  <c r="I739" i="10"/>
  <c r="I740" i="10"/>
  <c r="I741" i="10"/>
  <c r="I742" i="10"/>
  <c r="I743" i="10"/>
  <c r="I744" i="10"/>
  <c r="I745" i="10"/>
  <c r="I746" i="10"/>
  <c r="I747" i="10"/>
  <c r="I748" i="10"/>
  <c r="I749" i="10"/>
  <c r="I750" i="10"/>
  <c r="I751" i="10"/>
  <c r="I752" i="10"/>
  <c r="I753" i="10"/>
  <c r="I754" i="10"/>
  <c r="I755" i="10"/>
  <c r="I756" i="10"/>
  <c r="I757" i="10"/>
  <c r="I758" i="10"/>
  <c r="I759" i="10"/>
  <c r="I760" i="10"/>
  <c r="I761" i="10"/>
  <c r="I762" i="10"/>
  <c r="I763" i="10"/>
  <c r="I764" i="10"/>
  <c r="I765" i="10"/>
  <c r="I766" i="10"/>
  <c r="I767" i="10"/>
  <c r="I768" i="10"/>
  <c r="I769" i="10"/>
  <c r="I770" i="10"/>
  <c r="I771" i="10"/>
  <c r="I772" i="10"/>
  <c r="I773" i="10"/>
  <c r="I774" i="10"/>
  <c r="I775" i="10"/>
  <c r="I776" i="10"/>
  <c r="I777" i="10"/>
  <c r="I778" i="10"/>
  <c r="I779" i="10"/>
  <c r="I780" i="10"/>
  <c r="I781" i="10"/>
  <c r="I782" i="10"/>
  <c r="I783" i="10"/>
  <c r="I784" i="10"/>
  <c r="I785" i="10"/>
  <c r="I786" i="10"/>
  <c r="I787" i="10"/>
  <c r="I788" i="10"/>
  <c r="I789" i="10"/>
  <c r="I790" i="10"/>
  <c r="I791" i="10"/>
  <c r="I792" i="10"/>
  <c r="I793" i="10"/>
  <c r="I794" i="10"/>
  <c r="I795" i="10"/>
  <c r="I796" i="10"/>
  <c r="I797" i="10"/>
  <c r="I798" i="10"/>
  <c r="I799" i="10"/>
  <c r="I800" i="10"/>
  <c r="I801" i="10"/>
  <c r="I802" i="10"/>
  <c r="I803" i="10"/>
  <c r="I804" i="10"/>
  <c r="I805" i="10"/>
  <c r="I806" i="10"/>
  <c r="I807" i="10"/>
  <c r="I808" i="10"/>
  <c r="I809" i="10"/>
  <c r="I810" i="10"/>
  <c r="I811" i="10"/>
  <c r="I812" i="10"/>
  <c r="I813" i="10"/>
  <c r="I814" i="10"/>
  <c r="I815" i="10"/>
  <c r="I816" i="10"/>
  <c r="I817" i="10"/>
  <c r="I818" i="10"/>
  <c r="I819" i="10"/>
  <c r="I820" i="10"/>
  <c r="I821" i="10"/>
  <c r="I822" i="10"/>
  <c r="I823" i="10"/>
  <c r="I824" i="10"/>
  <c r="I825" i="10"/>
  <c r="I826" i="10"/>
  <c r="I827" i="10"/>
  <c r="I828" i="10"/>
  <c r="I829" i="10"/>
  <c r="I830" i="10"/>
  <c r="I831" i="10"/>
  <c r="I832" i="10"/>
  <c r="I833" i="10"/>
  <c r="I834" i="10"/>
  <c r="I835" i="10"/>
  <c r="I836" i="10"/>
  <c r="I837" i="10"/>
  <c r="I838" i="10"/>
  <c r="I839" i="10"/>
  <c r="I840" i="10"/>
  <c r="I841" i="10"/>
  <c r="I842" i="10"/>
  <c r="I843" i="10"/>
  <c r="I844" i="10"/>
  <c r="I845" i="10"/>
  <c r="I846" i="10"/>
  <c r="I847" i="10"/>
  <c r="I848" i="10"/>
  <c r="I849" i="10"/>
  <c r="I850" i="10"/>
  <c r="I851" i="10"/>
  <c r="I852" i="10"/>
  <c r="I853" i="10"/>
  <c r="I854" i="10"/>
  <c r="I855" i="10"/>
  <c r="I856" i="10"/>
  <c r="I857" i="10"/>
  <c r="I858" i="10"/>
  <c r="I859" i="10"/>
  <c r="I860" i="10"/>
  <c r="I861" i="10"/>
  <c r="I862" i="10"/>
  <c r="I863" i="10"/>
  <c r="I864" i="10"/>
  <c r="I865" i="10"/>
  <c r="I866" i="10"/>
  <c r="I867" i="10"/>
  <c r="I868" i="10"/>
  <c r="I869" i="10"/>
  <c r="I870" i="10"/>
  <c r="I871" i="10"/>
  <c r="I872" i="10"/>
  <c r="I873" i="10"/>
  <c r="I874" i="10"/>
  <c r="I875" i="10"/>
  <c r="I876" i="10"/>
  <c r="I877" i="10"/>
  <c r="I878" i="10"/>
  <c r="I879" i="10"/>
  <c r="I880" i="10"/>
  <c r="I881" i="10"/>
  <c r="I882" i="10"/>
  <c r="I883" i="10"/>
  <c r="I884" i="10"/>
  <c r="I885" i="10"/>
  <c r="I886" i="10"/>
  <c r="I887" i="10"/>
  <c r="I888" i="10"/>
  <c r="I889" i="10"/>
  <c r="I890" i="10"/>
  <c r="I891" i="10"/>
  <c r="I892" i="10"/>
  <c r="I893" i="10"/>
  <c r="I894" i="10"/>
  <c r="I895" i="10"/>
  <c r="I896" i="10"/>
  <c r="I897" i="10"/>
  <c r="I898" i="10"/>
  <c r="I899" i="10"/>
  <c r="I900" i="10"/>
  <c r="I901" i="10"/>
  <c r="I902" i="10"/>
  <c r="I903" i="10"/>
  <c r="I904" i="10"/>
  <c r="I905" i="10"/>
  <c r="I906" i="10"/>
  <c r="I907" i="10"/>
  <c r="I908" i="10"/>
  <c r="I909" i="10"/>
  <c r="I910" i="10"/>
  <c r="I911" i="10"/>
  <c r="I912" i="10"/>
  <c r="I913" i="10"/>
  <c r="I914" i="10"/>
  <c r="I915" i="10"/>
  <c r="I916" i="10"/>
  <c r="I917" i="10"/>
  <c r="I918" i="10"/>
  <c r="I919" i="10"/>
  <c r="I920" i="10"/>
  <c r="I921" i="10"/>
  <c r="I922" i="10"/>
  <c r="I923" i="10"/>
  <c r="I924" i="10"/>
  <c r="I925" i="10"/>
  <c r="I926" i="10"/>
  <c r="I927" i="10"/>
  <c r="I928" i="10"/>
  <c r="I929" i="10"/>
  <c r="I930" i="10"/>
  <c r="I931" i="10"/>
  <c r="I932" i="10"/>
  <c r="I933" i="10"/>
  <c r="I934" i="10"/>
  <c r="I935" i="10"/>
  <c r="I936" i="10"/>
  <c r="I937" i="10"/>
  <c r="I938" i="10"/>
  <c r="I939" i="10"/>
  <c r="I940" i="10"/>
  <c r="I941" i="10"/>
  <c r="I942" i="10"/>
  <c r="I943" i="10"/>
  <c r="I944" i="10"/>
  <c r="I945" i="10"/>
  <c r="I946" i="10"/>
  <c r="I947" i="10"/>
  <c r="I948" i="10"/>
  <c r="I949" i="10"/>
  <c r="I950" i="10"/>
  <c r="I951" i="10"/>
  <c r="I952" i="10"/>
  <c r="I953" i="10"/>
  <c r="I954" i="10"/>
  <c r="I955" i="10"/>
  <c r="I956" i="10"/>
  <c r="I957" i="10"/>
  <c r="I958" i="10"/>
  <c r="I959" i="10"/>
  <c r="I960" i="10"/>
  <c r="I961" i="10"/>
  <c r="I962" i="10"/>
  <c r="I963" i="10"/>
  <c r="I964" i="10"/>
  <c r="I965" i="10"/>
  <c r="I966" i="10"/>
  <c r="I967" i="10"/>
  <c r="I968" i="10"/>
  <c r="I969" i="10"/>
  <c r="I970" i="10"/>
  <c r="I971" i="10"/>
  <c r="I972" i="10"/>
  <c r="I2" i="10"/>
  <c r="K19" i="4" l="1"/>
  <c r="I19" i="4"/>
  <c r="I19" i="11"/>
  <c r="X2" i="10"/>
  <c r="Y2" i="10"/>
  <c r="G66" i="11"/>
  <c r="J66" i="11"/>
  <c r="K66" i="11"/>
  <c r="N66" i="11"/>
  <c r="F14" i="11"/>
  <c r="F13" i="11"/>
  <c r="F12" i="11"/>
  <c r="H11" i="11"/>
  <c r="G6" i="11"/>
  <c r="O5" i="11"/>
  <c r="G4" i="11"/>
  <c r="N66" i="8"/>
  <c r="B3" i="10"/>
  <c r="K3" i="10" s="1"/>
  <c r="B4" i="10"/>
  <c r="K4" i="10" s="1"/>
  <c r="B5" i="10"/>
  <c r="K5" i="10" s="1"/>
  <c r="B6" i="10"/>
  <c r="K6" i="10" s="1"/>
  <c r="B7" i="10"/>
  <c r="K7" i="10" s="1"/>
  <c r="B8" i="10"/>
  <c r="K8" i="10" s="1"/>
  <c r="B9" i="10"/>
  <c r="K9" i="10" s="1"/>
  <c r="B10" i="10"/>
  <c r="K10" i="10" s="1"/>
  <c r="B11" i="10"/>
  <c r="K11" i="10" s="1"/>
  <c r="B12" i="10"/>
  <c r="K12" i="10" s="1"/>
  <c r="B13" i="10"/>
  <c r="K13" i="10" s="1"/>
  <c r="B14" i="10"/>
  <c r="K14" i="10" s="1"/>
  <c r="B15" i="10"/>
  <c r="K15" i="10" s="1"/>
  <c r="B16" i="10"/>
  <c r="K16" i="10" s="1"/>
  <c r="B17" i="10"/>
  <c r="K17" i="10" s="1"/>
  <c r="B18" i="10"/>
  <c r="K18" i="10" s="1"/>
  <c r="B19" i="10"/>
  <c r="K19" i="10" s="1"/>
  <c r="B20" i="10"/>
  <c r="K20" i="10" s="1"/>
  <c r="B21" i="10"/>
  <c r="K21" i="10" s="1"/>
  <c r="B22" i="10"/>
  <c r="K22" i="10" s="1"/>
  <c r="B23" i="10"/>
  <c r="K23" i="10" s="1"/>
  <c r="B24" i="10"/>
  <c r="K24" i="10" s="1"/>
  <c r="B25" i="10"/>
  <c r="K25" i="10" s="1"/>
  <c r="B26" i="10"/>
  <c r="K26" i="10" s="1"/>
  <c r="B27" i="10"/>
  <c r="K27" i="10" s="1"/>
  <c r="B28" i="10"/>
  <c r="K28" i="10" s="1"/>
  <c r="B29" i="10"/>
  <c r="K29" i="10" s="1"/>
  <c r="B30" i="10"/>
  <c r="K30" i="10" s="1"/>
  <c r="B31" i="10"/>
  <c r="K31" i="10" s="1"/>
  <c r="B32" i="10"/>
  <c r="K32" i="10" s="1"/>
  <c r="B33" i="10"/>
  <c r="K33" i="10" s="1"/>
  <c r="B34" i="10"/>
  <c r="K34" i="10" s="1"/>
  <c r="B35" i="10"/>
  <c r="K35" i="10" s="1"/>
  <c r="B36" i="10"/>
  <c r="K36" i="10" s="1"/>
  <c r="B37" i="10"/>
  <c r="K37" i="10" s="1"/>
  <c r="B38" i="10"/>
  <c r="K38" i="10" s="1"/>
  <c r="B39" i="10"/>
  <c r="K39" i="10" s="1"/>
  <c r="B40" i="10"/>
  <c r="K40" i="10" s="1"/>
  <c r="B41" i="10"/>
  <c r="K41" i="10" s="1"/>
  <c r="B42" i="10"/>
  <c r="K42" i="10" s="1"/>
  <c r="B43" i="10"/>
  <c r="K43" i="10" s="1"/>
  <c r="B44" i="10"/>
  <c r="K44" i="10" s="1"/>
  <c r="B45" i="10"/>
  <c r="K45" i="10" s="1"/>
  <c r="B46" i="10"/>
  <c r="K46" i="10" s="1"/>
  <c r="B47" i="10"/>
  <c r="K47" i="10" s="1"/>
  <c r="B48" i="10"/>
  <c r="K48" i="10" s="1"/>
  <c r="B49" i="10"/>
  <c r="K49" i="10" s="1"/>
  <c r="B50" i="10"/>
  <c r="K50" i="10" s="1"/>
  <c r="B51" i="10"/>
  <c r="K51" i="10" s="1"/>
  <c r="B52" i="10"/>
  <c r="K52" i="10" s="1"/>
  <c r="B53" i="10"/>
  <c r="K53" i="10" s="1"/>
  <c r="B54" i="10"/>
  <c r="K54" i="10" s="1"/>
  <c r="B55" i="10"/>
  <c r="K55" i="10" s="1"/>
  <c r="B56" i="10"/>
  <c r="K56" i="10" s="1"/>
  <c r="B57" i="10"/>
  <c r="K57" i="10" s="1"/>
  <c r="B58" i="10"/>
  <c r="K58" i="10" s="1"/>
  <c r="B59" i="10"/>
  <c r="K59" i="10" s="1"/>
  <c r="B60" i="10"/>
  <c r="K60" i="10" s="1"/>
  <c r="B61" i="10"/>
  <c r="K61" i="10" s="1"/>
  <c r="B62" i="10"/>
  <c r="K62" i="10" s="1"/>
  <c r="B63" i="10"/>
  <c r="K63" i="10" s="1"/>
  <c r="B64" i="10"/>
  <c r="K64" i="10" s="1"/>
  <c r="B65" i="10"/>
  <c r="K65" i="10" s="1"/>
  <c r="B66" i="10"/>
  <c r="K66" i="10" s="1"/>
  <c r="B67" i="10"/>
  <c r="K67" i="10" s="1"/>
  <c r="B68" i="10"/>
  <c r="K68" i="10" s="1"/>
  <c r="B69" i="10"/>
  <c r="K69" i="10" s="1"/>
  <c r="B70" i="10"/>
  <c r="K70" i="10" s="1"/>
  <c r="B71" i="10"/>
  <c r="K71" i="10" s="1"/>
  <c r="B72" i="10"/>
  <c r="K72" i="10" s="1"/>
  <c r="B73" i="10"/>
  <c r="K73" i="10" s="1"/>
  <c r="B74" i="10"/>
  <c r="K74" i="10" s="1"/>
  <c r="B75" i="10"/>
  <c r="K75" i="10" s="1"/>
  <c r="B76" i="10"/>
  <c r="K76" i="10" s="1"/>
  <c r="B77" i="10"/>
  <c r="K77" i="10" s="1"/>
  <c r="B78" i="10"/>
  <c r="K78" i="10" s="1"/>
  <c r="B79" i="10"/>
  <c r="K79" i="10" s="1"/>
  <c r="B80" i="10"/>
  <c r="K80" i="10" s="1"/>
  <c r="B81" i="10"/>
  <c r="K81" i="10" s="1"/>
  <c r="B82" i="10"/>
  <c r="K82" i="10" s="1"/>
  <c r="B83" i="10"/>
  <c r="K83" i="10" s="1"/>
  <c r="B84" i="10"/>
  <c r="K84" i="10" s="1"/>
  <c r="B85" i="10"/>
  <c r="K85" i="10" s="1"/>
  <c r="B86" i="10"/>
  <c r="K86" i="10" s="1"/>
  <c r="B87" i="10"/>
  <c r="K87" i="10" s="1"/>
  <c r="B88" i="10"/>
  <c r="K88" i="10" s="1"/>
  <c r="B89" i="10"/>
  <c r="K89" i="10" s="1"/>
  <c r="B90" i="10"/>
  <c r="K90" i="10" s="1"/>
  <c r="B91" i="10"/>
  <c r="K91" i="10" s="1"/>
  <c r="B92" i="10"/>
  <c r="K92" i="10" s="1"/>
  <c r="B93" i="10"/>
  <c r="K93" i="10" s="1"/>
  <c r="B94" i="10"/>
  <c r="K94" i="10" s="1"/>
  <c r="B95" i="10"/>
  <c r="K95" i="10" s="1"/>
  <c r="B96" i="10"/>
  <c r="K96" i="10" s="1"/>
  <c r="B97" i="10"/>
  <c r="K97" i="10" s="1"/>
  <c r="B98" i="10"/>
  <c r="K98" i="10" s="1"/>
  <c r="B99" i="10"/>
  <c r="K99" i="10" s="1"/>
  <c r="B100" i="10"/>
  <c r="K100" i="10" s="1"/>
  <c r="B101" i="10"/>
  <c r="K101" i="10" s="1"/>
  <c r="B102" i="10"/>
  <c r="K102" i="10" s="1"/>
  <c r="B103" i="10"/>
  <c r="K103" i="10" s="1"/>
  <c r="B104" i="10"/>
  <c r="K104" i="10" s="1"/>
  <c r="B105" i="10"/>
  <c r="K105" i="10" s="1"/>
  <c r="B106" i="10"/>
  <c r="K106" i="10" s="1"/>
  <c r="B107" i="10"/>
  <c r="K107" i="10" s="1"/>
  <c r="B108" i="10"/>
  <c r="K108" i="10" s="1"/>
  <c r="B109" i="10"/>
  <c r="K109" i="10" s="1"/>
  <c r="B110" i="10"/>
  <c r="K110" i="10" s="1"/>
  <c r="B111" i="10"/>
  <c r="K111" i="10" s="1"/>
  <c r="B112" i="10"/>
  <c r="K112" i="10" s="1"/>
  <c r="B113" i="10"/>
  <c r="K113" i="10" s="1"/>
  <c r="B114" i="10"/>
  <c r="K114" i="10" s="1"/>
  <c r="B115" i="10"/>
  <c r="K115" i="10" s="1"/>
  <c r="B116" i="10"/>
  <c r="K116" i="10" s="1"/>
  <c r="B117" i="10"/>
  <c r="K117" i="10" s="1"/>
  <c r="B118" i="10"/>
  <c r="K118" i="10" s="1"/>
  <c r="B119" i="10"/>
  <c r="K119" i="10" s="1"/>
  <c r="B120" i="10"/>
  <c r="K120" i="10" s="1"/>
  <c r="B121" i="10"/>
  <c r="K121" i="10" s="1"/>
  <c r="B122" i="10"/>
  <c r="K122" i="10" s="1"/>
  <c r="B123" i="10"/>
  <c r="K123" i="10" s="1"/>
  <c r="B124" i="10"/>
  <c r="K124" i="10" s="1"/>
  <c r="B125" i="10"/>
  <c r="K125" i="10" s="1"/>
  <c r="B126" i="10"/>
  <c r="K126" i="10" s="1"/>
  <c r="B127" i="10"/>
  <c r="K127" i="10" s="1"/>
  <c r="B128" i="10"/>
  <c r="K128" i="10" s="1"/>
  <c r="B129" i="10"/>
  <c r="K129" i="10" s="1"/>
  <c r="B130" i="10"/>
  <c r="K130" i="10" s="1"/>
  <c r="B131" i="10"/>
  <c r="K131" i="10" s="1"/>
  <c r="B132" i="10"/>
  <c r="K132" i="10" s="1"/>
  <c r="B133" i="10"/>
  <c r="K133" i="10" s="1"/>
  <c r="B134" i="10"/>
  <c r="K134" i="10" s="1"/>
  <c r="B135" i="10"/>
  <c r="K135" i="10" s="1"/>
  <c r="B136" i="10"/>
  <c r="K136" i="10" s="1"/>
  <c r="B137" i="10"/>
  <c r="K137" i="10" s="1"/>
  <c r="B138" i="10"/>
  <c r="K138" i="10" s="1"/>
  <c r="B139" i="10"/>
  <c r="K139" i="10" s="1"/>
  <c r="B140" i="10"/>
  <c r="K140" i="10" s="1"/>
  <c r="B141" i="10"/>
  <c r="K141" i="10" s="1"/>
  <c r="B142" i="10"/>
  <c r="K142" i="10" s="1"/>
  <c r="B143" i="10"/>
  <c r="K143" i="10" s="1"/>
  <c r="B144" i="10"/>
  <c r="K144" i="10" s="1"/>
  <c r="B145" i="10"/>
  <c r="K145" i="10" s="1"/>
  <c r="B146" i="10"/>
  <c r="K146" i="10" s="1"/>
  <c r="B147" i="10"/>
  <c r="K147" i="10" s="1"/>
  <c r="B148" i="10"/>
  <c r="K148" i="10" s="1"/>
  <c r="B149" i="10"/>
  <c r="K149" i="10" s="1"/>
  <c r="B150" i="10"/>
  <c r="K150" i="10" s="1"/>
  <c r="B151" i="10"/>
  <c r="K151" i="10" s="1"/>
  <c r="B152" i="10"/>
  <c r="K152" i="10" s="1"/>
  <c r="B153" i="10"/>
  <c r="K153" i="10" s="1"/>
  <c r="B154" i="10"/>
  <c r="K154" i="10" s="1"/>
  <c r="B155" i="10"/>
  <c r="K155" i="10" s="1"/>
  <c r="B156" i="10"/>
  <c r="K156" i="10" s="1"/>
  <c r="B157" i="10"/>
  <c r="K157" i="10" s="1"/>
  <c r="B158" i="10"/>
  <c r="K158" i="10" s="1"/>
  <c r="B159" i="10"/>
  <c r="K159" i="10" s="1"/>
  <c r="B160" i="10"/>
  <c r="K160" i="10" s="1"/>
  <c r="B161" i="10"/>
  <c r="K161" i="10" s="1"/>
  <c r="B162" i="10"/>
  <c r="K162" i="10" s="1"/>
  <c r="B163" i="10"/>
  <c r="K163" i="10" s="1"/>
  <c r="B164" i="10"/>
  <c r="K164" i="10" s="1"/>
  <c r="B165" i="10"/>
  <c r="K165" i="10" s="1"/>
  <c r="B166" i="10"/>
  <c r="K166" i="10" s="1"/>
  <c r="B167" i="10"/>
  <c r="K167" i="10" s="1"/>
  <c r="B168" i="10"/>
  <c r="K168" i="10" s="1"/>
  <c r="B169" i="10"/>
  <c r="K169" i="10" s="1"/>
  <c r="B170" i="10"/>
  <c r="K170" i="10" s="1"/>
  <c r="B171" i="10"/>
  <c r="K171" i="10" s="1"/>
  <c r="B172" i="10"/>
  <c r="K172" i="10" s="1"/>
  <c r="B173" i="10"/>
  <c r="K173" i="10" s="1"/>
  <c r="B174" i="10"/>
  <c r="K174" i="10" s="1"/>
  <c r="B175" i="10"/>
  <c r="K175" i="10" s="1"/>
  <c r="B176" i="10"/>
  <c r="K176" i="10" s="1"/>
  <c r="B177" i="10"/>
  <c r="K177" i="10" s="1"/>
  <c r="B178" i="10"/>
  <c r="K178" i="10" s="1"/>
  <c r="B179" i="10"/>
  <c r="K179" i="10" s="1"/>
  <c r="B180" i="10"/>
  <c r="K180" i="10" s="1"/>
  <c r="B181" i="10"/>
  <c r="K181" i="10" s="1"/>
  <c r="B182" i="10"/>
  <c r="K182" i="10" s="1"/>
  <c r="B183" i="10"/>
  <c r="K183" i="10" s="1"/>
  <c r="B184" i="10"/>
  <c r="K184" i="10" s="1"/>
  <c r="B185" i="10"/>
  <c r="K185" i="10" s="1"/>
  <c r="B186" i="10"/>
  <c r="K186" i="10" s="1"/>
  <c r="B187" i="10"/>
  <c r="K187" i="10" s="1"/>
  <c r="B188" i="10"/>
  <c r="K188" i="10" s="1"/>
  <c r="B189" i="10"/>
  <c r="K189" i="10" s="1"/>
  <c r="B190" i="10"/>
  <c r="K190" i="10" s="1"/>
  <c r="B191" i="10"/>
  <c r="K191" i="10" s="1"/>
  <c r="B192" i="10"/>
  <c r="K192" i="10" s="1"/>
  <c r="B193" i="10"/>
  <c r="K193" i="10" s="1"/>
  <c r="B194" i="10"/>
  <c r="K194" i="10" s="1"/>
  <c r="B195" i="10"/>
  <c r="K195" i="10" s="1"/>
  <c r="B196" i="10"/>
  <c r="K196" i="10" s="1"/>
  <c r="B197" i="10"/>
  <c r="K197" i="10" s="1"/>
  <c r="B198" i="10"/>
  <c r="K198" i="10" s="1"/>
  <c r="B199" i="10"/>
  <c r="K199" i="10" s="1"/>
  <c r="B200" i="10"/>
  <c r="K200" i="10" s="1"/>
  <c r="B201" i="10"/>
  <c r="K201" i="10" s="1"/>
  <c r="B202" i="10"/>
  <c r="K202" i="10" s="1"/>
  <c r="B203" i="10"/>
  <c r="K203" i="10" s="1"/>
  <c r="B204" i="10"/>
  <c r="K204" i="10" s="1"/>
  <c r="B205" i="10"/>
  <c r="K205" i="10" s="1"/>
  <c r="B206" i="10"/>
  <c r="K206" i="10" s="1"/>
  <c r="B207" i="10"/>
  <c r="K207" i="10" s="1"/>
  <c r="B208" i="10"/>
  <c r="K208" i="10" s="1"/>
  <c r="B209" i="10"/>
  <c r="K209" i="10" s="1"/>
  <c r="B210" i="10"/>
  <c r="K210" i="10" s="1"/>
  <c r="B211" i="10"/>
  <c r="K211" i="10" s="1"/>
  <c r="B212" i="10"/>
  <c r="K212" i="10" s="1"/>
  <c r="B213" i="10"/>
  <c r="K213" i="10" s="1"/>
  <c r="B214" i="10"/>
  <c r="K214" i="10" s="1"/>
  <c r="B215" i="10"/>
  <c r="K215" i="10" s="1"/>
  <c r="B216" i="10"/>
  <c r="K216" i="10" s="1"/>
  <c r="B217" i="10"/>
  <c r="K217" i="10" s="1"/>
  <c r="B218" i="10"/>
  <c r="K218" i="10" s="1"/>
  <c r="B219" i="10"/>
  <c r="K219" i="10" s="1"/>
  <c r="B220" i="10"/>
  <c r="K220" i="10" s="1"/>
  <c r="B221" i="10"/>
  <c r="K221" i="10" s="1"/>
  <c r="B222" i="10"/>
  <c r="K222" i="10" s="1"/>
  <c r="B223" i="10"/>
  <c r="K223" i="10" s="1"/>
  <c r="B224" i="10"/>
  <c r="K224" i="10" s="1"/>
  <c r="B225" i="10"/>
  <c r="K225" i="10" s="1"/>
  <c r="B226" i="10"/>
  <c r="K226" i="10" s="1"/>
  <c r="B227" i="10"/>
  <c r="K227" i="10" s="1"/>
  <c r="B228" i="10"/>
  <c r="K228" i="10" s="1"/>
  <c r="B229" i="10"/>
  <c r="K229" i="10" s="1"/>
  <c r="B230" i="10"/>
  <c r="K230" i="10" s="1"/>
  <c r="B231" i="10"/>
  <c r="K231" i="10" s="1"/>
  <c r="B232" i="10"/>
  <c r="K232" i="10" s="1"/>
  <c r="B233" i="10"/>
  <c r="K233" i="10" s="1"/>
  <c r="B234" i="10"/>
  <c r="K234" i="10" s="1"/>
  <c r="B235" i="10"/>
  <c r="K235" i="10" s="1"/>
  <c r="B236" i="10"/>
  <c r="K236" i="10" s="1"/>
  <c r="B237" i="10"/>
  <c r="K237" i="10" s="1"/>
  <c r="B238" i="10"/>
  <c r="K238" i="10" s="1"/>
  <c r="B239" i="10"/>
  <c r="K239" i="10" s="1"/>
  <c r="B240" i="10"/>
  <c r="K240" i="10" s="1"/>
  <c r="B241" i="10"/>
  <c r="K241" i="10" s="1"/>
  <c r="B242" i="10"/>
  <c r="K242" i="10" s="1"/>
  <c r="B243" i="10"/>
  <c r="K243" i="10" s="1"/>
  <c r="B244" i="10"/>
  <c r="K244" i="10" s="1"/>
  <c r="B245" i="10"/>
  <c r="K245" i="10" s="1"/>
  <c r="B246" i="10"/>
  <c r="K246" i="10" s="1"/>
  <c r="B247" i="10"/>
  <c r="K247" i="10" s="1"/>
  <c r="B248" i="10"/>
  <c r="K248" i="10" s="1"/>
  <c r="B249" i="10"/>
  <c r="K249" i="10" s="1"/>
  <c r="B250" i="10"/>
  <c r="K250" i="10" s="1"/>
  <c r="B251" i="10"/>
  <c r="K251" i="10" s="1"/>
  <c r="B252" i="10"/>
  <c r="K252" i="10" s="1"/>
  <c r="B253" i="10"/>
  <c r="K253" i="10" s="1"/>
  <c r="B254" i="10"/>
  <c r="K254" i="10" s="1"/>
  <c r="B255" i="10"/>
  <c r="K255" i="10" s="1"/>
  <c r="B256" i="10"/>
  <c r="K256" i="10" s="1"/>
  <c r="B257" i="10"/>
  <c r="K257" i="10" s="1"/>
  <c r="B258" i="10"/>
  <c r="K258" i="10" s="1"/>
  <c r="B259" i="10"/>
  <c r="K259" i="10" s="1"/>
  <c r="B260" i="10"/>
  <c r="K260" i="10" s="1"/>
  <c r="B261" i="10"/>
  <c r="K261" i="10" s="1"/>
  <c r="B262" i="10"/>
  <c r="K262" i="10" s="1"/>
  <c r="B263" i="10"/>
  <c r="K263" i="10" s="1"/>
  <c r="B264" i="10"/>
  <c r="K264" i="10" s="1"/>
  <c r="B265" i="10"/>
  <c r="K265" i="10" s="1"/>
  <c r="B266" i="10"/>
  <c r="K266" i="10" s="1"/>
  <c r="B267" i="10"/>
  <c r="K267" i="10" s="1"/>
  <c r="B268" i="10"/>
  <c r="K268" i="10" s="1"/>
  <c r="B269" i="10"/>
  <c r="K269" i="10" s="1"/>
  <c r="B270" i="10"/>
  <c r="K270" i="10" s="1"/>
  <c r="B271" i="10"/>
  <c r="K271" i="10" s="1"/>
  <c r="B272" i="10"/>
  <c r="K272" i="10" s="1"/>
  <c r="B273" i="10"/>
  <c r="K273" i="10" s="1"/>
  <c r="B274" i="10"/>
  <c r="K274" i="10" s="1"/>
  <c r="B275" i="10"/>
  <c r="K275" i="10" s="1"/>
  <c r="B276" i="10"/>
  <c r="K276" i="10" s="1"/>
  <c r="B277" i="10"/>
  <c r="K277" i="10" s="1"/>
  <c r="B278" i="10"/>
  <c r="K278" i="10" s="1"/>
  <c r="B279" i="10"/>
  <c r="K279" i="10" s="1"/>
  <c r="B280" i="10"/>
  <c r="K280" i="10" s="1"/>
  <c r="B281" i="10"/>
  <c r="K281" i="10" s="1"/>
  <c r="B282" i="10"/>
  <c r="K282" i="10" s="1"/>
  <c r="B283" i="10"/>
  <c r="K283" i="10" s="1"/>
  <c r="B284" i="10"/>
  <c r="K284" i="10" s="1"/>
  <c r="B285" i="10"/>
  <c r="K285" i="10" s="1"/>
  <c r="B286" i="10"/>
  <c r="K286" i="10" s="1"/>
  <c r="B287" i="10"/>
  <c r="K287" i="10" s="1"/>
  <c r="B288" i="10"/>
  <c r="K288" i="10" s="1"/>
  <c r="B289" i="10"/>
  <c r="K289" i="10" s="1"/>
  <c r="B290" i="10"/>
  <c r="K290" i="10" s="1"/>
  <c r="B291" i="10"/>
  <c r="K291" i="10" s="1"/>
  <c r="B292" i="10"/>
  <c r="K292" i="10" s="1"/>
  <c r="B293" i="10"/>
  <c r="K293" i="10" s="1"/>
  <c r="B294" i="10"/>
  <c r="K294" i="10" s="1"/>
  <c r="B295" i="10"/>
  <c r="K295" i="10" s="1"/>
  <c r="B296" i="10"/>
  <c r="K296" i="10" s="1"/>
  <c r="B297" i="10"/>
  <c r="K297" i="10" s="1"/>
  <c r="B298" i="10"/>
  <c r="K298" i="10" s="1"/>
  <c r="B299" i="10"/>
  <c r="K299" i="10" s="1"/>
  <c r="B300" i="10"/>
  <c r="K300" i="10" s="1"/>
  <c r="B301" i="10"/>
  <c r="K301" i="10" s="1"/>
  <c r="B302" i="10"/>
  <c r="K302" i="10" s="1"/>
  <c r="B303" i="10"/>
  <c r="K303" i="10" s="1"/>
  <c r="B304" i="10"/>
  <c r="K304" i="10" s="1"/>
  <c r="B305" i="10"/>
  <c r="K305" i="10" s="1"/>
  <c r="B306" i="10"/>
  <c r="K306" i="10" s="1"/>
  <c r="B307" i="10"/>
  <c r="K307" i="10" s="1"/>
  <c r="B308" i="10"/>
  <c r="K308" i="10" s="1"/>
  <c r="B309" i="10"/>
  <c r="K309" i="10" s="1"/>
  <c r="B310" i="10"/>
  <c r="K310" i="10" s="1"/>
  <c r="B311" i="10"/>
  <c r="K311" i="10" s="1"/>
  <c r="B312" i="10"/>
  <c r="K312" i="10" s="1"/>
  <c r="B313" i="10"/>
  <c r="K313" i="10" s="1"/>
  <c r="B314" i="10"/>
  <c r="K314" i="10" s="1"/>
  <c r="B315" i="10"/>
  <c r="K315" i="10" s="1"/>
  <c r="B316" i="10"/>
  <c r="K316" i="10" s="1"/>
  <c r="B317" i="10"/>
  <c r="K317" i="10" s="1"/>
  <c r="B318" i="10"/>
  <c r="K318" i="10" s="1"/>
  <c r="B319" i="10"/>
  <c r="K319" i="10" s="1"/>
  <c r="B320" i="10"/>
  <c r="K320" i="10" s="1"/>
  <c r="B321" i="10"/>
  <c r="K321" i="10" s="1"/>
  <c r="B322" i="10"/>
  <c r="K322" i="10" s="1"/>
  <c r="B323" i="10"/>
  <c r="K323" i="10" s="1"/>
  <c r="B324" i="10"/>
  <c r="K324" i="10" s="1"/>
  <c r="B325" i="10"/>
  <c r="K325" i="10" s="1"/>
  <c r="B326" i="10"/>
  <c r="K326" i="10" s="1"/>
  <c r="B327" i="10"/>
  <c r="K327" i="10" s="1"/>
  <c r="B328" i="10"/>
  <c r="K328" i="10" s="1"/>
  <c r="B329" i="10"/>
  <c r="K329" i="10" s="1"/>
  <c r="B330" i="10"/>
  <c r="K330" i="10" s="1"/>
  <c r="B331" i="10"/>
  <c r="K331" i="10" s="1"/>
  <c r="B332" i="10"/>
  <c r="K332" i="10" s="1"/>
  <c r="B333" i="10"/>
  <c r="K333" i="10" s="1"/>
  <c r="B334" i="10"/>
  <c r="K334" i="10" s="1"/>
  <c r="B335" i="10"/>
  <c r="K335" i="10" s="1"/>
  <c r="B336" i="10"/>
  <c r="K336" i="10" s="1"/>
  <c r="B337" i="10"/>
  <c r="K337" i="10" s="1"/>
  <c r="B338" i="10"/>
  <c r="K338" i="10" s="1"/>
  <c r="B339" i="10"/>
  <c r="K339" i="10" s="1"/>
  <c r="B340" i="10"/>
  <c r="K340" i="10" s="1"/>
  <c r="B341" i="10"/>
  <c r="K341" i="10" s="1"/>
  <c r="B342" i="10"/>
  <c r="K342" i="10" s="1"/>
  <c r="B343" i="10"/>
  <c r="K343" i="10" s="1"/>
  <c r="B344" i="10"/>
  <c r="K344" i="10" s="1"/>
  <c r="B345" i="10"/>
  <c r="K345" i="10" s="1"/>
  <c r="B346" i="10"/>
  <c r="K346" i="10" s="1"/>
  <c r="B347" i="10"/>
  <c r="K347" i="10" s="1"/>
  <c r="B348" i="10"/>
  <c r="K348" i="10" s="1"/>
  <c r="B349" i="10"/>
  <c r="K349" i="10" s="1"/>
  <c r="B350" i="10"/>
  <c r="K350" i="10" s="1"/>
  <c r="B351" i="10"/>
  <c r="K351" i="10" s="1"/>
  <c r="B352" i="10"/>
  <c r="K352" i="10" s="1"/>
  <c r="B353" i="10"/>
  <c r="K353" i="10" s="1"/>
  <c r="B354" i="10"/>
  <c r="K354" i="10" s="1"/>
  <c r="B355" i="10"/>
  <c r="K355" i="10" s="1"/>
  <c r="B356" i="10"/>
  <c r="K356" i="10" s="1"/>
  <c r="B357" i="10"/>
  <c r="K357" i="10" s="1"/>
  <c r="B358" i="10"/>
  <c r="K358" i="10" s="1"/>
  <c r="B359" i="10"/>
  <c r="K359" i="10" s="1"/>
  <c r="B360" i="10"/>
  <c r="K360" i="10" s="1"/>
  <c r="B361" i="10"/>
  <c r="K361" i="10" s="1"/>
  <c r="B362" i="10"/>
  <c r="K362" i="10" s="1"/>
  <c r="B363" i="10"/>
  <c r="K363" i="10" s="1"/>
  <c r="B364" i="10"/>
  <c r="K364" i="10" s="1"/>
  <c r="B365" i="10"/>
  <c r="K365" i="10" s="1"/>
  <c r="B366" i="10"/>
  <c r="K366" i="10" s="1"/>
  <c r="B367" i="10"/>
  <c r="K367" i="10" s="1"/>
  <c r="B368" i="10"/>
  <c r="K368" i="10" s="1"/>
  <c r="B369" i="10"/>
  <c r="K369" i="10" s="1"/>
  <c r="B370" i="10"/>
  <c r="K370" i="10" s="1"/>
  <c r="B371" i="10"/>
  <c r="K371" i="10" s="1"/>
  <c r="B372" i="10"/>
  <c r="K372" i="10" s="1"/>
  <c r="B373" i="10"/>
  <c r="K373" i="10" s="1"/>
  <c r="B374" i="10"/>
  <c r="K374" i="10" s="1"/>
  <c r="B375" i="10"/>
  <c r="K375" i="10" s="1"/>
  <c r="B376" i="10"/>
  <c r="K376" i="10" s="1"/>
  <c r="B377" i="10"/>
  <c r="K377" i="10" s="1"/>
  <c r="B378" i="10"/>
  <c r="K378" i="10" s="1"/>
  <c r="B379" i="10"/>
  <c r="K379" i="10" s="1"/>
  <c r="B380" i="10"/>
  <c r="K380" i="10" s="1"/>
  <c r="B381" i="10"/>
  <c r="K381" i="10" s="1"/>
  <c r="B382" i="10"/>
  <c r="K382" i="10" s="1"/>
  <c r="B383" i="10"/>
  <c r="K383" i="10" s="1"/>
  <c r="B384" i="10"/>
  <c r="K384" i="10" s="1"/>
  <c r="B385" i="10"/>
  <c r="K385" i="10" s="1"/>
  <c r="B386" i="10"/>
  <c r="K386" i="10" s="1"/>
  <c r="B387" i="10"/>
  <c r="K387" i="10" s="1"/>
  <c r="B388" i="10"/>
  <c r="K388" i="10" s="1"/>
  <c r="B389" i="10"/>
  <c r="K389" i="10" s="1"/>
  <c r="B390" i="10"/>
  <c r="K390" i="10" s="1"/>
  <c r="B391" i="10"/>
  <c r="K391" i="10" s="1"/>
  <c r="B392" i="10"/>
  <c r="K392" i="10" s="1"/>
  <c r="B393" i="10"/>
  <c r="K393" i="10" s="1"/>
  <c r="B394" i="10"/>
  <c r="K394" i="10" s="1"/>
  <c r="B395" i="10"/>
  <c r="K395" i="10" s="1"/>
  <c r="B396" i="10"/>
  <c r="K396" i="10" s="1"/>
  <c r="B397" i="10"/>
  <c r="K397" i="10" s="1"/>
  <c r="B398" i="10"/>
  <c r="K398" i="10" s="1"/>
  <c r="B399" i="10"/>
  <c r="K399" i="10" s="1"/>
  <c r="B400" i="10"/>
  <c r="K400" i="10" s="1"/>
  <c r="B401" i="10"/>
  <c r="K401" i="10" s="1"/>
  <c r="B402" i="10"/>
  <c r="K402" i="10" s="1"/>
  <c r="B403" i="10"/>
  <c r="K403" i="10" s="1"/>
  <c r="B404" i="10"/>
  <c r="K404" i="10" s="1"/>
  <c r="B405" i="10"/>
  <c r="K405" i="10" s="1"/>
  <c r="B406" i="10"/>
  <c r="K406" i="10" s="1"/>
  <c r="B407" i="10"/>
  <c r="K407" i="10" s="1"/>
  <c r="B408" i="10"/>
  <c r="K408" i="10" s="1"/>
  <c r="B409" i="10"/>
  <c r="K409" i="10" s="1"/>
  <c r="B410" i="10"/>
  <c r="K410" i="10" s="1"/>
  <c r="B411" i="10"/>
  <c r="K411" i="10" s="1"/>
  <c r="B412" i="10"/>
  <c r="K412" i="10" s="1"/>
  <c r="B413" i="10"/>
  <c r="K413" i="10" s="1"/>
  <c r="B414" i="10"/>
  <c r="K414" i="10" s="1"/>
  <c r="B415" i="10"/>
  <c r="K415" i="10" s="1"/>
  <c r="B416" i="10"/>
  <c r="K416" i="10" s="1"/>
  <c r="B417" i="10"/>
  <c r="K417" i="10" s="1"/>
  <c r="B418" i="10"/>
  <c r="K418" i="10" s="1"/>
  <c r="B419" i="10"/>
  <c r="K419" i="10" s="1"/>
  <c r="B420" i="10"/>
  <c r="K420" i="10" s="1"/>
  <c r="B421" i="10"/>
  <c r="K421" i="10" s="1"/>
  <c r="B422" i="10"/>
  <c r="K422" i="10" s="1"/>
  <c r="B423" i="10"/>
  <c r="K423" i="10" s="1"/>
  <c r="B424" i="10"/>
  <c r="K424" i="10" s="1"/>
  <c r="B425" i="10"/>
  <c r="K425" i="10" s="1"/>
  <c r="B426" i="10"/>
  <c r="K426" i="10" s="1"/>
  <c r="B427" i="10"/>
  <c r="K427" i="10" s="1"/>
  <c r="B428" i="10"/>
  <c r="K428" i="10" s="1"/>
  <c r="B429" i="10"/>
  <c r="K429" i="10" s="1"/>
  <c r="B430" i="10"/>
  <c r="K430" i="10" s="1"/>
  <c r="B431" i="10"/>
  <c r="K431" i="10" s="1"/>
  <c r="B432" i="10"/>
  <c r="K432" i="10" s="1"/>
  <c r="B433" i="10"/>
  <c r="K433" i="10" s="1"/>
  <c r="B434" i="10"/>
  <c r="K434" i="10" s="1"/>
  <c r="B435" i="10"/>
  <c r="K435" i="10" s="1"/>
  <c r="B436" i="10"/>
  <c r="K436" i="10" s="1"/>
  <c r="B437" i="10"/>
  <c r="K437" i="10" s="1"/>
  <c r="B438" i="10"/>
  <c r="K438" i="10" s="1"/>
  <c r="B439" i="10"/>
  <c r="K439" i="10" s="1"/>
  <c r="B440" i="10"/>
  <c r="K440" i="10" s="1"/>
  <c r="B441" i="10"/>
  <c r="K441" i="10" s="1"/>
  <c r="B442" i="10"/>
  <c r="K442" i="10" s="1"/>
  <c r="B443" i="10"/>
  <c r="K443" i="10" s="1"/>
  <c r="B444" i="10"/>
  <c r="K444" i="10" s="1"/>
  <c r="B445" i="10"/>
  <c r="K445" i="10" s="1"/>
  <c r="B446" i="10"/>
  <c r="K446" i="10" s="1"/>
  <c r="B447" i="10"/>
  <c r="K447" i="10" s="1"/>
  <c r="B448" i="10"/>
  <c r="K448" i="10" s="1"/>
  <c r="B449" i="10"/>
  <c r="K449" i="10" s="1"/>
  <c r="B450" i="10"/>
  <c r="K450" i="10" s="1"/>
  <c r="B451" i="10"/>
  <c r="K451" i="10" s="1"/>
  <c r="B452" i="10"/>
  <c r="K452" i="10" s="1"/>
  <c r="B453" i="10"/>
  <c r="K453" i="10" s="1"/>
  <c r="B454" i="10"/>
  <c r="K454" i="10" s="1"/>
  <c r="B455" i="10"/>
  <c r="K455" i="10" s="1"/>
  <c r="B456" i="10"/>
  <c r="K456" i="10" s="1"/>
  <c r="B457" i="10"/>
  <c r="K457" i="10" s="1"/>
  <c r="B458" i="10"/>
  <c r="K458" i="10" s="1"/>
  <c r="B459" i="10"/>
  <c r="K459" i="10" s="1"/>
  <c r="B460" i="10"/>
  <c r="K460" i="10" s="1"/>
  <c r="B461" i="10"/>
  <c r="K461" i="10" s="1"/>
  <c r="B462" i="10"/>
  <c r="K462" i="10" s="1"/>
  <c r="B463" i="10"/>
  <c r="K463" i="10" s="1"/>
  <c r="B464" i="10"/>
  <c r="K464" i="10" s="1"/>
  <c r="B465" i="10"/>
  <c r="K465" i="10" s="1"/>
  <c r="B466" i="10"/>
  <c r="K466" i="10" s="1"/>
  <c r="B467" i="10"/>
  <c r="K467" i="10" s="1"/>
  <c r="B468" i="10"/>
  <c r="K468" i="10" s="1"/>
  <c r="B469" i="10"/>
  <c r="K469" i="10" s="1"/>
  <c r="B470" i="10"/>
  <c r="K470" i="10" s="1"/>
  <c r="B471" i="10"/>
  <c r="K471" i="10" s="1"/>
  <c r="B472" i="10"/>
  <c r="K472" i="10" s="1"/>
  <c r="B473" i="10"/>
  <c r="K473" i="10" s="1"/>
  <c r="B474" i="10"/>
  <c r="K474" i="10" s="1"/>
  <c r="B475" i="10"/>
  <c r="K475" i="10" s="1"/>
  <c r="B476" i="10"/>
  <c r="K476" i="10" s="1"/>
  <c r="B477" i="10"/>
  <c r="K477" i="10" s="1"/>
  <c r="B478" i="10"/>
  <c r="K478" i="10" s="1"/>
  <c r="B479" i="10"/>
  <c r="K479" i="10" s="1"/>
  <c r="B480" i="10"/>
  <c r="K480" i="10" s="1"/>
  <c r="B481" i="10"/>
  <c r="K481" i="10" s="1"/>
  <c r="B482" i="10"/>
  <c r="K482" i="10" s="1"/>
  <c r="B483" i="10"/>
  <c r="K483" i="10" s="1"/>
  <c r="B484" i="10"/>
  <c r="K484" i="10" s="1"/>
  <c r="B485" i="10"/>
  <c r="K485" i="10" s="1"/>
  <c r="B486" i="10"/>
  <c r="K486" i="10" s="1"/>
  <c r="B487" i="10"/>
  <c r="K487" i="10" s="1"/>
  <c r="B488" i="10"/>
  <c r="K488" i="10" s="1"/>
  <c r="B489" i="10"/>
  <c r="K489" i="10" s="1"/>
  <c r="B490" i="10"/>
  <c r="K490" i="10" s="1"/>
  <c r="B491" i="10"/>
  <c r="K491" i="10" s="1"/>
  <c r="B492" i="10"/>
  <c r="K492" i="10" s="1"/>
  <c r="B493" i="10"/>
  <c r="K493" i="10" s="1"/>
  <c r="B494" i="10"/>
  <c r="K494" i="10" s="1"/>
  <c r="B495" i="10"/>
  <c r="K495" i="10" s="1"/>
  <c r="B496" i="10"/>
  <c r="K496" i="10" s="1"/>
  <c r="B497" i="10"/>
  <c r="K497" i="10" s="1"/>
  <c r="B498" i="10"/>
  <c r="K498" i="10" s="1"/>
  <c r="B499" i="10"/>
  <c r="K499" i="10" s="1"/>
  <c r="B500" i="10"/>
  <c r="K500" i="10" s="1"/>
  <c r="B501" i="10"/>
  <c r="K501" i="10" s="1"/>
  <c r="B502" i="10"/>
  <c r="K502" i="10" s="1"/>
  <c r="B503" i="10"/>
  <c r="K503" i="10" s="1"/>
  <c r="B504" i="10"/>
  <c r="K504" i="10" s="1"/>
  <c r="B505" i="10"/>
  <c r="K505" i="10" s="1"/>
  <c r="B506" i="10"/>
  <c r="K506" i="10" s="1"/>
  <c r="B507" i="10"/>
  <c r="K507" i="10" s="1"/>
  <c r="B508" i="10"/>
  <c r="K508" i="10" s="1"/>
  <c r="B509" i="10"/>
  <c r="K509" i="10" s="1"/>
  <c r="B510" i="10"/>
  <c r="K510" i="10" s="1"/>
  <c r="B511" i="10"/>
  <c r="K511" i="10" s="1"/>
  <c r="B512" i="10"/>
  <c r="K512" i="10" s="1"/>
  <c r="B513" i="10"/>
  <c r="K513" i="10" s="1"/>
  <c r="B514" i="10"/>
  <c r="K514" i="10" s="1"/>
  <c r="B515" i="10"/>
  <c r="K515" i="10" s="1"/>
  <c r="B516" i="10"/>
  <c r="K516" i="10" s="1"/>
  <c r="B517" i="10"/>
  <c r="K517" i="10" s="1"/>
  <c r="B518" i="10"/>
  <c r="K518" i="10" s="1"/>
  <c r="B519" i="10"/>
  <c r="K519" i="10" s="1"/>
  <c r="B520" i="10"/>
  <c r="K520" i="10" s="1"/>
  <c r="B521" i="10"/>
  <c r="K521" i="10" s="1"/>
  <c r="B522" i="10"/>
  <c r="K522" i="10" s="1"/>
  <c r="B523" i="10"/>
  <c r="K523" i="10" s="1"/>
  <c r="B524" i="10"/>
  <c r="K524" i="10" s="1"/>
  <c r="B525" i="10"/>
  <c r="K525" i="10" s="1"/>
  <c r="B526" i="10"/>
  <c r="K526" i="10" s="1"/>
  <c r="B527" i="10"/>
  <c r="K527" i="10" s="1"/>
  <c r="B528" i="10"/>
  <c r="K528" i="10" s="1"/>
  <c r="B529" i="10"/>
  <c r="K529" i="10" s="1"/>
  <c r="B530" i="10"/>
  <c r="K530" i="10" s="1"/>
  <c r="B531" i="10"/>
  <c r="K531" i="10" s="1"/>
  <c r="B532" i="10"/>
  <c r="K532" i="10" s="1"/>
  <c r="B533" i="10"/>
  <c r="K533" i="10" s="1"/>
  <c r="B534" i="10"/>
  <c r="K534" i="10" s="1"/>
  <c r="B535" i="10"/>
  <c r="K535" i="10" s="1"/>
  <c r="B536" i="10"/>
  <c r="K536" i="10" s="1"/>
  <c r="B537" i="10"/>
  <c r="K537" i="10" s="1"/>
  <c r="B538" i="10"/>
  <c r="K538" i="10" s="1"/>
  <c r="B539" i="10"/>
  <c r="K539" i="10" s="1"/>
  <c r="B540" i="10"/>
  <c r="K540" i="10" s="1"/>
  <c r="B541" i="10"/>
  <c r="K541" i="10" s="1"/>
  <c r="B542" i="10"/>
  <c r="K542" i="10" s="1"/>
  <c r="B543" i="10"/>
  <c r="K543" i="10" s="1"/>
  <c r="B544" i="10"/>
  <c r="K544" i="10" s="1"/>
  <c r="B545" i="10"/>
  <c r="K545" i="10" s="1"/>
  <c r="B546" i="10"/>
  <c r="K546" i="10" s="1"/>
  <c r="B547" i="10"/>
  <c r="K547" i="10" s="1"/>
  <c r="B548" i="10"/>
  <c r="K548" i="10" s="1"/>
  <c r="B549" i="10"/>
  <c r="K549" i="10" s="1"/>
  <c r="B550" i="10"/>
  <c r="K550" i="10" s="1"/>
  <c r="B551" i="10"/>
  <c r="K551" i="10" s="1"/>
  <c r="B552" i="10"/>
  <c r="K552" i="10" s="1"/>
  <c r="B553" i="10"/>
  <c r="K553" i="10" s="1"/>
  <c r="B554" i="10"/>
  <c r="K554" i="10" s="1"/>
  <c r="B555" i="10"/>
  <c r="K555" i="10" s="1"/>
  <c r="B556" i="10"/>
  <c r="K556" i="10" s="1"/>
  <c r="B557" i="10"/>
  <c r="K557" i="10" s="1"/>
  <c r="B558" i="10"/>
  <c r="K558" i="10" s="1"/>
  <c r="B559" i="10"/>
  <c r="K559" i="10" s="1"/>
  <c r="B560" i="10"/>
  <c r="K560" i="10" s="1"/>
  <c r="B561" i="10"/>
  <c r="K561" i="10" s="1"/>
  <c r="B562" i="10"/>
  <c r="K562" i="10" s="1"/>
  <c r="B563" i="10"/>
  <c r="K563" i="10" s="1"/>
  <c r="B564" i="10"/>
  <c r="K564" i="10" s="1"/>
  <c r="B565" i="10"/>
  <c r="K565" i="10" s="1"/>
  <c r="B566" i="10"/>
  <c r="K566" i="10" s="1"/>
  <c r="B567" i="10"/>
  <c r="K567" i="10" s="1"/>
  <c r="B568" i="10"/>
  <c r="K568" i="10" s="1"/>
  <c r="B569" i="10"/>
  <c r="K569" i="10" s="1"/>
  <c r="B570" i="10"/>
  <c r="K570" i="10" s="1"/>
  <c r="B571" i="10"/>
  <c r="K571" i="10" s="1"/>
  <c r="B572" i="10"/>
  <c r="K572" i="10" s="1"/>
  <c r="B573" i="10"/>
  <c r="K573" i="10" s="1"/>
  <c r="B574" i="10"/>
  <c r="K574" i="10" s="1"/>
  <c r="B575" i="10"/>
  <c r="K575" i="10" s="1"/>
  <c r="B576" i="10"/>
  <c r="K576" i="10" s="1"/>
  <c r="B577" i="10"/>
  <c r="K577" i="10" s="1"/>
  <c r="B578" i="10"/>
  <c r="K578" i="10" s="1"/>
  <c r="B579" i="10"/>
  <c r="K579" i="10" s="1"/>
  <c r="B580" i="10"/>
  <c r="K580" i="10" s="1"/>
  <c r="B581" i="10"/>
  <c r="K581" i="10" s="1"/>
  <c r="B582" i="10"/>
  <c r="K582" i="10" s="1"/>
  <c r="B583" i="10"/>
  <c r="K583" i="10" s="1"/>
  <c r="B584" i="10"/>
  <c r="K584" i="10" s="1"/>
  <c r="B585" i="10"/>
  <c r="K585" i="10" s="1"/>
  <c r="B586" i="10"/>
  <c r="K586" i="10" s="1"/>
  <c r="B587" i="10"/>
  <c r="K587" i="10" s="1"/>
  <c r="B588" i="10"/>
  <c r="K588" i="10" s="1"/>
  <c r="B589" i="10"/>
  <c r="K589" i="10" s="1"/>
  <c r="B590" i="10"/>
  <c r="K590" i="10" s="1"/>
  <c r="B591" i="10"/>
  <c r="K591" i="10" s="1"/>
  <c r="B592" i="10"/>
  <c r="K592" i="10" s="1"/>
  <c r="B593" i="10"/>
  <c r="K593" i="10" s="1"/>
  <c r="B594" i="10"/>
  <c r="K594" i="10" s="1"/>
  <c r="B595" i="10"/>
  <c r="K595" i="10" s="1"/>
  <c r="B596" i="10"/>
  <c r="K596" i="10" s="1"/>
  <c r="B597" i="10"/>
  <c r="K597" i="10" s="1"/>
  <c r="B598" i="10"/>
  <c r="K598" i="10" s="1"/>
  <c r="B599" i="10"/>
  <c r="K599" i="10" s="1"/>
  <c r="B600" i="10"/>
  <c r="K600" i="10" s="1"/>
  <c r="B601" i="10"/>
  <c r="K601" i="10" s="1"/>
  <c r="B602" i="10"/>
  <c r="K602" i="10" s="1"/>
  <c r="B603" i="10"/>
  <c r="K603" i="10" s="1"/>
  <c r="B604" i="10"/>
  <c r="K604" i="10" s="1"/>
  <c r="B605" i="10"/>
  <c r="K605" i="10" s="1"/>
  <c r="B606" i="10"/>
  <c r="K606" i="10" s="1"/>
  <c r="B607" i="10"/>
  <c r="K607" i="10" s="1"/>
  <c r="B608" i="10"/>
  <c r="K608" i="10" s="1"/>
  <c r="B609" i="10"/>
  <c r="K609" i="10" s="1"/>
  <c r="B610" i="10"/>
  <c r="K610" i="10" s="1"/>
  <c r="B611" i="10"/>
  <c r="K611" i="10" s="1"/>
  <c r="B612" i="10"/>
  <c r="K612" i="10" s="1"/>
  <c r="B613" i="10"/>
  <c r="K613" i="10" s="1"/>
  <c r="B614" i="10"/>
  <c r="K614" i="10" s="1"/>
  <c r="B615" i="10"/>
  <c r="K615" i="10" s="1"/>
  <c r="B616" i="10"/>
  <c r="K616" i="10" s="1"/>
  <c r="B617" i="10"/>
  <c r="K617" i="10" s="1"/>
  <c r="B618" i="10"/>
  <c r="K618" i="10" s="1"/>
  <c r="B619" i="10"/>
  <c r="K619" i="10" s="1"/>
  <c r="B620" i="10"/>
  <c r="K620" i="10" s="1"/>
  <c r="B621" i="10"/>
  <c r="K621" i="10" s="1"/>
  <c r="B622" i="10"/>
  <c r="K622" i="10" s="1"/>
  <c r="B623" i="10"/>
  <c r="K623" i="10" s="1"/>
  <c r="B624" i="10"/>
  <c r="K624" i="10" s="1"/>
  <c r="B625" i="10"/>
  <c r="K625" i="10" s="1"/>
  <c r="B626" i="10"/>
  <c r="K626" i="10" s="1"/>
  <c r="B627" i="10"/>
  <c r="K627" i="10" s="1"/>
  <c r="B628" i="10"/>
  <c r="K628" i="10" s="1"/>
  <c r="B629" i="10"/>
  <c r="K629" i="10" s="1"/>
  <c r="B630" i="10"/>
  <c r="K630" i="10" s="1"/>
  <c r="B631" i="10"/>
  <c r="K631" i="10" s="1"/>
  <c r="B632" i="10"/>
  <c r="K632" i="10" s="1"/>
  <c r="B633" i="10"/>
  <c r="K633" i="10" s="1"/>
  <c r="B634" i="10"/>
  <c r="K634" i="10" s="1"/>
  <c r="B635" i="10"/>
  <c r="K635" i="10" s="1"/>
  <c r="B636" i="10"/>
  <c r="K636" i="10" s="1"/>
  <c r="B637" i="10"/>
  <c r="K637" i="10" s="1"/>
  <c r="B638" i="10"/>
  <c r="K638" i="10" s="1"/>
  <c r="B639" i="10"/>
  <c r="K639" i="10" s="1"/>
  <c r="B640" i="10"/>
  <c r="K640" i="10" s="1"/>
  <c r="B641" i="10"/>
  <c r="K641" i="10" s="1"/>
  <c r="B642" i="10"/>
  <c r="K642" i="10" s="1"/>
  <c r="B643" i="10"/>
  <c r="K643" i="10" s="1"/>
  <c r="B644" i="10"/>
  <c r="K644" i="10" s="1"/>
  <c r="B645" i="10"/>
  <c r="K645" i="10" s="1"/>
  <c r="B646" i="10"/>
  <c r="K646" i="10" s="1"/>
  <c r="B647" i="10"/>
  <c r="K647" i="10" s="1"/>
  <c r="B648" i="10"/>
  <c r="K648" i="10" s="1"/>
  <c r="B649" i="10"/>
  <c r="K649" i="10" s="1"/>
  <c r="B650" i="10"/>
  <c r="K650" i="10" s="1"/>
  <c r="B651" i="10"/>
  <c r="K651" i="10" s="1"/>
  <c r="B652" i="10"/>
  <c r="K652" i="10" s="1"/>
  <c r="B653" i="10"/>
  <c r="K653" i="10" s="1"/>
  <c r="B654" i="10"/>
  <c r="K654" i="10" s="1"/>
  <c r="B655" i="10"/>
  <c r="K655" i="10" s="1"/>
  <c r="B656" i="10"/>
  <c r="K656" i="10" s="1"/>
  <c r="B657" i="10"/>
  <c r="K657" i="10" s="1"/>
  <c r="B658" i="10"/>
  <c r="K658" i="10" s="1"/>
  <c r="B659" i="10"/>
  <c r="K659" i="10" s="1"/>
  <c r="B660" i="10"/>
  <c r="K660" i="10" s="1"/>
  <c r="B661" i="10"/>
  <c r="K661" i="10" s="1"/>
  <c r="B662" i="10"/>
  <c r="K662" i="10" s="1"/>
  <c r="B663" i="10"/>
  <c r="K663" i="10" s="1"/>
  <c r="B664" i="10"/>
  <c r="K664" i="10" s="1"/>
  <c r="B665" i="10"/>
  <c r="K665" i="10" s="1"/>
  <c r="B666" i="10"/>
  <c r="K666" i="10" s="1"/>
  <c r="B667" i="10"/>
  <c r="K667" i="10" s="1"/>
  <c r="B668" i="10"/>
  <c r="K668" i="10" s="1"/>
  <c r="B669" i="10"/>
  <c r="K669" i="10" s="1"/>
  <c r="B670" i="10"/>
  <c r="K670" i="10" s="1"/>
  <c r="B671" i="10"/>
  <c r="K671" i="10" s="1"/>
  <c r="B672" i="10"/>
  <c r="K672" i="10" s="1"/>
  <c r="B673" i="10"/>
  <c r="K673" i="10" s="1"/>
  <c r="B674" i="10"/>
  <c r="K674" i="10" s="1"/>
  <c r="B675" i="10"/>
  <c r="K675" i="10" s="1"/>
  <c r="B676" i="10"/>
  <c r="K676" i="10" s="1"/>
  <c r="B677" i="10"/>
  <c r="K677" i="10" s="1"/>
  <c r="B678" i="10"/>
  <c r="K678" i="10" s="1"/>
  <c r="B679" i="10"/>
  <c r="K679" i="10" s="1"/>
  <c r="B680" i="10"/>
  <c r="K680" i="10" s="1"/>
  <c r="B681" i="10"/>
  <c r="K681" i="10" s="1"/>
  <c r="B682" i="10"/>
  <c r="K682" i="10" s="1"/>
  <c r="B683" i="10"/>
  <c r="K683" i="10" s="1"/>
  <c r="B684" i="10"/>
  <c r="K684" i="10" s="1"/>
  <c r="B685" i="10"/>
  <c r="K685" i="10" s="1"/>
  <c r="B686" i="10"/>
  <c r="K686" i="10" s="1"/>
  <c r="B687" i="10"/>
  <c r="K687" i="10" s="1"/>
  <c r="B688" i="10"/>
  <c r="K688" i="10" s="1"/>
  <c r="B689" i="10"/>
  <c r="K689" i="10" s="1"/>
  <c r="B690" i="10"/>
  <c r="K690" i="10" s="1"/>
  <c r="B691" i="10"/>
  <c r="K691" i="10" s="1"/>
  <c r="B692" i="10"/>
  <c r="K692" i="10" s="1"/>
  <c r="B693" i="10"/>
  <c r="K693" i="10" s="1"/>
  <c r="B694" i="10"/>
  <c r="K694" i="10" s="1"/>
  <c r="B695" i="10"/>
  <c r="K695" i="10" s="1"/>
  <c r="B696" i="10"/>
  <c r="K696" i="10" s="1"/>
  <c r="B697" i="10"/>
  <c r="K697" i="10" s="1"/>
  <c r="B698" i="10"/>
  <c r="K698" i="10" s="1"/>
  <c r="B699" i="10"/>
  <c r="K699" i="10" s="1"/>
  <c r="B700" i="10"/>
  <c r="K700" i="10" s="1"/>
  <c r="B701" i="10"/>
  <c r="K701" i="10" s="1"/>
  <c r="B702" i="10"/>
  <c r="K702" i="10" s="1"/>
  <c r="B703" i="10"/>
  <c r="K703" i="10" s="1"/>
  <c r="B704" i="10"/>
  <c r="K704" i="10" s="1"/>
  <c r="B705" i="10"/>
  <c r="K705" i="10" s="1"/>
  <c r="B706" i="10"/>
  <c r="K706" i="10" s="1"/>
  <c r="B707" i="10"/>
  <c r="K707" i="10" s="1"/>
  <c r="B708" i="10"/>
  <c r="K708" i="10" s="1"/>
  <c r="B709" i="10"/>
  <c r="K709" i="10" s="1"/>
  <c r="B710" i="10"/>
  <c r="K710" i="10" s="1"/>
  <c r="B711" i="10"/>
  <c r="K711" i="10" s="1"/>
  <c r="B712" i="10"/>
  <c r="K712" i="10" s="1"/>
  <c r="B713" i="10"/>
  <c r="K713" i="10" s="1"/>
  <c r="B714" i="10"/>
  <c r="K714" i="10" s="1"/>
  <c r="B715" i="10"/>
  <c r="K715" i="10" s="1"/>
  <c r="B716" i="10"/>
  <c r="K716" i="10" s="1"/>
  <c r="B717" i="10"/>
  <c r="K717" i="10" s="1"/>
  <c r="B718" i="10"/>
  <c r="K718" i="10" s="1"/>
  <c r="B719" i="10"/>
  <c r="K719" i="10" s="1"/>
  <c r="B720" i="10"/>
  <c r="K720" i="10" s="1"/>
  <c r="B721" i="10"/>
  <c r="K721" i="10" s="1"/>
  <c r="B722" i="10"/>
  <c r="K722" i="10" s="1"/>
  <c r="B723" i="10"/>
  <c r="K723" i="10" s="1"/>
  <c r="B724" i="10"/>
  <c r="K724" i="10" s="1"/>
  <c r="B725" i="10"/>
  <c r="K725" i="10" s="1"/>
  <c r="B726" i="10"/>
  <c r="K726" i="10" s="1"/>
  <c r="B727" i="10"/>
  <c r="K727" i="10" s="1"/>
  <c r="B728" i="10"/>
  <c r="K728" i="10" s="1"/>
  <c r="B729" i="10"/>
  <c r="K729" i="10" s="1"/>
  <c r="B730" i="10"/>
  <c r="K730" i="10" s="1"/>
  <c r="B731" i="10"/>
  <c r="K731" i="10" s="1"/>
  <c r="B732" i="10"/>
  <c r="K732" i="10" s="1"/>
  <c r="B733" i="10"/>
  <c r="K733" i="10" s="1"/>
  <c r="B734" i="10"/>
  <c r="K734" i="10" s="1"/>
  <c r="B735" i="10"/>
  <c r="K735" i="10" s="1"/>
  <c r="B736" i="10"/>
  <c r="K736" i="10" s="1"/>
  <c r="B737" i="10"/>
  <c r="K737" i="10" s="1"/>
  <c r="B738" i="10"/>
  <c r="K738" i="10" s="1"/>
  <c r="B739" i="10"/>
  <c r="K739" i="10" s="1"/>
  <c r="B740" i="10"/>
  <c r="K740" i="10" s="1"/>
  <c r="B741" i="10"/>
  <c r="K741" i="10" s="1"/>
  <c r="B742" i="10"/>
  <c r="K742" i="10" s="1"/>
  <c r="B743" i="10"/>
  <c r="K743" i="10" s="1"/>
  <c r="B744" i="10"/>
  <c r="K744" i="10" s="1"/>
  <c r="B745" i="10"/>
  <c r="K745" i="10" s="1"/>
  <c r="B746" i="10"/>
  <c r="K746" i="10" s="1"/>
  <c r="B747" i="10"/>
  <c r="K747" i="10" s="1"/>
  <c r="B748" i="10"/>
  <c r="K748" i="10" s="1"/>
  <c r="B749" i="10"/>
  <c r="K749" i="10" s="1"/>
  <c r="B750" i="10"/>
  <c r="K750" i="10" s="1"/>
  <c r="B751" i="10"/>
  <c r="K751" i="10" s="1"/>
  <c r="B752" i="10"/>
  <c r="K752" i="10" s="1"/>
  <c r="B753" i="10"/>
  <c r="K753" i="10" s="1"/>
  <c r="B754" i="10"/>
  <c r="K754" i="10" s="1"/>
  <c r="B755" i="10"/>
  <c r="K755" i="10" s="1"/>
  <c r="B756" i="10"/>
  <c r="K756" i="10" s="1"/>
  <c r="B757" i="10"/>
  <c r="K757" i="10" s="1"/>
  <c r="B758" i="10"/>
  <c r="K758" i="10" s="1"/>
  <c r="B759" i="10"/>
  <c r="K759" i="10" s="1"/>
  <c r="B760" i="10"/>
  <c r="K760" i="10" s="1"/>
  <c r="B761" i="10"/>
  <c r="K761" i="10" s="1"/>
  <c r="B762" i="10"/>
  <c r="K762" i="10" s="1"/>
  <c r="B763" i="10"/>
  <c r="K763" i="10" s="1"/>
  <c r="B764" i="10"/>
  <c r="K764" i="10" s="1"/>
  <c r="B765" i="10"/>
  <c r="K765" i="10" s="1"/>
  <c r="B766" i="10"/>
  <c r="K766" i="10" s="1"/>
  <c r="B767" i="10"/>
  <c r="K767" i="10" s="1"/>
  <c r="B768" i="10"/>
  <c r="K768" i="10" s="1"/>
  <c r="B769" i="10"/>
  <c r="K769" i="10" s="1"/>
  <c r="B770" i="10"/>
  <c r="K770" i="10" s="1"/>
  <c r="B771" i="10"/>
  <c r="K771" i="10" s="1"/>
  <c r="B772" i="10"/>
  <c r="K772" i="10" s="1"/>
  <c r="B773" i="10"/>
  <c r="K773" i="10" s="1"/>
  <c r="B774" i="10"/>
  <c r="K774" i="10" s="1"/>
  <c r="B775" i="10"/>
  <c r="K775" i="10" s="1"/>
  <c r="B776" i="10"/>
  <c r="K776" i="10" s="1"/>
  <c r="B777" i="10"/>
  <c r="K777" i="10" s="1"/>
  <c r="B778" i="10"/>
  <c r="K778" i="10" s="1"/>
  <c r="B779" i="10"/>
  <c r="K779" i="10" s="1"/>
  <c r="B780" i="10"/>
  <c r="K780" i="10" s="1"/>
  <c r="B781" i="10"/>
  <c r="K781" i="10" s="1"/>
  <c r="B782" i="10"/>
  <c r="K782" i="10" s="1"/>
  <c r="B783" i="10"/>
  <c r="K783" i="10" s="1"/>
  <c r="B784" i="10"/>
  <c r="K784" i="10" s="1"/>
  <c r="B785" i="10"/>
  <c r="K785" i="10" s="1"/>
  <c r="B786" i="10"/>
  <c r="K786" i="10" s="1"/>
  <c r="B787" i="10"/>
  <c r="K787" i="10" s="1"/>
  <c r="B788" i="10"/>
  <c r="K788" i="10" s="1"/>
  <c r="B789" i="10"/>
  <c r="K789" i="10" s="1"/>
  <c r="B790" i="10"/>
  <c r="K790" i="10" s="1"/>
  <c r="B791" i="10"/>
  <c r="K791" i="10" s="1"/>
  <c r="B792" i="10"/>
  <c r="K792" i="10" s="1"/>
  <c r="B793" i="10"/>
  <c r="K793" i="10" s="1"/>
  <c r="B794" i="10"/>
  <c r="K794" i="10" s="1"/>
  <c r="B795" i="10"/>
  <c r="K795" i="10" s="1"/>
  <c r="B796" i="10"/>
  <c r="K796" i="10" s="1"/>
  <c r="B797" i="10"/>
  <c r="K797" i="10" s="1"/>
  <c r="B798" i="10"/>
  <c r="K798" i="10" s="1"/>
  <c r="B799" i="10"/>
  <c r="K799" i="10" s="1"/>
  <c r="B800" i="10"/>
  <c r="K800" i="10" s="1"/>
  <c r="B801" i="10"/>
  <c r="K801" i="10" s="1"/>
  <c r="B802" i="10"/>
  <c r="K802" i="10" s="1"/>
  <c r="B803" i="10"/>
  <c r="K803" i="10" s="1"/>
  <c r="B804" i="10"/>
  <c r="K804" i="10" s="1"/>
  <c r="B805" i="10"/>
  <c r="K805" i="10" s="1"/>
  <c r="B806" i="10"/>
  <c r="K806" i="10" s="1"/>
  <c r="B807" i="10"/>
  <c r="K807" i="10" s="1"/>
  <c r="B808" i="10"/>
  <c r="K808" i="10" s="1"/>
  <c r="B809" i="10"/>
  <c r="K809" i="10" s="1"/>
  <c r="B810" i="10"/>
  <c r="K810" i="10" s="1"/>
  <c r="B811" i="10"/>
  <c r="K811" i="10" s="1"/>
  <c r="B812" i="10"/>
  <c r="K812" i="10" s="1"/>
  <c r="B813" i="10"/>
  <c r="K813" i="10" s="1"/>
  <c r="B814" i="10"/>
  <c r="K814" i="10" s="1"/>
  <c r="B815" i="10"/>
  <c r="K815" i="10" s="1"/>
  <c r="B816" i="10"/>
  <c r="K816" i="10" s="1"/>
  <c r="B817" i="10"/>
  <c r="K817" i="10" s="1"/>
  <c r="B818" i="10"/>
  <c r="K818" i="10" s="1"/>
  <c r="B819" i="10"/>
  <c r="K819" i="10" s="1"/>
  <c r="B820" i="10"/>
  <c r="K820" i="10" s="1"/>
  <c r="B821" i="10"/>
  <c r="K821" i="10" s="1"/>
  <c r="B822" i="10"/>
  <c r="K822" i="10" s="1"/>
  <c r="B823" i="10"/>
  <c r="K823" i="10" s="1"/>
  <c r="B824" i="10"/>
  <c r="K824" i="10" s="1"/>
  <c r="B825" i="10"/>
  <c r="K825" i="10" s="1"/>
  <c r="B826" i="10"/>
  <c r="K826" i="10" s="1"/>
  <c r="B827" i="10"/>
  <c r="K827" i="10" s="1"/>
  <c r="B828" i="10"/>
  <c r="K828" i="10" s="1"/>
  <c r="B829" i="10"/>
  <c r="K829" i="10" s="1"/>
  <c r="B830" i="10"/>
  <c r="K830" i="10" s="1"/>
  <c r="B831" i="10"/>
  <c r="K831" i="10" s="1"/>
  <c r="B832" i="10"/>
  <c r="K832" i="10" s="1"/>
  <c r="B833" i="10"/>
  <c r="K833" i="10" s="1"/>
  <c r="B834" i="10"/>
  <c r="K834" i="10" s="1"/>
  <c r="B835" i="10"/>
  <c r="K835" i="10" s="1"/>
  <c r="B836" i="10"/>
  <c r="K836" i="10" s="1"/>
  <c r="B837" i="10"/>
  <c r="K837" i="10" s="1"/>
  <c r="B838" i="10"/>
  <c r="K838" i="10" s="1"/>
  <c r="B839" i="10"/>
  <c r="K839" i="10" s="1"/>
  <c r="B840" i="10"/>
  <c r="K840" i="10" s="1"/>
  <c r="B841" i="10"/>
  <c r="K841" i="10" s="1"/>
  <c r="B842" i="10"/>
  <c r="K842" i="10" s="1"/>
  <c r="B843" i="10"/>
  <c r="K843" i="10" s="1"/>
  <c r="B844" i="10"/>
  <c r="K844" i="10" s="1"/>
  <c r="B845" i="10"/>
  <c r="K845" i="10" s="1"/>
  <c r="B846" i="10"/>
  <c r="K846" i="10" s="1"/>
  <c r="B847" i="10"/>
  <c r="K847" i="10" s="1"/>
  <c r="B848" i="10"/>
  <c r="K848" i="10" s="1"/>
  <c r="B849" i="10"/>
  <c r="K849" i="10" s="1"/>
  <c r="B850" i="10"/>
  <c r="K850" i="10" s="1"/>
  <c r="B851" i="10"/>
  <c r="K851" i="10" s="1"/>
  <c r="B852" i="10"/>
  <c r="K852" i="10" s="1"/>
  <c r="B853" i="10"/>
  <c r="K853" i="10" s="1"/>
  <c r="B854" i="10"/>
  <c r="K854" i="10" s="1"/>
  <c r="B855" i="10"/>
  <c r="K855" i="10" s="1"/>
  <c r="B856" i="10"/>
  <c r="K856" i="10" s="1"/>
  <c r="B857" i="10"/>
  <c r="K857" i="10" s="1"/>
  <c r="B858" i="10"/>
  <c r="K858" i="10" s="1"/>
  <c r="B859" i="10"/>
  <c r="K859" i="10" s="1"/>
  <c r="B860" i="10"/>
  <c r="K860" i="10" s="1"/>
  <c r="B861" i="10"/>
  <c r="K861" i="10" s="1"/>
  <c r="B862" i="10"/>
  <c r="K862" i="10" s="1"/>
  <c r="B863" i="10"/>
  <c r="K863" i="10" s="1"/>
  <c r="B864" i="10"/>
  <c r="K864" i="10" s="1"/>
  <c r="B865" i="10"/>
  <c r="K865" i="10" s="1"/>
  <c r="B866" i="10"/>
  <c r="K866" i="10" s="1"/>
  <c r="B867" i="10"/>
  <c r="K867" i="10" s="1"/>
  <c r="B868" i="10"/>
  <c r="K868" i="10" s="1"/>
  <c r="B869" i="10"/>
  <c r="K869" i="10" s="1"/>
  <c r="B870" i="10"/>
  <c r="K870" i="10" s="1"/>
  <c r="B871" i="10"/>
  <c r="K871" i="10" s="1"/>
  <c r="B872" i="10"/>
  <c r="K872" i="10" s="1"/>
  <c r="B873" i="10"/>
  <c r="K873" i="10" s="1"/>
  <c r="B874" i="10"/>
  <c r="K874" i="10" s="1"/>
  <c r="B875" i="10"/>
  <c r="K875" i="10" s="1"/>
  <c r="B876" i="10"/>
  <c r="K876" i="10" s="1"/>
  <c r="B877" i="10"/>
  <c r="K877" i="10" s="1"/>
  <c r="B878" i="10"/>
  <c r="K878" i="10" s="1"/>
  <c r="B879" i="10"/>
  <c r="K879" i="10" s="1"/>
  <c r="B880" i="10"/>
  <c r="K880" i="10" s="1"/>
  <c r="B881" i="10"/>
  <c r="K881" i="10" s="1"/>
  <c r="B882" i="10"/>
  <c r="K882" i="10" s="1"/>
  <c r="B883" i="10"/>
  <c r="K883" i="10" s="1"/>
  <c r="B884" i="10"/>
  <c r="K884" i="10" s="1"/>
  <c r="B885" i="10"/>
  <c r="K885" i="10" s="1"/>
  <c r="B886" i="10"/>
  <c r="K886" i="10" s="1"/>
  <c r="B887" i="10"/>
  <c r="K887" i="10" s="1"/>
  <c r="B888" i="10"/>
  <c r="K888" i="10" s="1"/>
  <c r="B889" i="10"/>
  <c r="K889" i="10" s="1"/>
  <c r="B890" i="10"/>
  <c r="K890" i="10" s="1"/>
  <c r="B891" i="10"/>
  <c r="K891" i="10" s="1"/>
  <c r="B892" i="10"/>
  <c r="K892" i="10" s="1"/>
  <c r="B893" i="10"/>
  <c r="K893" i="10" s="1"/>
  <c r="B894" i="10"/>
  <c r="K894" i="10" s="1"/>
  <c r="B895" i="10"/>
  <c r="K895" i="10" s="1"/>
  <c r="B896" i="10"/>
  <c r="K896" i="10" s="1"/>
  <c r="B897" i="10"/>
  <c r="K897" i="10" s="1"/>
  <c r="B898" i="10"/>
  <c r="K898" i="10" s="1"/>
  <c r="B899" i="10"/>
  <c r="K899" i="10" s="1"/>
  <c r="B900" i="10"/>
  <c r="K900" i="10" s="1"/>
  <c r="B901" i="10"/>
  <c r="K901" i="10" s="1"/>
  <c r="B902" i="10"/>
  <c r="K902" i="10" s="1"/>
  <c r="B903" i="10"/>
  <c r="K903" i="10" s="1"/>
  <c r="B904" i="10"/>
  <c r="K904" i="10" s="1"/>
  <c r="B905" i="10"/>
  <c r="K905" i="10" s="1"/>
  <c r="B906" i="10"/>
  <c r="K906" i="10" s="1"/>
  <c r="B907" i="10"/>
  <c r="K907" i="10" s="1"/>
  <c r="B908" i="10"/>
  <c r="K908" i="10" s="1"/>
  <c r="B909" i="10"/>
  <c r="K909" i="10" s="1"/>
  <c r="B910" i="10"/>
  <c r="K910" i="10" s="1"/>
  <c r="B911" i="10"/>
  <c r="K911" i="10" s="1"/>
  <c r="B912" i="10"/>
  <c r="K912" i="10" s="1"/>
  <c r="B913" i="10"/>
  <c r="K913" i="10" s="1"/>
  <c r="B914" i="10"/>
  <c r="K914" i="10" s="1"/>
  <c r="B915" i="10"/>
  <c r="K915" i="10" s="1"/>
  <c r="B916" i="10"/>
  <c r="K916" i="10" s="1"/>
  <c r="B917" i="10"/>
  <c r="K917" i="10" s="1"/>
  <c r="B918" i="10"/>
  <c r="K918" i="10" s="1"/>
  <c r="B919" i="10"/>
  <c r="K919" i="10" s="1"/>
  <c r="B920" i="10"/>
  <c r="K920" i="10" s="1"/>
  <c r="B921" i="10"/>
  <c r="K921" i="10" s="1"/>
  <c r="B922" i="10"/>
  <c r="K922" i="10" s="1"/>
  <c r="B923" i="10"/>
  <c r="K923" i="10" s="1"/>
  <c r="B924" i="10"/>
  <c r="K924" i="10" s="1"/>
  <c r="B925" i="10"/>
  <c r="K925" i="10" s="1"/>
  <c r="B926" i="10"/>
  <c r="K926" i="10" s="1"/>
  <c r="B927" i="10"/>
  <c r="K927" i="10" s="1"/>
  <c r="B928" i="10"/>
  <c r="K928" i="10" s="1"/>
  <c r="B929" i="10"/>
  <c r="K929" i="10" s="1"/>
  <c r="B930" i="10"/>
  <c r="K930" i="10" s="1"/>
  <c r="B931" i="10"/>
  <c r="K931" i="10" s="1"/>
  <c r="B932" i="10"/>
  <c r="K932" i="10" s="1"/>
  <c r="B933" i="10"/>
  <c r="K933" i="10" s="1"/>
  <c r="B934" i="10"/>
  <c r="K934" i="10" s="1"/>
  <c r="B935" i="10"/>
  <c r="K935" i="10" s="1"/>
  <c r="B936" i="10"/>
  <c r="K936" i="10" s="1"/>
  <c r="B937" i="10"/>
  <c r="K937" i="10" s="1"/>
  <c r="B938" i="10"/>
  <c r="K938" i="10" s="1"/>
  <c r="B939" i="10"/>
  <c r="K939" i="10" s="1"/>
  <c r="B940" i="10"/>
  <c r="K940" i="10" s="1"/>
  <c r="B941" i="10"/>
  <c r="K941" i="10" s="1"/>
  <c r="B942" i="10"/>
  <c r="K942" i="10" s="1"/>
  <c r="B943" i="10"/>
  <c r="K943" i="10" s="1"/>
  <c r="B944" i="10"/>
  <c r="K944" i="10" s="1"/>
  <c r="B945" i="10"/>
  <c r="K945" i="10" s="1"/>
  <c r="B946" i="10"/>
  <c r="K946" i="10" s="1"/>
  <c r="B947" i="10"/>
  <c r="K947" i="10" s="1"/>
  <c r="B948" i="10"/>
  <c r="K948" i="10" s="1"/>
  <c r="B949" i="10"/>
  <c r="K949" i="10" s="1"/>
  <c r="B950" i="10"/>
  <c r="K950" i="10" s="1"/>
  <c r="B951" i="10"/>
  <c r="K951" i="10" s="1"/>
  <c r="B952" i="10"/>
  <c r="K952" i="10" s="1"/>
  <c r="B953" i="10"/>
  <c r="K953" i="10" s="1"/>
  <c r="B954" i="10"/>
  <c r="K954" i="10" s="1"/>
  <c r="B955" i="10"/>
  <c r="K955" i="10" s="1"/>
  <c r="B956" i="10"/>
  <c r="K956" i="10" s="1"/>
  <c r="B957" i="10"/>
  <c r="K957" i="10" s="1"/>
  <c r="B958" i="10"/>
  <c r="K958" i="10" s="1"/>
  <c r="B959" i="10"/>
  <c r="K959" i="10" s="1"/>
  <c r="B960" i="10"/>
  <c r="K960" i="10" s="1"/>
  <c r="B961" i="10"/>
  <c r="K961" i="10" s="1"/>
  <c r="B962" i="10"/>
  <c r="K962" i="10" s="1"/>
  <c r="B963" i="10"/>
  <c r="K963" i="10" s="1"/>
  <c r="B964" i="10"/>
  <c r="K964" i="10" s="1"/>
  <c r="B965" i="10"/>
  <c r="K965" i="10" s="1"/>
  <c r="B966" i="10"/>
  <c r="K966" i="10" s="1"/>
  <c r="B967" i="10"/>
  <c r="K967" i="10" s="1"/>
  <c r="B968" i="10"/>
  <c r="K968" i="10" s="1"/>
  <c r="B969" i="10"/>
  <c r="K969" i="10" s="1"/>
  <c r="B970" i="10"/>
  <c r="K970" i="10" s="1"/>
  <c r="B971" i="10"/>
  <c r="K971" i="10" s="1"/>
  <c r="B972" i="10"/>
  <c r="K972" i="10" s="1"/>
  <c r="B2" i="10"/>
  <c r="K2" i="10" s="1"/>
  <c r="P3" i="10"/>
  <c r="K66" i="8"/>
  <c r="G4" i="8"/>
  <c r="J66" i="8"/>
  <c r="K19" i="8" s="1"/>
  <c r="J19" i="8" s="1"/>
  <c r="H19" i="8" s="1"/>
  <c r="G6" i="8"/>
  <c r="O5" i="8"/>
  <c r="I19" i="8" l="1"/>
  <c r="L2" i="10"/>
  <c r="M2" i="10"/>
  <c r="L965" i="10"/>
  <c r="M965" i="10"/>
  <c r="L957" i="10"/>
  <c r="M957" i="10"/>
  <c r="L949" i="10"/>
  <c r="M949" i="10"/>
  <c r="L941" i="10"/>
  <c r="M941" i="10"/>
  <c r="L933" i="10"/>
  <c r="M933" i="10"/>
  <c r="L925" i="10"/>
  <c r="M925" i="10"/>
  <c r="L917" i="10"/>
  <c r="M917" i="10"/>
  <c r="L909" i="10"/>
  <c r="M909" i="10"/>
  <c r="L901" i="10"/>
  <c r="M901" i="10"/>
  <c r="L893" i="10"/>
  <c r="M893" i="10"/>
  <c r="L885" i="10"/>
  <c r="M885" i="10"/>
  <c r="L877" i="10"/>
  <c r="M877" i="10"/>
  <c r="L869" i="10"/>
  <c r="M869" i="10"/>
  <c r="L857" i="10"/>
  <c r="M857" i="10"/>
  <c r="L971" i="10"/>
  <c r="M971" i="10"/>
  <c r="L967" i="10"/>
  <c r="M967" i="10"/>
  <c r="L963" i="10"/>
  <c r="M963" i="10"/>
  <c r="L959" i="10"/>
  <c r="M959" i="10"/>
  <c r="L955" i="10"/>
  <c r="M955" i="10"/>
  <c r="L951" i="10"/>
  <c r="M951" i="10"/>
  <c r="L947" i="10"/>
  <c r="M947" i="10"/>
  <c r="L943" i="10"/>
  <c r="M943" i="10"/>
  <c r="L939" i="10"/>
  <c r="M939" i="10"/>
  <c r="L935" i="10"/>
  <c r="M935" i="10"/>
  <c r="L931" i="10"/>
  <c r="M931" i="10"/>
  <c r="L927" i="10"/>
  <c r="M927" i="10"/>
  <c r="L923" i="10"/>
  <c r="M923" i="10"/>
  <c r="L919" i="10"/>
  <c r="M919" i="10"/>
  <c r="L915" i="10"/>
  <c r="M915" i="10"/>
  <c r="L911" i="10"/>
  <c r="M911" i="10"/>
  <c r="L907" i="10"/>
  <c r="M907" i="10"/>
  <c r="L903" i="10"/>
  <c r="M903" i="10"/>
  <c r="L899" i="10"/>
  <c r="M899" i="10"/>
  <c r="L895" i="10"/>
  <c r="M895" i="10"/>
  <c r="L891" i="10"/>
  <c r="M891" i="10"/>
  <c r="L887" i="10"/>
  <c r="M887" i="10"/>
  <c r="L883" i="10"/>
  <c r="M883" i="10"/>
  <c r="L879" i="10"/>
  <c r="M879" i="10"/>
  <c r="L875" i="10"/>
  <c r="M875" i="10"/>
  <c r="L871" i="10"/>
  <c r="M871" i="10"/>
  <c r="L867" i="10"/>
  <c r="M867" i="10"/>
  <c r="L863" i="10"/>
  <c r="M863" i="10"/>
  <c r="L859" i="10"/>
  <c r="M859" i="10"/>
  <c r="L855" i="10"/>
  <c r="M855" i="10"/>
  <c r="L851" i="10"/>
  <c r="M851" i="10"/>
  <c r="L847" i="10"/>
  <c r="M847" i="10"/>
  <c r="L843" i="10"/>
  <c r="M843" i="10"/>
  <c r="L839" i="10"/>
  <c r="M839" i="10"/>
  <c r="L835" i="10"/>
  <c r="M835" i="10"/>
  <c r="L831" i="10"/>
  <c r="M831" i="10"/>
  <c r="L827" i="10"/>
  <c r="M827" i="10"/>
  <c r="L823" i="10"/>
  <c r="M823" i="10"/>
  <c r="L819" i="10"/>
  <c r="M819" i="10"/>
  <c r="L815" i="10"/>
  <c r="M815" i="10"/>
  <c r="L811" i="10"/>
  <c r="M811" i="10"/>
  <c r="L807" i="10"/>
  <c r="M807" i="10"/>
  <c r="L803" i="10"/>
  <c r="M803" i="10"/>
  <c r="L799" i="10"/>
  <c r="M799" i="10"/>
  <c r="L795" i="10"/>
  <c r="M795" i="10"/>
  <c r="L791" i="10"/>
  <c r="M791" i="10"/>
  <c r="L787" i="10"/>
  <c r="M787" i="10"/>
  <c r="L783" i="10"/>
  <c r="M783" i="10"/>
  <c r="L779" i="10"/>
  <c r="M779" i="10"/>
  <c r="L775" i="10"/>
  <c r="M775" i="10"/>
  <c r="L771" i="10"/>
  <c r="M771" i="10"/>
  <c r="L767" i="10"/>
  <c r="M767" i="10"/>
  <c r="L763" i="10"/>
  <c r="M763" i="10"/>
  <c r="L759" i="10"/>
  <c r="M759" i="10"/>
  <c r="L755" i="10"/>
  <c r="M755" i="10"/>
  <c r="L751" i="10"/>
  <c r="M751" i="10"/>
  <c r="L747" i="10"/>
  <c r="M747" i="10"/>
  <c r="L743" i="10"/>
  <c r="M743" i="10"/>
  <c r="L739" i="10"/>
  <c r="M739" i="10"/>
  <c r="L735" i="10"/>
  <c r="M735" i="10"/>
  <c r="L731" i="10"/>
  <c r="M731" i="10"/>
  <c r="L727" i="10"/>
  <c r="M727" i="10"/>
  <c r="L723" i="10"/>
  <c r="M723" i="10"/>
  <c r="L719" i="10"/>
  <c r="M719" i="10"/>
  <c r="L715" i="10"/>
  <c r="M715" i="10"/>
  <c r="L711" i="10"/>
  <c r="M711" i="10"/>
  <c r="L707" i="10"/>
  <c r="M707" i="10"/>
  <c r="L703" i="10"/>
  <c r="M703" i="10"/>
  <c r="L699" i="10"/>
  <c r="M699" i="10"/>
  <c r="L695" i="10"/>
  <c r="M695" i="10"/>
  <c r="L691" i="10"/>
  <c r="M691" i="10"/>
  <c r="L687" i="10"/>
  <c r="M687" i="10"/>
  <c r="L683" i="10"/>
  <c r="M683" i="10"/>
  <c r="L679" i="10"/>
  <c r="M679" i="10"/>
  <c r="L675" i="10"/>
  <c r="M675" i="10"/>
  <c r="L671" i="10"/>
  <c r="M671" i="10"/>
  <c r="L667" i="10"/>
  <c r="M667" i="10"/>
  <c r="L663" i="10"/>
  <c r="M663" i="10"/>
  <c r="L659" i="10"/>
  <c r="M659" i="10"/>
  <c r="L655" i="10"/>
  <c r="M655" i="10"/>
  <c r="L651" i="10"/>
  <c r="M651" i="10"/>
  <c r="L647" i="10"/>
  <c r="M647" i="10"/>
  <c r="L643" i="10"/>
  <c r="M643" i="10"/>
  <c r="L639" i="10"/>
  <c r="M639" i="10"/>
  <c r="L635" i="10"/>
  <c r="M635" i="10"/>
  <c r="L631" i="10"/>
  <c r="M631" i="10"/>
  <c r="L627" i="10"/>
  <c r="M627" i="10"/>
  <c r="L623" i="10"/>
  <c r="M623" i="10"/>
  <c r="L619" i="10"/>
  <c r="M619" i="10"/>
  <c r="L615" i="10"/>
  <c r="M615" i="10"/>
  <c r="L611" i="10"/>
  <c r="M611" i="10"/>
  <c r="L607" i="10"/>
  <c r="M607" i="10"/>
  <c r="L603" i="10"/>
  <c r="M603" i="10"/>
  <c r="L599" i="10"/>
  <c r="M599" i="10"/>
  <c r="L595" i="10"/>
  <c r="M595" i="10"/>
  <c r="L591" i="10"/>
  <c r="M591" i="10"/>
  <c r="L587" i="10"/>
  <c r="M587" i="10"/>
  <c r="L583" i="10"/>
  <c r="M583" i="10"/>
  <c r="L579" i="10"/>
  <c r="M579" i="10"/>
  <c r="L575" i="10"/>
  <c r="M575" i="10"/>
  <c r="L571" i="10"/>
  <c r="M571" i="10"/>
  <c r="L567" i="10"/>
  <c r="M567" i="10"/>
  <c r="L563" i="10"/>
  <c r="M563" i="10"/>
  <c r="L559" i="10"/>
  <c r="M559" i="10"/>
  <c r="L555" i="10"/>
  <c r="M555" i="10"/>
  <c r="L551" i="10"/>
  <c r="M551" i="10"/>
  <c r="L547" i="10"/>
  <c r="M547" i="10"/>
  <c r="L543" i="10"/>
  <c r="M543" i="10"/>
  <c r="L539" i="10"/>
  <c r="M539" i="10"/>
  <c r="L535" i="10"/>
  <c r="M535" i="10"/>
  <c r="L531" i="10"/>
  <c r="M531" i="10"/>
  <c r="L527" i="10"/>
  <c r="M527" i="10"/>
  <c r="L523" i="10"/>
  <c r="M523" i="10"/>
  <c r="L519" i="10"/>
  <c r="M519" i="10"/>
  <c r="L515" i="10"/>
  <c r="M515" i="10"/>
  <c r="L511" i="10"/>
  <c r="M511" i="10"/>
  <c r="L507" i="10"/>
  <c r="M507" i="10"/>
  <c r="L503" i="10"/>
  <c r="M503" i="10"/>
  <c r="L499" i="10"/>
  <c r="M499" i="10"/>
  <c r="L495" i="10"/>
  <c r="M495" i="10"/>
  <c r="L491" i="10"/>
  <c r="M491" i="10"/>
  <c r="L487" i="10"/>
  <c r="M487" i="10"/>
  <c r="L483" i="10"/>
  <c r="M483" i="10"/>
  <c r="L479" i="10"/>
  <c r="M479" i="10"/>
  <c r="L475" i="10"/>
  <c r="M475" i="10"/>
  <c r="L471" i="10"/>
  <c r="M471" i="10"/>
  <c r="L467" i="10"/>
  <c r="M467" i="10"/>
  <c r="L463" i="10"/>
  <c r="M463" i="10"/>
  <c r="L459" i="10"/>
  <c r="M459" i="10"/>
  <c r="L455" i="10"/>
  <c r="M455" i="10"/>
  <c r="L451" i="10"/>
  <c r="M451" i="10"/>
  <c r="L447" i="10"/>
  <c r="M447" i="10"/>
  <c r="L443" i="10"/>
  <c r="M443" i="10"/>
  <c r="L439" i="10"/>
  <c r="M439" i="10"/>
  <c r="L435" i="10"/>
  <c r="M435" i="10"/>
  <c r="L431" i="10"/>
  <c r="M431" i="10"/>
  <c r="L427" i="10"/>
  <c r="M427" i="10"/>
  <c r="L423" i="10"/>
  <c r="M423" i="10"/>
  <c r="L419" i="10"/>
  <c r="M419" i="10"/>
  <c r="L415" i="10"/>
  <c r="M415" i="10"/>
  <c r="L411" i="10"/>
  <c r="M411" i="10"/>
  <c r="L407" i="10"/>
  <c r="M407" i="10"/>
  <c r="L403" i="10"/>
  <c r="M403" i="10"/>
  <c r="L399" i="10"/>
  <c r="M399" i="10"/>
  <c r="L395" i="10"/>
  <c r="M395" i="10"/>
  <c r="L391" i="10"/>
  <c r="M391" i="10"/>
  <c r="L387" i="10"/>
  <c r="M387" i="10"/>
  <c r="L383" i="10"/>
  <c r="M383" i="10"/>
  <c r="L379" i="10"/>
  <c r="M379" i="10"/>
  <c r="L375" i="10"/>
  <c r="M375" i="10"/>
  <c r="L371" i="10"/>
  <c r="M371" i="10"/>
  <c r="L367" i="10"/>
  <c r="M367" i="10"/>
  <c r="L363" i="10"/>
  <c r="M363" i="10"/>
  <c r="L359" i="10"/>
  <c r="M359" i="10"/>
  <c r="L355" i="10"/>
  <c r="M355" i="10"/>
  <c r="L351" i="10"/>
  <c r="M351" i="10"/>
  <c r="L347" i="10"/>
  <c r="M347" i="10"/>
  <c r="L343" i="10"/>
  <c r="M343" i="10"/>
  <c r="L339" i="10"/>
  <c r="M339" i="10"/>
  <c r="L335" i="10"/>
  <c r="M335" i="10"/>
  <c r="L331" i="10"/>
  <c r="M331" i="10"/>
  <c r="L327" i="10"/>
  <c r="M327" i="10"/>
  <c r="L323" i="10"/>
  <c r="M323" i="10"/>
  <c r="L319" i="10"/>
  <c r="M319" i="10"/>
  <c r="L315" i="10"/>
  <c r="M315" i="10"/>
  <c r="L311" i="10"/>
  <c r="M311" i="10"/>
  <c r="L307" i="10"/>
  <c r="M307" i="10"/>
  <c r="L303" i="10"/>
  <c r="M303" i="10"/>
  <c r="L299" i="10"/>
  <c r="M299" i="10"/>
  <c r="L295" i="10"/>
  <c r="M295" i="10"/>
  <c r="L291" i="10"/>
  <c r="M291" i="10"/>
  <c r="L287" i="10"/>
  <c r="M287" i="10"/>
  <c r="L283" i="10"/>
  <c r="M283" i="10"/>
  <c r="L279" i="10"/>
  <c r="M279" i="10"/>
  <c r="L275" i="10"/>
  <c r="M275" i="10"/>
  <c r="L271" i="10"/>
  <c r="M271" i="10"/>
  <c r="L267" i="10"/>
  <c r="M267" i="10"/>
  <c r="L263" i="10"/>
  <c r="M263" i="10"/>
  <c r="L259" i="10"/>
  <c r="M259" i="10"/>
  <c r="L255" i="10"/>
  <c r="M255" i="10"/>
  <c r="L251" i="10"/>
  <c r="M251" i="10"/>
  <c r="L247" i="10"/>
  <c r="M247" i="10"/>
  <c r="L243" i="10"/>
  <c r="M243" i="10"/>
  <c r="L239" i="10"/>
  <c r="M239" i="10"/>
  <c r="L235" i="10"/>
  <c r="M235" i="10"/>
  <c r="L231" i="10"/>
  <c r="M231" i="10"/>
  <c r="L227" i="10"/>
  <c r="M227" i="10"/>
  <c r="L223" i="10"/>
  <c r="M223" i="10"/>
  <c r="L219" i="10"/>
  <c r="M219" i="10"/>
  <c r="L215" i="10"/>
  <c r="M215" i="10"/>
  <c r="L211" i="10"/>
  <c r="M211" i="10"/>
  <c r="L207" i="10"/>
  <c r="M207" i="10"/>
  <c r="L203" i="10"/>
  <c r="M203" i="10"/>
  <c r="L199" i="10"/>
  <c r="M199" i="10"/>
  <c r="L195" i="10"/>
  <c r="M195" i="10"/>
  <c r="L191" i="10"/>
  <c r="M191" i="10"/>
  <c r="L187" i="10"/>
  <c r="M187" i="10"/>
  <c r="L183" i="10"/>
  <c r="M183" i="10"/>
  <c r="L179" i="10"/>
  <c r="M179" i="10"/>
  <c r="L175" i="10"/>
  <c r="M175" i="10"/>
  <c r="L171" i="10"/>
  <c r="M171" i="10"/>
  <c r="L167" i="10"/>
  <c r="M167" i="10"/>
  <c r="L163" i="10"/>
  <c r="M163" i="10"/>
  <c r="L970" i="10"/>
  <c r="M970" i="10"/>
  <c r="L966" i="10"/>
  <c r="M966" i="10"/>
  <c r="L962" i="10"/>
  <c r="M962" i="10"/>
  <c r="L958" i="10"/>
  <c r="M958" i="10"/>
  <c r="L954" i="10"/>
  <c r="M954" i="10"/>
  <c r="L950" i="10"/>
  <c r="M950" i="10"/>
  <c r="L946" i="10"/>
  <c r="M946" i="10"/>
  <c r="L942" i="10"/>
  <c r="M942" i="10"/>
  <c r="L938" i="10"/>
  <c r="M938" i="10"/>
  <c r="L934" i="10"/>
  <c r="M934" i="10"/>
  <c r="L930" i="10"/>
  <c r="M930" i="10"/>
  <c r="L926" i="10"/>
  <c r="M926" i="10"/>
  <c r="L922" i="10"/>
  <c r="M922" i="10"/>
  <c r="L918" i="10"/>
  <c r="M918" i="10"/>
  <c r="L914" i="10"/>
  <c r="M914" i="10"/>
  <c r="L910" i="10"/>
  <c r="M910" i="10"/>
  <c r="L906" i="10"/>
  <c r="M906" i="10"/>
  <c r="L902" i="10"/>
  <c r="M902" i="10"/>
  <c r="L898" i="10"/>
  <c r="M898" i="10"/>
  <c r="L894" i="10"/>
  <c r="M894" i="10"/>
  <c r="L890" i="10"/>
  <c r="M890" i="10"/>
  <c r="L886" i="10"/>
  <c r="M886" i="10"/>
  <c r="L882" i="10"/>
  <c r="M882" i="10"/>
  <c r="L878" i="10"/>
  <c r="M878" i="10"/>
  <c r="L874" i="10"/>
  <c r="M874" i="10"/>
  <c r="L870" i="10"/>
  <c r="M870" i="10"/>
  <c r="L866" i="10"/>
  <c r="M866" i="10"/>
  <c r="L862" i="10"/>
  <c r="M862" i="10"/>
  <c r="L858" i="10"/>
  <c r="M858" i="10"/>
  <c r="L854" i="10"/>
  <c r="M854" i="10"/>
  <c r="L850" i="10"/>
  <c r="M850" i="10"/>
  <c r="L846" i="10"/>
  <c r="M846" i="10"/>
  <c r="L842" i="10"/>
  <c r="M842" i="10"/>
  <c r="L838" i="10"/>
  <c r="M838" i="10"/>
  <c r="L834" i="10"/>
  <c r="M834" i="10"/>
  <c r="L830" i="10"/>
  <c r="M830" i="10"/>
  <c r="L826" i="10"/>
  <c r="M826" i="10"/>
  <c r="L822" i="10"/>
  <c r="M822" i="10"/>
  <c r="L818" i="10"/>
  <c r="M818" i="10"/>
  <c r="L814" i="10"/>
  <c r="M814" i="10"/>
  <c r="L810" i="10"/>
  <c r="M810" i="10"/>
  <c r="L806" i="10"/>
  <c r="M806" i="10"/>
  <c r="L802" i="10"/>
  <c r="M802" i="10"/>
  <c r="L798" i="10"/>
  <c r="M798" i="10"/>
  <c r="L794" i="10"/>
  <c r="M794" i="10"/>
  <c r="L790" i="10"/>
  <c r="M790" i="10"/>
  <c r="L786" i="10"/>
  <c r="M786" i="10"/>
  <c r="L782" i="10"/>
  <c r="M782" i="10"/>
  <c r="L778" i="10"/>
  <c r="M778" i="10"/>
  <c r="L774" i="10"/>
  <c r="M774" i="10"/>
  <c r="L770" i="10"/>
  <c r="M770" i="10"/>
  <c r="L766" i="10"/>
  <c r="M766" i="10"/>
  <c r="L762" i="10"/>
  <c r="M762" i="10"/>
  <c r="L758" i="10"/>
  <c r="M758" i="10"/>
  <c r="L754" i="10"/>
  <c r="M754" i="10"/>
  <c r="L750" i="10"/>
  <c r="M750" i="10"/>
  <c r="L746" i="10"/>
  <c r="M746" i="10"/>
  <c r="L742" i="10"/>
  <c r="M742" i="10"/>
  <c r="L738" i="10"/>
  <c r="M738" i="10"/>
  <c r="L734" i="10"/>
  <c r="M734" i="10"/>
  <c r="L730" i="10"/>
  <c r="M730" i="10"/>
  <c r="L726" i="10"/>
  <c r="M726" i="10"/>
  <c r="L722" i="10"/>
  <c r="M722" i="10"/>
  <c r="L718" i="10"/>
  <c r="M718" i="10"/>
  <c r="L714" i="10"/>
  <c r="M714" i="10"/>
  <c r="L710" i="10"/>
  <c r="M710" i="10"/>
  <c r="L706" i="10"/>
  <c r="M706" i="10"/>
  <c r="L702" i="10"/>
  <c r="M702" i="10"/>
  <c r="L698" i="10"/>
  <c r="M698" i="10"/>
  <c r="L694" i="10"/>
  <c r="M694" i="10"/>
  <c r="L690" i="10"/>
  <c r="M690" i="10"/>
  <c r="L686" i="10"/>
  <c r="M686" i="10"/>
  <c r="L682" i="10"/>
  <c r="M682" i="10"/>
  <c r="L678" i="10"/>
  <c r="M678" i="10"/>
  <c r="L674" i="10"/>
  <c r="M674" i="10"/>
  <c r="L670" i="10"/>
  <c r="M670" i="10"/>
  <c r="L666" i="10"/>
  <c r="M666" i="10"/>
  <c r="L662" i="10"/>
  <c r="M662" i="10"/>
  <c r="L658" i="10"/>
  <c r="M658" i="10"/>
  <c r="L654" i="10"/>
  <c r="M654" i="10"/>
  <c r="L650" i="10"/>
  <c r="M650" i="10"/>
  <c r="L646" i="10"/>
  <c r="M646" i="10"/>
  <c r="L642" i="10"/>
  <c r="M642" i="10"/>
  <c r="L638" i="10"/>
  <c r="M638" i="10"/>
  <c r="L634" i="10"/>
  <c r="M634" i="10"/>
  <c r="L630" i="10"/>
  <c r="M630" i="10"/>
  <c r="L626" i="10"/>
  <c r="M626" i="10"/>
  <c r="L622" i="10"/>
  <c r="M622" i="10"/>
  <c r="L618" i="10"/>
  <c r="M618" i="10"/>
  <c r="L614" i="10"/>
  <c r="M614" i="10"/>
  <c r="L610" i="10"/>
  <c r="M610" i="10"/>
  <c r="L606" i="10"/>
  <c r="M606" i="10"/>
  <c r="L602" i="10"/>
  <c r="M602" i="10"/>
  <c r="L598" i="10"/>
  <c r="M598" i="10"/>
  <c r="L594" i="10"/>
  <c r="M594" i="10"/>
  <c r="L590" i="10"/>
  <c r="M590" i="10"/>
  <c r="L586" i="10"/>
  <c r="M586" i="10"/>
  <c r="L582" i="10"/>
  <c r="M582" i="10"/>
  <c r="L578" i="10"/>
  <c r="M578" i="10"/>
  <c r="L574" i="10"/>
  <c r="M574" i="10"/>
  <c r="L570" i="10"/>
  <c r="M570" i="10"/>
  <c r="L566" i="10"/>
  <c r="M566" i="10"/>
  <c r="L562" i="10"/>
  <c r="M562" i="10"/>
  <c r="L558" i="10"/>
  <c r="M558" i="10"/>
  <c r="L554" i="10"/>
  <c r="M554" i="10"/>
  <c r="L550" i="10"/>
  <c r="M550" i="10"/>
  <c r="L546" i="10"/>
  <c r="M546" i="10"/>
  <c r="L542" i="10"/>
  <c r="M542" i="10"/>
  <c r="L538" i="10"/>
  <c r="M538" i="10"/>
  <c r="L534" i="10"/>
  <c r="M534" i="10"/>
  <c r="L530" i="10"/>
  <c r="M530" i="10"/>
  <c r="L526" i="10"/>
  <c r="M526" i="10"/>
  <c r="L522" i="10"/>
  <c r="M522" i="10"/>
  <c r="L518" i="10"/>
  <c r="M518" i="10"/>
  <c r="L514" i="10"/>
  <c r="M514" i="10"/>
  <c r="L510" i="10"/>
  <c r="M510" i="10"/>
  <c r="L506" i="10"/>
  <c r="M506" i="10"/>
  <c r="L502" i="10"/>
  <c r="M502" i="10"/>
  <c r="L498" i="10"/>
  <c r="M498" i="10"/>
  <c r="L494" i="10"/>
  <c r="M494" i="10"/>
  <c r="L490" i="10"/>
  <c r="M490" i="10"/>
  <c r="L486" i="10"/>
  <c r="M486" i="10"/>
  <c r="L482" i="10"/>
  <c r="M482" i="10"/>
  <c r="L478" i="10"/>
  <c r="M478" i="10"/>
  <c r="L474" i="10"/>
  <c r="M474" i="10"/>
  <c r="L470" i="10"/>
  <c r="M470" i="10"/>
  <c r="L466" i="10"/>
  <c r="M466" i="10"/>
  <c r="L462" i="10"/>
  <c r="M462" i="10"/>
  <c r="L458" i="10"/>
  <c r="M458" i="10"/>
  <c r="L454" i="10"/>
  <c r="M454" i="10"/>
  <c r="L450" i="10"/>
  <c r="M450" i="10"/>
  <c r="L446" i="10"/>
  <c r="M446" i="10"/>
  <c r="L442" i="10"/>
  <c r="M442" i="10"/>
  <c r="L438" i="10"/>
  <c r="M438" i="10"/>
  <c r="L434" i="10"/>
  <c r="M434" i="10"/>
  <c r="L430" i="10"/>
  <c r="M430" i="10"/>
  <c r="L426" i="10"/>
  <c r="M426" i="10"/>
  <c r="L422" i="10"/>
  <c r="M422" i="10"/>
  <c r="L418" i="10"/>
  <c r="M418" i="10"/>
  <c r="L414" i="10"/>
  <c r="M414" i="10"/>
  <c r="L410" i="10"/>
  <c r="M410" i="10"/>
  <c r="L406" i="10"/>
  <c r="M406" i="10"/>
  <c r="L402" i="10"/>
  <c r="M402" i="10"/>
  <c r="L398" i="10"/>
  <c r="M398" i="10"/>
  <c r="L394" i="10"/>
  <c r="M394" i="10"/>
  <c r="L390" i="10"/>
  <c r="M390" i="10"/>
  <c r="L386" i="10"/>
  <c r="M386" i="10"/>
  <c r="L382" i="10"/>
  <c r="M382" i="10"/>
  <c r="L378" i="10"/>
  <c r="M378" i="10"/>
  <c r="L374" i="10"/>
  <c r="M374" i="10"/>
  <c r="L370" i="10"/>
  <c r="M370" i="10"/>
  <c r="L366" i="10"/>
  <c r="M366" i="10"/>
  <c r="L362" i="10"/>
  <c r="M362" i="10"/>
  <c r="L358" i="10"/>
  <c r="M358" i="10"/>
  <c r="L354" i="10"/>
  <c r="M354" i="10"/>
  <c r="L350" i="10"/>
  <c r="M350" i="10"/>
  <c r="L346" i="10"/>
  <c r="M346" i="10"/>
  <c r="L342" i="10"/>
  <c r="M342" i="10"/>
  <c r="L338" i="10"/>
  <c r="M338" i="10"/>
  <c r="L334" i="10"/>
  <c r="M334" i="10"/>
  <c r="L330" i="10"/>
  <c r="M330" i="10"/>
  <c r="L326" i="10"/>
  <c r="M326" i="10"/>
  <c r="L322" i="10"/>
  <c r="M322" i="10"/>
  <c r="L318" i="10"/>
  <c r="M318" i="10"/>
  <c r="L314" i="10"/>
  <c r="M314" i="10"/>
  <c r="L310" i="10"/>
  <c r="M310" i="10"/>
  <c r="L306" i="10"/>
  <c r="M306" i="10"/>
  <c r="L302" i="10"/>
  <c r="M302" i="10"/>
  <c r="L298" i="10"/>
  <c r="M298" i="10"/>
  <c r="L294" i="10"/>
  <c r="M294" i="10"/>
  <c r="L290" i="10"/>
  <c r="M290" i="10"/>
  <c r="L286" i="10"/>
  <c r="M286" i="10"/>
  <c r="L282" i="10"/>
  <c r="M282" i="10"/>
  <c r="L278" i="10"/>
  <c r="M278" i="10"/>
  <c r="L274" i="10"/>
  <c r="M274" i="10"/>
  <c r="L270" i="10"/>
  <c r="M270" i="10"/>
  <c r="L266" i="10"/>
  <c r="M266" i="10"/>
  <c r="L262" i="10"/>
  <c r="M262" i="10"/>
  <c r="L258" i="10"/>
  <c r="M258" i="10"/>
  <c r="L254" i="10"/>
  <c r="M254" i="10"/>
  <c r="L250" i="10"/>
  <c r="M250" i="10"/>
  <c r="L246" i="10"/>
  <c r="M246" i="10"/>
  <c r="L242" i="10"/>
  <c r="M242" i="10"/>
  <c r="L238" i="10"/>
  <c r="M238" i="10"/>
  <c r="L234" i="10"/>
  <c r="M234" i="10"/>
  <c r="L230" i="10"/>
  <c r="M230" i="10"/>
  <c r="L226" i="10"/>
  <c r="M226" i="10"/>
  <c r="L222" i="10"/>
  <c r="M222" i="10"/>
  <c r="L218" i="10"/>
  <c r="M218" i="10"/>
  <c r="L214" i="10"/>
  <c r="M214" i="10"/>
  <c r="L210" i="10"/>
  <c r="M210" i="10"/>
  <c r="L206" i="10"/>
  <c r="M206" i="10"/>
  <c r="L202" i="10"/>
  <c r="M202" i="10"/>
  <c r="L198" i="10"/>
  <c r="M198" i="10"/>
  <c r="L194" i="10"/>
  <c r="M194" i="10"/>
  <c r="L190" i="10"/>
  <c r="M190" i="10"/>
  <c r="L186" i="10"/>
  <c r="M186" i="10"/>
  <c r="L182" i="10"/>
  <c r="M182" i="10"/>
  <c r="L178" i="10"/>
  <c r="M178" i="10"/>
  <c r="L174" i="10"/>
  <c r="M174" i="10"/>
  <c r="L170" i="10"/>
  <c r="M170" i="10"/>
  <c r="L166" i="10"/>
  <c r="M166" i="10"/>
  <c r="L162" i="10"/>
  <c r="M162" i="10"/>
  <c r="L158" i="10"/>
  <c r="M158" i="10"/>
  <c r="L154" i="10"/>
  <c r="M154" i="10"/>
  <c r="L150" i="10"/>
  <c r="M150" i="10"/>
  <c r="L146" i="10"/>
  <c r="M146" i="10"/>
  <c r="L142" i="10"/>
  <c r="M142" i="10"/>
  <c r="L138" i="10"/>
  <c r="M138" i="10"/>
  <c r="L134" i="10"/>
  <c r="M134" i="10"/>
  <c r="L130" i="10"/>
  <c r="M130" i="10"/>
  <c r="L126" i="10"/>
  <c r="M126" i="10"/>
  <c r="L122" i="10"/>
  <c r="M122" i="10"/>
  <c r="L118" i="10"/>
  <c r="M118" i="10"/>
  <c r="L114" i="10"/>
  <c r="M114" i="10"/>
  <c r="L110" i="10"/>
  <c r="M110" i="10"/>
  <c r="L106" i="10"/>
  <c r="M106" i="10"/>
  <c r="L102" i="10"/>
  <c r="M102" i="10"/>
  <c r="L98" i="10"/>
  <c r="M98" i="10"/>
  <c r="L94" i="10"/>
  <c r="M94" i="10"/>
  <c r="L90" i="10"/>
  <c r="M90" i="10"/>
  <c r="L86" i="10"/>
  <c r="M86" i="10"/>
  <c r="L82" i="10"/>
  <c r="M82" i="10"/>
  <c r="L78" i="10"/>
  <c r="M78" i="10"/>
  <c r="L74" i="10"/>
  <c r="M74" i="10"/>
  <c r="L70" i="10"/>
  <c r="M70" i="10"/>
  <c r="L66" i="10"/>
  <c r="M66" i="10"/>
  <c r="L62" i="10"/>
  <c r="M62" i="10"/>
  <c r="L58" i="10"/>
  <c r="M58" i="10"/>
  <c r="L54" i="10"/>
  <c r="M54" i="10"/>
  <c r="L50" i="10"/>
  <c r="M50" i="10"/>
  <c r="L46" i="10"/>
  <c r="M46" i="10"/>
  <c r="L42" i="10"/>
  <c r="M42" i="10"/>
  <c r="L38" i="10"/>
  <c r="M38" i="10"/>
  <c r="L34" i="10"/>
  <c r="M34" i="10"/>
  <c r="L30" i="10"/>
  <c r="M30" i="10"/>
  <c r="L26" i="10"/>
  <c r="M26" i="10"/>
  <c r="L22" i="10"/>
  <c r="M22" i="10"/>
  <c r="L18" i="10"/>
  <c r="M18" i="10"/>
  <c r="L14" i="10"/>
  <c r="M14" i="10"/>
  <c r="L10" i="10"/>
  <c r="M10" i="10"/>
  <c r="L6" i="10"/>
  <c r="M6" i="10"/>
  <c r="L5" i="10"/>
  <c r="M5" i="10"/>
  <c r="L969" i="10"/>
  <c r="M969" i="10"/>
  <c r="L961" i="10"/>
  <c r="M961" i="10"/>
  <c r="L953" i="10"/>
  <c r="M953" i="10"/>
  <c r="L945" i="10"/>
  <c r="M945" i="10"/>
  <c r="L937" i="10"/>
  <c r="M937" i="10"/>
  <c r="L929" i="10"/>
  <c r="M929" i="10"/>
  <c r="L921" i="10"/>
  <c r="M921" i="10"/>
  <c r="L913" i="10"/>
  <c r="M913" i="10"/>
  <c r="L905" i="10"/>
  <c r="M905" i="10"/>
  <c r="L897" i="10"/>
  <c r="M897" i="10"/>
  <c r="L889" i="10"/>
  <c r="M889" i="10"/>
  <c r="L881" i="10"/>
  <c r="M881" i="10"/>
  <c r="L873" i="10"/>
  <c r="M873" i="10"/>
  <c r="L865" i="10"/>
  <c r="M865" i="10"/>
  <c r="L861" i="10"/>
  <c r="M861" i="10"/>
  <c r="L853" i="10"/>
  <c r="M853" i="10"/>
  <c r="L849" i="10"/>
  <c r="M849" i="10"/>
  <c r="L845" i="10"/>
  <c r="M845" i="10"/>
  <c r="L841" i="10"/>
  <c r="M841" i="10"/>
  <c r="L837" i="10"/>
  <c r="M837" i="10"/>
  <c r="L833" i="10"/>
  <c r="M833" i="10"/>
  <c r="L829" i="10"/>
  <c r="M829" i="10"/>
  <c r="L825" i="10"/>
  <c r="M825" i="10"/>
  <c r="L821" i="10"/>
  <c r="M821" i="10"/>
  <c r="L817" i="10"/>
  <c r="M817" i="10"/>
  <c r="L813" i="10"/>
  <c r="M813" i="10"/>
  <c r="L809" i="10"/>
  <c r="M809" i="10"/>
  <c r="L805" i="10"/>
  <c r="M805" i="10"/>
  <c r="L801" i="10"/>
  <c r="M801" i="10"/>
  <c r="L797" i="10"/>
  <c r="M797" i="10"/>
  <c r="L793" i="10"/>
  <c r="M793" i="10"/>
  <c r="L789" i="10"/>
  <c r="M789" i="10"/>
  <c r="L785" i="10"/>
  <c r="M785" i="10"/>
  <c r="L781" i="10"/>
  <c r="M781" i="10"/>
  <c r="L777" i="10"/>
  <c r="M777" i="10"/>
  <c r="L773" i="10"/>
  <c r="M773" i="10"/>
  <c r="L769" i="10"/>
  <c r="M769" i="10"/>
  <c r="L765" i="10"/>
  <c r="M765" i="10"/>
  <c r="L761" i="10"/>
  <c r="M761" i="10"/>
  <c r="L757" i="10"/>
  <c r="M757" i="10"/>
  <c r="L753" i="10"/>
  <c r="M753" i="10"/>
  <c r="L749" i="10"/>
  <c r="M749" i="10"/>
  <c r="L745" i="10"/>
  <c r="M745" i="10"/>
  <c r="L741" i="10"/>
  <c r="M741" i="10"/>
  <c r="L737" i="10"/>
  <c r="M737" i="10"/>
  <c r="L733" i="10"/>
  <c r="M733" i="10"/>
  <c r="L729" i="10"/>
  <c r="M729" i="10"/>
  <c r="L725" i="10"/>
  <c r="M725" i="10"/>
  <c r="L721" i="10"/>
  <c r="M721" i="10"/>
  <c r="L717" i="10"/>
  <c r="M717" i="10"/>
  <c r="L713" i="10"/>
  <c r="M713" i="10"/>
  <c r="L709" i="10"/>
  <c r="M709" i="10"/>
  <c r="L705" i="10"/>
  <c r="M705" i="10"/>
  <c r="L701" i="10"/>
  <c r="M701" i="10"/>
  <c r="L697" i="10"/>
  <c r="M697" i="10"/>
  <c r="L693" i="10"/>
  <c r="M693" i="10"/>
  <c r="L689" i="10"/>
  <c r="M689" i="10"/>
  <c r="L685" i="10"/>
  <c r="M685" i="10"/>
  <c r="L681" i="10"/>
  <c r="M681" i="10"/>
  <c r="L677" i="10"/>
  <c r="M677" i="10"/>
  <c r="L673" i="10"/>
  <c r="M673" i="10"/>
  <c r="L669" i="10"/>
  <c r="M669" i="10"/>
  <c r="L665" i="10"/>
  <c r="M665" i="10"/>
  <c r="L661" i="10"/>
  <c r="M661" i="10"/>
  <c r="L657" i="10"/>
  <c r="M657" i="10"/>
  <c r="L653" i="10"/>
  <c r="M653" i="10"/>
  <c r="L649" i="10"/>
  <c r="M649" i="10"/>
  <c r="L645" i="10"/>
  <c r="M645" i="10"/>
  <c r="L641" i="10"/>
  <c r="M641" i="10"/>
  <c r="L637" i="10"/>
  <c r="M637" i="10"/>
  <c r="L633" i="10"/>
  <c r="M633" i="10"/>
  <c r="L629" i="10"/>
  <c r="M629" i="10"/>
  <c r="L625" i="10"/>
  <c r="M625" i="10"/>
  <c r="L621" i="10"/>
  <c r="M621" i="10"/>
  <c r="L617" i="10"/>
  <c r="M617" i="10"/>
  <c r="L613" i="10"/>
  <c r="M613" i="10"/>
  <c r="L609" i="10"/>
  <c r="M609" i="10"/>
  <c r="L605" i="10"/>
  <c r="M605" i="10"/>
  <c r="L601" i="10"/>
  <c r="M601" i="10"/>
  <c r="L597" i="10"/>
  <c r="M597" i="10"/>
  <c r="L593" i="10"/>
  <c r="M593" i="10"/>
  <c r="L589" i="10"/>
  <c r="M589" i="10"/>
  <c r="L585" i="10"/>
  <c r="M585" i="10"/>
  <c r="L581" i="10"/>
  <c r="M581" i="10"/>
  <c r="L577" i="10"/>
  <c r="M577" i="10"/>
  <c r="L573" i="10"/>
  <c r="M573" i="10"/>
  <c r="L569" i="10"/>
  <c r="M569" i="10"/>
  <c r="L565" i="10"/>
  <c r="M565" i="10"/>
  <c r="L561" i="10"/>
  <c r="M561" i="10"/>
  <c r="L557" i="10"/>
  <c r="M557" i="10"/>
  <c r="L553" i="10"/>
  <c r="M553" i="10"/>
  <c r="L549" i="10"/>
  <c r="M549" i="10"/>
  <c r="L545" i="10"/>
  <c r="M545" i="10"/>
  <c r="L541" i="10"/>
  <c r="M541" i="10"/>
  <c r="L537" i="10"/>
  <c r="M537" i="10"/>
  <c r="L533" i="10"/>
  <c r="M533" i="10"/>
  <c r="L529" i="10"/>
  <c r="M529" i="10"/>
  <c r="L525" i="10"/>
  <c r="M525" i="10"/>
  <c r="L521" i="10"/>
  <c r="M521" i="10"/>
  <c r="L517" i="10"/>
  <c r="M517" i="10"/>
  <c r="L513" i="10"/>
  <c r="M513" i="10"/>
  <c r="L509" i="10"/>
  <c r="M509" i="10"/>
  <c r="L505" i="10"/>
  <c r="M505" i="10"/>
  <c r="L501" i="10"/>
  <c r="M501" i="10"/>
  <c r="L497" i="10"/>
  <c r="M497" i="10"/>
  <c r="L493" i="10"/>
  <c r="M493" i="10"/>
  <c r="L489" i="10"/>
  <c r="M489" i="10"/>
  <c r="L485" i="10"/>
  <c r="M485" i="10"/>
  <c r="L481" i="10"/>
  <c r="M481" i="10"/>
  <c r="L477" i="10"/>
  <c r="M477" i="10"/>
  <c r="L473" i="10"/>
  <c r="M473" i="10"/>
  <c r="L469" i="10"/>
  <c r="M469" i="10"/>
  <c r="L465" i="10"/>
  <c r="M465" i="10"/>
  <c r="L461" i="10"/>
  <c r="M461" i="10"/>
  <c r="L457" i="10"/>
  <c r="M457" i="10"/>
  <c r="L453" i="10"/>
  <c r="M453" i="10"/>
  <c r="L449" i="10"/>
  <c r="M449" i="10"/>
  <c r="L445" i="10"/>
  <c r="M445" i="10"/>
  <c r="L441" i="10"/>
  <c r="M441" i="10"/>
  <c r="L437" i="10"/>
  <c r="M437" i="10"/>
  <c r="L433" i="10"/>
  <c r="M433" i="10"/>
  <c r="L429" i="10"/>
  <c r="M429" i="10"/>
  <c r="L425" i="10"/>
  <c r="M425" i="10"/>
  <c r="L421" i="10"/>
  <c r="M421" i="10"/>
  <c r="L417" i="10"/>
  <c r="M417" i="10"/>
  <c r="L413" i="10"/>
  <c r="M413" i="10"/>
  <c r="L409" i="10"/>
  <c r="M409" i="10"/>
  <c r="L405" i="10"/>
  <c r="M405" i="10"/>
  <c r="L401" i="10"/>
  <c r="M401" i="10"/>
  <c r="L397" i="10"/>
  <c r="M397" i="10"/>
  <c r="L393" i="10"/>
  <c r="M393" i="10"/>
  <c r="L389" i="10"/>
  <c r="M389" i="10"/>
  <c r="L385" i="10"/>
  <c r="M385" i="10"/>
  <c r="L381" i="10"/>
  <c r="M381" i="10"/>
  <c r="L377" i="10"/>
  <c r="M377" i="10"/>
  <c r="L373" i="10"/>
  <c r="M373" i="10"/>
  <c r="L369" i="10"/>
  <c r="M369" i="10"/>
  <c r="L365" i="10"/>
  <c r="M365" i="10"/>
  <c r="L361" i="10"/>
  <c r="M361" i="10"/>
  <c r="L357" i="10"/>
  <c r="M357" i="10"/>
  <c r="L353" i="10"/>
  <c r="M353" i="10"/>
  <c r="L349" i="10"/>
  <c r="M349" i="10"/>
  <c r="L345" i="10"/>
  <c r="M345" i="10"/>
  <c r="L341" i="10"/>
  <c r="M341" i="10"/>
  <c r="L337" i="10"/>
  <c r="M337" i="10"/>
  <c r="L333" i="10"/>
  <c r="M333" i="10"/>
  <c r="L329" i="10"/>
  <c r="M329" i="10"/>
  <c r="L325" i="10"/>
  <c r="M325" i="10"/>
  <c r="L321" i="10"/>
  <c r="M321" i="10"/>
  <c r="L317" i="10"/>
  <c r="M317" i="10"/>
  <c r="L313" i="10"/>
  <c r="M313" i="10"/>
  <c r="L309" i="10"/>
  <c r="M309" i="10"/>
  <c r="L305" i="10"/>
  <c r="M305" i="10"/>
  <c r="L301" i="10"/>
  <c r="M301" i="10"/>
  <c r="L297" i="10"/>
  <c r="M297" i="10"/>
  <c r="L293" i="10"/>
  <c r="M293" i="10"/>
  <c r="L289" i="10"/>
  <c r="M289" i="10"/>
  <c r="L285" i="10"/>
  <c r="M285" i="10"/>
  <c r="L281" i="10"/>
  <c r="M281" i="10"/>
  <c r="L277" i="10"/>
  <c r="M277" i="10"/>
  <c r="L273" i="10"/>
  <c r="M273" i="10"/>
  <c r="L269" i="10"/>
  <c r="M269" i="10"/>
  <c r="L265" i="10"/>
  <c r="M265" i="10"/>
  <c r="L261" i="10"/>
  <c r="M261" i="10"/>
  <c r="L257" i="10"/>
  <c r="M257" i="10"/>
  <c r="L253" i="10"/>
  <c r="M253" i="10"/>
  <c r="L249" i="10"/>
  <c r="M249" i="10"/>
  <c r="L245" i="10"/>
  <c r="M245" i="10"/>
  <c r="L241" i="10"/>
  <c r="M241" i="10"/>
  <c r="L237" i="10"/>
  <c r="M237" i="10"/>
  <c r="L233" i="10"/>
  <c r="M233" i="10"/>
  <c r="L229" i="10"/>
  <c r="M229" i="10"/>
  <c r="L225" i="10"/>
  <c r="M225" i="10"/>
  <c r="L221" i="10"/>
  <c r="M221" i="10"/>
  <c r="L217" i="10"/>
  <c r="M217" i="10"/>
  <c r="L213" i="10"/>
  <c r="M213" i="10"/>
  <c r="L209" i="10"/>
  <c r="M209" i="10"/>
  <c r="L205" i="10"/>
  <c r="M205" i="10"/>
  <c r="L201" i="10"/>
  <c r="M201" i="10"/>
  <c r="L197" i="10"/>
  <c r="M197" i="10"/>
  <c r="L193" i="10"/>
  <c r="M193" i="10"/>
  <c r="L189" i="10"/>
  <c r="M189" i="10"/>
  <c r="L185" i="10"/>
  <c r="M185" i="10"/>
  <c r="L181" i="10"/>
  <c r="M181" i="10"/>
  <c r="L177" i="10"/>
  <c r="M177" i="10"/>
  <c r="L173" i="10"/>
  <c r="M173" i="10"/>
  <c r="L169" i="10"/>
  <c r="M169" i="10"/>
  <c r="L165" i="10"/>
  <c r="M165" i="10"/>
  <c r="L161" i="10"/>
  <c r="M161" i="10"/>
  <c r="L157" i="10"/>
  <c r="M157" i="10"/>
  <c r="L153" i="10"/>
  <c r="M153" i="10"/>
  <c r="L149" i="10"/>
  <c r="M149" i="10"/>
  <c r="L145" i="10"/>
  <c r="M145" i="10"/>
  <c r="L141" i="10"/>
  <c r="M141" i="10"/>
  <c r="L137" i="10"/>
  <c r="M137" i="10"/>
  <c r="L133" i="10"/>
  <c r="M133" i="10"/>
  <c r="L129" i="10"/>
  <c r="M129" i="10"/>
  <c r="L125" i="10"/>
  <c r="M125" i="10"/>
  <c r="L121" i="10"/>
  <c r="M121" i="10"/>
  <c r="L117" i="10"/>
  <c r="M117" i="10"/>
  <c r="L113" i="10"/>
  <c r="M113" i="10"/>
  <c r="L109" i="10"/>
  <c r="M109" i="10"/>
  <c r="L105" i="10"/>
  <c r="M105" i="10"/>
  <c r="L101" i="10"/>
  <c r="M101" i="10"/>
  <c r="L97" i="10"/>
  <c r="M97" i="10"/>
  <c r="L93" i="10"/>
  <c r="M93" i="10"/>
  <c r="L89" i="10"/>
  <c r="M89" i="10"/>
  <c r="L85" i="10"/>
  <c r="M85" i="10"/>
  <c r="L81" i="10"/>
  <c r="M81" i="10"/>
  <c r="L77" i="10"/>
  <c r="M77" i="10"/>
  <c r="L73" i="10"/>
  <c r="M73" i="10"/>
  <c r="L69" i="10"/>
  <c r="M69" i="10"/>
  <c r="L65" i="10"/>
  <c r="M65" i="10"/>
  <c r="L61" i="10"/>
  <c r="M61" i="10"/>
  <c r="L57" i="10"/>
  <c r="M57" i="10"/>
  <c r="L53" i="10"/>
  <c r="M53" i="10"/>
  <c r="L49" i="10"/>
  <c r="M49" i="10"/>
  <c r="L45" i="10"/>
  <c r="M45" i="10"/>
  <c r="L41" i="10"/>
  <c r="M41" i="10"/>
  <c r="L37" i="10"/>
  <c r="M37" i="10"/>
  <c r="L33" i="10"/>
  <c r="M33" i="10"/>
  <c r="L29" i="10"/>
  <c r="M29" i="10"/>
  <c r="L25" i="10"/>
  <c r="M25" i="10"/>
  <c r="L21" i="10"/>
  <c r="M21" i="10"/>
  <c r="L17" i="10"/>
  <c r="M17" i="10"/>
  <c r="L13" i="10"/>
  <c r="M13" i="10"/>
  <c r="L9" i="10"/>
  <c r="M9" i="10"/>
  <c r="L972" i="10"/>
  <c r="M972" i="10"/>
  <c r="L968" i="10"/>
  <c r="M968" i="10"/>
  <c r="L964" i="10"/>
  <c r="M964" i="10"/>
  <c r="L960" i="10"/>
  <c r="M960" i="10"/>
  <c r="L956" i="10"/>
  <c r="M956" i="10"/>
  <c r="L952" i="10"/>
  <c r="M952" i="10"/>
  <c r="L948" i="10"/>
  <c r="M948" i="10"/>
  <c r="L944" i="10"/>
  <c r="M944" i="10"/>
  <c r="L940" i="10"/>
  <c r="M940" i="10"/>
  <c r="L936" i="10"/>
  <c r="M936" i="10"/>
  <c r="L932" i="10"/>
  <c r="M932" i="10"/>
  <c r="L928" i="10"/>
  <c r="M928" i="10"/>
  <c r="L924" i="10"/>
  <c r="M924" i="10"/>
  <c r="L920" i="10"/>
  <c r="M920" i="10"/>
  <c r="L916" i="10"/>
  <c r="M916" i="10"/>
  <c r="L912" i="10"/>
  <c r="M912" i="10"/>
  <c r="L908" i="10"/>
  <c r="M908" i="10"/>
  <c r="L904" i="10"/>
  <c r="M904" i="10"/>
  <c r="L900" i="10"/>
  <c r="M900" i="10"/>
  <c r="L896" i="10"/>
  <c r="M896" i="10"/>
  <c r="L892" i="10"/>
  <c r="M892" i="10"/>
  <c r="L888" i="10"/>
  <c r="M888" i="10"/>
  <c r="L884" i="10"/>
  <c r="M884" i="10"/>
  <c r="L880" i="10"/>
  <c r="M880" i="10"/>
  <c r="L876" i="10"/>
  <c r="M876" i="10"/>
  <c r="L872" i="10"/>
  <c r="M872" i="10"/>
  <c r="L868" i="10"/>
  <c r="M868" i="10"/>
  <c r="L864" i="10"/>
  <c r="M864" i="10"/>
  <c r="L860" i="10"/>
  <c r="M860" i="10"/>
  <c r="L856" i="10"/>
  <c r="M856" i="10"/>
  <c r="L852" i="10"/>
  <c r="M852" i="10"/>
  <c r="L848" i="10"/>
  <c r="M848" i="10"/>
  <c r="L844" i="10"/>
  <c r="M844" i="10"/>
  <c r="L840" i="10"/>
  <c r="M840" i="10"/>
  <c r="L836" i="10"/>
  <c r="M836" i="10"/>
  <c r="L832" i="10"/>
  <c r="M832" i="10"/>
  <c r="L828" i="10"/>
  <c r="M828" i="10"/>
  <c r="L824" i="10"/>
  <c r="M824" i="10"/>
  <c r="L820" i="10"/>
  <c r="M820" i="10"/>
  <c r="L816" i="10"/>
  <c r="M816" i="10"/>
  <c r="L812" i="10"/>
  <c r="M812" i="10"/>
  <c r="L808" i="10"/>
  <c r="M808" i="10"/>
  <c r="L804" i="10"/>
  <c r="M804" i="10"/>
  <c r="L800" i="10"/>
  <c r="M800" i="10"/>
  <c r="L796" i="10"/>
  <c r="M796" i="10"/>
  <c r="L792" i="10"/>
  <c r="M792" i="10"/>
  <c r="L788" i="10"/>
  <c r="M788" i="10"/>
  <c r="L784" i="10"/>
  <c r="M784" i="10"/>
  <c r="L780" i="10"/>
  <c r="M780" i="10"/>
  <c r="L776" i="10"/>
  <c r="M776" i="10"/>
  <c r="L772" i="10"/>
  <c r="M772" i="10"/>
  <c r="L768" i="10"/>
  <c r="M768" i="10"/>
  <c r="L764" i="10"/>
  <c r="M764" i="10"/>
  <c r="L760" i="10"/>
  <c r="M760" i="10"/>
  <c r="L756" i="10"/>
  <c r="M756" i="10"/>
  <c r="L752" i="10"/>
  <c r="M752" i="10"/>
  <c r="L748" i="10"/>
  <c r="M748" i="10"/>
  <c r="L744" i="10"/>
  <c r="M744" i="10"/>
  <c r="L740" i="10"/>
  <c r="M740" i="10"/>
  <c r="L736" i="10"/>
  <c r="M736" i="10"/>
  <c r="L732" i="10"/>
  <c r="M732" i="10"/>
  <c r="L728" i="10"/>
  <c r="M728" i="10"/>
  <c r="L724" i="10"/>
  <c r="M724" i="10"/>
  <c r="L720" i="10"/>
  <c r="M720" i="10"/>
  <c r="L716" i="10"/>
  <c r="M716" i="10"/>
  <c r="L712" i="10"/>
  <c r="M712" i="10"/>
  <c r="L708" i="10"/>
  <c r="M708" i="10"/>
  <c r="L704" i="10"/>
  <c r="M704" i="10"/>
  <c r="L700" i="10"/>
  <c r="M700" i="10"/>
  <c r="L696" i="10"/>
  <c r="M696" i="10"/>
  <c r="L692" i="10"/>
  <c r="M692" i="10"/>
  <c r="L688" i="10"/>
  <c r="M688" i="10"/>
  <c r="L684" i="10"/>
  <c r="M684" i="10"/>
  <c r="L680" i="10"/>
  <c r="M680" i="10"/>
  <c r="L676" i="10"/>
  <c r="M676" i="10"/>
  <c r="L672" i="10"/>
  <c r="M672" i="10"/>
  <c r="L668" i="10"/>
  <c r="M668" i="10"/>
  <c r="L664" i="10"/>
  <c r="M664" i="10"/>
  <c r="L660" i="10"/>
  <c r="M660" i="10"/>
  <c r="L656" i="10"/>
  <c r="M656" i="10"/>
  <c r="L652" i="10"/>
  <c r="M652" i="10"/>
  <c r="L648" i="10"/>
  <c r="M648" i="10"/>
  <c r="L644" i="10"/>
  <c r="M644" i="10"/>
  <c r="L640" i="10"/>
  <c r="M640" i="10"/>
  <c r="L636" i="10"/>
  <c r="M636" i="10"/>
  <c r="L632" i="10"/>
  <c r="M632" i="10"/>
  <c r="L628" i="10"/>
  <c r="M628" i="10"/>
  <c r="L624" i="10"/>
  <c r="M624" i="10"/>
  <c r="L620" i="10"/>
  <c r="M620" i="10"/>
  <c r="L616" i="10"/>
  <c r="M616" i="10"/>
  <c r="L612" i="10"/>
  <c r="M612" i="10"/>
  <c r="L608" i="10"/>
  <c r="M608" i="10"/>
  <c r="L604" i="10"/>
  <c r="M604" i="10"/>
  <c r="L600" i="10"/>
  <c r="M600" i="10"/>
  <c r="L596" i="10"/>
  <c r="M596" i="10"/>
  <c r="L592" i="10"/>
  <c r="M592" i="10"/>
  <c r="L588" i="10"/>
  <c r="M588" i="10"/>
  <c r="L584" i="10"/>
  <c r="M584" i="10"/>
  <c r="L580" i="10"/>
  <c r="M580" i="10"/>
  <c r="L576" i="10"/>
  <c r="M576" i="10"/>
  <c r="L572" i="10"/>
  <c r="M572" i="10"/>
  <c r="L568" i="10"/>
  <c r="M568" i="10"/>
  <c r="L564" i="10"/>
  <c r="M564" i="10"/>
  <c r="L560" i="10"/>
  <c r="M560" i="10"/>
  <c r="L556" i="10"/>
  <c r="M556" i="10"/>
  <c r="L552" i="10"/>
  <c r="M552" i="10"/>
  <c r="L548" i="10"/>
  <c r="M548" i="10"/>
  <c r="L544" i="10"/>
  <c r="M544" i="10"/>
  <c r="L540" i="10"/>
  <c r="M540" i="10"/>
  <c r="L536" i="10"/>
  <c r="M536" i="10"/>
  <c r="L532" i="10"/>
  <c r="M532" i="10"/>
  <c r="L528" i="10"/>
  <c r="M528" i="10"/>
  <c r="L524" i="10"/>
  <c r="M524" i="10"/>
  <c r="L520" i="10"/>
  <c r="M520" i="10"/>
  <c r="L516" i="10"/>
  <c r="M516" i="10"/>
  <c r="L512" i="10"/>
  <c r="M512" i="10"/>
  <c r="L508" i="10"/>
  <c r="M508" i="10"/>
  <c r="L504" i="10"/>
  <c r="M504" i="10"/>
  <c r="L500" i="10"/>
  <c r="M500" i="10"/>
  <c r="L496" i="10"/>
  <c r="M496" i="10"/>
  <c r="L492" i="10"/>
  <c r="M492" i="10"/>
  <c r="L488" i="10"/>
  <c r="M488" i="10"/>
  <c r="L484" i="10"/>
  <c r="M484" i="10"/>
  <c r="L480" i="10"/>
  <c r="M480" i="10"/>
  <c r="L476" i="10"/>
  <c r="M476" i="10"/>
  <c r="L472" i="10"/>
  <c r="M472" i="10"/>
  <c r="L468" i="10"/>
  <c r="M468" i="10"/>
  <c r="L464" i="10"/>
  <c r="M464" i="10"/>
  <c r="L460" i="10"/>
  <c r="M460" i="10"/>
  <c r="L456" i="10"/>
  <c r="M456" i="10"/>
  <c r="L452" i="10"/>
  <c r="M452" i="10"/>
  <c r="L448" i="10"/>
  <c r="M448" i="10"/>
  <c r="L444" i="10"/>
  <c r="M444" i="10"/>
  <c r="L440" i="10"/>
  <c r="M440" i="10"/>
  <c r="L436" i="10"/>
  <c r="M436" i="10"/>
  <c r="L432" i="10"/>
  <c r="M432" i="10"/>
  <c r="L428" i="10"/>
  <c r="M428" i="10"/>
  <c r="L424" i="10"/>
  <c r="M424" i="10"/>
  <c r="L420" i="10"/>
  <c r="M420" i="10"/>
  <c r="L416" i="10"/>
  <c r="M416" i="10"/>
  <c r="L412" i="10"/>
  <c r="M412" i="10"/>
  <c r="L408" i="10"/>
  <c r="M408" i="10"/>
  <c r="L404" i="10"/>
  <c r="M404" i="10"/>
  <c r="L400" i="10"/>
  <c r="M400" i="10"/>
  <c r="L396" i="10"/>
  <c r="M396" i="10"/>
  <c r="L392" i="10"/>
  <c r="M392" i="10"/>
  <c r="L388" i="10"/>
  <c r="M388" i="10"/>
  <c r="L384" i="10"/>
  <c r="M384" i="10"/>
  <c r="L380" i="10"/>
  <c r="M380" i="10"/>
  <c r="L376" i="10"/>
  <c r="M376" i="10"/>
  <c r="L372" i="10"/>
  <c r="M372" i="10"/>
  <c r="L368" i="10"/>
  <c r="M368" i="10"/>
  <c r="L364" i="10"/>
  <c r="M364" i="10"/>
  <c r="L360" i="10"/>
  <c r="M360" i="10"/>
  <c r="L356" i="10"/>
  <c r="M356" i="10"/>
  <c r="L352" i="10"/>
  <c r="M352" i="10"/>
  <c r="L348" i="10"/>
  <c r="M348" i="10"/>
  <c r="L344" i="10"/>
  <c r="M344" i="10"/>
  <c r="L340" i="10"/>
  <c r="M340" i="10"/>
  <c r="L336" i="10"/>
  <c r="M336" i="10"/>
  <c r="L332" i="10"/>
  <c r="M332" i="10"/>
  <c r="L328" i="10"/>
  <c r="M328" i="10"/>
  <c r="L324" i="10"/>
  <c r="M324" i="10"/>
  <c r="L320" i="10"/>
  <c r="M320" i="10"/>
  <c r="L316" i="10"/>
  <c r="M316" i="10"/>
  <c r="L312" i="10"/>
  <c r="M312" i="10"/>
  <c r="L308" i="10"/>
  <c r="M308" i="10"/>
  <c r="L304" i="10"/>
  <c r="M304" i="10"/>
  <c r="L300" i="10"/>
  <c r="M300" i="10"/>
  <c r="L296" i="10"/>
  <c r="M296" i="10"/>
  <c r="L292" i="10"/>
  <c r="M292" i="10"/>
  <c r="L288" i="10"/>
  <c r="M288" i="10"/>
  <c r="L284" i="10"/>
  <c r="M284" i="10"/>
  <c r="L280" i="10"/>
  <c r="M280" i="10"/>
  <c r="L276" i="10"/>
  <c r="M276" i="10"/>
  <c r="L272" i="10"/>
  <c r="M272" i="10"/>
  <c r="L268" i="10"/>
  <c r="M268" i="10"/>
  <c r="L264" i="10"/>
  <c r="M264" i="10"/>
  <c r="L260" i="10"/>
  <c r="M260" i="10"/>
  <c r="L256" i="10"/>
  <c r="M256" i="10"/>
  <c r="L252" i="10"/>
  <c r="M252" i="10"/>
  <c r="L248" i="10"/>
  <c r="M248" i="10"/>
  <c r="L244" i="10"/>
  <c r="M244" i="10"/>
  <c r="L240" i="10"/>
  <c r="M240" i="10"/>
  <c r="L236" i="10"/>
  <c r="M236" i="10"/>
  <c r="L232" i="10"/>
  <c r="M232" i="10"/>
  <c r="L228" i="10"/>
  <c r="M228" i="10"/>
  <c r="L224" i="10"/>
  <c r="M224" i="10"/>
  <c r="L220" i="10"/>
  <c r="M220" i="10"/>
  <c r="L216" i="10"/>
  <c r="M216" i="10"/>
  <c r="L212" i="10"/>
  <c r="M212" i="10"/>
  <c r="L208" i="10"/>
  <c r="M208" i="10"/>
  <c r="L204" i="10"/>
  <c r="M204" i="10"/>
  <c r="L200" i="10"/>
  <c r="M200" i="10"/>
  <c r="L196" i="10"/>
  <c r="M196" i="10"/>
  <c r="L192" i="10"/>
  <c r="M192" i="10"/>
  <c r="L188" i="10"/>
  <c r="M188" i="10"/>
  <c r="L184" i="10"/>
  <c r="M184" i="10"/>
  <c r="L180" i="10"/>
  <c r="M180" i="10"/>
  <c r="L176" i="10"/>
  <c r="M176" i="10"/>
  <c r="L172" i="10"/>
  <c r="M172" i="10"/>
  <c r="L168" i="10"/>
  <c r="M168" i="10"/>
  <c r="L164" i="10"/>
  <c r="M164" i="10"/>
  <c r="L160" i="10"/>
  <c r="M160" i="10"/>
  <c r="L156" i="10"/>
  <c r="M156" i="10"/>
  <c r="L152" i="10"/>
  <c r="M152" i="10"/>
  <c r="L148" i="10"/>
  <c r="M148" i="10"/>
  <c r="L144" i="10"/>
  <c r="M144" i="10"/>
  <c r="L140" i="10"/>
  <c r="M140" i="10"/>
  <c r="L136" i="10"/>
  <c r="M136" i="10"/>
  <c r="L132" i="10"/>
  <c r="M132" i="10"/>
  <c r="L128" i="10"/>
  <c r="M128" i="10"/>
  <c r="L124" i="10"/>
  <c r="M124" i="10"/>
  <c r="L120" i="10"/>
  <c r="M120" i="10"/>
  <c r="L116" i="10"/>
  <c r="M116" i="10"/>
  <c r="L112" i="10"/>
  <c r="M112" i="10"/>
  <c r="L108" i="10"/>
  <c r="M108" i="10"/>
  <c r="L104" i="10"/>
  <c r="M104" i="10"/>
  <c r="L100" i="10"/>
  <c r="M100" i="10"/>
  <c r="L96" i="10"/>
  <c r="M96" i="10"/>
  <c r="L92" i="10"/>
  <c r="M92" i="10"/>
  <c r="L88" i="10"/>
  <c r="M88" i="10"/>
  <c r="L84" i="10"/>
  <c r="M84" i="10"/>
  <c r="L80" i="10"/>
  <c r="M80" i="10"/>
  <c r="L76" i="10"/>
  <c r="M76" i="10"/>
  <c r="L72" i="10"/>
  <c r="M72" i="10"/>
  <c r="L68" i="10"/>
  <c r="M68" i="10"/>
  <c r="L64" i="10"/>
  <c r="M64" i="10"/>
  <c r="L60" i="10"/>
  <c r="M60" i="10"/>
  <c r="L56" i="10"/>
  <c r="M56" i="10"/>
  <c r="L52" i="10"/>
  <c r="M52" i="10"/>
  <c r="L48" i="10"/>
  <c r="M48" i="10"/>
  <c r="L44" i="10"/>
  <c r="M44" i="10"/>
  <c r="L40" i="10"/>
  <c r="M40" i="10"/>
  <c r="L36" i="10"/>
  <c r="M36" i="10"/>
  <c r="L32" i="10"/>
  <c r="M32" i="10"/>
  <c r="L28" i="10"/>
  <c r="M28" i="10"/>
  <c r="L24" i="10"/>
  <c r="M24" i="10"/>
  <c r="L20" i="10"/>
  <c r="M20" i="10"/>
  <c r="L16" i="10"/>
  <c r="M16" i="10"/>
  <c r="L12" i="10"/>
  <c r="M12" i="10"/>
  <c r="L8" i="10"/>
  <c r="M8" i="10"/>
  <c r="L4" i="10"/>
  <c r="M4" i="10"/>
  <c r="L159" i="10"/>
  <c r="M159" i="10"/>
  <c r="L155" i="10"/>
  <c r="M155" i="10"/>
  <c r="L151" i="10"/>
  <c r="M151" i="10"/>
  <c r="L147" i="10"/>
  <c r="M147" i="10"/>
  <c r="L143" i="10"/>
  <c r="M143" i="10"/>
  <c r="L139" i="10"/>
  <c r="M139" i="10"/>
  <c r="L135" i="10"/>
  <c r="M135" i="10"/>
  <c r="L131" i="10"/>
  <c r="M131" i="10"/>
  <c r="L127" i="10"/>
  <c r="M127" i="10"/>
  <c r="L123" i="10"/>
  <c r="M123" i="10"/>
  <c r="L119" i="10"/>
  <c r="M119" i="10"/>
  <c r="L115" i="10"/>
  <c r="M115" i="10"/>
  <c r="L111" i="10"/>
  <c r="M111" i="10"/>
  <c r="L107" i="10"/>
  <c r="M107" i="10"/>
  <c r="L103" i="10"/>
  <c r="M103" i="10"/>
  <c r="L99" i="10"/>
  <c r="M99" i="10"/>
  <c r="L95" i="10"/>
  <c r="M95" i="10"/>
  <c r="L91" i="10"/>
  <c r="M91" i="10"/>
  <c r="L87" i="10"/>
  <c r="M87" i="10"/>
  <c r="L83" i="10"/>
  <c r="M83" i="10"/>
  <c r="L79" i="10"/>
  <c r="M79" i="10"/>
  <c r="L75" i="10"/>
  <c r="M75" i="10"/>
  <c r="L71" i="10"/>
  <c r="M71" i="10"/>
  <c r="L67" i="10"/>
  <c r="M67" i="10"/>
  <c r="L63" i="10"/>
  <c r="M63" i="10"/>
  <c r="L59" i="10"/>
  <c r="M59" i="10"/>
  <c r="L55" i="10"/>
  <c r="M55" i="10"/>
  <c r="L51" i="10"/>
  <c r="M51" i="10"/>
  <c r="L47" i="10"/>
  <c r="M47" i="10"/>
  <c r="L43" i="10"/>
  <c r="M43" i="10"/>
  <c r="L39" i="10"/>
  <c r="M39" i="10"/>
  <c r="L35" i="10"/>
  <c r="M35" i="10"/>
  <c r="L31" i="10"/>
  <c r="M31" i="10"/>
  <c r="L27" i="10"/>
  <c r="M27" i="10"/>
  <c r="L23" i="10"/>
  <c r="M23" i="10"/>
  <c r="L19" i="10"/>
  <c r="M19" i="10"/>
  <c r="L15" i="10"/>
  <c r="M15" i="10"/>
  <c r="L11" i="10"/>
  <c r="M11" i="10"/>
  <c r="L7" i="10"/>
  <c r="M7" i="10"/>
  <c r="Q2" i="10"/>
  <c r="M3" i="10"/>
  <c r="AB3" i="10" s="1"/>
  <c r="V3" i="10"/>
  <c r="R3" i="10"/>
  <c r="U3" i="10"/>
  <c r="S3" i="10"/>
  <c r="W3" i="10"/>
  <c r="T3" i="10"/>
  <c r="X3" i="10"/>
  <c r="Y3" i="10"/>
  <c r="Q3" i="10"/>
  <c r="L3" i="10"/>
  <c r="Z2" i="10"/>
  <c r="Z3" i="10"/>
  <c r="M66" i="8"/>
  <c r="L66" i="8" s="1"/>
  <c r="P4" i="10"/>
  <c r="F14" i="4"/>
  <c r="G6" i="4"/>
  <c r="H11" i="4"/>
  <c r="O5" i="4"/>
  <c r="D5" i="11" l="1"/>
  <c r="AB2" i="10"/>
  <c r="AA3" i="10"/>
  <c r="N7" i="10"/>
  <c r="N5" i="10"/>
  <c r="N10" i="10"/>
  <c r="N4" i="10"/>
  <c r="N11" i="10"/>
  <c r="N14" i="10"/>
  <c r="N13" i="10"/>
  <c r="N9" i="10"/>
  <c r="N12" i="10"/>
  <c r="N6" i="10"/>
  <c r="N8" i="10"/>
  <c r="N15" i="10"/>
  <c r="N23" i="10"/>
  <c r="N31" i="10"/>
  <c r="N39" i="10"/>
  <c r="N47" i="10"/>
  <c r="N55" i="10"/>
  <c r="N63" i="10"/>
  <c r="N71" i="10"/>
  <c r="N79" i="10"/>
  <c r="N87" i="10"/>
  <c r="N95" i="10"/>
  <c r="N103" i="10"/>
  <c r="N111" i="10"/>
  <c r="N119" i="10"/>
  <c r="N127" i="10"/>
  <c r="N135" i="10"/>
  <c r="N143" i="10"/>
  <c r="N151" i="10"/>
  <c r="N159" i="10"/>
  <c r="N16" i="10"/>
  <c r="N24" i="10"/>
  <c r="N32" i="10"/>
  <c r="N40" i="10"/>
  <c r="N48" i="10"/>
  <c r="N56" i="10"/>
  <c r="N64" i="10"/>
  <c r="N72" i="10"/>
  <c r="N80" i="10"/>
  <c r="N88" i="10"/>
  <c r="N96" i="10"/>
  <c r="N104" i="10"/>
  <c r="N112" i="10"/>
  <c r="N120" i="10"/>
  <c r="N128" i="10"/>
  <c r="N136" i="10"/>
  <c r="N144" i="10"/>
  <c r="N152" i="10"/>
  <c r="N160" i="10"/>
  <c r="N168" i="10"/>
  <c r="N176" i="10"/>
  <c r="N184" i="10"/>
  <c r="N192" i="10"/>
  <c r="N200" i="10"/>
  <c r="N19" i="10"/>
  <c r="N27" i="10"/>
  <c r="N35" i="10"/>
  <c r="N43" i="10"/>
  <c r="N51" i="10"/>
  <c r="N59" i="10"/>
  <c r="N67" i="10"/>
  <c r="N75" i="10"/>
  <c r="N83" i="10"/>
  <c r="N91" i="10"/>
  <c r="N99" i="10"/>
  <c r="N107" i="10"/>
  <c r="N115" i="10"/>
  <c r="N123" i="10"/>
  <c r="N131" i="10"/>
  <c r="N139" i="10"/>
  <c r="N147" i="10"/>
  <c r="N155" i="10"/>
  <c r="N20" i="10"/>
  <c r="N28" i="10"/>
  <c r="N36" i="10"/>
  <c r="N44" i="10"/>
  <c r="N52" i="10"/>
  <c r="N60" i="10"/>
  <c r="N68" i="10"/>
  <c r="N76" i="10"/>
  <c r="N84" i="10"/>
  <c r="N92" i="10"/>
  <c r="N100" i="10"/>
  <c r="N108" i="10"/>
  <c r="N116" i="10"/>
  <c r="N124" i="10"/>
  <c r="N132" i="10"/>
  <c r="N140" i="10"/>
  <c r="N148" i="10"/>
  <c r="N156" i="10"/>
  <c r="N164" i="10"/>
  <c r="N172" i="10"/>
  <c r="N180" i="10"/>
  <c r="N188" i="10"/>
  <c r="N196" i="10"/>
  <c r="N204" i="10"/>
  <c r="N212" i="10"/>
  <c r="N220" i="10"/>
  <c r="N228" i="10"/>
  <c r="N236" i="10"/>
  <c r="N244" i="10"/>
  <c r="N252" i="10"/>
  <c r="N260" i="10"/>
  <c r="N268" i="10"/>
  <c r="N276" i="10"/>
  <c r="N284" i="10"/>
  <c r="N292" i="10"/>
  <c r="N300" i="10"/>
  <c r="N308" i="10"/>
  <c r="N208" i="10"/>
  <c r="N216" i="10"/>
  <c r="N224" i="10"/>
  <c r="N232" i="10"/>
  <c r="N240" i="10"/>
  <c r="N248" i="10"/>
  <c r="N256" i="10"/>
  <c r="N264" i="10"/>
  <c r="N272" i="10"/>
  <c r="N280" i="10"/>
  <c r="N288" i="10"/>
  <c r="N296" i="10"/>
  <c r="N304" i="10"/>
  <c r="N312" i="10"/>
  <c r="N320" i="10"/>
  <c r="N328" i="10"/>
  <c r="N336" i="10"/>
  <c r="N344" i="10"/>
  <c r="N352" i="10"/>
  <c r="N360" i="10"/>
  <c r="N368" i="10"/>
  <c r="N376" i="10"/>
  <c r="N384" i="10"/>
  <c r="N392" i="10"/>
  <c r="N400" i="10"/>
  <c r="N408" i="10"/>
  <c r="N416" i="10"/>
  <c r="N424" i="10"/>
  <c r="N432" i="10"/>
  <c r="N440" i="10"/>
  <c r="N448" i="10"/>
  <c r="N456" i="10"/>
  <c r="N464" i="10"/>
  <c r="N472" i="10"/>
  <c r="N480" i="10"/>
  <c r="N488" i="10"/>
  <c r="N496" i="10"/>
  <c r="N504" i="10"/>
  <c r="N512" i="10"/>
  <c r="N520" i="10"/>
  <c r="N528" i="10"/>
  <c r="N536" i="10"/>
  <c r="N544" i="10"/>
  <c r="N552" i="10"/>
  <c r="N560" i="10"/>
  <c r="N568" i="10"/>
  <c r="N576" i="10"/>
  <c r="N584" i="10"/>
  <c r="N592" i="10"/>
  <c r="N600" i="10"/>
  <c r="N608" i="10"/>
  <c r="N616" i="10"/>
  <c r="N624" i="10"/>
  <c r="N632" i="10"/>
  <c r="N640" i="10"/>
  <c r="N648" i="10"/>
  <c r="N656" i="10"/>
  <c r="N664" i="10"/>
  <c r="N672" i="10"/>
  <c r="N680" i="10"/>
  <c r="N688" i="10"/>
  <c r="N696" i="10"/>
  <c r="N704" i="10"/>
  <c r="N712" i="10"/>
  <c r="N720" i="10"/>
  <c r="N728" i="10"/>
  <c r="N736" i="10"/>
  <c r="N744" i="10"/>
  <c r="N752" i="10"/>
  <c r="N760" i="10"/>
  <c r="N768" i="10"/>
  <c r="N776" i="10"/>
  <c r="N784" i="10"/>
  <c r="N792" i="10"/>
  <c r="N800" i="10"/>
  <c r="N808" i="10"/>
  <c r="N816" i="10"/>
  <c r="N824" i="10"/>
  <c r="N832" i="10"/>
  <c r="N840" i="10"/>
  <c r="N848" i="10"/>
  <c r="N856" i="10"/>
  <c r="N864" i="10"/>
  <c r="N872" i="10"/>
  <c r="N880" i="10"/>
  <c r="N888" i="10"/>
  <c r="N896" i="10"/>
  <c r="N904" i="10"/>
  <c r="N912" i="10"/>
  <c r="N920" i="10"/>
  <c r="N928" i="10"/>
  <c r="N936" i="10"/>
  <c r="N944" i="10"/>
  <c r="N952" i="10"/>
  <c r="N960" i="10"/>
  <c r="N968" i="10"/>
  <c r="N17" i="10"/>
  <c r="N25" i="10"/>
  <c r="N33" i="10"/>
  <c r="N41" i="10"/>
  <c r="N49" i="10"/>
  <c r="N57" i="10"/>
  <c r="N65" i="10"/>
  <c r="N73" i="10"/>
  <c r="N81" i="10"/>
  <c r="N89" i="10"/>
  <c r="N97" i="10"/>
  <c r="N105" i="10"/>
  <c r="N113" i="10"/>
  <c r="N121" i="10"/>
  <c r="N129" i="10"/>
  <c r="N137" i="10"/>
  <c r="N145" i="10"/>
  <c r="N153" i="10"/>
  <c r="N161" i="10"/>
  <c r="N169" i="10"/>
  <c r="N177" i="10"/>
  <c r="N185" i="10"/>
  <c r="N193" i="10"/>
  <c r="N201" i="10"/>
  <c r="N209" i="10"/>
  <c r="N217" i="10"/>
  <c r="N225" i="10"/>
  <c r="N233" i="10"/>
  <c r="N241" i="10"/>
  <c r="N249" i="10"/>
  <c r="N257" i="10"/>
  <c r="N265" i="10"/>
  <c r="N273" i="10"/>
  <c r="N281" i="10"/>
  <c r="N289" i="10"/>
  <c r="N297" i="10"/>
  <c r="N305" i="10"/>
  <c r="N313" i="10"/>
  <c r="N321" i="10"/>
  <c r="N329" i="10"/>
  <c r="N337" i="10"/>
  <c r="N345" i="10"/>
  <c r="N353" i="10"/>
  <c r="N361" i="10"/>
  <c r="N369" i="10"/>
  <c r="N377" i="10"/>
  <c r="N385" i="10"/>
  <c r="N393" i="10"/>
  <c r="N401" i="10"/>
  <c r="N409" i="10"/>
  <c r="N417" i="10"/>
  <c r="N425" i="10"/>
  <c r="N433" i="10"/>
  <c r="N441" i="10"/>
  <c r="N449" i="10"/>
  <c r="N457" i="10"/>
  <c r="N465" i="10"/>
  <c r="N473" i="10"/>
  <c r="N481" i="10"/>
  <c r="N489" i="10"/>
  <c r="N497" i="10"/>
  <c r="N505" i="10"/>
  <c r="N513" i="10"/>
  <c r="N521" i="10"/>
  <c r="N529" i="10"/>
  <c r="N537" i="10"/>
  <c r="N545" i="10"/>
  <c r="N553" i="10"/>
  <c r="N561" i="10"/>
  <c r="N569" i="10"/>
  <c r="N577" i="10"/>
  <c r="N585" i="10"/>
  <c r="N593" i="10"/>
  <c r="N601" i="10"/>
  <c r="N316" i="10"/>
  <c r="N324" i="10"/>
  <c r="N332" i="10"/>
  <c r="N340" i="10"/>
  <c r="N348" i="10"/>
  <c r="N356" i="10"/>
  <c r="N364" i="10"/>
  <c r="N372" i="10"/>
  <c r="N380" i="10"/>
  <c r="N388" i="10"/>
  <c r="N396" i="10"/>
  <c r="N404" i="10"/>
  <c r="N412" i="10"/>
  <c r="N420" i="10"/>
  <c r="N428" i="10"/>
  <c r="N436" i="10"/>
  <c r="N444" i="10"/>
  <c r="N452" i="10"/>
  <c r="N460" i="10"/>
  <c r="N468" i="10"/>
  <c r="N476" i="10"/>
  <c r="N484" i="10"/>
  <c r="N492" i="10"/>
  <c r="N500" i="10"/>
  <c r="N508" i="10"/>
  <c r="N516" i="10"/>
  <c r="N524" i="10"/>
  <c r="N532" i="10"/>
  <c r="N540" i="10"/>
  <c r="N548" i="10"/>
  <c r="N556" i="10"/>
  <c r="N564" i="10"/>
  <c r="N572" i="10"/>
  <c r="N580" i="10"/>
  <c r="N588" i="10"/>
  <c r="N596" i="10"/>
  <c r="N604" i="10"/>
  <c r="N612" i="10"/>
  <c r="N620" i="10"/>
  <c r="N628" i="10"/>
  <c r="N636" i="10"/>
  <c r="N644" i="10"/>
  <c r="N652" i="10"/>
  <c r="N660" i="10"/>
  <c r="N668" i="10"/>
  <c r="N676" i="10"/>
  <c r="N684" i="10"/>
  <c r="N692" i="10"/>
  <c r="N700" i="10"/>
  <c r="N708" i="10"/>
  <c r="N716" i="10"/>
  <c r="N724" i="10"/>
  <c r="N732" i="10"/>
  <c r="N740" i="10"/>
  <c r="N748" i="10"/>
  <c r="N756" i="10"/>
  <c r="N764" i="10"/>
  <c r="N772" i="10"/>
  <c r="N780" i="10"/>
  <c r="N788" i="10"/>
  <c r="N796" i="10"/>
  <c r="N804" i="10"/>
  <c r="N812" i="10"/>
  <c r="N820" i="10"/>
  <c r="N828" i="10"/>
  <c r="N836" i="10"/>
  <c r="N844" i="10"/>
  <c r="N852" i="10"/>
  <c r="N860" i="10"/>
  <c r="N868" i="10"/>
  <c r="N876" i="10"/>
  <c r="N884" i="10"/>
  <c r="N892" i="10"/>
  <c r="N900" i="10"/>
  <c r="N908" i="10"/>
  <c r="N916" i="10"/>
  <c r="N924" i="10"/>
  <c r="N932" i="10"/>
  <c r="N940" i="10"/>
  <c r="N948" i="10"/>
  <c r="N956" i="10"/>
  <c r="N964" i="10"/>
  <c r="N972" i="10"/>
  <c r="N21" i="10"/>
  <c r="N29" i="10"/>
  <c r="N37" i="10"/>
  <c r="N45" i="10"/>
  <c r="N53" i="10"/>
  <c r="N61" i="10"/>
  <c r="N69" i="10"/>
  <c r="N77" i="10"/>
  <c r="N85" i="10"/>
  <c r="N93" i="10"/>
  <c r="N101" i="10"/>
  <c r="N109" i="10"/>
  <c r="N117" i="10"/>
  <c r="N125" i="10"/>
  <c r="N133" i="10"/>
  <c r="N141" i="10"/>
  <c r="N149" i="10"/>
  <c r="N157" i="10"/>
  <c r="N165" i="10"/>
  <c r="N173" i="10"/>
  <c r="N181" i="10"/>
  <c r="N189" i="10"/>
  <c r="N197" i="10"/>
  <c r="N205" i="10"/>
  <c r="N213" i="10"/>
  <c r="N221" i="10"/>
  <c r="N229" i="10"/>
  <c r="N237" i="10"/>
  <c r="N245" i="10"/>
  <c r="N253" i="10"/>
  <c r="N261" i="10"/>
  <c r="N269" i="10"/>
  <c r="N277" i="10"/>
  <c r="N285" i="10"/>
  <c r="N293" i="10"/>
  <c r="N301" i="10"/>
  <c r="N309" i="10"/>
  <c r="N317" i="10"/>
  <c r="N325" i="10"/>
  <c r="N333" i="10"/>
  <c r="N341" i="10"/>
  <c r="N349" i="10"/>
  <c r="N357" i="10"/>
  <c r="N365" i="10"/>
  <c r="N373" i="10"/>
  <c r="N381" i="10"/>
  <c r="N389" i="10"/>
  <c r="N397" i="10"/>
  <c r="N405" i="10"/>
  <c r="N413" i="10"/>
  <c r="N421" i="10"/>
  <c r="N429" i="10"/>
  <c r="N437" i="10"/>
  <c r="N445" i="10"/>
  <c r="N453" i="10"/>
  <c r="N461" i="10"/>
  <c r="N469" i="10"/>
  <c r="N477" i="10"/>
  <c r="N485" i="10"/>
  <c r="N493" i="10"/>
  <c r="N501" i="10"/>
  <c r="N509" i="10"/>
  <c r="N517" i="10"/>
  <c r="N525" i="10"/>
  <c r="N533" i="10"/>
  <c r="N541" i="10"/>
  <c r="N549" i="10"/>
  <c r="N557" i="10"/>
  <c r="N565" i="10"/>
  <c r="N573" i="10"/>
  <c r="N581" i="10"/>
  <c r="N589" i="10"/>
  <c r="N597" i="10"/>
  <c r="N605" i="10"/>
  <c r="N613" i="10"/>
  <c r="N621" i="10"/>
  <c r="N629" i="10"/>
  <c r="N637" i="10"/>
  <c r="N645" i="10"/>
  <c r="N653" i="10"/>
  <c r="N661" i="10"/>
  <c r="N669" i="10"/>
  <c r="N677" i="10"/>
  <c r="N685" i="10"/>
  <c r="N693" i="10"/>
  <c r="N701" i="10"/>
  <c r="N609" i="10"/>
  <c r="N617" i="10"/>
  <c r="N625" i="10"/>
  <c r="N633" i="10"/>
  <c r="N641" i="10"/>
  <c r="N649" i="10"/>
  <c r="N657" i="10"/>
  <c r="N665" i="10"/>
  <c r="N673" i="10"/>
  <c r="N681" i="10"/>
  <c r="N689" i="10"/>
  <c r="N697" i="10"/>
  <c r="N705" i="10"/>
  <c r="N713" i="10"/>
  <c r="N721" i="10"/>
  <c r="N729" i="10"/>
  <c r="N737" i="10"/>
  <c r="N745" i="10"/>
  <c r="N753" i="10"/>
  <c r="N761" i="10"/>
  <c r="N769" i="10"/>
  <c r="N777" i="10"/>
  <c r="N785" i="10"/>
  <c r="N793" i="10"/>
  <c r="N801" i="10"/>
  <c r="N809" i="10"/>
  <c r="N817" i="10"/>
  <c r="N825" i="10"/>
  <c r="N833" i="10"/>
  <c r="N841" i="10"/>
  <c r="N849" i="10"/>
  <c r="N861" i="10"/>
  <c r="N873" i="10"/>
  <c r="N889" i="10"/>
  <c r="N905" i="10"/>
  <c r="N921" i="10"/>
  <c r="N937" i="10"/>
  <c r="N953" i="10"/>
  <c r="N969" i="10"/>
  <c r="N22" i="10"/>
  <c r="N30" i="10"/>
  <c r="N38" i="10"/>
  <c r="N46" i="10"/>
  <c r="N54" i="10"/>
  <c r="N62" i="10"/>
  <c r="N70" i="10"/>
  <c r="N78" i="10"/>
  <c r="N86" i="10"/>
  <c r="N94" i="10"/>
  <c r="N102" i="10"/>
  <c r="N110" i="10"/>
  <c r="N118" i="10"/>
  <c r="N126" i="10"/>
  <c r="N134" i="10"/>
  <c r="N142" i="10"/>
  <c r="N150" i="10"/>
  <c r="N158" i="10"/>
  <c r="N166" i="10"/>
  <c r="N174" i="10"/>
  <c r="N182" i="10"/>
  <c r="N190" i="10"/>
  <c r="N198" i="10"/>
  <c r="N206" i="10"/>
  <c r="N214" i="10"/>
  <c r="N222" i="10"/>
  <c r="N230" i="10"/>
  <c r="N238" i="10"/>
  <c r="N246" i="10"/>
  <c r="N254" i="10"/>
  <c r="N262" i="10"/>
  <c r="N270" i="10"/>
  <c r="N278" i="10"/>
  <c r="N286" i="10"/>
  <c r="N294" i="10"/>
  <c r="N302" i="10"/>
  <c r="N310" i="10"/>
  <c r="N318" i="10"/>
  <c r="N326" i="10"/>
  <c r="N334" i="10"/>
  <c r="N342" i="10"/>
  <c r="N350" i="10"/>
  <c r="N358" i="10"/>
  <c r="N366" i="10"/>
  <c r="N374" i="10"/>
  <c r="N382" i="10"/>
  <c r="N390" i="10"/>
  <c r="N398" i="10"/>
  <c r="N406" i="10"/>
  <c r="N414" i="10"/>
  <c r="N422" i="10"/>
  <c r="N430" i="10"/>
  <c r="N438" i="10"/>
  <c r="N446" i="10"/>
  <c r="N454" i="10"/>
  <c r="N462" i="10"/>
  <c r="N470" i="10"/>
  <c r="N478" i="10"/>
  <c r="N486" i="10"/>
  <c r="N494" i="10"/>
  <c r="N502" i="10"/>
  <c r="N510" i="10"/>
  <c r="N518" i="10"/>
  <c r="N526" i="10"/>
  <c r="N534" i="10"/>
  <c r="N542" i="10"/>
  <c r="N550" i="10"/>
  <c r="N558" i="10"/>
  <c r="N566" i="10"/>
  <c r="N574" i="10"/>
  <c r="N582" i="10"/>
  <c r="N590" i="10"/>
  <c r="N598" i="10"/>
  <c r="N606" i="10"/>
  <c r="N614" i="10"/>
  <c r="N622" i="10"/>
  <c r="N630" i="10"/>
  <c r="N638" i="10"/>
  <c r="N646" i="10"/>
  <c r="N654" i="10"/>
  <c r="N662" i="10"/>
  <c r="N670" i="10"/>
  <c r="N678" i="10"/>
  <c r="N686" i="10"/>
  <c r="N694" i="10"/>
  <c r="N702" i="10"/>
  <c r="N710" i="10"/>
  <c r="N718" i="10"/>
  <c r="N726" i="10"/>
  <c r="N734" i="10"/>
  <c r="N742" i="10"/>
  <c r="N750" i="10"/>
  <c r="N758" i="10"/>
  <c r="N766" i="10"/>
  <c r="N774" i="10"/>
  <c r="N782" i="10"/>
  <c r="N790" i="10"/>
  <c r="N798" i="10"/>
  <c r="N806" i="10"/>
  <c r="N814" i="10"/>
  <c r="N822" i="10"/>
  <c r="N830" i="10"/>
  <c r="N838" i="10"/>
  <c r="N846" i="10"/>
  <c r="N854" i="10"/>
  <c r="N862" i="10"/>
  <c r="N870" i="10"/>
  <c r="N878" i="10"/>
  <c r="N886" i="10"/>
  <c r="N894" i="10"/>
  <c r="N902" i="10"/>
  <c r="N910" i="10"/>
  <c r="N918" i="10"/>
  <c r="N926" i="10"/>
  <c r="N934" i="10"/>
  <c r="N942" i="10"/>
  <c r="N950" i="10"/>
  <c r="N958" i="10"/>
  <c r="N966" i="10"/>
  <c r="N163" i="10"/>
  <c r="N171" i="10"/>
  <c r="N179" i="10"/>
  <c r="N187" i="10"/>
  <c r="N195" i="10"/>
  <c r="N203" i="10"/>
  <c r="N211" i="10"/>
  <c r="N219" i="10"/>
  <c r="N227" i="10"/>
  <c r="N235" i="10"/>
  <c r="N709" i="10"/>
  <c r="N717" i="10"/>
  <c r="N725" i="10"/>
  <c r="N733" i="10"/>
  <c r="N741" i="10"/>
  <c r="N749" i="10"/>
  <c r="N757" i="10"/>
  <c r="N765" i="10"/>
  <c r="N773" i="10"/>
  <c r="N781" i="10"/>
  <c r="N789" i="10"/>
  <c r="N797" i="10"/>
  <c r="N805" i="10"/>
  <c r="N813" i="10"/>
  <c r="N821" i="10"/>
  <c r="N829" i="10"/>
  <c r="N837" i="10"/>
  <c r="N845" i="10"/>
  <c r="N853" i="10"/>
  <c r="N865" i="10"/>
  <c r="N881" i="10"/>
  <c r="N897" i="10"/>
  <c r="N913" i="10"/>
  <c r="N929" i="10"/>
  <c r="N945" i="10"/>
  <c r="N961" i="10"/>
  <c r="N18" i="10"/>
  <c r="N26" i="10"/>
  <c r="N34" i="10"/>
  <c r="N42" i="10"/>
  <c r="N50" i="10"/>
  <c r="N58" i="10"/>
  <c r="N66" i="10"/>
  <c r="N74" i="10"/>
  <c r="N82" i="10"/>
  <c r="N90" i="10"/>
  <c r="N98" i="10"/>
  <c r="N106" i="10"/>
  <c r="N114" i="10"/>
  <c r="N122" i="10"/>
  <c r="N130" i="10"/>
  <c r="N138" i="10"/>
  <c r="N146" i="10"/>
  <c r="N154" i="10"/>
  <c r="N162" i="10"/>
  <c r="N170" i="10"/>
  <c r="N178" i="10"/>
  <c r="N186" i="10"/>
  <c r="N194" i="10"/>
  <c r="N202" i="10"/>
  <c r="N210" i="10"/>
  <c r="N218" i="10"/>
  <c r="N226" i="10"/>
  <c r="N234" i="10"/>
  <c r="N242" i="10"/>
  <c r="N250" i="10"/>
  <c r="N258" i="10"/>
  <c r="N266" i="10"/>
  <c r="N274" i="10"/>
  <c r="N282" i="10"/>
  <c r="N290" i="10"/>
  <c r="N298" i="10"/>
  <c r="N306" i="10"/>
  <c r="N314" i="10"/>
  <c r="N322" i="10"/>
  <c r="N330" i="10"/>
  <c r="N338" i="10"/>
  <c r="N346" i="10"/>
  <c r="N354" i="10"/>
  <c r="N362" i="10"/>
  <c r="N370" i="10"/>
  <c r="N378" i="10"/>
  <c r="N386" i="10"/>
  <c r="N394" i="10"/>
  <c r="N402" i="10"/>
  <c r="N410" i="10"/>
  <c r="N418" i="10"/>
  <c r="N426" i="10"/>
  <c r="N434" i="10"/>
  <c r="N442" i="10"/>
  <c r="N450" i="10"/>
  <c r="N458" i="10"/>
  <c r="N466" i="10"/>
  <c r="N474" i="10"/>
  <c r="N482" i="10"/>
  <c r="N490" i="10"/>
  <c r="N498" i="10"/>
  <c r="N506" i="10"/>
  <c r="N514" i="10"/>
  <c r="N522" i="10"/>
  <c r="N530" i="10"/>
  <c r="N538" i="10"/>
  <c r="N546" i="10"/>
  <c r="N554" i="10"/>
  <c r="N562" i="10"/>
  <c r="N570" i="10"/>
  <c r="N578" i="10"/>
  <c r="N586" i="10"/>
  <c r="N594" i="10"/>
  <c r="N602" i="10"/>
  <c r="N610" i="10"/>
  <c r="N618" i="10"/>
  <c r="N626" i="10"/>
  <c r="N634" i="10"/>
  <c r="N642" i="10"/>
  <c r="N650" i="10"/>
  <c r="N658" i="10"/>
  <c r="N666" i="10"/>
  <c r="N674" i="10"/>
  <c r="N682" i="10"/>
  <c r="N690" i="10"/>
  <c r="N698" i="10"/>
  <c r="N706" i="10"/>
  <c r="N714" i="10"/>
  <c r="N722" i="10"/>
  <c r="N730" i="10"/>
  <c r="N738" i="10"/>
  <c r="N746" i="10"/>
  <c r="N754" i="10"/>
  <c r="N762" i="10"/>
  <c r="N770" i="10"/>
  <c r="N778" i="10"/>
  <c r="N786" i="10"/>
  <c r="N794" i="10"/>
  <c r="N802" i="10"/>
  <c r="N810" i="10"/>
  <c r="N818" i="10"/>
  <c r="N826" i="10"/>
  <c r="N834" i="10"/>
  <c r="N842" i="10"/>
  <c r="N850" i="10"/>
  <c r="N858" i="10"/>
  <c r="N866" i="10"/>
  <c r="N874" i="10"/>
  <c r="N882" i="10"/>
  <c r="N890" i="10"/>
  <c r="N898" i="10"/>
  <c r="N906" i="10"/>
  <c r="N914" i="10"/>
  <c r="N922" i="10"/>
  <c r="N930" i="10"/>
  <c r="N938" i="10"/>
  <c r="N946" i="10"/>
  <c r="N954" i="10"/>
  <c r="N962" i="10"/>
  <c r="N970" i="10"/>
  <c r="N167" i="10"/>
  <c r="N175" i="10"/>
  <c r="N183" i="10"/>
  <c r="N191" i="10"/>
  <c r="N199" i="10"/>
  <c r="N207" i="10"/>
  <c r="N215" i="10"/>
  <c r="N223" i="10"/>
  <c r="N231" i="10"/>
  <c r="N239" i="10"/>
  <c r="N247" i="10"/>
  <c r="N255" i="10"/>
  <c r="N263" i="10"/>
  <c r="N271" i="10"/>
  <c r="N279" i="10"/>
  <c r="N287" i="10"/>
  <c r="N295" i="10"/>
  <c r="N303" i="10"/>
  <c r="N311" i="10"/>
  <c r="N319" i="10"/>
  <c r="N327" i="10"/>
  <c r="N335" i="10"/>
  <c r="N343" i="10"/>
  <c r="N351" i="10"/>
  <c r="N243" i="10"/>
  <c r="N251" i="10"/>
  <c r="N259" i="10"/>
  <c r="N267" i="10"/>
  <c r="N275" i="10"/>
  <c r="N283" i="10"/>
  <c r="N291" i="10"/>
  <c r="N299" i="10"/>
  <c r="N307" i="10"/>
  <c r="N315" i="10"/>
  <c r="N323" i="10"/>
  <c r="N331" i="10"/>
  <c r="N339" i="10"/>
  <c r="N347" i="10"/>
  <c r="N355" i="10"/>
  <c r="N363" i="10"/>
  <c r="N371" i="10"/>
  <c r="N379" i="10"/>
  <c r="N387" i="10"/>
  <c r="N395" i="10"/>
  <c r="N403" i="10"/>
  <c r="N411" i="10"/>
  <c r="N419" i="10"/>
  <c r="N427" i="10"/>
  <c r="N435" i="10"/>
  <c r="N443" i="10"/>
  <c r="N451" i="10"/>
  <c r="N459" i="10"/>
  <c r="N467" i="10"/>
  <c r="N475" i="10"/>
  <c r="N483" i="10"/>
  <c r="N491" i="10"/>
  <c r="N499" i="10"/>
  <c r="N507" i="10"/>
  <c r="N515" i="10"/>
  <c r="N523" i="10"/>
  <c r="N531" i="10"/>
  <c r="N539" i="10"/>
  <c r="N547" i="10"/>
  <c r="N555" i="10"/>
  <c r="N563" i="10"/>
  <c r="N571" i="10"/>
  <c r="N579" i="10"/>
  <c r="N587" i="10"/>
  <c r="N595" i="10"/>
  <c r="N603" i="10"/>
  <c r="N611" i="10"/>
  <c r="N619" i="10"/>
  <c r="N627" i="10"/>
  <c r="N635" i="10"/>
  <c r="N643" i="10"/>
  <c r="N651" i="10"/>
  <c r="N659" i="10"/>
  <c r="N667" i="10"/>
  <c r="N675" i="10"/>
  <c r="N683" i="10"/>
  <c r="N691" i="10"/>
  <c r="N699" i="10"/>
  <c r="N707" i="10"/>
  <c r="N715" i="10"/>
  <c r="N723" i="10"/>
  <c r="N731" i="10"/>
  <c r="N739" i="10"/>
  <c r="N747" i="10"/>
  <c r="N755" i="10"/>
  <c r="N763" i="10"/>
  <c r="N771" i="10"/>
  <c r="N779" i="10"/>
  <c r="N787" i="10"/>
  <c r="N795" i="10"/>
  <c r="N803" i="10"/>
  <c r="N811" i="10"/>
  <c r="N819" i="10"/>
  <c r="N827" i="10"/>
  <c r="N835" i="10"/>
  <c r="N843" i="10"/>
  <c r="N851" i="10"/>
  <c r="N859" i="10"/>
  <c r="N867" i="10"/>
  <c r="N875" i="10"/>
  <c r="N883" i="10"/>
  <c r="N891" i="10"/>
  <c r="N899" i="10"/>
  <c r="N907" i="10"/>
  <c r="N915" i="10"/>
  <c r="N923" i="10"/>
  <c r="N931" i="10"/>
  <c r="N939" i="10"/>
  <c r="N947" i="10"/>
  <c r="N955" i="10"/>
  <c r="N963" i="10"/>
  <c r="N971" i="10"/>
  <c r="N869" i="10"/>
  <c r="N885" i="10"/>
  <c r="N901" i="10"/>
  <c r="N917" i="10"/>
  <c r="N933" i="10"/>
  <c r="N949" i="10"/>
  <c r="N965" i="10"/>
  <c r="N359" i="10"/>
  <c r="N367" i="10"/>
  <c r="N375" i="10"/>
  <c r="N383" i="10"/>
  <c r="N391" i="10"/>
  <c r="N399" i="10"/>
  <c r="N407" i="10"/>
  <c r="N415" i="10"/>
  <c r="N423" i="10"/>
  <c r="N431" i="10"/>
  <c r="N439" i="10"/>
  <c r="N447" i="10"/>
  <c r="N455" i="10"/>
  <c r="N463" i="10"/>
  <c r="N471" i="10"/>
  <c r="N479" i="10"/>
  <c r="N487" i="10"/>
  <c r="N495" i="10"/>
  <c r="N503" i="10"/>
  <c r="N511" i="10"/>
  <c r="N519" i="10"/>
  <c r="N527" i="10"/>
  <c r="N535" i="10"/>
  <c r="N543" i="10"/>
  <c r="N551" i="10"/>
  <c r="N559" i="10"/>
  <c r="N567" i="10"/>
  <c r="N575" i="10"/>
  <c r="N583" i="10"/>
  <c r="N591" i="10"/>
  <c r="N599" i="10"/>
  <c r="N607" i="10"/>
  <c r="N615" i="10"/>
  <c r="N623" i="10"/>
  <c r="N631" i="10"/>
  <c r="N639" i="10"/>
  <c r="N647" i="10"/>
  <c r="N655" i="10"/>
  <c r="N663" i="10"/>
  <c r="N671" i="10"/>
  <c r="N679" i="10"/>
  <c r="N687" i="10"/>
  <c r="N695" i="10"/>
  <c r="N703" i="10"/>
  <c r="N711" i="10"/>
  <c r="N719" i="10"/>
  <c r="N727" i="10"/>
  <c r="N735" i="10"/>
  <c r="N743" i="10"/>
  <c r="N751" i="10"/>
  <c r="N759" i="10"/>
  <c r="N767" i="10"/>
  <c r="N775" i="10"/>
  <c r="N783" i="10"/>
  <c r="N791" i="10"/>
  <c r="N799" i="10"/>
  <c r="N807" i="10"/>
  <c r="N815" i="10"/>
  <c r="N823" i="10"/>
  <c r="N831" i="10"/>
  <c r="N839" i="10"/>
  <c r="N847" i="10"/>
  <c r="N855" i="10"/>
  <c r="N863" i="10"/>
  <c r="N871" i="10"/>
  <c r="N879" i="10"/>
  <c r="N887" i="10"/>
  <c r="N895" i="10"/>
  <c r="N903" i="10"/>
  <c r="N911" i="10"/>
  <c r="N919" i="10"/>
  <c r="N927" i="10"/>
  <c r="N935" i="10"/>
  <c r="N943" i="10"/>
  <c r="N951" i="10"/>
  <c r="N959" i="10"/>
  <c r="N967" i="10"/>
  <c r="N857" i="10"/>
  <c r="N877" i="10"/>
  <c r="N893" i="10"/>
  <c r="N909" i="10"/>
  <c r="N925" i="10"/>
  <c r="N941" i="10"/>
  <c r="N957" i="10"/>
  <c r="N2" i="10"/>
  <c r="U4" i="10"/>
  <c r="Y4" i="10"/>
  <c r="T4" i="10"/>
  <c r="V4" i="10"/>
  <c r="Z4" i="10"/>
  <c r="R4" i="10"/>
  <c r="S4" i="10"/>
  <c r="W4" i="10"/>
  <c r="AB4" i="10"/>
  <c r="X4" i="10"/>
  <c r="AA4" i="10"/>
  <c r="AA2" i="10"/>
  <c r="N3" i="10"/>
  <c r="I5" i="11"/>
  <c r="E14" i="1" s="1"/>
  <c r="Q4" i="10"/>
  <c r="I5" i="8"/>
  <c r="P5" i="10"/>
  <c r="D5" i="4"/>
  <c r="D5" i="8"/>
  <c r="E6" i="8" l="1"/>
  <c r="E13" i="1"/>
  <c r="E7" i="8"/>
  <c r="T5" i="10"/>
  <c r="X5" i="10"/>
  <c r="R5" i="10"/>
  <c r="S5" i="10"/>
  <c r="AB5" i="10"/>
  <c r="U5" i="10"/>
  <c r="Y5" i="10"/>
  <c r="V5" i="10"/>
  <c r="Z5" i="10"/>
  <c r="W5" i="10"/>
  <c r="AA5" i="10"/>
  <c r="H14" i="1"/>
  <c r="L66" i="11"/>
  <c r="E7" i="11"/>
  <c r="E6" i="11"/>
  <c r="Q5" i="10"/>
  <c r="P6" i="10"/>
  <c r="H13" i="1"/>
  <c r="H12" i="1"/>
  <c r="F14" i="1" l="1"/>
  <c r="G14" i="1" s="1"/>
  <c r="F13" i="1"/>
  <c r="G13" i="1" s="1"/>
  <c r="S6" i="10"/>
  <c r="W6" i="10"/>
  <c r="AB6" i="10"/>
  <c r="Z6" i="10"/>
  <c r="R6" i="10"/>
  <c r="T6" i="10"/>
  <c r="X6" i="10"/>
  <c r="U6" i="10"/>
  <c r="Y6" i="10"/>
  <c r="V6" i="10"/>
  <c r="AA6" i="10"/>
  <c r="D5" i="1"/>
  <c r="M66" i="11"/>
  <c r="Q6" i="10"/>
  <c r="P7" i="10"/>
  <c r="L14" i="1" l="1"/>
  <c r="L5" i="11" s="1"/>
  <c r="J13" i="1"/>
  <c r="K13" i="1" s="1"/>
  <c r="J12" i="1"/>
  <c r="K12" i="1" s="1"/>
  <c r="G7" i="4" s="1"/>
  <c r="J14" i="1"/>
  <c r="K14" i="1" s="1"/>
  <c r="V7" i="10"/>
  <c r="Z7" i="10"/>
  <c r="R7" i="10"/>
  <c r="Y7" i="10"/>
  <c r="S7" i="10"/>
  <c r="W7" i="10"/>
  <c r="AB7" i="10"/>
  <c r="T7" i="10"/>
  <c r="X7" i="10"/>
  <c r="U7" i="10"/>
  <c r="AA7" i="10"/>
  <c r="L13" i="1"/>
  <c r="L5" i="8" s="1"/>
  <c r="L12" i="1"/>
  <c r="L5" i="4" s="1"/>
  <c r="Q7" i="10"/>
  <c r="P8" i="10"/>
  <c r="M66" i="4" l="1"/>
  <c r="O19" i="4"/>
  <c r="Q19" i="4"/>
  <c r="O19" i="8"/>
  <c r="Q19" i="8"/>
  <c r="O19" i="11"/>
  <c r="Q19" i="11"/>
  <c r="U8" i="10"/>
  <c r="Y8" i="10"/>
  <c r="X8" i="10"/>
  <c r="V8" i="10"/>
  <c r="Z8" i="10"/>
  <c r="R8" i="10"/>
  <c r="S8" i="10"/>
  <c r="W8" i="10"/>
  <c r="AB8" i="10"/>
  <c r="T8" i="10"/>
  <c r="AA8" i="10"/>
  <c r="G5" i="8"/>
  <c r="G5" i="11"/>
  <c r="Q8" i="10"/>
  <c r="P9" i="10"/>
  <c r="G5" i="4"/>
  <c r="E6" i="4" l="1"/>
  <c r="L66" i="4"/>
  <c r="P66" i="4" s="1"/>
  <c r="P19" i="4"/>
  <c r="P19" i="8"/>
  <c r="P19" i="11"/>
  <c r="T9" i="10"/>
  <c r="X9" i="10"/>
  <c r="W9" i="10"/>
  <c r="U9" i="10"/>
  <c r="Y9" i="10"/>
  <c r="V9" i="10"/>
  <c r="Z9" i="10"/>
  <c r="R9" i="10"/>
  <c r="S9" i="10"/>
  <c r="AB9" i="10"/>
  <c r="AA9" i="10"/>
  <c r="G7" i="11"/>
  <c r="Q9" i="10"/>
  <c r="P10" i="10"/>
  <c r="G7" i="8"/>
  <c r="S10" i="10" l="1"/>
  <c r="W10" i="10"/>
  <c r="AB10" i="10"/>
  <c r="Z10" i="10"/>
  <c r="T10" i="10"/>
  <c r="X10" i="10"/>
  <c r="U10" i="10"/>
  <c r="Y10" i="10"/>
  <c r="V10" i="10"/>
  <c r="R10" i="10"/>
  <c r="AA10" i="10"/>
  <c r="Q10" i="10"/>
  <c r="P11" i="10"/>
  <c r="V11" i="10" l="1"/>
  <c r="Z11" i="10"/>
  <c r="R11" i="10"/>
  <c r="Y11" i="10"/>
  <c r="S11" i="10"/>
  <c r="W11" i="10"/>
  <c r="AB11" i="10"/>
  <c r="T11" i="10"/>
  <c r="X11" i="10"/>
  <c r="U11" i="10"/>
  <c r="AA11" i="10"/>
  <c r="Q11" i="10"/>
  <c r="P12" i="10"/>
  <c r="U12" i="10" l="1"/>
  <c r="Y12" i="10"/>
  <c r="S12" i="10"/>
  <c r="X12" i="10"/>
  <c r="V12" i="10"/>
  <c r="Z12" i="10"/>
  <c r="R12" i="10"/>
  <c r="W12" i="10"/>
  <c r="AB12" i="10"/>
  <c r="T12" i="10"/>
  <c r="AA12" i="10"/>
  <c r="Q12" i="10"/>
  <c r="P13" i="10"/>
  <c r="T13" i="10" l="1"/>
  <c r="X13" i="10"/>
  <c r="V13" i="10"/>
  <c r="R13" i="10"/>
  <c r="W13" i="10"/>
  <c r="U13" i="10"/>
  <c r="Y13" i="10"/>
  <c r="Z13" i="10"/>
  <c r="S13" i="10"/>
  <c r="AB13" i="10"/>
  <c r="AA13" i="10"/>
  <c r="Q13" i="10"/>
  <c r="I5" i="4" l="1"/>
  <c r="E12" i="1" l="1"/>
  <c r="F12" i="1" s="1"/>
  <c r="E7" i="1" s="1"/>
  <c r="E7" i="4"/>
  <c r="G12" i="1" l="1"/>
  <c r="H5" i="1"/>
  <c r="G6" i="1" s="1"/>
  <c r="R2" i="10"/>
  <c r="G7" i="1" l="1"/>
</calcChain>
</file>

<file path=xl/sharedStrings.xml><?xml version="1.0" encoding="utf-8"?>
<sst xmlns="http://schemas.openxmlformats.org/spreadsheetml/2006/main" count="239" uniqueCount="115">
  <si>
    <t>Patrimônio Total</t>
  </si>
  <si>
    <t>Disponível para Aporte</t>
  </si>
  <si>
    <t>Tipo</t>
  </si>
  <si>
    <t>Ações</t>
  </si>
  <si>
    <t>Total</t>
  </si>
  <si>
    <t>Peso ideal</t>
  </si>
  <si>
    <t xml:space="preserve">Peso atual </t>
  </si>
  <si>
    <t>Aporte equílibrio</t>
  </si>
  <si>
    <t>BDRs</t>
  </si>
  <si>
    <t>FIIs</t>
  </si>
  <si>
    <t xml:space="preserve"> </t>
  </si>
  <si>
    <t>Compra</t>
  </si>
  <si>
    <t>Venda</t>
  </si>
  <si>
    <t>Operação:</t>
  </si>
  <si>
    <t>Título:</t>
  </si>
  <si>
    <t>Operações com ações</t>
  </si>
  <si>
    <t>Histórico de Operações</t>
  </si>
  <si>
    <t>Registro</t>
  </si>
  <si>
    <t>Título</t>
  </si>
  <si>
    <t>Alocação Geral</t>
  </si>
  <si>
    <t>Realizar Operação</t>
  </si>
  <si>
    <t>Dados Gerais</t>
  </si>
  <si>
    <t>Patrimônio em ações</t>
  </si>
  <si>
    <t>Qtd.</t>
  </si>
  <si>
    <t>Setor</t>
  </si>
  <si>
    <t>Nota</t>
  </si>
  <si>
    <t>Tabela de Distribuição de Classes</t>
  </si>
  <si>
    <t>Status</t>
  </si>
  <si>
    <t>Peso Atual:</t>
  </si>
  <si>
    <t>Peso Ideal:</t>
  </si>
  <si>
    <t>Status:</t>
  </si>
  <si>
    <t>Gráfico de Diversificação</t>
  </si>
  <si>
    <t>Gráfico de Rendimento</t>
  </si>
  <si>
    <t>Operação</t>
  </si>
  <si>
    <t>Preço</t>
  </si>
  <si>
    <t>Data</t>
  </si>
  <si>
    <t>Preço M.</t>
  </si>
  <si>
    <t>Preço A.</t>
  </si>
  <si>
    <t>Aporte eq.</t>
  </si>
  <si>
    <t>%Cres</t>
  </si>
  <si>
    <t>%Div</t>
  </si>
  <si>
    <t>Ativos de Interesse</t>
  </si>
  <si>
    <t>%ideal</t>
  </si>
  <si>
    <t>Patri. Atual</t>
  </si>
  <si>
    <t>%Rent:</t>
  </si>
  <si>
    <t>Rent.:</t>
  </si>
  <si>
    <t>Aporte Equílibrio</t>
  </si>
  <si>
    <t>Calculadora de posição</t>
  </si>
  <si>
    <t>Total:</t>
  </si>
  <si>
    <t>Cotação</t>
  </si>
  <si>
    <t>Qtd:</t>
  </si>
  <si>
    <t>%Cres.:</t>
  </si>
  <si>
    <t>Rótulos de Linha</t>
  </si>
  <si>
    <t>%Atual</t>
  </si>
  <si>
    <t>Soma de %Atual</t>
  </si>
  <si>
    <t>Patrimônio em BDRs</t>
  </si>
  <si>
    <t>Patri. Invest.</t>
  </si>
  <si>
    <t xml:space="preserve">Gráfico da Diversificação Atual </t>
  </si>
  <si>
    <t>Qtd acum.</t>
  </si>
  <si>
    <t>PM</t>
  </si>
  <si>
    <t>Saldo Acum.</t>
  </si>
  <si>
    <t>Qtd Acum</t>
  </si>
  <si>
    <t>Investido</t>
  </si>
  <si>
    <t>Patrimônio Atual</t>
  </si>
  <si>
    <t>Atual</t>
  </si>
  <si>
    <t>P ações</t>
  </si>
  <si>
    <t>PA Ações</t>
  </si>
  <si>
    <t>L/P</t>
  </si>
  <si>
    <t>%L/P</t>
  </si>
  <si>
    <t>L/P:</t>
  </si>
  <si>
    <t>%L/P:</t>
  </si>
  <si>
    <t>P BDRs</t>
  </si>
  <si>
    <t>P FIIs</t>
  </si>
  <si>
    <t>PA FIIs</t>
  </si>
  <si>
    <t>PA BDRs</t>
  </si>
  <si>
    <t>Gráficos de Desempenho</t>
  </si>
  <si>
    <t>P Investido</t>
  </si>
  <si>
    <t>Fimmes</t>
  </si>
  <si>
    <t>fimmês</t>
  </si>
  <si>
    <t>R Ações</t>
  </si>
  <si>
    <t>R BDRs</t>
  </si>
  <si>
    <t>R FIIs</t>
  </si>
  <si>
    <t>R. Ações</t>
  </si>
  <si>
    <t>R. BDRs</t>
  </si>
  <si>
    <t>R.  FIIs</t>
  </si>
  <si>
    <t>Total Geral</t>
  </si>
  <si>
    <t>Patrimônio em FIIs</t>
  </si>
  <si>
    <t>P Atual</t>
  </si>
  <si>
    <t>R Total</t>
  </si>
  <si>
    <t>Criado por:</t>
  </si>
  <si>
    <t>Gabriel Romão</t>
  </si>
  <si>
    <t>email:</t>
  </si>
  <si>
    <t>factorg123@gmail.com</t>
  </si>
  <si>
    <t>Soma de R Total</t>
  </si>
  <si>
    <t>2022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</si>
  <si>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</si>
  <si>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</si>
  <si>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</si>
  <si>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</si>
  <si>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</si>
  <si>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</si>
  <si>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</si>
  <si>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</si>
  <si>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</si>
  <si>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</si>
  <si>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</si>
  <si>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</si>
  <si>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QR Code (PIX):</t>
  </si>
  <si>
    <t>(vazio)</t>
  </si>
  <si>
    <t>Calculo do Preço Médio e Patrimônio</t>
  </si>
  <si>
    <t>corret.</t>
  </si>
  <si>
    <t>Lucro</t>
  </si>
  <si>
    <t>Divid.</t>
  </si>
  <si>
    <t>JCP</t>
  </si>
  <si>
    <t>Bonif.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</si>
</sst>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7" formatCode="&quot;R$&quot;\ #,##0.00;\-&quot;R$&quot;\ #,##0.00"/>
    <numFmt numFmtId="164" formatCode="&quot;$&quot;#,##0.00"/>
    <numFmt numFmtId="165" formatCode="&quot;R$&quot;\ #,##0.00"/>
    <numFmt numFmtId="166" formatCode="0.0%"/>
  </numFmts>
  <fonts count="22" x14ac:knownFonts="1">
    <font>
      <sz val="11"/>
      <color theme="1"/>
      <name val="Gill Sans MT"/>
      <family val="2"/>
      <scheme val="minor"/>
    </font>
    <font>
      <sz val="11"/>
      <color theme="5" tint="0.79998168889431442"/>
      <name val="Gill Sans MT"/>
      <family val="2"/>
      <scheme val="minor"/>
    </font>
    <font>
      <b/>
      <sz val="14"/>
      <color theme="6" tint="0.79998168889431442"/>
      <name val="Gill Sans MT"/>
      <family val="2"/>
      <scheme val="major"/>
    </font>
    <font>
      <b/>
      <sz val="12"/>
      <color theme="1"/>
      <name val="Gill Sans MT"/>
      <family val="2"/>
      <scheme val="minor"/>
    </font>
    <font>
      <b/>
      <sz val="11"/>
      <color theme="1"/>
      <name val="Gill Sans MT"/>
      <family val="2"/>
      <scheme val="minor"/>
    </font>
    <font>
      <sz val="16"/>
      <color theme="1"/>
      <name val="Gill Sans MT"/>
      <family val="2"/>
      <scheme val="minor"/>
    </font>
    <font>
      <b/>
      <sz val="11"/>
      <color theme="5" tint="-0.499984740745262"/>
      <name val="Gill Sans MT"/>
      <family val="2"/>
      <scheme val="minor"/>
    </font>
    <font>
      <sz val="11"/>
      <color theme="1"/>
      <name val="Gill Sans MT"/>
      <family val="2"/>
      <scheme val="minor"/>
    </font>
    <font>
      <b/>
      <sz val="14"/>
      <color theme="1"/>
      <name val="Gill Sans MT"/>
      <family val="2"/>
      <scheme val="minor"/>
    </font>
    <font>
      <b/>
      <sz val="12"/>
      <color theme="1" tint="4.9989318521683403E-2"/>
      <name val="Gill Sans MT"/>
      <family val="2"/>
      <scheme val="minor"/>
    </font>
    <font>
      <b/>
      <sz val="11"/>
      <color theme="1" tint="4.9989318521683403E-2"/>
      <name val="Gill Sans MT"/>
      <family val="2"/>
      <scheme val="minor"/>
    </font>
    <font>
      <b/>
      <sz val="14"/>
      <color theme="1" tint="4.9989318521683403E-2"/>
      <name val="Gill Sans MT"/>
      <family val="2"/>
      <scheme val="minor"/>
    </font>
    <font>
      <sz val="16"/>
      <color theme="1" tint="4.9989318521683403E-2"/>
      <name val="Gill Sans MT"/>
      <family val="2"/>
      <scheme val="minor"/>
    </font>
    <font>
      <sz val="11"/>
      <color theme="1" tint="4.9989318521683403E-2"/>
      <name val="Gill Sans MT"/>
      <family val="2"/>
      <scheme val="minor"/>
    </font>
    <font>
      <sz val="12"/>
      <color theme="1" tint="4.9989318521683403E-2"/>
      <name val="Gill Sans MT"/>
      <family val="2"/>
      <scheme val="minor"/>
    </font>
    <font>
      <b/>
      <sz val="16"/>
      <color theme="1" tint="4.9989318521683403E-2"/>
      <name val="Gill Sans MT"/>
      <family val="2"/>
      <scheme val="minor"/>
    </font>
    <font>
      <sz val="18"/>
      <color theme="1" tint="4.9989318521683403E-2"/>
      <name val="Gill Sans MT"/>
      <family val="2"/>
      <scheme val="minor"/>
    </font>
    <font>
      <sz val="8"/>
      <name val="Gill Sans MT"/>
      <family val="2"/>
      <scheme val="minor"/>
    </font>
    <font>
      <sz val="12"/>
      <color theme="1" tint="4.9989318521683403E-2"/>
      <name val="Gill Sans MT"/>
      <family val="2"/>
    </font>
    <font>
      <sz val="12"/>
      <color rgb="FF000000"/>
      <name val="Gill Sans MT"/>
      <family val="2"/>
    </font>
    <font>
      <b/>
      <sz val="11"/>
      <color theme="0"/>
      <name val="Gill Sans MT"/>
      <family val="2"/>
      <scheme val="minor"/>
    </font>
    <font>
      <sz val="11"/>
      <color theme="0"/>
      <name val="Gill Sans MT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AC9DE8"/>
        <bgColor indexed="64"/>
      </patternFill>
    </fill>
    <fill>
      <patternFill patternType="solid">
        <fgColor rgb="FFE8DE87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hair">
        <color theme="1" tint="0.499984740745262"/>
      </right>
      <top style="medium">
        <color indexed="64"/>
      </top>
      <bottom style="thin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 style="medium">
        <color indexed="64"/>
      </top>
      <bottom style="thin">
        <color auto="1"/>
      </bottom>
      <diagonal/>
    </border>
    <border>
      <left/>
      <right style="hair">
        <color theme="1" tint="0.499984740745262"/>
      </right>
      <top style="thin">
        <color indexed="64"/>
      </top>
      <bottom style="thin">
        <color indexed="64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indexed="64"/>
      </top>
      <bottom style="thin">
        <color indexed="64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thin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4.9989318521683403E-2"/>
      </top>
      <bottom style="thin">
        <color theme="1" tint="4.9989318521683403E-2"/>
      </bottom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152">
    <xf numFmtId="0" fontId="0" fillId="0" borderId="0" xfId="0"/>
    <xf numFmtId="0" fontId="0" fillId="0" borderId="0" xfId="0" applyBorder="1"/>
    <xf numFmtId="0" fontId="3" fillId="0" borderId="0" xfId="0" applyFont="1" applyBorder="1" applyAlignment="1"/>
    <xf numFmtId="0" fontId="0" fillId="0" borderId="15" xfId="0" applyBorder="1"/>
    <xf numFmtId="0" fontId="0" fillId="0" borderId="15" xfId="0" pivotButton="1" applyBorder="1"/>
    <xf numFmtId="0" fontId="0" fillId="0" borderId="15" xfId="0" applyBorder="1" applyAlignment="1">
      <alignment horizontal="left"/>
    </xf>
    <xf numFmtId="0" fontId="0" fillId="0" borderId="0" xfId="0" applyBorder="1" applyAlignment="1"/>
    <xf numFmtId="14" fontId="0" fillId="0" borderId="0" xfId="0" applyNumberFormat="1"/>
    <xf numFmtId="165" fontId="0" fillId="0" borderId="0" xfId="0" applyNumberFormat="1"/>
    <xf numFmtId="9" fontId="0" fillId="0" borderId="15" xfId="0" applyNumberFormat="1" applyBorder="1"/>
    <xf numFmtId="0" fontId="0" fillId="0" borderId="15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 applyAlignment="1">
      <alignment horizontal="left" indent="1"/>
    </xf>
    <xf numFmtId="0" fontId="21" fillId="3" borderId="0" xfId="0" applyFont="1" applyFill="1" applyProtection="1"/>
    <xf numFmtId="0" fontId="20" fillId="3" borderId="0" xfId="0" applyFont="1" applyFill="1" applyProtection="1"/>
    <xf numFmtId="0" fontId="0" fillId="3" borderId="0" xfId="0" applyFill="1" applyProtection="1"/>
    <xf numFmtId="0" fontId="3" fillId="5" borderId="2" xfId="0" applyFont="1" applyFill="1" applyBorder="1" applyAlignment="1" applyProtection="1">
      <alignment horizontal="left" vertical="center"/>
    </xf>
    <xf numFmtId="0" fontId="1" fillId="2" borderId="0" xfId="0" applyFont="1" applyFill="1" applyProtection="1"/>
    <xf numFmtId="0" fontId="0" fillId="2" borderId="0" xfId="0" applyFill="1" applyProtection="1"/>
    <xf numFmtId="0" fontId="9" fillId="5" borderId="0" xfId="0" applyFont="1" applyFill="1" applyAlignment="1" applyProtection="1">
      <alignment horizontal="right"/>
    </xf>
    <xf numFmtId="0" fontId="13" fillId="5" borderId="0" xfId="0" applyFont="1" applyFill="1" applyProtection="1"/>
    <xf numFmtId="0" fontId="10" fillId="5" borderId="0" xfId="0" applyFont="1" applyFill="1" applyAlignment="1" applyProtection="1"/>
    <xf numFmtId="164" fontId="12" fillId="5" borderId="0" xfId="0" applyNumberFormat="1" applyFont="1" applyFill="1" applyAlignment="1" applyProtection="1"/>
    <xf numFmtId="0" fontId="14" fillId="5" borderId="0" xfId="0" applyFont="1" applyFill="1" applyAlignment="1" applyProtection="1">
      <alignment horizontal="right"/>
    </xf>
    <xf numFmtId="10" fontId="10" fillId="5" borderId="0" xfId="1" applyNumberFormat="1" applyFont="1" applyFill="1" applyProtection="1"/>
    <xf numFmtId="0" fontId="13" fillId="5" borderId="0" xfId="0" applyFont="1" applyFill="1" applyAlignment="1" applyProtection="1">
      <alignment horizontal="right"/>
    </xf>
    <xf numFmtId="165" fontId="10" fillId="5" borderId="0" xfId="1" applyNumberFormat="1" applyFont="1" applyFill="1" applyProtection="1"/>
    <xf numFmtId="0" fontId="2" fillId="2" borderId="0" xfId="0" applyFont="1" applyFill="1" applyAlignment="1" applyProtection="1"/>
    <xf numFmtId="0" fontId="9" fillId="5" borderId="7" xfId="0" applyFont="1" applyFill="1" applyBorder="1" applyAlignment="1" applyProtection="1">
      <alignment horizontal="center" vertical="center"/>
    </xf>
    <xf numFmtId="0" fontId="9" fillId="5" borderId="3" xfId="0" applyFont="1" applyFill="1" applyBorder="1" applyAlignment="1" applyProtection="1">
      <alignment horizontal="center" vertical="center" wrapText="1"/>
    </xf>
    <xf numFmtId="0" fontId="9" fillId="5" borderId="4" xfId="0" applyFont="1" applyFill="1" applyBorder="1" applyAlignment="1" applyProtection="1">
      <alignment horizontal="center" vertical="center"/>
    </xf>
    <xf numFmtId="0" fontId="9" fillId="5" borderId="8" xfId="0" applyFont="1" applyFill="1" applyBorder="1" applyProtection="1"/>
    <xf numFmtId="165" fontId="9" fillId="5" borderId="8" xfId="0" applyNumberFormat="1" applyFont="1" applyFill="1" applyBorder="1" applyProtection="1"/>
    <xf numFmtId="165" fontId="9" fillId="5" borderId="9" xfId="0" applyNumberFormat="1" applyFont="1" applyFill="1" applyBorder="1" applyProtection="1"/>
    <xf numFmtId="165" fontId="9" fillId="5" borderId="9" xfId="0" applyNumberFormat="1" applyFont="1" applyFill="1" applyBorder="1" applyAlignment="1" applyProtection="1">
      <alignment horizontal="center"/>
    </xf>
    <xf numFmtId="165" fontId="9" fillId="5" borderId="14" xfId="0" applyNumberFormat="1" applyFont="1" applyFill="1" applyBorder="1" applyProtection="1"/>
    <xf numFmtId="165" fontId="0" fillId="2" borderId="0" xfId="0" applyNumberFormat="1" applyFill="1" applyProtection="1"/>
    <xf numFmtId="0" fontId="9" fillId="5" borderId="10" xfId="0" applyFont="1" applyFill="1" applyBorder="1" applyProtection="1"/>
    <xf numFmtId="165" fontId="9" fillId="5" borderId="10" xfId="0" applyNumberFormat="1" applyFont="1" applyFill="1" applyBorder="1" applyProtection="1"/>
    <xf numFmtId="165" fontId="9" fillId="5" borderId="11" xfId="0" applyNumberFormat="1" applyFont="1" applyFill="1" applyBorder="1" applyProtection="1"/>
    <xf numFmtId="165" fontId="9" fillId="5" borderId="12" xfId="0" applyNumberFormat="1" applyFont="1" applyFill="1" applyBorder="1" applyAlignment="1" applyProtection="1">
      <alignment horizontal="center"/>
    </xf>
    <xf numFmtId="165" fontId="9" fillId="5" borderId="13" xfId="0" applyNumberFormat="1" applyFont="1" applyFill="1" applyBorder="1" applyProtection="1"/>
    <xf numFmtId="0" fontId="0" fillId="2" borderId="6" xfId="0" applyFill="1" applyBorder="1" applyProtection="1"/>
    <xf numFmtId="0" fontId="9" fillId="5" borderId="0" xfId="0" applyFont="1" applyFill="1" applyAlignment="1" applyProtection="1"/>
    <xf numFmtId="0" fontId="11" fillId="5" borderId="7" xfId="0" applyFont="1" applyFill="1" applyBorder="1" applyAlignment="1" applyProtection="1"/>
    <xf numFmtId="9" fontId="10" fillId="5" borderId="0" xfId="0" applyNumberFormat="1" applyFont="1" applyFill="1" applyProtection="1"/>
    <xf numFmtId="0" fontId="10" fillId="5" borderId="0" xfId="0" applyFont="1" applyFill="1" applyAlignment="1" applyProtection="1">
      <alignment horizontal="right"/>
    </xf>
    <xf numFmtId="14" fontId="10" fillId="5" borderId="0" xfId="0" applyNumberFormat="1" applyFont="1" applyFill="1" applyAlignment="1" applyProtection="1"/>
    <xf numFmtId="0" fontId="1" fillId="4" borderId="0" xfId="0" applyFont="1" applyFill="1" applyProtection="1"/>
    <xf numFmtId="0" fontId="9" fillId="5" borderId="2" xfId="0" applyFont="1" applyFill="1" applyBorder="1" applyAlignment="1" applyProtection="1">
      <alignment horizontal="left" vertical="center"/>
    </xf>
    <xf numFmtId="0" fontId="9" fillId="5" borderId="4" xfId="0" applyFont="1" applyFill="1" applyBorder="1" applyAlignment="1" applyProtection="1">
      <alignment horizontal="left" vertical="center" wrapText="1"/>
    </xf>
    <xf numFmtId="0" fontId="9" fillId="5" borderId="3" xfId="0" applyFont="1" applyFill="1" applyBorder="1" applyAlignment="1" applyProtection="1">
      <alignment horizontal="left" vertical="center" wrapText="1"/>
    </xf>
    <xf numFmtId="0" fontId="9" fillId="5" borderId="1" xfId="0" applyNumberFormat="1" applyFont="1" applyFill="1" applyBorder="1" applyAlignment="1" applyProtection="1">
      <alignment horizontal="left"/>
    </xf>
    <xf numFmtId="9" fontId="9" fillId="5" borderId="1" xfId="1" applyNumberFormat="1" applyFont="1" applyFill="1" applyBorder="1" applyAlignment="1" applyProtection="1">
      <alignment horizontal="left"/>
    </xf>
    <xf numFmtId="10" fontId="10" fillId="5" borderId="5" xfId="1" applyNumberFormat="1" applyFont="1" applyFill="1" applyBorder="1" applyAlignment="1" applyProtection="1">
      <alignment horizontal="center"/>
    </xf>
    <xf numFmtId="165" fontId="9" fillId="5" borderId="1" xfId="0" applyNumberFormat="1" applyFont="1" applyFill="1" applyBorder="1" applyAlignment="1" applyProtection="1">
      <alignment horizontal="left"/>
    </xf>
    <xf numFmtId="166" fontId="9" fillId="5" borderId="1" xfId="1" applyNumberFormat="1" applyFont="1" applyFill="1" applyBorder="1" applyAlignment="1" applyProtection="1">
      <alignment horizontal="left"/>
    </xf>
    <xf numFmtId="0" fontId="9" fillId="5" borderId="19" xfId="0" applyFont="1" applyFill="1" applyBorder="1" applyAlignment="1" applyProtection="1">
      <alignment horizontal="left" vertical="center"/>
    </xf>
    <xf numFmtId="0" fontId="9" fillId="5" borderId="20" xfId="0" applyFont="1" applyFill="1" applyBorder="1" applyAlignment="1" applyProtection="1">
      <alignment horizontal="left" vertical="center" wrapText="1"/>
    </xf>
    <xf numFmtId="0" fontId="9" fillId="5" borderId="21" xfId="0" applyFont="1" applyFill="1" applyBorder="1" applyAlignment="1" applyProtection="1">
      <alignment horizontal="left" vertical="center" wrapText="1"/>
    </xf>
    <xf numFmtId="0" fontId="14" fillId="5" borderId="17" xfId="0" applyNumberFormat="1" applyFont="1" applyFill="1" applyBorder="1" applyAlignment="1" applyProtection="1">
      <alignment horizontal="left"/>
    </xf>
    <xf numFmtId="165" fontId="14" fillId="5" borderId="17" xfId="0" applyNumberFormat="1" applyFont="1" applyFill="1" applyBorder="1" applyAlignment="1" applyProtection="1">
      <alignment horizontal="left"/>
    </xf>
    <xf numFmtId="14" fontId="0" fillId="2" borderId="0" xfId="0" applyNumberFormat="1" applyFill="1" applyProtection="1"/>
    <xf numFmtId="7" fontId="0" fillId="2" borderId="0" xfId="0" applyNumberFormat="1" applyFill="1" applyProtection="1"/>
    <xf numFmtId="0" fontId="3" fillId="5" borderId="0" xfId="0" applyFont="1" applyFill="1" applyAlignment="1" applyProtection="1">
      <alignment horizontal="right"/>
    </xf>
    <xf numFmtId="165" fontId="4" fillId="5" borderId="0" xfId="0" applyNumberFormat="1" applyFont="1" applyFill="1" applyProtection="1"/>
    <xf numFmtId="0" fontId="3" fillId="5" borderId="0" xfId="0" applyFont="1" applyFill="1" applyAlignment="1" applyProtection="1"/>
    <xf numFmtId="0" fontId="0" fillId="5" borderId="0" xfId="0" applyFill="1" applyProtection="1"/>
    <xf numFmtId="0" fontId="8" fillId="5" borderId="7" xfId="0" applyFont="1" applyFill="1" applyBorder="1" applyAlignment="1" applyProtection="1">
      <alignment horizontal="left"/>
    </xf>
    <xf numFmtId="9" fontId="4" fillId="5" borderId="0" xfId="0" applyNumberFormat="1" applyFont="1" applyFill="1" applyProtection="1"/>
    <xf numFmtId="164" fontId="5" fillId="5" borderId="0" xfId="0" applyNumberFormat="1" applyFont="1" applyFill="1" applyAlignment="1" applyProtection="1"/>
    <xf numFmtId="0" fontId="4" fillId="5" borderId="0" xfId="0" applyFont="1" applyFill="1" applyAlignment="1" applyProtection="1">
      <alignment horizontal="right"/>
    </xf>
    <xf numFmtId="0" fontId="0" fillId="5" borderId="0" xfId="0" applyFill="1" applyAlignment="1" applyProtection="1">
      <alignment horizontal="right"/>
    </xf>
    <xf numFmtId="0" fontId="4" fillId="5" borderId="0" xfId="0" applyFont="1" applyFill="1" applyAlignment="1" applyProtection="1"/>
    <xf numFmtId="14" fontId="6" fillId="5" borderId="0" xfId="0" applyNumberFormat="1" applyFont="1" applyFill="1" applyAlignment="1" applyProtection="1"/>
    <xf numFmtId="0" fontId="3" fillId="5" borderId="4" xfId="0" applyFont="1" applyFill="1" applyBorder="1" applyAlignment="1" applyProtection="1">
      <alignment horizontal="left" vertical="center" wrapText="1"/>
    </xf>
    <xf numFmtId="0" fontId="3" fillId="5" borderId="3" xfId="0" applyFont="1" applyFill="1" applyBorder="1" applyAlignment="1" applyProtection="1">
      <alignment horizontal="left" vertical="center" wrapText="1"/>
    </xf>
    <xf numFmtId="0" fontId="3" fillId="5" borderId="1" xfId="0" applyNumberFormat="1" applyFont="1" applyFill="1" applyBorder="1" applyAlignment="1" applyProtection="1">
      <alignment horizontal="left"/>
    </xf>
    <xf numFmtId="9" fontId="3" fillId="5" borderId="1" xfId="1" applyNumberFormat="1" applyFont="1" applyFill="1" applyBorder="1" applyAlignment="1" applyProtection="1">
      <alignment horizontal="left"/>
    </xf>
    <xf numFmtId="165" fontId="3" fillId="5" borderId="1" xfId="0" applyNumberFormat="1" applyFont="1" applyFill="1" applyBorder="1" applyAlignment="1" applyProtection="1">
      <alignment horizontal="left"/>
    </xf>
    <xf numFmtId="166" fontId="3" fillId="5" borderId="1" xfId="1" applyNumberFormat="1" applyFont="1" applyFill="1" applyBorder="1" applyAlignment="1" applyProtection="1">
      <alignment horizontal="left"/>
    </xf>
    <xf numFmtId="0" fontId="3" fillId="5" borderId="19" xfId="0" applyFont="1" applyFill="1" applyBorder="1" applyAlignment="1" applyProtection="1">
      <alignment horizontal="left" vertical="center"/>
    </xf>
    <xf numFmtId="0" fontId="3" fillId="5" borderId="20" xfId="0" applyFont="1" applyFill="1" applyBorder="1" applyAlignment="1" applyProtection="1">
      <alignment horizontal="left" vertical="center" wrapText="1"/>
    </xf>
    <xf numFmtId="0" fontId="3" fillId="5" borderId="21" xfId="0" applyFont="1" applyFill="1" applyBorder="1" applyAlignment="1" applyProtection="1">
      <alignment horizontal="left" vertical="center" wrapText="1"/>
    </xf>
    <xf numFmtId="0" fontId="3" fillId="5" borderId="0" xfId="0" applyNumberFormat="1" applyFont="1" applyFill="1" applyBorder="1" applyAlignment="1" applyProtection="1">
      <alignment horizontal="left"/>
    </xf>
    <xf numFmtId="165" fontId="3" fillId="5" borderId="0" xfId="0" applyNumberFormat="1" applyFont="1" applyFill="1" applyBorder="1" applyAlignment="1" applyProtection="1">
      <alignment horizontal="left"/>
    </xf>
    <xf numFmtId="0" fontId="3" fillId="5" borderId="17" xfId="0" applyNumberFormat="1" applyFont="1" applyFill="1" applyBorder="1" applyAlignment="1" applyProtection="1">
      <alignment horizontal="left"/>
    </xf>
    <xf numFmtId="165" fontId="3" fillId="5" borderId="17" xfId="0" applyNumberFormat="1" applyFont="1" applyFill="1" applyBorder="1" applyAlignment="1" applyProtection="1">
      <alignment horizontal="left"/>
    </xf>
    <xf numFmtId="0" fontId="9" fillId="6" borderId="1" xfId="0" applyFont="1" applyFill="1" applyBorder="1" applyAlignment="1" applyProtection="1">
      <alignment horizontal="left" vertical="center"/>
    </xf>
    <xf numFmtId="0" fontId="9" fillId="6" borderId="1" xfId="0" applyFont="1" applyFill="1" applyBorder="1" applyAlignment="1" applyProtection="1">
      <alignment horizontal="left"/>
    </xf>
    <xf numFmtId="0" fontId="3" fillId="6" borderId="0" xfId="0" applyFont="1" applyFill="1" applyAlignment="1" applyProtection="1">
      <alignment horizontal="right"/>
    </xf>
    <xf numFmtId="165" fontId="4" fillId="6" borderId="0" xfId="0" applyNumberFormat="1" applyFont="1" applyFill="1" applyAlignment="1" applyProtection="1">
      <alignment horizontal="right"/>
    </xf>
    <xf numFmtId="14" fontId="3" fillId="6" borderId="0" xfId="0" applyNumberFormat="1" applyFont="1" applyFill="1" applyAlignment="1" applyProtection="1">
      <alignment horizontal="right"/>
    </xf>
    <xf numFmtId="0" fontId="9" fillId="6" borderId="0" xfId="0" applyFont="1" applyFill="1" applyAlignment="1" applyProtection="1">
      <alignment horizontal="right"/>
    </xf>
    <xf numFmtId="0" fontId="9" fillId="6" borderId="0" xfId="0" applyFont="1" applyFill="1" applyBorder="1" applyAlignment="1" applyProtection="1">
      <alignment horizontal="left"/>
    </xf>
    <xf numFmtId="0" fontId="3" fillId="6" borderId="0" xfId="0" applyFont="1" applyFill="1" applyBorder="1" applyAlignment="1" applyProtection="1">
      <alignment horizontal="left"/>
    </xf>
    <xf numFmtId="7" fontId="3" fillId="6" borderId="0" xfId="0" applyNumberFormat="1" applyFont="1" applyFill="1" applyBorder="1" applyAlignment="1" applyProtection="1">
      <alignment horizontal="left"/>
    </xf>
    <xf numFmtId="165" fontId="10" fillId="6" borderId="0" xfId="0" applyNumberFormat="1" applyFont="1" applyFill="1" applyAlignment="1" applyProtection="1">
      <alignment horizontal="right"/>
    </xf>
    <xf numFmtId="14" fontId="9" fillId="6" borderId="0" xfId="0" applyNumberFormat="1" applyFont="1" applyFill="1" applyAlignment="1" applyProtection="1">
      <alignment horizontal="right"/>
    </xf>
    <xf numFmtId="9" fontId="9" fillId="6" borderId="9" xfId="1" applyNumberFormat="1" applyFont="1" applyFill="1" applyBorder="1" applyAlignment="1" applyProtection="1">
      <alignment horizontal="right"/>
    </xf>
    <xf numFmtId="9" fontId="9" fillId="6" borderId="12" xfId="1" applyNumberFormat="1" applyFont="1" applyFill="1" applyBorder="1" applyAlignment="1" applyProtection="1">
      <alignment horizontal="right"/>
    </xf>
    <xf numFmtId="9" fontId="9" fillId="5" borderId="9" xfId="1" applyNumberFormat="1" applyFont="1" applyFill="1" applyBorder="1" applyProtection="1"/>
    <xf numFmtId="9" fontId="9" fillId="5" borderId="12" xfId="1" applyNumberFormat="1" applyFont="1" applyFill="1" applyBorder="1" applyProtection="1"/>
    <xf numFmtId="0" fontId="14" fillId="6" borderId="17" xfId="0" applyFont="1" applyFill="1" applyBorder="1" applyAlignment="1" applyProtection="1">
      <alignment horizontal="left"/>
    </xf>
    <xf numFmtId="7" fontId="14" fillId="6" borderId="17" xfId="0" applyNumberFormat="1" applyFont="1" applyFill="1" applyBorder="1" applyAlignment="1" applyProtection="1">
      <alignment horizontal="left"/>
    </xf>
    <xf numFmtId="0" fontId="9" fillId="5" borderId="18" xfId="0" applyFont="1" applyFill="1" applyBorder="1" applyAlignment="1" applyProtection="1">
      <alignment horizontal="left" vertical="center" wrapText="1"/>
    </xf>
    <xf numFmtId="1" fontId="14" fillId="5" borderId="17" xfId="0" applyNumberFormat="1" applyFont="1" applyFill="1" applyBorder="1" applyAlignment="1" applyProtection="1">
      <alignment horizontal="left"/>
    </xf>
    <xf numFmtId="14" fontId="14" fillId="5" borderId="17" xfId="0" applyNumberFormat="1" applyFont="1" applyFill="1" applyBorder="1" applyAlignment="1" applyProtection="1">
      <alignment horizontal="left"/>
    </xf>
    <xf numFmtId="14" fontId="3" fillId="5" borderId="0" xfId="0" applyNumberFormat="1" applyFont="1" applyFill="1" applyBorder="1" applyAlignment="1" applyProtection="1">
      <alignment horizontal="left"/>
    </xf>
    <xf numFmtId="1" fontId="14" fillId="5" borderId="0" xfId="0" applyNumberFormat="1" applyFont="1" applyFill="1" applyBorder="1" applyAlignment="1" applyProtection="1">
      <alignment horizontal="left"/>
    </xf>
    <xf numFmtId="1" fontId="18" fillId="5" borderId="1" xfId="0" applyNumberFormat="1" applyFont="1" applyFill="1" applyBorder="1" applyAlignment="1" applyProtection="1">
      <alignment horizontal="left"/>
    </xf>
    <xf numFmtId="165" fontId="18" fillId="5" borderId="1" xfId="0" applyNumberFormat="1" applyFont="1" applyFill="1" applyBorder="1" applyAlignment="1" applyProtection="1">
      <alignment horizontal="left"/>
    </xf>
    <xf numFmtId="0" fontId="9" fillId="6" borderId="17" xfId="0" applyFont="1" applyFill="1" applyBorder="1" applyAlignment="1" applyProtection="1">
      <alignment horizontal="left"/>
    </xf>
    <xf numFmtId="0" fontId="3" fillId="6" borderId="17" xfId="0" applyFont="1" applyFill="1" applyBorder="1" applyAlignment="1" applyProtection="1">
      <alignment horizontal="left"/>
    </xf>
    <xf numFmtId="7" fontId="3" fillId="6" borderId="17" xfId="0" applyNumberFormat="1" applyFont="1" applyFill="1" applyBorder="1" applyAlignment="1" applyProtection="1">
      <alignment horizontal="left"/>
    </xf>
    <xf numFmtId="14" fontId="19" fillId="5" borderId="0" xfId="0" applyNumberFormat="1" applyFont="1" applyFill="1" applyBorder="1" applyAlignment="1" applyProtection="1">
      <alignment horizontal="left"/>
    </xf>
    <xf numFmtId="10" fontId="9" fillId="5" borderId="5" xfId="1" applyNumberFormat="1" applyFont="1" applyFill="1" applyBorder="1" applyAlignment="1" applyProtection="1">
      <alignment horizontal="center"/>
    </xf>
    <xf numFmtId="14" fontId="3" fillId="6" borderId="0" xfId="0" applyNumberFormat="1" applyFont="1" applyFill="1" applyBorder="1" applyAlignment="1" applyProtection="1">
      <alignment horizontal="left"/>
    </xf>
    <xf numFmtId="7" fontId="0" fillId="0" borderId="0" xfId="0" applyNumberFormat="1"/>
    <xf numFmtId="14" fontId="14" fillId="6" borderId="17" xfId="0" applyNumberFormat="1" applyFont="1" applyFill="1" applyBorder="1" applyAlignment="1" applyProtection="1">
      <alignment horizontal="left"/>
    </xf>
    <xf numFmtId="0" fontId="0" fillId="0" borderId="0" xfId="0" applyFill="1" applyBorder="1"/>
    <xf numFmtId="165" fontId="14" fillId="6" borderId="17" xfId="0" applyNumberFormat="1" applyFont="1" applyFill="1" applyBorder="1" applyAlignment="1" applyProtection="1">
      <alignment horizontal="left"/>
    </xf>
    <xf numFmtId="0" fontId="0" fillId="2" borderId="0" xfId="0" applyFill="1" applyAlignment="1" applyProtection="1">
      <alignment horizontal="center"/>
    </xf>
    <xf numFmtId="0" fontId="2" fillId="3" borderId="0" xfId="0" applyFont="1" applyFill="1" applyAlignment="1" applyProtection="1">
      <alignment horizontal="center"/>
    </xf>
    <xf numFmtId="165" fontId="16" fillId="5" borderId="6" xfId="0" applyNumberFormat="1" applyFont="1" applyFill="1" applyBorder="1" applyAlignment="1" applyProtection="1">
      <alignment horizontal="right"/>
    </xf>
    <xf numFmtId="0" fontId="15" fillId="5" borderId="7" xfId="0" applyFont="1" applyFill="1" applyBorder="1" applyAlignment="1" applyProtection="1">
      <alignment horizontal="left"/>
    </xf>
    <xf numFmtId="165" fontId="16" fillId="5" borderId="0" xfId="0" applyNumberFormat="1" applyFont="1" applyFill="1" applyAlignment="1" applyProtection="1">
      <alignment horizontal="right"/>
    </xf>
    <xf numFmtId="0" fontId="11" fillId="5" borderId="7" xfId="0" applyFont="1" applyFill="1" applyBorder="1" applyAlignment="1" applyProtection="1">
      <alignment horizontal="left"/>
    </xf>
    <xf numFmtId="165" fontId="12" fillId="5" borderId="0" xfId="0" applyNumberFormat="1" applyFont="1" applyFill="1" applyAlignment="1" applyProtection="1"/>
    <xf numFmtId="165" fontId="12" fillId="5" borderId="6" xfId="0" applyNumberFormat="1" applyFont="1" applyFill="1" applyBorder="1" applyAlignment="1" applyProtection="1">
      <alignment horizontal="right"/>
    </xf>
    <xf numFmtId="164" fontId="12" fillId="5" borderId="0" xfId="0" applyNumberFormat="1" applyFont="1" applyFill="1" applyAlignment="1" applyProtection="1"/>
    <xf numFmtId="0" fontId="9" fillId="5" borderId="7" xfId="0" applyFont="1" applyFill="1" applyBorder="1" applyAlignment="1" applyProtection="1">
      <alignment horizontal="center"/>
    </xf>
    <xf numFmtId="165" fontId="10" fillId="6" borderId="6" xfId="0" applyNumberFormat="1" applyFont="1" applyFill="1" applyBorder="1" applyAlignment="1" applyProtection="1"/>
    <xf numFmtId="165" fontId="10" fillId="6" borderId="0" xfId="0" applyNumberFormat="1" applyFont="1" applyFill="1" applyAlignment="1" applyProtection="1"/>
    <xf numFmtId="1" fontId="10" fillId="5" borderId="0" xfId="0" applyNumberFormat="1" applyFont="1" applyFill="1" applyAlignment="1" applyProtection="1"/>
    <xf numFmtId="0" fontId="4" fillId="2" borderId="15" xfId="0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</xf>
    <xf numFmtId="0" fontId="4" fillId="2" borderId="16" xfId="0" applyFont="1" applyFill="1" applyBorder="1" applyAlignment="1" applyProtection="1">
      <alignment horizontal="center"/>
    </xf>
    <xf numFmtId="165" fontId="4" fillId="6" borderId="0" xfId="0" applyNumberFormat="1" applyFont="1" applyFill="1" applyAlignment="1" applyProtection="1"/>
    <xf numFmtId="1" fontId="4" fillId="5" borderId="0" xfId="0" applyNumberFormat="1" applyFont="1" applyFill="1" applyAlignment="1" applyProtection="1"/>
    <xf numFmtId="0" fontId="3" fillId="5" borderId="7" xfId="0" applyFont="1" applyFill="1" applyBorder="1" applyAlignment="1" applyProtection="1">
      <alignment horizontal="center"/>
    </xf>
    <xf numFmtId="0" fontId="8" fillId="5" borderId="7" xfId="0" applyFont="1" applyFill="1" applyBorder="1" applyAlignment="1" applyProtection="1">
      <alignment horizontal="left"/>
    </xf>
    <xf numFmtId="165" fontId="5" fillId="5" borderId="0" xfId="0" applyNumberFormat="1" applyFont="1" applyFill="1" applyAlignment="1" applyProtection="1"/>
    <xf numFmtId="165" fontId="5" fillId="5" borderId="6" xfId="0" applyNumberFormat="1" applyFont="1" applyFill="1" applyBorder="1" applyAlignment="1" applyProtection="1">
      <alignment horizontal="right"/>
    </xf>
    <xf numFmtId="164" fontId="5" fillId="5" borderId="6" xfId="0" applyNumberFormat="1" applyFont="1" applyFill="1" applyBorder="1" applyAlignment="1" applyProtection="1">
      <alignment horizontal="right"/>
    </xf>
    <xf numFmtId="0" fontId="3" fillId="0" borderId="15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</cellXfs>
  <cellStyles count="2">
    <cellStyle name="Normal" xfId="0" builtinId="0"/>
    <cellStyle name="Porcentagem" xfId="1" builtinId="5"/>
  </cellStyles>
  <dxfs count="142">
    <dxf>
      <numFmt numFmtId="13" formatCode="0%"/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4" formatCode="0.00%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3" formatCode="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fill>
        <patternFill patternType="solid">
          <fgColor rgb="FF000000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numFmt numFmtId="19" formatCode="dd/mm/yyyy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1" formatCode="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fill>
        <patternFill patternType="solid">
          <fgColor rgb="FF000000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4" tint="-0.499984740745262"/>
      </font>
      <fill>
        <patternFill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4" formatCode="0.00%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3" formatCode="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numFmt numFmtId="19" formatCode="dd/mm/yyyy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4" tint="-0.499984740745262"/>
      </font>
      <fill>
        <patternFill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Gill Sans MT"/>
        <family val="2"/>
        <scheme val="minor"/>
      </font>
      <numFmt numFmtId="14" formatCode="0.00%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3" formatCode="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9" formatCode="dd/mm/yyyy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" formatCode="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6" tint="-0.499984740745262"/>
      </font>
      <fill>
        <patternFill>
          <bgColor theme="9" tint="0.3999450666829432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border diagonalUp="0" diagonalDown="0">
        <left style="hair">
          <color theme="1" tint="0.499984740745262"/>
        </left>
        <right/>
        <top style="thin">
          <color auto="1"/>
        </top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theme="1" tint="0.499984740745262"/>
        </left>
        <right style="hair">
          <color theme="1" tint="0.499984740745262"/>
        </right>
        <top/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3" formatCode="0%"/>
      <fill>
        <patternFill patternType="solid">
          <fgColor indexed="64"/>
          <bgColor rgb="FFE8DE87"/>
        </patternFill>
      </fill>
      <border diagonalUp="0" diagonalDown="0" outline="0">
        <left style="hair">
          <color theme="1" tint="0.499984740745262"/>
        </left>
        <right style="hair">
          <color theme="1" tint="0.499984740745262"/>
        </right>
        <top/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3" formatCode="0%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justifyLastLine="0" shrinkToFit="0" readingOrder="0"/>
      <border diagonalUp="0" diagonalDown="0" outline="0">
        <left style="hair">
          <color theme="1" tint="0.499984740745262"/>
        </left>
        <right style="hair">
          <color theme="1" tint="0.499984740745262"/>
        </right>
        <top/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theme="1" tint="0.499984740745262"/>
        </left>
        <right style="hair">
          <color theme="1" tint="0.499984740745262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4" formatCode="0.00%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theme="1" tint="0.499984740745262"/>
        </left>
        <right style="hair">
          <color theme="1" tint="0.499984740745262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border diagonalUp="0" diagonalDown="0">
        <left style="hair">
          <color theme="1" tint="0.499984740745262"/>
        </left>
        <right style="hair">
          <color theme="1" tint="0.499984740745262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border diagonalUp="0" diagonalDown="0">
        <left/>
        <right style="hair">
          <color theme="1" tint="0.499984740745262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protection locked="1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center" vertical="center" textRotation="0" wrapText="0" indent="0" justifyLastLine="0" shrinkToFit="0" readingOrder="0"/>
      <protection locked="1" hidden="0"/>
    </dxf>
    <dxf>
      <border diagonalDown="1">
        <top style="thin">
          <color auto="1"/>
        </top>
        <bottom style="thin">
          <color auto="1"/>
        </bottom>
        <diagonal style="thin">
          <color auto="1"/>
        </diagonal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font>
        <b/>
        <i val="0"/>
      </font>
      <fill>
        <patternFill>
          <fgColor rgb="FFECF692"/>
        </patternFill>
      </fill>
      <border diagonalDown="1">
        <diagonal style="medium">
          <color auto="1"/>
        </diagonal>
        <vertical style="thin">
          <color auto="1"/>
        </vertical>
        <horizontal style="thick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</dxfs>
  <tableStyles count="2" defaultTableStyle="TableStyleMedium2" defaultPivotStyle="PivotStyleLight16">
    <tableStyle name="Estilo de Tabela 1" pivot="0" count="0" xr9:uid="{F8746301-ACC5-41C5-99AF-3B6588C59D37}"/>
    <tableStyle name="Estilo de Tabela 2" pivot="0" count="8" xr9:uid="{5998484C-7602-4432-9C4D-8618035B5DFC}">
      <tableStyleElement type="wholeTable" dxfId="141"/>
      <tableStyleElement type="headerRow" dxfId="140"/>
      <tableStyleElement type="firstColumn" dxfId="139"/>
      <tableStyleElement type="lastColumn" dxfId="138"/>
      <tableStyleElement type="firstRowStripe" dxfId="137"/>
      <tableStyleElement type="secondRowStripe" dxfId="136"/>
      <tableStyleElement type="firstColumnStripe" dxfId="135"/>
      <tableStyleElement type="secondColumnStripe" dxfId="134"/>
    </tableStyle>
  </tableStyles>
  <colors>
    <mruColors>
      <color rgb="FFE8DE87"/>
      <color rgb="FFAC9DE8"/>
      <color rgb="FFECF692"/>
      <color rgb="FFEFF79F"/>
      <color rgb="FFDE9AF5"/>
      <color rgb="FFDEEF3D"/>
      <color rgb="FFE4F260"/>
      <color rgb="FFDAED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'Visão Geral'!$J$11</c:f>
              <c:strCache>
                <c:ptCount val="1"/>
                <c:pt idx="0">
                  <c:v>Peso atual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5FC-4919-9CCC-29629021000B}"/>
              </c:ext>
            </c:extLst>
          </c:dPt>
          <c:dPt>
            <c:idx val="1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5FC-4919-9CCC-29629021000B}"/>
              </c:ext>
            </c:extLst>
          </c:dPt>
          <c:dPt>
            <c:idx val="2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D5FC-4919-9CCC-29629021000B}"/>
              </c:ext>
            </c:extLst>
          </c:dPt>
          <c:cat>
            <c:strRef>
              <c:f>'Visão Geral'!$D$12:$D$14</c:f>
              <c:strCache>
                <c:ptCount val="3"/>
                <c:pt idx="0">
                  <c:v>Ações</c:v>
                </c:pt>
                <c:pt idx="1">
                  <c:v>BDRs</c:v>
                </c:pt>
                <c:pt idx="2">
                  <c:v>FIIs</c:v>
                </c:pt>
              </c:strCache>
            </c:strRef>
          </c:cat>
          <c:val>
            <c:numRef>
              <c:f>'Visão Geral'!$J$12:$J$14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FC-4919-9CCC-296290210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325861469337609"/>
          <c:y val="2.0436037071824367E-2"/>
          <c:w val="0.19291962654641329"/>
          <c:h val="0.943035031388026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Patrimônio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Investido x Atual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Patrimônio!$X$1</c:f>
              <c:strCache>
                <c:ptCount val="1"/>
                <c:pt idx="0">
                  <c:v>Investido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Patrimônio!$X$2:$X$13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E-494D-B967-0EA5DB20322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879809231"/>
        <c:axId val="879802991"/>
      </c:barChart>
      <c:lineChart>
        <c:grouping val="standard"/>
        <c:varyColors val="0"/>
        <c:ser>
          <c:idx val="1"/>
          <c:order val="1"/>
          <c:tx>
            <c:strRef>
              <c:f>Patrimônio!$Y$1</c:f>
              <c:strCache>
                <c:ptCount val="1"/>
                <c:pt idx="0">
                  <c:v>Atual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Patrimônio!$Y$2:$Y$13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8E-494D-B967-0EA5DB203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4560063"/>
        <c:axId val="1914558399"/>
      </c:line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0"/>
        <c:axPos val="l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60063"/>
        <c:crosses val="autoZero"/>
        <c:crossBetween val="between"/>
      </c:valAx>
      <c:valAx>
        <c:axId val="879802991"/>
        <c:scaling>
          <c:orientation val="minMax"/>
        </c:scaling>
        <c:delete val="1"/>
        <c:axPos val="r"/>
        <c:numFmt formatCode="&quot;R$&quot;\ #,##0.00" sourceLinked="1"/>
        <c:majorTickMark val="out"/>
        <c:minorTickMark val="none"/>
        <c:tickLblPos val="nextTo"/>
        <c:crossAx val="879809231"/>
        <c:crosses val="max"/>
        <c:crossBetween val="between"/>
      </c:valAx>
      <c:dateAx>
        <c:axId val="87980923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79802991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Carteira - Renda Variável.xlsm]Patrimônio!Tabela dinâmica1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Total de Proventos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Patrimônio!$R$22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Patrimônio!$Q$23:$Q$36</c:f>
              <c:multiLvlStrCache>
                <c:ptCount val="12"/>
                <c:lvl>
                  <c:pt idx="0">
                    <c:v>jan</c:v>
                  </c:pt>
                  <c:pt idx="1">
                    <c:v>fev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mai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set</c:v>
                  </c:pt>
                  <c:pt idx="9">
                    <c:v>out</c:v>
                  </c:pt>
                  <c:pt idx="10">
                    <c:v>nov</c:v>
                  </c:pt>
                  <c:pt idx="11">
                    <c:v>dez</c:v>
                  </c:pt>
                </c:lvl>
                <c:lvl>
                  <c:pt idx="0">
                    <c:v>2022</c:v>
                  </c:pt>
                </c:lvl>
              </c:multiLvlStrCache>
            </c:multiLvlStrRef>
          </c:cat>
          <c:val>
            <c:numRef>
              <c:f>Patrimônio!$R$23:$R$36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9A-45CE-A162-AC2AC772D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9150639"/>
        <c:axId val="1479146063"/>
      </c:barChart>
      <c:catAx>
        <c:axId val="1479150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46063"/>
        <c:crosses val="autoZero"/>
        <c:auto val="1"/>
        <c:lblAlgn val="ctr"/>
        <c:lblOffset val="100"/>
        <c:noMultiLvlLbl val="0"/>
      </c:catAx>
      <c:valAx>
        <c:axId val="1479146063"/>
        <c:scaling>
          <c:orientation val="minMax"/>
        </c:scaling>
        <c:delete val="0"/>
        <c:axPos val="l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50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noFill/>
      <a:round/>
    </a:ln>
    <a:effectLst>
      <a:softEdge rad="0"/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Carteira - Renda Variável.xlsm]Auxiliar!Div_Setorial_Ações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Diversificação por Setor</a:t>
            </a:r>
            <a:endParaRPr lang="en-US" sz="1600" b="1" baseline="0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ln>
            <a:solidFill>
              <a:schemeClr val="lt1"/>
            </a:solidFill>
          </a:ln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</c:pivotFmts>
    <c:plotArea>
      <c:layout/>
      <c:pieChart>
        <c:varyColors val="1"/>
        <c:ser>
          <c:idx val="0"/>
          <c:order val="0"/>
          <c:tx>
            <c:strRef>
              <c:f>Auxiliar!$D$5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lt1"/>
              </a:solidFill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F-C962-4C8E-BC7D-225CC06AE474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11-C962-4C8E-BC7D-225CC06AE474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13-C962-4C8E-BC7D-225CC06AE474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15-C962-4C8E-BC7D-225CC06AE474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17-C962-4C8E-BC7D-225CC06AE474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19-C962-4C8E-BC7D-225CC06AE474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Auxiliar!$C$6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Auxiliar!$D$6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962-4C8E-BC7D-225CC06AE47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Diversificação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por Ação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Ações!$O$18</c:f>
              <c:strCache>
                <c:ptCount val="1"/>
                <c:pt idx="0">
                  <c:v>%Atual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Ações!$D$19:$D$19</c:f>
              <c:numCache>
                <c:formatCode>General</c:formatCode>
                <c:ptCount val="1"/>
              </c:numCache>
            </c:numRef>
          </c:cat>
          <c:val>
            <c:numRef>
              <c:f>Ações!$O$19:$O$19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63-480B-B99C-6A6B1ABB393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1914560063"/>
        <c:axId val="1914558399"/>
      </c:barChart>
      <c:barChart>
        <c:barDir val="col"/>
        <c:grouping val="stacked"/>
        <c:varyColors val="0"/>
        <c:ser>
          <c:idx val="1"/>
          <c:order val="1"/>
          <c:tx>
            <c:strRef>
              <c:f>Ações!$N$18</c:f>
              <c:strCache>
                <c:ptCount val="1"/>
                <c:pt idx="0">
                  <c:v>%ideal</c:v>
                </c:pt>
              </c:strCache>
            </c:strRef>
          </c:tx>
          <c:spPr>
            <a:noFill/>
            <a:ln w="25400" cap="rnd">
              <a:solidFill>
                <a:schemeClr val="accent6">
                  <a:lumMod val="75000"/>
                </a:schemeClr>
              </a:solidFill>
              <a:prstDash val="dash"/>
            </a:ln>
            <a:effectLst/>
          </c:spPr>
          <c:invertIfNegative val="0"/>
          <c:dLbls>
            <c:delete val="1"/>
          </c:dLbls>
          <c:cat>
            <c:numRef>
              <c:f>Ações!$D$19:$D$19</c:f>
              <c:numCache>
                <c:formatCode>General</c:formatCode>
                <c:ptCount val="1"/>
              </c:numCache>
            </c:numRef>
          </c:cat>
          <c:val>
            <c:numRef>
              <c:f>Ações!$N$19:$N$19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63-480B-B99C-6A6B1ABB393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291053775"/>
        <c:axId val="1291051695"/>
      </c:barChart>
      <c:catAx>
        <c:axId val="1914560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Algn val="ctr"/>
        <c:lblOffset val="100"/>
        <c:noMultiLvlLbl val="0"/>
      </c:catAx>
      <c:valAx>
        <c:axId val="1914558399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1914560063"/>
        <c:crosses val="autoZero"/>
        <c:crossBetween val="between"/>
      </c:valAx>
      <c:valAx>
        <c:axId val="1291051695"/>
        <c:scaling>
          <c:orientation val="minMax"/>
        </c:scaling>
        <c:delete val="1"/>
        <c:axPos val="r"/>
        <c:numFmt formatCode="0.0%" sourceLinked="1"/>
        <c:majorTickMark val="out"/>
        <c:minorTickMark val="none"/>
        <c:tickLblPos val="nextTo"/>
        <c:crossAx val="1291053775"/>
        <c:crosses val="max"/>
        <c:crossBetween val="between"/>
      </c:valAx>
      <c:catAx>
        <c:axId val="12910537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9105169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Patrimônio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Investido x Atual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Patrimônio!$R$1</c:f>
              <c:strCache>
                <c:ptCount val="1"/>
                <c:pt idx="0">
                  <c:v>Investido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Patrimônio!$R$2:$R$13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0F-493A-BB81-5F29213B7C6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879809231"/>
        <c:axId val="879802991"/>
      </c:barChart>
      <c:lineChart>
        <c:grouping val="standard"/>
        <c:varyColors val="0"/>
        <c:ser>
          <c:idx val="1"/>
          <c:order val="1"/>
          <c:tx>
            <c:strRef>
              <c:f>Patrimônio!$S$1</c:f>
              <c:strCache>
                <c:ptCount val="1"/>
                <c:pt idx="0">
                  <c:v>Atual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Patrimônio!$S$2:$S$13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0F-493A-BB81-5F29213B7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4560063"/>
        <c:axId val="1914558399"/>
      </c:line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0"/>
        <c:axPos val="l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60063"/>
        <c:crosses val="autoZero"/>
        <c:crossBetween val="between"/>
      </c:valAx>
      <c:valAx>
        <c:axId val="879802991"/>
        <c:scaling>
          <c:orientation val="minMax"/>
        </c:scaling>
        <c:delete val="1"/>
        <c:axPos val="r"/>
        <c:numFmt formatCode="&quot;R$&quot;\ #,##0.00" sourceLinked="1"/>
        <c:majorTickMark val="out"/>
        <c:minorTickMark val="none"/>
        <c:tickLblPos val="nextTo"/>
        <c:crossAx val="879809231"/>
        <c:crosses val="max"/>
        <c:crossBetween val="between"/>
      </c:valAx>
      <c:dateAx>
        <c:axId val="87980923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79802991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Proventos Mensais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Patrimônio!$Z$1</c:f>
              <c:strCache>
                <c:ptCount val="1"/>
                <c:pt idx="0">
                  <c:v>R. Ações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Patrimônio!$Z$2:$Z$13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91-4F87-BDA6-13A743537AA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914560063"/>
        <c:axId val="1914558399"/>
      </c:bar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0"/>
        <c:axPos val="l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60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Carteira - Renda Variável.xlsm]Auxiliar!Div_Setorial_BDRs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Diversificação por Setor</a:t>
            </a:r>
            <a:endParaRPr lang="en-US" sz="1600" b="1" baseline="0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ln>
            <a:solidFill>
              <a:schemeClr val="lt1">
                <a:alpha val="74000"/>
              </a:schemeClr>
            </a:solidFill>
          </a:ln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  <c:spPr>
          <a:ln>
            <a:solidFill>
              <a:schemeClr val="lt1">
                <a:alpha val="74000"/>
              </a:schemeClr>
            </a:solidFill>
          </a:ln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>
            <a:solidFill>
              <a:schemeClr val="lt1">
                <a:alpha val="74000"/>
              </a:schemeClr>
            </a:solidFill>
          </a:ln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>
            <a:solidFill>
              <a:schemeClr val="lt1">
                <a:alpha val="74000"/>
              </a:schemeClr>
            </a:solidFill>
          </a:ln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Auxiliar!$I$5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lt1">
                  <a:alpha val="74000"/>
                </a:schemeClr>
              </a:solidFill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7-10AC-49F9-B18B-EF2822AFCD27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8-10AC-49F9-B18B-EF2822AFCD2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9-10AC-49F9-B18B-EF2822AFCD27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A-10AC-49F9-B18B-EF2822AFCD27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B-10AC-49F9-B18B-EF2822AFCD27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C-10AC-49F9-B18B-EF2822AFCD27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Auxiliar!$H$6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Auxiliar!$I$6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0AC-49F9-B18B-EF2822AFCD2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Diversificação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por Ação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Ações!$O$18</c:f>
              <c:strCache>
                <c:ptCount val="1"/>
                <c:pt idx="0">
                  <c:v>%Atual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2">
                        <a:lumMod val="1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BDRs!$D$19:$D$19</c:f>
              <c:numCache>
                <c:formatCode>General</c:formatCode>
                <c:ptCount val="1"/>
              </c:numCache>
            </c:numRef>
          </c:cat>
          <c:val>
            <c:numRef>
              <c:f>BDRs!$O$19:$O$19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F6-4F97-BAFB-DD896D40DD0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1914560063"/>
        <c:axId val="1914558399"/>
      </c:barChart>
      <c:barChart>
        <c:barDir val="col"/>
        <c:grouping val="stacked"/>
        <c:varyColors val="0"/>
        <c:ser>
          <c:idx val="1"/>
          <c:order val="1"/>
          <c:tx>
            <c:strRef>
              <c:f>BDRs!$N$18</c:f>
              <c:strCache>
                <c:ptCount val="1"/>
                <c:pt idx="0">
                  <c:v>%ideal</c:v>
                </c:pt>
              </c:strCache>
            </c:strRef>
          </c:tx>
          <c:spPr>
            <a:noFill/>
            <a:ln w="25400" cap="rnd">
              <a:solidFill>
                <a:schemeClr val="accent6">
                  <a:lumMod val="75000"/>
                </a:schemeClr>
              </a:solidFill>
              <a:prstDash val="dash"/>
            </a:ln>
            <a:effectLst/>
          </c:spPr>
          <c:invertIfNegative val="0"/>
          <c:dLbls>
            <c:delete val="1"/>
          </c:dLbls>
          <c:cat>
            <c:numRef>
              <c:f>BDRs!$D$19:$D$19</c:f>
              <c:numCache>
                <c:formatCode>General</c:formatCode>
                <c:ptCount val="1"/>
              </c:numCache>
            </c:numRef>
          </c:cat>
          <c:val>
            <c:numRef>
              <c:f>BDRs!$N$19:$N$19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F6-4F97-BAFB-DD896D40DD0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291053775"/>
        <c:axId val="1291051695"/>
      </c:barChart>
      <c:catAx>
        <c:axId val="1914560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Algn val="ctr"/>
        <c:lblOffset val="100"/>
        <c:noMultiLvlLbl val="0"/>
      </c:catAx>
      <c:valAx>
        <c:axId val="1914558399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1914560063"/>
        <c:crosses val="autoZero"/>
        <c:crossBetween val="between"/>
      </c:valAx>
      <c:valAx>
        <c:axId val="1291051695"/>
        <c:scaling>
          <c:orientation val="minMax"/>
        </c:scaling>
        <c:delete val="1"/>
        <c:axPos val="r"/>
        <c:numFmt formatCode="0.0%" sourceLinked="1"/>
        <c:majorTickMark val="out"/>
        <c:minorTickMark val="none"/>
        <c:tickLblPos val="nextTo"/>
        <c:crossAx val="1291053775"/>
        <c:crosses val="max"/>
        <c:crossBetween val="between"/>
      </c:valAx>
      <c:catAx>
        <c:axId val="12910537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9105169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Patrimônio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Investido x Atual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Patrimônio!$T$1</c:f>
              <c:strCache>
                <c:ptCount val="1"/>
                <c:pt idx="0">
                  <c:v>Investido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Patrimônio!$T$2:$T$13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3B-4400-B317-16C4CFB851C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879809231"/>
        <c:axId val="879802991"/>
      </c:barChart>
      <c:lineChart>
        <c:grouping val="standard"/>
        <c:varyColors val="0"/>
        <c:ser>
          <c:idx val="1"/>
          <c:order val="1"/>
          <c:tx>
            <c:strRef>
              <c:f>Patrimônio!$U$1</c:f>
              <c:strCache>
                <c:ptCount val="1"/>
                <c:pt idx="0">
                  <c:v>Atual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Patrimônio!$U$2:$U$13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3B-4400-B317-16C4CFB85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4560063"/>
        <c:axId val="1914558399"/>
      </c:line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0"/>
        <c:axPos val="l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60063"/>
        <c:crosses val="autoZero"/>
        <c:crossBetween val="between"/>
      </c:valAx>
      <c:valAx>
        <c:axId val="879802991"/>
        <c:scaling>
          <c:orientation val="minMax"/>
        </c:scaling>
        <c:delete val="1"/>
        <c:axPos val="r"/>
        <c:numFmt formatCode="&quot;R$&quot;\ #,##0.00" sourceLinked="1"/>
        <c:majorTickMark val="out"/>
        <c:minorTickMark val="none"/>
        <c:tickLblPos val="nextTo"/>
        <c:crossAx val="879809231"/>
        <c:crosses val="max"/>
        <c:crossBetween val="between"/>
      </c:valAx>
      <c:dateAx>
        <c:axId val="87980923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79802991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Proventos Mensais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Patrimônio!$AA$1</c:f>
              <c:strCache>
                <c:ptCount val="1"/>
                <c:pt idx="0">
                  <c:v>R. BDRs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Patrimônio!$AA$2:$AA$13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3E-4DB1-8D74-996B702098D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914560063"/>
        <c:axId val="1914558399"/>
      </c:bar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0"/>
        <c:axPos val="l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60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Diversificação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por Fundo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Ações!$O$18</c:f>
              <c:strCache>
                <c:ptCount val="1"/>
                <c:pt idx="0">
                  <c:v>%Atual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2">
                        <a:lumMod val="1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FIIs!$D$19:$D$19</c:f>
              <c:numCache>
                <c:formatCode>General</c:formatCode>
                <c:ptCount val="1"/>
              </c:numCache>
            </c:numRef>
          </c:cat>
          <c:val>
            <c:numRef>
              <c:f>FIIs!$O$19:$O$19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D1-4515-AFAC-0B0104BE902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1914560063"/>
        <c:axId val="1914558399"/>
      </c:barChart>
      <c:barChart>
        <c:barDir val="col"/>
        <c:grouping val="stacked"/>
        <c:varyColors val="0"/>
        <c:ser>
          <c:idx val="1"/>
          <c:order val="1"/>
          <c:tx>
            <c:strRef>
              <c:f>FIIs!$N$18</c:f>
              <c:strCache>
                <c:ptCount val="1"/>
                <c:pt idx="0">
                  <c:v>%ideal</c:v>
                </c:pt>
              </c:strCache>
            </c:strRef>
          </c:tx>
          <c:spPr>
            <a:noFill/>
            <a:ln w="25400" cap="rnd">
              <a:solidFill>
                <a:schemeClr val="accent6">
                  <a:lumMod val="75000"/>
                </a:schemeClr>
              </a:solidFill>
              <a:prstDash val="dash"/>
            </a:ln>
            <a:effectLst/>
          </c:spPr>
          <c:invertIfNegative val="0"/>
          <c:dLbls>
            <c:delete val="1"/>
          </c:dLbls>
          <c:cat>
            <c:numRef>
              <c:f>FIIs!$D$19:$D$19</c:f>
              <c:numCache>
                <c:formatCode>General</c:formatCode>
                <c:ptCount val="1"/>
              </c:numCache>
            </c:numRef>
          </c:cat>
          <c:val>
            <c:numRef>
              <c:f>FIIs!$N$19:$N$19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D1-4515-AFAC-0B0104BE902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291053775"/>
        <c:axId val="1291051695"/>
      </c:barChart>
      <c:catAx>
        <c:axId val="1914560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Algn val="ctr"/>
        <c:lblOffset val="100"/>
        <c:noMultiLvlLbl val="0"/>
      </c:catAx>
      <c:valAx>
        <c:axId val="1914558399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1914560063"/>
        <c:crosses val="autoZero"/>
        <c:crossBetween val="between"/>
      </c:valAx>
      <c:valAx>
        <c:axId val="1291051695"/>
        <c:scaling>
          <c:orientation val="minMax"/>
        </c:scaling>
        <c:delete val="1"/>
        <c:axPos val="r"/>
        <c:numFmt formatCode="0.0%" sourceLinked="1"/>
        <c:majorTickMark val="out"/>
        <c:minorTickMark val="none"/>
        <c:tickLblPos val="nextTo"/>
        <c:crossAx val="1291053775"/>
        <c:crosses val="max"/>
        <c:crossBetween val="between"/>
      </c:valAx>
      <c:catAx>
        <c:axId val="12910537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9105169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Patrimônio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Investido x Atual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Patrimônio!$V$1</c:f>
              <c:strCache>
                <c:ptCount val="1"/>
                <c:pt idx="0">
                  <c:v>Investido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Patrimônio!$V$2:$V$13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34-462D-A1DD-3C2D3C93B40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879809231"/>
        <c:axId val="879802991"/>
      </c:barChart>
      <c:lineChart>
        <c:grouping val="standard"/>
        <c:varyColors val="0"/>
        <c:ser>
          <c:idx val="1"/>
          <c:order val="1"/>
          <c:tx>
            <c:strRef>
              <c:f>Patrimônio!$W$1</c:f>
              <c:strCache>
                <c:ptCount val="1"/>
                <c:pt idx="0">
                  <c:v>Atual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Patrimônio!$W$2:$W$13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34-462D-A1DD-3C2D3C93B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4560063"/>
        <c:axId val="1914558399"/>
      </c:line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0"/>
        <c:axPos val="l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60063"/>
        <c:crosses val="autoZero"/>
        <c:crossBetween val="between"/>
      </c:valAx>
      <c:valAx>
        <c:axId val="879802991"/>
        <c:scaling>
          <c:orientation val="minMax"/>
        </c:scaling>
        <c:delete val="1"/>
        <c:axPos val="r"/>
        <c:numFmt formatCode="&quot;R$&quot;\ #,##0.00" sourceLinked="1"/>
        <c:majorTickMark val="out"/>
        <c:minorTickMark val="none"/>
        <c:tickLblPos val="nextTo"/>
        <c:crossAx val="879809231"/>
        <c:crosses val="max"/>
        <c:crossBetween val="between"/>
      </c:valAx>
      <c:dateAx>
        <c:axId val="87980923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79802991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Proventos Mensais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Patrimônio!$AB$1</c:f>
              <c:strCache>
                <c:ptCount val="1"/>
                <c:pt idx="0">
                  <c:v>R.  FIIs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Patrimônio!$AB$2:$AB$13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B8-41FD-A21B-AE8B8487D16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914560063"/>
        <c:axId val="1914558399"/>
      </c:bar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0"/>
        <c:axPos val="l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60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Carteira - Renda Variável.xlsm]Auxiliar!Tabela dinâmica1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rPr>
              <a:t>Diversificação por Tipo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9525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separator>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chemeClr val="accent1"/>
          </a:solidFill>
          <a:ln w="9525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1"/>
          <c:separator>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chemeClr val="accent1"/>
          </a:solidFill>
          <a:ln w="9525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9525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9525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Auxiliar!$Q$5</c:f>
              <c:strCache>
                <c:ptCount val="1"/>
                <c:pt idx="0">
                  <c:v>Total</c:v>
                </c:pt>
              </c:strCache>
            </c:strRef>
          </c:tx>
          <c:spPr>
            <a:ln w="9525"/>
          </c:spPr>
          <c:dPt>
            <c:idx val="0"/>
            <c:bubble3D val="0"/>
            <c:spPr>
              <a:solidFill>
                <a:schemeClr val="accent1"/>
              </a:solidFill>
              <a:ln w="9525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D-4F06-9D50-86671B8F10C9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9525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D-4F06-9D50-86671B8F10C9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9525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6D-4F06-9D50-86671B8F10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Auxiliar!$P$6:$P$7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Auxiliar!$Q$6:$Q$7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66D-4F06-9D50-86671B8F1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Patrimônio!$P$2" max="30000" min="2" page="10" val="75"/>
</file>

<file path=xl/ctrlProps/ctrlProp2.xml><?xml version="1.0" encoding="utf-8"?>
<formControlPr xmlns="http://schemas.microsoft.com/office/spreadsheetml/2009/9/main" objectType="Spin" dx="22" fmlaLink="Patrimônio!$P$2" max="30000" min="2" page="10" val="75"/>
</file>

<file path=xl/ctrlProps/ctrlProp3.xml><?xml version="1.0" encoding="utf-8"?>
<formControlPr xmlns="http://schemas.microsoft.com/office/spreadsheetml/2009/9/main" objectType="Spin" dx="22" fmlaLink="Patrimônio!$P$2" max="30000" min="2" page="10" val="75"/>
</file>

<file path=xl/ctrlProps/ctrlProp4.xml><?xml version="1.0" encoding="utf-8"?>
<formControlPr xmlns="http://schemas.microsoft.com/office/spreadsheetml/2009/9/main" objectType="Spin" dx="22" fmlaLink="Patrimônio!$P$2" max="30000" min="2" page="10" val="75"/>
</file>

<file path=xl/ctrlProps/ctrlProp5.xml><?xml version="1.0" encoding="utf-8"?>
<formControlPr xmlns="http://schemas.microsoft.com/office/spreadsheetml/2009/9/main" objectType="Spin" dx="22" fmlaLink="$P$2" max="30000" min="2" page="10" val="75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image" Target="../media/image1.png"/><Relationship Id="rId7" Type="http://schemas.openxmlformats.org/officeDocument/2006/relationships/hyperlink" Target="#FIIs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BDRs!A1"/><Relationship Id="rId11" Type="http://schemas.openxmlformats.org/officeDocument/2006/relationships/image" Target="../media/image5.svg"/><Relationship Id="rId5" Type="http://schemas.openxmlformats.org/officeDocument/2006/relationships/hyperlink" Target="#A&#231;&#245;es!A1"/><Relationship Id="rId10" Type="http://schemas.openxmlformats.org/officeDocument/2006/relationships/image" Target="../media/image4.png"/><Relationship Id="rId4" Type="http://schemas.openxmlformats.org/officeDocument/2006/relationships/image" Target="../media/image2.sv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BDRs!A1"/><Relationship Id="rId3" Type="http://schemas.openxmlformats.org/officeDocument/2006/relationships/chart" Target="../charts/chart6.xml"/><Relationship Id="rId7" Type="http://schemas.openxmlformats.org/officeDocument/2006/relationships/hyperlink" Target="#'Vis&#227;o Geral'!A1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image" Target="../media/image6.svg"/><Relationship Id="rId11" Type="http://schemas.openxmlformats.org/officeDocument/2006/relationships/image" Target="../media/image5.svg"/><Relationship Id="rId5" Type="http://schemas.openxmlformats.org/officeDocument/2006/relationships/image" Target="../media/image1.png"/><Relationship Id="rId10" Type="http://schemas.openxmlformats.org/officeDocument/2006/relationships/image" Target="../media/image4.png"/><Relationship Id="rId4" Type="http://schemas.openxmlformats.org/officeDocument/2006/relationships/chart" Target="../charts/chart7.xml"/><Relationship Id="rId9" Type="http://schemas.openxmlformats.org/officeDocument/2006/relationships/hyperlink" Target="#FIIs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&#231;&#245;es!A1"/><Relationship Id="rId3" Type="http://schemas.openxmlformats.org/officeDocument/2006/relationships/chart" Target="../charts/chart10.xml"/><Relationship Id="rId7" Type="http://schemas.openxmlformats.org/officeDocument/2006/relationships/hyperlink" Target="#'Vis&#227;o Geral'!A1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image" Target="../media/image6.svg"/><Relationship Id="rId11" Type="http://schemas.openxmlformats.org/officeDocument/2006/relationships/image" Target="../media/image5.svg"/><Relationship Id="rId5" Type="http://schemas.openxmlformats.org/officeDocument/2006/relationships/image" Target="../media/image1.png"/><Relationship Id="rId10" Type="http://schemas.openxmlformats.org/officeDocument/2006/relationships/image" Target="../media/image4.png"/><Relationship Id="rId4" Type="http://schemas.openxmlformats.org/officeDocument/2006/relationships/chart" Target="../charts/chart11.xml"/><Relationship Id="rId9" Type="http://schemas.openxmlformats.org/officeDocument/2006/relationships/hyperlink" Target="#FIIs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A&#231;&#245;es!A1"/><Relationship Id="rId3" Type="http://schemas.openxmlformats.org/officeDocument/2006/relationships/chart" Target="../charts/chart14.xml"/><Relationship Id="rId7" Type="http://schemas.openxmlformats.org/officeDocument/2006/relationships/hyperlink" Target="#'Vis&#227;o Geral'!A1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image" Target="../media/image6.svg"/><Relationship Id="rId11" Type="http://schemas.openxmlformats.org/officeDocument/2006/relationships/image" Target="../media/image5.svg"/><Relationship Id="rId5" Type="http://schemas.openxmlformats.org/officeDocument/2006/relationships/image" Target="../media/image1.png"/><Relationship Id="rId10" Type="http://schemas.openxmlformats.org/officeDocument/2006/relationships/image" Target="../media/image4.png"/><Relationship Id="rId4" Type="http://schemas.openxmlformats.org/officeDocument/2006/relationships/chart" Target="../charts/chart15.xml"/><Relationship Id="rId9" Type="http://schemas.openxmlformats.org/officeDocument/2006/relationships/hyperlink" Target="#BDR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415193</xdr:colOff>
      <xdr:row>5</xdr:row>
      <xdr:rowOff>134328</xdr:rowOff>
    </xdr:from>
    <xdr:to>
      <xdr:col>13</xdr:col>
      <xdr:colOff>134326</xdr:colOff>
      <xdr:row>6</xdr:row>
      <xdr:rowOff>162903</xdr:rowOff>
    </xdr:to>
    <xdr:sp macro="[0]!adicionar_capital" textlink="" fLocksText="0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309231" y="1538655"/>
          <a:ext cx="2027114" cy="346075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Adicionar/Retirar Capital</a:t>
          </a:r>
        </a:p>
      </xdr:txBody>
    </xdr:sp>
    <xdr:clientData fLocksWithSheet="0"/>
  </xdr:twoCellAnchor>
  <xdr:twoCellAnchor>
    <xdr:from>
      <xdr:col>4</xdr:col>
      <xdr:colOff>1428750</xdr:colOff>
      <xdr:row>17</xdr:row>
      <xdr:rowOff>211993</xdr:rowOff>
    </xdr:from>
    <xdr:to>
      <xdr:col>12</xdr:col>
      <xdr:colOff>122115</xdr:colOff>
      <xdr:row>33</xdr:row>
      <xdr:rowOff>73269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-1</xdr:colOff>
      <xdr:row>39</xdr:row>
      <xdr:rowOff>0</xdr:rowOff>
    </xdr:from>
    <xdr:to>
      <xdr:col>8</xdr:col>
      <xdr:colOff>488461</xdr:colOff>
      <xdr:row>55</xdr:row>
      <xdr:rowOff>183173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0</xdr:col>
      <xdr:colOff>266656</xdr:colOff>
      <xdr:row>0</xdr:row>
      <xdr:rowOff>85483</xdr:rowOff>
    </xdr:from>
    <xdr:to>
      <xdr:col>1</xdr:col>
      <xdr:colOff>620789</xdr:colOff>
      <xdr:row>4</xdr:row>
      <xdr:rowOff>256443</xdr:rowOff>
    </xdr:to>
    <xdr:pic>
      <xdr:nvPicPr>
        <xdr:cNvPr id="7" name="Gráfico 6" descr="Carteira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6656" y="85483"/>
          <a:ext cx="1220042" cy="1201392"/>
        </a:xfrm>
        <a:prstGeom prst="rect">
          <a:avLst/>
        </a:prstGeom>
      </xdr:spPr>
    </xdr:pic>
    <xdr:clientData/>
  </xdr:twoCellAnchor>
  <xdr:twoCellAnchor editAs="absolute">
    <xdr:from>
      <xdr:col>0</xdr:col>
      <xdr:colOff>89588</xdr:colOff>
      <xdr:row>7</xdr:row>
      <xdr:rowOff>38265</xdr:rowOff>
    </xdr:from>
    <xdr:to>
      <xdr:col>1</xdr:col>
      <xdr:colOff>773435</xdr:colOff>
      <xdr:row>8</xdr:row>
      <xdr:rowOff>209227</xdr:rowOff>
    </xdr:to>
    <xdr:sp macro="" textlink="" fLocksText="0">
      <xdr:nvSpPr>
        <xdr:cNvPr id="9" name="Fluxograma: Terminaçã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9588" y="2064492"/>
          <a:ext cx="1549756" cy="387440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Ações</a:t>
          </a:r>
        </a:p>
      </xdr:txBody>
    </xdr:sp>
    <xdr:clientData fLocksWithSheet="0"/>
  </xdr:twoCellAnchor>
  <xdr:twoCellAnchor editAs="absolute">
    <xdr:from>
      <xdr:col>0</xdr:col>
      <xdr:colOff>89588</xdr:colOff>
      <xdr:row>5</xdr:row>
      <xdr:rowOff>12211</xdr:rowOff>
    </xdr:from>
    <xdr:to>
      <xdr:col>1</xdr:col>
      <xdr:colOff>773435</xdr:colOff>
      <xdr:row>6</xdr:row>
      <xdr:rowOff>85481</xdr:rowOff>
    </xdr:to>
    <xdr:sp macro="" textlink="" fLocksText="0">
      <xdr:nvSpPr>
        <xdr:cNvPr id="8" name="Fluxograma: Terminaçã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588" y="1414984"/>
          <a:ext cx="1549756" cy="384997"/>
        </a:xfrm>
        <a:prstGeom prst="flowChartTerminator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Visão</a:t>
          </a:r>
          <a:r>
            <a:rPr lang="pt-BR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 Geral</a:t>
          </a:r>
          <a:endParaRPr lang="pt-BR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 fLocksWithSheet="0"/>
  </xdr:twoCellAnchor>
  <xdr:twoCellAnchor editAs="absolute">
    <xdr:from>
      <xdr:col>0</xdr:col>
      <xdr:colOff>89588</xdr:colOff>
      <xdr:row>9</xdr:row>
      <xdr:rowOff>196648</xdr:rowOff>
    </xdr:from>
    <xdr:to>
      <xdr:col>1</xdr:col>
      <xdr:colOff>773435</xdr:colOff>
      <xdr:row>10</xdr:row>
      <xdr:rowOff>370940</xdr:rowOff>
    </xdr:to>
    <xdr:sp macro="" textlink="" fLocksText="0">
      <xdr:nvSpPr>
        <xdr:cNvPr id="10" name="Fluxograma: Terminaçã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9588" y="2716443"/>
          <a:ext cx="1549756" cy="390770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BDRs</a:t>
          </a:r>
        </a:p>
      </xdr:txBody>
    </xdr:sp>
    <xdr:clientData fLocksWithSheet="0"/>
  </xdr:twoCellAnchor>
  <xdr:twoCellAnchor editAs="absolute">
    <xdr:from>
      <xdr:col>0</xdr:col>
      <xdr:colOff>89588</xdr:colOff>
      <xdr:row>10</xdr:row>
      <xdr:rowOff>635451</xdr:rowOff>
    </xdr:from>
    <xdr:to>
      <xdr:col>1</xdr:col>
      <xdr:colOff>773435</xdr:colOff>
      <xdr:row>11</xdr:row>
      <xdr:rowOff>265331</xdr:rowOff>
    </xdr:to>
    <xdr:sp macro="" textlink="" fLocksText="0">
      <xdr:nvSpPr>
        <xdr:cNvPr id="11" name="Fluxograma: Terminaçã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9588" y="3371724"/>
          <a:ext cx="1549756" cy="383221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FIIs</a:t>
          </a:r>
        </a:p>
      </xdr:txBody>
    </xdr:sp>
    <xdr:clientData fLocksWithSheet="0"/>
  </xdr:twoCellAnchor>
  <xdr:twoCellAnchor>
    <xdr:from>
      <xdr:col>8</xdr:col>
      <xdr:colOff>720480</xdr:colOff>
      <xdr:row>39</xdr:row>
      <xdr:rowOff>1</xdr:rowOff>
    </xdr:from>
    <xdr:to>
      <xdr:col>18</xdr:col>
      <xdr:colOff>0</xdr:colOff>
      <xdr:row>55</xdr:row>
      <xdr:rowOff>183877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428625</xdr:colOff>
          <xdr:row>36</xdr:row>
          <xdr:rowOff>66675</xdr:rowOff>
        </xdr:from>
        <xdr:to>
          <xdr:col>7</xdr:col>
          <xdr:colOff>1276350</xdr:colOff>
          <xdr:row>38</xdr:row>
          <xdr:rowOff>161925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 editAs="oneCell">
    <xdr:from>
      <xdr:col>0</xdr:col>
      <xdr:colOff>48847</xdr:colOff>
      <xdr:row>20</xdr:row>
      <xdr:rowOff>188274</xdr:rowOff>
    </xdr:from>
    <xdr:to>
      <xdr:col>1</xdr:col>
      <xdr:colOff>805494</xdr:colOff>
      <xdr:row>28</xdr:row>
      <xdr:rowOff>53947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847" y="5868638"/>
          <a:ext cx="1622556" cy="15974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403480</xdr:colOff>
      <xdr:row>29</xdr:row>
      <xdr:rowOff>33527</xdr:rowOff>
    </xdr:from>
    <xdr:to>
      <xdr:col>1</xdr:col>
      <xdr:colOff>450861</xdr:colOff>
      <xdr:row>33</xdr:row>
      <xdr:rowOff>68696</xdr:rowOff>
    </xdr:to>
    <xdr:pic macro="[0]!atualizar">
      <xdr:nvPicPr>
        <xdr:cNvPr id="6" name="Gráfico 5" descr="Repeti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03480" y="7662186"/>
          <a:ext cx="913290" cy="9010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477473</xdr:colOff>
      <xdr:row>5</xdr:row>
      <xdr:rowOff>96165</xdr:rowOff>
    </xdr:from>
    <xdr:to>
      <xdr:col>16</xdr:col>
      <xdr:colOff>964713</xdr:colOff>
      <xdr:row>6</xdr:row>
      <xdr:rowOff>195385</xdr:rowOff>
    </xdr:to>
    <xdr:sp macro="[0]!adicionar_capital" textlink="" fLocksText="0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104204" y="1415011"/>
          <a:ext cx="2148009" cy="331239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Adicionar/Retirar Capital</a:t>
          </a:r>
        </a:p>
      </xdr:txBody>
    </xdr:sp>
    <xdr:clientData fLocksWithSheet="0"/>
  </xdr:twoCellAnchor>
  <xdr:twoCellAnchor>
    <xdr:from>
      <xdr:col>9</xdr:col>
      <xdr:colOff>329710</xdr:colOff>
      <xdr:row>11</xdr:row>
      <xdr:rowOff>63012</xdr:rowOff>
    </xdr:from>
    <xdr:to>
      <xdr:col>10</xdr:col>
      <xdr:colOff>754061</xdr:colOff>
      <xdr:row>12</xdr:row>
      <xdr:rowOff>144769</xdr:rowOff>
    </xdr:to>
    <xdr:sp macro="[0]!Registrar_Operacao" textlink="" fLocksText="0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852018" y="3018204"/>
          <a:ext cx="1596658" cy="32598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Registrar</a:t>
          </a:r>
          <a:r>
            <a:rPr lang="pt-BR" sz="1100" baseline="0"/>
            <a:t> Operação</a:t>
          </a:r>
        </a:p>
      </xdr:txBody>
    </xdr:sp>
    <xdr:clientData fLocksWithSheet="0"/>
  </xdr:twoCellAnchor>
  <xdr:twoCellAnchor>
    <xdr:from>
      <xdr:col>3</xdr:col>
      <xdr:colOff>0</xdr:colOff>
      <xdr:row>22</xdr:row>
      <xdr:rowOff>0</xdr:rowOff>
    </xdr:from>
    <xdr:to>
      <xdr:col>8</xdr:col>
      <xdr:colOff>24423</xdr:colOff>
      <xdr:row>39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8</xdr:col>
      <xdr:colOff>83038</xdr:colOff>
      <xdr:row>22</xdr:row>
      <xdr:rowOff>0</xdr:rowOff>
    </xdr:from>
    <xdr:to>
      <xdr:col>17</xdr:col>
      <xdr:colOff>0</xdr:colOff>
      <xdr:row>39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0</xdr:colOff>
      <xdr:row>44</xdr:row>
      <xdr:rowOff>0</xdr:rowOff>
    </xdr:from>
    <xdr:to>
      <xdr:col>10</xdr:col>
      <xdr:colOff>12211</xdr:colOff>
      <xdr:row>60</xdr:row>
      <xdr:rowOff>183174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10</xdr:col>
      <xdr:colOff>233097</xdr:colOff>
      <xdr:row>44</xdr:row>
      <xdr:rowOff>0</xdr:rowOff>
    </xdr:from>
    <xdr:to>
      <xdr:col>17</xdr:col>
      <xdr:colOff>0</xdr:colOff>
      <xdr:row>60</xdr:row>
      <xdr:rowOff>183174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0</xdr:col>
      <xdr:colOff>250340</xdr:colOff>
      <xdr:row>0</xdr:row>
      <xdr:rowOff>16236</xdr:rowOff>
    </xdr:from>
    <xdr:to>
      <xdr:col>1</xdr:col>
      <xdr:colOff>604473</xdr:colOff>
      <xdr:row>4</xdr:row>
      <xdr:rowOff>236042</xdr:rowOff>
    </xdr:to>
    <xdr:pic>
      <xdr:nvPicPr>
        <xdr:cNvPr id="16" name="Gráfico 15" descr="Carteira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50340" y="16236"/>
          <a:ext cx="1220042" cy="1215601"/>
        </a:xfrm>
        <a:prstGeom prst="rect">
          <a:avLst/>
        </a:prstGeom>
      </xdr:spPr>
    </xdr:pic>
    <xdr:clientData/>
  </xdr:twoCellAnchor>
  <xdr:twoCellAnchor editAs="absolute">
    <xdr:from>
      <xdr:col>0</xdr:col>
      <xdr:colOff>99414</xdr:colOff>
      <xdr:row>7</xdr:row>
      <xdr:rowOff>190278</xdr:rowOff>
    </xdr:from>
    <xdr:to>
      <xdr:col>1</xdr:col>
      <xdr:colOff>783261</xdr:colOff>
      <xdr:row>9</xdr:row>
      <xdr:rowOff>83706</xdr:rowOff>
    </xdr:to>
    <xdr:sp macro="" textlink="" fLocksText="0">
      <xdr:nvSpPr>
        <xdr:cNvPr id="17" name="Fluxograma: Terminaçã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99414" y="1974051"/>
          <a:ext cx="1549756" cy="386996"/>
        </a:xfrm>
        <a:prstGeom prst="flowChartTerminator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Ações</a:t>
          </a:r>
        </a:p>
      </xdr:txBody>
    </xdr:sp>
    <xdr:clientData fLocksWithSheet="0"/>
  </xdr:twoCellAnchor>
  <xdr:twoCellAnchor editAs="absolute">
    <xdr:from>
      <xdr:col>0</xdr:col>
      <xdr:colOff>99414</xdr:colOff>
      <xdr:row>5</xdr:row>
      <xdr:rowOff>0</xdr:rowOff>
    </xdr:from>
    <xdr:to>
      <xdr:col>1</xdr:col>
      <xdr:colOff>783261</xdr:colOff>
      <xdr:row>6</xdr:row>
      <xdr:rowOff>158751</xdr:rowOff>
    </xdr:to>
    <xdr:sp macro="" textlink="" fLocksText="0">
      <xdr:nvSpPr>
        <xdr:cNvPr id="18" name="Fluxograma: Terminação 1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99414" y="1307523"/>
          <a:ext cx="1549756" cy="383887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Visão Geral</a:t>
          </a:r>
        </a:p>
      </xdr:txBody>
    </xdr:sp>
    <xdr:clientData fLocksWithSheet="0"/>
  </xdr:twoCellAnchor>
  <xdr:twoCellAnchor editAs="absolute">
    <xdr:from>
      <xdr:col>0</xdr:col>
      <xdr:colOff>99414</xdr:colOff>
      <xdr:row>10</xdr:row>
      <xdr:rowOff>89256</xdr:rowOff>
    </xdr:from>
    <xdr:to>
      <xdr:col>1</xdr:col>
      <xdr:colOff>783261</xdr:colOff>
      <xdr:row>11</xdr:row>
      <xdr:rowOff>230466</xdr:rowOff>
    </xdr:to>
    <xdr:sp macro="" textlink="" fLocksText="0">
      <xdr:nvSpPr>
        <xdr:cNvPr id="19" name="Fluxograma: Terminação 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9414" y="2643688"/>
          <a:ext cx="1549756" cy="400983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BDRs</a:t>
          </a:r>
        </a:p>
      </xdr:txBody>
    </xdr:sp>
    <xdr:clientData fLocksWithSheet="0"/>
  </xdr:twoCellAnchor>
  <xdr:twoCellAnchor editAs="absolute">
    <xdr:from>
      <xdr:col>0</xdr:col>
      <xdr:colOff>99414</xdr:colOff>
      <xdr:row>13</xdr:row>
      <xdr:rowOff>45517</xdr:rowOff>
    </xdr:from>
    <xdr:to>
      <xdr:col>1</xdr:col>
      <xdr:colOff>783261</xdr:colOff>
      <xdr:row>14</xdr:row>
      <xdr:rowOff>212705</xdr:rowOff>
    </xdr:to>
    <xdr:sp macro="" textlink="" fLocksText="0">
      <xdr:nvSpPr>
        <xdr:cNvPr id="20" name="Fluxograma: Terminação 1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99414" y="3327312"/>
          <a:ext cx="1549756" cy="383666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FIIs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41</xdr:row>
          <xdr:rowOff>76200</xdr:rowOff>
        </xdr:from>
        <xdr:to>
          <xdr:col>10</xdr:col>
          <xdr:colOff>504825</xdr:colOff>
          <xdr:row>43</xdr:row>
          <xdr:rowOff>180975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 editAs="absolute">
    <xdr:from>
      <xdr:col>0</xdr:col>
      <xdr:colOff>417647</xdr:colOff>
      <xdr:row>18</xdr:row>
      <xdr:rowOff>70163</xdr:rowOff>
    </xdr:from>
    <xdr:to>
      <xdr:col>1</xdr:col>
      <xdr:colOff>465028</xdr:colOff>
      <xdr:row>22</xdr:row>
      <xdr:rowOff>26512</xdr:rowOff>
    </xdr:to>
    <xdr:pic macro="[0]!atualizar">
      <xdr:nvPicPr>
        <xdr:cNvPr id="14" name="Gráfico 13" descr="Repetir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17647" y="4659481"/>
          <a:ext cx="913290" cy="91750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488462</xdr:colOff>
      <xdr:row>5</xdr:row>
      <xdr:rowOff>59530</xdr:rowOff>
    </xdr:from>
    <xdr:to>
      <xdr:col>16</xdr:col>
      <xdr:colOff>392906</xdr:colOff>
      <xdr:row>6</xdr:row>
      <xdr:rowOff>109904</xdr:rowOff>
    </xdr:to>
    <xdr:sp macro="[0]!adicionar_capital" textlink="" fLocksText="0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1118362" y="1412080"/>
          <a:ext cx="1895169" cy="27897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Adicionar/Retirar Capital</a:t>
          </a:r>
        </a:p>
      </xdr:txBody>
    </xdr:sp>
    <xdr:clientData fLocksWithSheet="0"/>
  </xdr:twoCellAnchor>
  <xdr:twoCellAnchor>
    <xdr:from>
      <xdr:col>9</xdr:col>
      <xdr:colOff>329710</xdr:colOff>
      <xdr:row>11</xdr:row>
      <xdr:rowOff>63012</xdr:rowOff>
    </xdr:from>
    <xdr:to>
      <xdr:col>10</xdr:col>
      <xdr:colOff>754061</xdr:colOff>
      <xdr:row>12</xdr:row>
      <xdr:rowOff>144769</xdr:rowOff>
    </xdr:to>
    <xdr:sp macro="[0]!Registrar_Operacao" textlink="" fLocksText="0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7844935" y="2987187"/>
          <a:ext cx="1595926" cy="3294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Registrar</a:t>
          </a:r>
          <a:r>
            <a:rPr lang="pt-BR" sz="1100" baseline="0"/>
            <a:t> Operação</a:t>
          </a:r>
        </a:p>
      </xdr:txBody>
    </xdr:sp>
    <xdr:clientData fLocksWithSheet="0"/>
  </xdr:twoCellAnchor>
  <xdr:twoCellAnchor>
    <xdr:from>
      <xdr:col>3</xdr:col>
      <xdr:colOff>24423</xdr:colOff>
      <xdr:row>22</xdr:row>
      <xdr:rowOff>0</xdr:rowOff>
    </xdr:from>
    <xdr:to>
      <xdr:col>7</xdr:col>
      <xdr:colOff>549520</xdr:colOff>
      <xdr:row>39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8</xdr:col>
      <xdr:colOff>83038</xdr:colOff>
      <xdr:row>22</xdr:row>
      <xdr:rowOff>0</xdr:rowOff>
    </xdr:from>
    <xdr:to>
      <xdr:col>17</xdr:col>
      <xdr:colOff>0</xdr:colOff>
      <xdr:row>38</xdr:row>
      <xdr:rowOff>219807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0</xdr:colOff>
      <xdr:row>44</xdr:row>
      <xdr:rowOff>0</xdr:rowOff>
    </xdr:from>
    <xdr:to>
      <xdr:col>10</xdr:col>
      <xdr:colOff>12211</xdr:colOff>
      <xdr:row>60</xdr:row>
      <xdr:rowOff>183174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10</xdr:col>
      <xdr:colOff>208673</xdr:colOff>
      <xdr:row>44</xdr:row>
      <xdr:rowOff>0</xdr:rowOff>
    </xdr:from>
    <xdr:to>
      <xdr:col>16</xdr:col>
      <xdr:colOff>1257788</xdr:colOff>
      <xdr:row>60</xdr:row>
      <xdr:rowOff>183174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0</xdr:col>
      <xdr:colOff>238129</xdr:colOff>
      <xdr:row>0</xdr:row>
      <xdr:rowOff>6</xdr:rowOff>
    </xdr:from>
    <xdr:to>
      <xdr:col>1</xdr:col>
      <xdr:colOff>592262</xdr:colOff>
      <xdr:row>4</xdr:row>
      <xdr:rowOff>219812</xdr:rowOff>
    </xdr:to>
    <xdr:pic>
      <xdr:nvPicPr>
        <xdr:cNvPr id="10" name="Gráfico 9" descr="Carteira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8129" y="6"/>
          <a:ext cx="1221152" cy="1221152"/>
        </a:xfrm>
        <a:prstGeom prst="rect">
          <a:avLst/>
        </a:prstGeom>
      </xdr:spPr>
    </xdr:pic>
    <xdr:clientData/>
  </xdr:twoCellAnchor>
  <xdr:twoCellAnchor editAs="absolute">
    <xdr:from>
      <xdr:col>0</xdr:col>
      <xdr:colOff>85786</xdr:colOff>
      <xdr:row>10</xdr:row>
      <xdr:rowOff>76421</xdr:rowOff>
    </xdr:from>
    <xdr:to>
      <xdr:col>1</xdr:col>
      <xdr:colOff>769633</xdr:colOff>
      <xdr:row>11</xdr:row>
      <xdr:rowOff>217631</xdr:rowOff>
    </xdr:to>
    <xdr:sp macro="" textlink="">
      <xdr:nvSpPr>
        <xdr:cNvPr id="11" name="Fluxograma: Terminaçã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85786" y="2630853"/>
          <a:ext cx="1549756" cy="400983"/>
        </a:xfrm>
        <a:prstGeom prst="flowChartTerminator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BDRs</a:t>
          </a:r>
        </a:p>
      </xdr:txBody>
    </xdr:sp>
    <xdr:clientData/>
  </xdr:twoCellAnchor>
  <xdr:twoCellAnchor editAs="absolute">
    <xdr:from>
      <xdr:col>0</xdr:col>
      <xdr:colOff>85786</xdr:colOff>
      <xdr:row>5</xdr:row>
      <xdr:rowOff>0</xdr:rowOff>
    </xdr:from>
    <xdr:to>
      <xdr:col>1</xdr:col>
      <xdr:colOff>769633</xdr:colOff>
      <xdr:row>6</xdr:row>
      <xdr:rowOff>152979</xdr:rowOff>
    </xdr:to>
    <xdr:sp macro="" textlink="">
      <xdr:nvSpPr>
        <xdr:cNvPr id="12" name="Fluxograma: Terminaçã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85786" y="1307523"/>
          <a:ext cx="1549756" cy="378115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Visão Geral</a:t>
          </a:r>
        </a:p>
      </xdr:txBody>
    </xdr:sp>
    <xdr:clientData/>
  </xdr:twoCellAnchor>
  <xdr:twoCellAnchor editAs="absolute">
    <xdr:from>
      <xdr:col>0</xdr:col>
      <xdr:colOff>85786</xdr:colOff>
      <xdr:row>7</xdr:row>
      <xdr:rowOff>182640</xdr:rowOff>
    </xdr:from>
    <xdr:to>
      <xdr:col>1</xdr:col>
      <xdr:colOff>769633</xdr:colOff>
      <xdr:row>9</xdr:row>
      <xdr:rowOff>72737</xdr:rowOff>
    </xdr:to>
    <xdr:sp macro="" textlink="">
      <xdr:nvSpPr>
        <xdr:cNvPr id="13" name="Fluxograma: Terminação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85786" y="1966413"/>
          <a:ext cx="1549756" cy="383665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Ações</a:t>
          </a:r>
        </a:p>
      </xdr:txBody>
    </xdr:sp>
    <xdr:clientData/>
  </xdr:twoCellAnchor>
  <xdr:twoCellAnchor editAs="absolute">
    <xdr:from>
      <xdr:col>0</xdr:col>
      <xdr:colOff>85786</xdr:colOff>
      <xdr:row>13</xdr:row>
      <xdr:rowOff>30816</xdr:rowOff>
    </xdr:from>
    <xdr:to>
      <xdr:col>1</xdr:col>
      <xdr:colOff>769633</xdr:colOff>
      <xdr:row>14</xdr:row>
      <xdr:rowOff>201778</xdr:rowOff>
    </xdr:to>
    <xdr:sp macro="" textlink="">
      <xdr:nvSpPr>
        <xdr:cNvPr id="14" name="Fluxograma: Terminação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85786" y="3312611"/>
          <a:ext cx="1549756" cy="387440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FIIs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857250</xdr:colOff>
          <xdr:row>41</xdr:row>
          <xdr:rowOff>47625</xdr:rowOff>
        </xdr:from>
        <xdr:to>
          <xdr:col>10</xdr:col>
          <xdr:colOff>533400</xdr:colOff>
          <xdr:row>43</xdr:row>
          <xdr:rowOff>152400</xdr:rowOff>
        </xdr:to>
        <xdr:sp macro="" textlink="">
          <xdr:nvSpPr>
            <xdr:cNvPr id="3073" name="Spinne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 editAs="absolute">
    <xdr:from>
      <xdr:col>0</xdr:col>
      <xdr:colOff>404019</xdr:colOff>
      <xdr:row>18</xdr:row>
      <xdr:rowOff>55504</xdr:rowOff>
    </xdr:from>
    <xdr:to>
      <xdr:col>1</xdr:col>
      <xdr:colOff>451400</xdr:colOff>
      <xdr:row>22</xdr:row>
      <xdr:rowOff>15184</xdr:rowOff>
    </xdr:to>
    <xdr:pic macro="[0]!atualizar">
      <xdr:nvPicPr>
        <xdr:cNvPr id="15" name="Gráfico 14" descr="Repetir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04019" y="4644822"/>
          <a:ext cx="913290" cy="92083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488462</xdr:colOff>
      <xdr:row>5</xdr:row>
      <xdr:rowOff>59530</xdr:rowOff>
    </xdr:from>
    <xdr:to>
      <xdr:col>16</xdr:col>
      <xdr:colOff>392906</xdr:colOff>
      <xdr:row>6</xdr:row>
      <xdr:rowOff>109904</xdr:rowOff>
    </xdr:to>
    <xdr:sp macro="[0]!adicionar_capital" textlink="" fLocksText="0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109087" y="1373980"/>
          <a:ext cx="1561794" cy="27897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Adicionar/Retirar Capital</a:t>
          </a:r>
        </a:p>
      </xdr:txBody>
    </xdr:sp>
    <xdr:clientData fLocksWithSheet="0"/>
  </xdr:twoCellAnchor>
  <xdr:twoCellAnchor>
    <xdr:from>
      <xdr:col>9</xdr:col>
      <xdr:colOff>329710</xdr:colOff>
      <xdr:row>11</xdr:row>
      <xdr:rowOff>63012</xdr:rowOff>
    </xdr:from>
    <xdr:to>
      <xdr:col>10</xdr:col>
      <xdr:colOff>754061</xdr:colOff>
      <xdr:row>12</xdr:row>
      <xdr:rowOff>144769</xdr:rowOff>
    </xdr:to>
    <xdr:sp macro="[0]!Registrar_Operacao" textlink="" fLocksText="0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7844935" y="2882412"/>
          <a:ext cx="1595926" cy="3294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Registrar</a:t>
          </a:r>
          <a:r>
            <a:rPr lang="pt-BR" sz="1100" baseline="0"/>
            <a:t> Operação</a:t>
          </a:r>
        </a:p>
      </xdr:txBody>
    </xdr:sp>
    <xdr:clientData fLocksWithSheet="0"/>
  </xdr:twoCellAnchor>
  <xdr:twoCellAnchor>
    <xdr:from>
      <xdr:col>8</xdr:col>
      <xdr:colOff>83038</xdr:colOff>
      <xdr:row>22</xdr:row>
      <xdr:rowOff>0</xdr:rowOff>
    </xdr:from>
    <xdr:to>
      <xdr:col>17</xdr:col>
      <xdr:colOff>0</xdr:colOff>
      <xdr:row>38</xdr:row>
      <xdr:rowOff>219807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3</xdr:col>
      <xdr:colOff>0</xdr:colOff>
      <xdr:row>44</xdr:row>
      <xdr:rowOff>36634</xdr:rowOff>
    </xdr:from>
    <xdr:to>
      <xdr:col>10</xdr:col>
      <xdr:colOff>12211</xdr:colOff>
      <xdr:row>61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10</xdr:col>
      <xdr:colOff>220885</xdr:colOff>
      <xdr:row>44</xdr:row>
      <xdr:rowOff>36634</xdr:rowOff>
    </xdr:from>
    <xdr:to>
      <xdr:col>17</xdr:col>
      <xdr:colOff>0</xdr:colOff>
      <xdr:row>61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3</xdr:col>
      <xdr:colOff>0</xdr:colOff>
      <xdr:row>22</xdr:row>
      <xdr:rowOff>0</xdr:rowOff>
    </xdr:from>
    <xdr:to>
      <xdr:col>7</xdr:col>
      <xdr:colOff>575435</xdr:colOff>
      <xdr:row>39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0</xdr:col>
      <xdr:colOff>232024</xdr:colOff>
      <xdr:row>0</xdr:row>
      <xdr:rowOff>12202</xdr:rowOff>
    </xdr:from>
    <xdr:to>
      <xdr:col>1</xdr:col>
      <xdr:colOff>586157</xdr:colOff>
      <xdr:row>4</xdr:row>
      <xdr:rowOff>232008</xdr:rowOff>
    </xdr:to>
    <xdr:pic>
      <xdr:nvPicPr>
        <xdr:cNvPr id="9" name="Gráfico 8" descr="Carteira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2024" y="12202"/>
          <a:ext cx="1221152" cy="1221152"/>
        </a:xfrm>
        <a:prstGeom prst="rect">
          <a:avLst/>
        </a:prstGeom>
      </xdr:spPr>
    </xdr:pic>
    <xdr:clientData/>
  </xdr:twoCellAnchor>
  <xdr:twoCellAnchor editAs="absolute">
    <xdr:from>
      <xdr:col>0</xdr:col>
      <xdr:colOff>88202</xdr:colOff>
      <xdr:row>13</xdr:row>
      <xdr:rowOff>16077</xdr:rowOff>
    </xdr:from>
    <xdr:to>
      <xdr:col>1</xdr:col>
      <xdr:colOff>772049</xdr:colOff>
      <xdr:row>14</xdr:row>
      <xdr:rowOff>187039</xdr:rowOff>
    </xdr:to>
    <xdr:sp macro="" textlink="">
      <xdr:nvSpPr>
        <xdr:cNvPr id="10" name="Fluxograma: Terminaçã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88202" y="3297872"/>
          <a:ext cx="1549756" cy="387440"/>
        </a:xfrm>
        <a:prstGeom prst="flowChartTerminator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FIIs</a:t>
          </a:r>
        </a:p>
      </xdr:txBody>
    </xdr:sp>
    <xdr:clientData/>
  </xdr:twoCellAnchor>
  <xdr:twoCellAnchor editAs="absolute">
    <xdr:from>
      <xdr:col>0</xdr:col>
      <xdr:colOff>88202</xdr:colOff>
      <xdr:row>5</xdr:row>
      <xdr:rowOff>0</xdr:rowOff>
    </xdr:from>
    <xdr:to>
      <xdr:col>1</xdr:col>
      <xdr:colOff>772049</xdr:colOff>
      <xdr:row>6</xdr:row>
      <xdr:rowOff>152979</xdr:rowOff>
    </xdr:to>
    <xdr:sp macro="" textlink="">
      <xdr:nvSpPr>
        <xdr:cNvPr id="11" name="Fluxograma: Terminaçã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88202" y="1307523"/>
          <a:ext cx="1549756" cy="378115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Visão Geral</a:t>
          </a:r>
        </a:p>
      </xdr:txBody>
    </xdr:sp>
    <xdr:clientData/>
  </xdr:twoCellAnchor>
  <xdr:twoCellAnchor editAs="absolute">
    <xdr:from>
      <xdr:col>0</xdr:col>
      <xdr:colOff>88202</xdr:colOff>
      <xdr:row>7</xdr:row>
      <xdr:rowOff>180021</xdr:rowOff>
    </xdr:from>
    <xdr:to>
      <xdr:col>1</xdr:col>
      <xdr:colOff>772049</xdr:colOff>
      <xdr:row>9</xdr:row>
      <xdr:rowOff>70118</xdr:rowOff>
    </xdr:to>
    <xdr:sp macro="" textlink="">
      <xdr:nvSpPr>
        <xdr:cNvPr id="12" name="Fluxograma: Terminaçã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88202" y="1963794"/>
          <a:ext cx="1549756" cy="383665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Ações</a:t>
          </a:r>
        </a:p>
      </xdr:txBody>
    </xdr:sp>
    <xdr:clientData/>
  </xdr:twoCellAnchor>
  <xdr:twoCellAnchor editAs="absolute">
    <xdr:from>
      <xdr:col>0</xdr:col>
      <xdr:colOff>88202</xdr:colOff>
      <xdr:row>10</xdr:row>
      <xdr:rowOff>71183</xdr:rowOff>
    </xdr:from>
    <xdr:to>
      <xdr:col>1</xdr:col>
      <xdr:colOff>772049</xdr:colOff>
      <xdr:row>11</xdr:row>
      <xdr:rowOff>205511</xdr:rowOff>
    </xdr:to>
    <xdr:sp macro="" textlink="">
      <xdr:nvSpPr>
        <xdr:cNvPr id="13" name="Fluxograma: Terminaçã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8202" y="2625615"/>
          <a:ext cx="1549756" cy="394101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BDRs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847725</xdr:colOff>
          <xdr:row>41</xdr:row>
          <xdr:rowOff>95250</xdr:rowOff>
        </xdr:from>
        <xdr:to>
          <xdr:col>10</xdr:col>
          <xdr:colOff>523875</xdr:colOff>
          <xdr:row>43</xdr:row>
          <xdr:rowOff>200025</xdr:rowOff>
        </xdr:to>
        <xdr:sp macro="" textlink="">
          <xdr:nvSpPr>
            <xdr:cNvPr id="6145" name="Spinner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 editAs="absolute">
    <xdr:from>
      <xdr:col>0</xdr:col>
      <xdr:colOff>406435</xdr:colOff>
      <xdr:row>18</xdr:row>
      <xdr:rowOff>35526</xdr:rowOff>
    </xdr:from>
    <xdr:to>
      <xdr:col>1</xdr:col>
      <xdr:colOff>453816</xdr:colOff>
      <xdr:row>21</xdr:row>
      <xdr:rowOff>201024</xdr:rowOff>
    </xdr:to>
    <xdr:pic macro="[0]!atualizar">
      <xdr:nvPicPr>
        <xdr:cNvPr id="14" name="Gráfico 13" descr="Repetir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06435" y="4624844"/>
          <a:ext cx="913290" cy="91018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</xdr:row>
          <xdr:rowOff>0</xdr:rowOff>
        </xdr:from>
        <xdr:to>
          <xdr:col>20</xdr:col>
          <xdr:colOff>0</xdr:colOff>
          <xdr:row>19</xdr:row>
          <xdr:rowOff>0</xdr:rowOff>
        </xdr:to>
        <xdr:sp macro="" textlink="">
          <xdr:nvSpPr>
            <xdr:cNvPr id="4106" name="Spinner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Romão" refreshedDate="44647.468765972226" createdVersion="7" refreshedVersion="7" minRefreshableVersion="3" recordCount="971" xr:uid="{B9037994-3706-4EDF-A209-CFA9DDB096BB}">
  <cacheSource type="worksheet">
    <worksheetSource ref="B1:N972" sheet="Patrimônio"/>
  </cacheSource>
  <cacheFields count="15">
    <cacheField name="Data" numFmtId="14">
      <sharedItems containsSemiMixedTypes="0" containsNonDate="0" containsDate="1" containsString="0" minDate="2022-01-31T00:00:00" maxDate="2102-12-01T00:00:00" count="971">
        <d v="2022-01-31T00:00:00"/>
        <d v="2022-02-28T00:00:00"/>
        <d v="2022-03-31T00:00:00"/>
        <d v="2022-04-30T00:00:00"/>
        <d v="2022-05-31T00:00:00"/>
        <d v="2022-06-30T00:00:00"/>
        <d v="2022-07-31T00:00:00"/>
        <d v="2022-08-31T00:00:00"/>
        <d v="2022-09-30T00:00:00"/>
        <d v="2022-10-31T00:00:00"/>
        <d v="2022-11-30T00:00:00"/>
        <d v="2022-12-31T00:00:00"/>
        <d v="2023-01-31T00:00:00"/>
        <d v="2023-02-28T00:00:00"/>
        <d v="2023-03-31T00:00:00"/>
        <d v="2023-04-30T00:00:00"/>
        <d v="2023-05-31T00:00:00"/>
        <d v="2023-06-30T00:00:00"/>
        <d v="2023-07-31T00:00:00"/>
        <d v="2023-08-31T00:00:00"/>
        <d v="2023-09-30T00:00:00"/>
        <d v="2023-10-31T00:00:00"/>
        <d v="2023-11-30T00:00:00"/>
        <d v="2023-12-31T00:00:00"/>
        <d v="2024-01-31T00:00:00"/>
        <d v="2024-02-29T00:00:00"/>
        <d v="2024-03-31T00:00:00"/>
        <d v="2024-04-30T00:00:00"/>
        <d v="2024-05-31T00:00:00"/>
        <d v="2024-06-30T00:00:00"/>
        <d v="2024-07-31T00:00:00"/>
        <d v="2024-08-31T00:00:00"/>
        <d v="2024-09-30T00:00:00"/>
        <d v="2024-10-31T00:00:00"/>
        <d v="2024-11-30T00:00:00"/>
        <d v="2024-12-31T00:00:00"/>
        <d v="2025-01-31T00:00:00"/>
        <d v="2025-02-28T00:00:00"/>
        <d v="2025-03-31T00:00:00"/>
        <d v="2025-04-30T00:00:00"/>
        <d v="2025-05-31T00:00:00"/>
        <d v="2025-06-30T00:00:00"/>
        <d v="2025-07-31T00:00:00"/>
        <d v="2025-08-31T00:00:00"/>
        <d v="2025-09-30T00:00:00"/>
        <d v="2025-10-31T00:00:00"/>
        <d v="2025-11-30T00:00:00"/>
        <d v="2025-12-31T00:00:00"/>
        <d v="2026-01-31T00:00:00"/>
        <d v="2026-02-28T00:00:00"/>
        <d v="2026-03-31T00:00:00"/>
        <d v="2026-04-30T00:00:00"/>
        <d v="2026-05-31T00:00:00"/>
        <d v="2026-06-30T00:00:00"/>
        <d v="2026-07-31T00:00:00"/>
        <d v="2026-08-31T00:00:00"/>
        <d v="2026-09-30T00:00:00"/>
        <d v="2026-10-31T00:00:00"/>
        <d v="2026-11-30T00:00:00"/>
        <d v="2026-12-31T00:00:00"/>
        <d v="2027-01-31T00:00:00"/>
        <d v="2027-02-28T00:00:00"/>
        <d v="2027-03-31T00:00:00"/>
        <d v="2027-04-30T00:00:00"/>
        <d v="2027-05-31T00:00:00"/>
        <d v="2027-06-30T00:00:00"/>
        <d v="2027-07-31T00:00:00"/>
        <d v="2027-08-31T00:00:00"/>
        <d v="2027-09-30T00:00:00"/>
        <d v="2027-10-31T00:00:00"/>
        <d v="2027-11-30T00:00:00"/>
        <d v="2027-12-31T00:00:00"/>
        <d v="2028-01-31T00:00:00"/>
        <d v="2028-02-29T00:00:00"/>
        <d v="2028-03-31T00:00:00"/>
        <d v="2028-04-30T00:00:00"/>
        <d v="2028-05-31T00:00:00"/>
        <d v="2028-06-30T00:00:00"/>
        <d v="2028-07-31T00:00:00"/>
        <d v="2028-08-31T00:00:00"/>
        <d v="2028-09-30T00:00:00"/>
        <d v="2028-10-31T00:00:00"/>
        <d v="2028-11-30T00:00:00"/>
        <d v="2028-12-31T00:00:00"/>
        <d v="2029-01-31T00:00:00"/>
        <d v="2029-02-28T00:00:00"/>
        <d v="2029-03-31T00:00:00"/>
        <d v="2029-04-30T00:00:00"/>
        <d v="2029-05-31T00:00:00"/>
        <d v="2029-06-30T00:00:00"/>
        <d v="2029-07-31T00:00:00"/>
        <d v="2029-08-31T00:00:00"/>
        <d v="2029-09-30T00:00:00"/>
        <d v="2029-10-31T00:00:00"/>
        <d v="2029-11-30T00:00:00"/>
        <d v="2029-12-31T00:00:00"/>
        <d v="2030-01-31T00:00:00"/>
        <d v="2030-02-28T00:00:00"/>
        <d v="2030-03-31T00:00:00"/>
        <d v="2030-04-30T00:00:00"/>
        <d v="2030-05-31T00:00:00"/>
        <d v="2030-06-30T00:00:00"/>
        <d v="2030-07-31T00:00:00"/>
        <d v="2030-08-31T00:00:00"/>
        <d v="2030-09-30T00:00:00"/>
        <d v="2030-10-31T00:00:00"/>
        <d v="2030-11-30T00:00:00"/>
        <d v="2030-12-31T00:00:00"/>
        <d v="2031-01-31T00:00:00"/>
        <d v="2031-02-28T00:00:00"/>
        <d v="2031-03-31T00:00:00"/>
        <d v="2031-04-30T00:00:00"/>
        <d v="2031-05-31T00:00:00"/>
        <d v="2031-06-30T00:00:00"/>
        <d v="2031-07-31T00:00:00"/>
        <d v="2031-08-31T00:00:00"/>
        <d v="2031-09-30T00:00:00"/>
        <d v="2031-10-31T00:00:00"/>
        <d v="2031-11-30T00:00:00"/>
        <d v="2031-12-31T00:00:00"/>
        <d v="2032-01-31T00:00:00"/>
        <d v="2032-02-29T00:00:00"/>
        <d v="2032-03-31T00:00:00"/>
        <d v="2032-04-30T00:00:00"/>
        <d v="2032-05-31T00:00:00"/>
        <d v="2032-06-30T00:00:00"/>
        <d v="2032-07-31T00:00:00"/>
        <d v="2032-08-31T00:00:00"/>
        <d v="2032-09-30T00:00:00"/>
        <d v="2032-10-31T00:00:00"/>
        <d v="2032-11-30T00:00:00"/>
        <d v="2032-12-31T00:00:00"/>
        <d v="2033-01-31T00:00:00"/>
        <d v="2033-02-28T00:00:00"/>
        <d v="2033-03-31T00:00:00"/>
        <d v="2033-04-30T00:00:00"/>
        <d v="2033-05-31T00:00:00"/>
        <d v="2033-06-30T00:00:00"/>
        <d v="2033-07-31T00:00:00"/>
        <d v="2033-08-31T00:00:00"/>
        <d v="2033-09-30T00:00:00"/>
        <d v="2033-10-31T00:00:00"/>
        <d v="2033-11-30T00:00:00"/>
        <d v="2033-12-31T00:00:00"/>
        <d v="2034-01-31T00:00:00"/>
        <d v="2034-02-28T00:00:00"/>
        <d v="2034-03-31T00:00:00"/>
        <d v="2034-04-30T00:00:00"/>
        <d v="2034-05-31T00:00:00"/>
        <d v="2034-06-30T00:00:00"/>
        <d v="2034-07-31T00:00:00"/>
        <d v="2034-08-31T00:00:00"/>
        <d v="2034-09-30T00:00:00"/>
        <d v="2034-10-31T00:00:00"/>
        <d v="2034-11-30T00:00:00"/>
        <d v="2034-12-31T00:00:00"/>
        <d v="2035-01-31T00:00:00"/>
        <d v="2035-02-28T00:00:00"/>
        <d v="2035-03-31T00:00:00"/>
        <d v="2035-04-30T00:00:00"/>
        <d v="2035-05-31T00:00:00"/>
        <d v="2035-06-30T00:00:00"/>
        <d v="2035-07-31T00:00:00"/>
        <d v="2035-08-31T00:00:00"/>
        <d v="2035-09-30T00:00:00"/>
        <d v="2035-10-31T00:00:00"/>
        <d v="2035-11-30T00:00:00"/>
        <d v="2035-12-31T00:00:00"/>
        <d v="2036-01-31T00:00:00"/>
        <d v="2036-02-29T00:00:00"/>
        <d v="2036-03-31T00:00:00"/>
        <d v="2036-04-30T00:00:00"/>
        <d v="2036-05-31T00:00:00"/>
        <d v="2036-06-30T00:00:00"/>
        <d v="2036-07-31T00:00:00"/>
        <d v="2036-08-31T00:00:00"/>
        <d v="2036-09-30T00:00:00"/>
        <d v="2036-10-31T00:00:00"/>
        <d v="2036-11-30T00:00:00"/>
        <d v="2036-12-31T00:00:00"/>
        <d v="2037-01-31T00:00:00"/>
        <d v="2037-02-28T00:00:00"/>
        <d v="2037-03-31T00:00:00"/>
        <d v="2037-04-30T00:00:00"/>
        <d v="2037-05-31T00:00:00"/>
        <d v="2037-06-30T00:00:00"/>
        <d v="2037-07-31T00:00:00"/>
        <d v="2037-08-31T00:00:00"/>
        <d v="2037-09-30T00:00:00"/>
        <d v="2037-10-31T00:00:00"/>
        <d v="2037-11-30T00:00:00"/>
        <d v="2037-12-31T00:00:00"/>
        <d v="2038-01-31T00:00:00"/>
        <d v="2038-02-28T00:00:00"/>
        <d v="2038-03-31T00:00:00"/>
        <d v="2038-04-30T00:00:00"/>
        <d v="2038-05-31T00:00:00"/>
        <d v="2038-06-30T00:00:00"/>
        <d v="2038-07-31T00:00:00"/>
        <d v="2038-08-31T00:00:00"/>
        <d v="2038-09-30T00:00:00"/>
        <d v="2038-10-31T00:00:00"/>
        <d v="2038-11-30T00:00:00"/>
        <d v="2038-12-31T00:00:00"/>
        <d v="2039-01-31T00:00:00"/>
        <d v="2039-02-28T00:00:00"/>
        <d v="2039-03-31T00:00:00"/>
        <d v="2039-04-30T00:00:00"/>
        <d v="2039-05-31T00:00:00"/>
        <d v="2039-06-30T00:00:00"/>
        <d v="2039-07-31T00:00:00"/>
        <d v="2039-08-31T00:00:00"/>
        <d v="2039-09-30T00:00:00"/>
        <d v="2039-10-31T00:00:00"/>
        <d v="2039-11-30T00:00:00"/>
        <d v="2039-12-31T00:00:00"/>
        <d v="2040-01-31T00:00:00"/>
        <d v="2040-02-29T00:00:00"/>
        <d v="2040-03-31T00:00:00"/>
        <d v="2040-04-30T00:00:00"/>
        <d v="2040-05-31T00:00:00"/>
        <d v="2040-06-30T00:00:00"/>
        <d v="2040-07-31T00:00:00"/>
        <d v="2040-08-31T00:00:00"/>
        <d v="2040-09-30T00:00:00"/>
        <d v="2040-10-31T00:00:00"/>
        <d v="2040-11-30T00:00:00"/>
        <d v="2040-12-31T00:00:00"/>
        <d v="2041-01-31T00:00:00"/>
        <d v="2041-02-28T00:00:00"/>
        <d v="2041-03-31T00:00:00"/>
        <d v="2041-04-30T00:00:00"/>
        <d v="2041-05-31T00:00:00"/>
        <d v="2041-06-30T00:00:00"/>
        <d v="2041-07-31T00:00:00"/>
        <d v="2041-08-31T00:00:00"/>
        <d v="2041-09-30T00:00:00"/>
        <d v="2041-10-31T00:00:00"/>
        <d v="2041-11-30T00:00:00"/>
        <d v="2041-12-31T00:00:00"/>
        <d v="2042-01-31T00:00:00"/>
        <d v="2042-02-28T00:00:00"/>
        <d v="2042-03-31T00:00:00"/>
        <d v="2042-04-30T00:00:00"/>
        <d v="2042-05-31T00:00:00"/>
        <d v="2042-06-30T00:00:00"/>
        <d v="2042-07-31T00:00:00"/>
        <d v="2042-08-31T00:00:00"/>
        <d v="2042-09-30T00:00:00"/>
        <d v="2042-10-31T00:00:00"/>
        <d v="2042-11-30T00:00:00"/>
        <d v="2042-12-31T00:00:00"/>
        <d v="2043-01-31T00:00:00"/>
        <d v="2043-02-28T00:00:00"/>
        <d v="2043-03-31T00:00:00"/>
        <d v="2043-04-30T00:00:00"/>
        <d v="2043-05-31T00:00:00"/>
        <d v="2043-06-30T00:00:00"/>
        <d v="2043-07-31T00:00:00"/>
        <d v="2043-08-31T00:00:00"/>
        <d v="2043-09-30T00:00:00"/>
        <d v="2043-10-31T00:00:00"/>
        <d v="2043-11-30T00:00:00"/>
        <d v="2043-12-31T00:00:00"/>
        <d v="2044-01-31T00:00:00"/>
        <d v="2044-02-29T00:00:00"/>
        <d v="2044-03-31T00:00:00"/>
        <d v="2044-04-30T00:00:00"/>
        <d v="2044-05-31T00:00:00"/>
        <d v="2044-06-30T00:00:00"/>
        <d v="2044-07-31T00:00:00"/>
        <d v="2044-08-31T00:00:00"/>
        <d v="2044-09-30T00:00:00"/>
        <d v="2044-10-31T00:00:00"/>
        <d v="2044-11-30T00:00:00"/>
        <d v="2044-12-31T00:00:00"/>
        <d v="2045-01-31T00:00:00"/>
        <d v="2045-02-28T00:00:00"/>
        <d v="2045-03-31T00:00:00"/>
        <d v="2045-04-30T00:00:00"/>
        <d v="2045-05-31T00:00:00"/>
        <d v="2045-06-30T00:00:00"/>
        <d v="2045-07-31T00:00:00"/>
        <d v="2045-08-31T00:00:00"/>
        <d v="2045-09-30T00:00:00"/>
        <d v="2045-10-31T00:00:00"/>
        <d v="2045-11-30T00:00:00"/>
        <d v="2045-12-31T00:00:00"/>
        <d v="2046-01-31T00:00:00"/>
        <d v="2046-02-28T00:00:00"/>
        <d v="2046-03-31T00:00:00"/>
        <d v="2046-04-30T00:00:00"/>
        <d v="2046-05-31T00:00:00"/>
        <d v="2046-06-30T00:00:00"/>
        <d v="2046-07-31T00:00:00"/>
        <d v="2046-08-31T00:00:00"/>
        <d v="2046-09-30T00:00:00"/>
        <d v="2046-10-31T00:00:00"/>
        <d v="2046-11-30T00:00:00"/>
        <d v="2046-12-31T00:00:00"/>
        <d v="2047-01-31T00:00:00"/>
        <d v="2047-02-28T00:00:00"/>
        <d v="2047-03-31T00:00:00"/>
        <d v="2047-04-30T00:00:00"/>
        <d v="2047-05-31T00:00:00"/>
        <d v="2047-06-30T00:00:00"/>
        <d v="2047-07-31T00:00:00"/>
        <d v="2047-08-31T00:00:00"/>
        <d v="2047-09-30T00:00:00"/>
        <d v="2047-10-31T00:00:00"/>
        <d v="2047-11-30T00:00:00"/>
        <d v="2047-12-31T00:00:00"/>
        <d v="2048-01-31T00:00:00"/>
        <d v="2048-02-29T00:00:00"/>
        <d v="2048-03-31T00:00:00"/>
        <d v="2048-04-30T00:00:00"/>
        <d v="2048-05-31T00:00:00"/>
        <d v="2048-06-30T00:00:00"/>
        <d v="2048-07-31T00:00:00"/>
        <d v="2048-08-31T00:00:00"/>
        <d v="2048-09-30T00:00:00"/>
        <d v="2048-10-31T00:00:00"/>
        <d v="2048-11-30T00:00:00"/>
        <d v="2048-12-31T00:00:00"/>
        <d v="2049-01-31T00:00:00"/>
        <d v="2049-02-28T00:00:00"/>
        <d v="2049-03-31T00:00:00"/>
        <d v="2049-04-30T00:00:00"/>
        <d v="2049-05-31T00:00:00"/>
        <d v="2049-06-30T00:00:00"/>
        <d v="2049-07-31T00:00:00"/>
        <d v="2049-08-31T00:00:00"/>
        <d v="2049-09-30T00:00:00"/>
        <d v="2049-10-31T00:00:00"/>
        <d v="2049-11-30T00:00:00"/>
        <d v="2049-12-31T00:00:00"/>
        <d v="2050-01-31T00:00:00"/>
        <d v="2050-02-28T00:00:00"/>
        <d v="2050-03-31T00:00:00"/>
        <d v="2050-04-30T00:00:00"/>
        <d v="2050-05-31T00:00:00"/>
        <d v="2050-06-30T00:00:00"/>
        <d v="2050-07-31T00:00:00"/>
        <d v="2050-08-31T00:00:00"/>
        <d v="2050-09-30T00:00:00"/>
        <d v="2050-10-31T00:00:00"/>
        <d v="2050-11-30T00:00:00"/>
        <d v="2050-12-31T00:00:00"/>
        <d v="2051-01-31T00:00:00"/>
        <d v="2051-02-28T00:00:00"/>
        <d v="2051-03-31T00:00:00"/>
        <d v="2051-04-30T00:00:00"/>
        <d v="2051-05-31T00:00:00"/>
        <d v="2051-06-30T00:00:00"/>
        <d v="2051-07-31T00:00:00"/>
        <d v="2051-08-31T00:00:00"/>
        <d v="2051-09-30T00:00:00"/>
        <d v="2051-10-31T00:00:00"/>
        <d v="2051-11-30T00:00:00"/>
        <d v="2051-12-31T00:00:00"/>
        <d v="2052-01-31T00:00:00"/>
        <d v="2052-02-29T00:00:00"/>
        <d v="2052-03-31T00:00:00"/>
        <d v="2052-04-30T00:00:00"/>
        <d v="2052-05-31T00:00:00"/>
        <d v="2052-06-30T00:00:00"/>
        <d v="2052-07-31T00:00:00"/>
        <d v="2052-08-31T00:00:00"/>
        <d v="2052-09-30T00:00:00"/>
        <d v="2052-10-31T00:00:00"/>
        <d v="2052-11-30T00:00:00"/>
        <d v="2052-12-31T00:00:00"/>
        <d v="2053-01-31T00:00:00"/>
        <d v="2053-02-28T00:00:00"/>
        <d v="2053-03-31T00:00:00"/>
        <d v="2053-04-30T00:00:00"/>
        <d v="2053-05-31T00:00:00"/>
        <d v="2053-06-30T00:00:00"/>
        <d v="2053-07-31T00:00:00"/>
        <d v="2053-08-31T00:00:00"/>
        <d v="2053-09-30T00:00:00"/>
        <d v="2053-10-31T00:00:00"/>
        <d v="2053-11-30T00:00:00"/>
        <d v="2053-12-31T00:00:00"/>
        <d v="2054-01-31T00:00:00"/>
        <d v="2054-02-28T00:00:00"/>
        <d v="2054-03-31T00:00:00"/>
        <d v="2054-04-30T00:00:00"/>
        <d v="2054-05-31T00:00:00"/>
        <d v="2054-06-30T00:00:00"/>
        <d v="2054-07-31T00:00:00"/>
        <d v="2054-08-31T00:00:00"/>
        <d v="2054-09-30T00:00:00"/>
        <d v="2054-10-31T00:00:00"/>
        <d v="2054-11-30T00:00:00"/>
        <d v="2054-12-31T00:00:00"/>
        <d v="2055-01-31T00:00:00"/>
        <d v="2055-02-28T00:00:00"/>
        <d v="2055-03-31T00:00:00"/>
        <d v="2055-04-30T00:00:00"/>
        <d v="2055-05-31T00:00:00"/>
        <d v="2055-06-30T00:00:00"/>
        <d v="2055-07-31T00:00:00"/>
        <d v="2055-08-31T00:00:00"/>
        <d v="2055-09-30T00:00:00"/>
        <d v="2055-10-31T00:00:00"/>
        <d v="2055-11-30T00:00:00"/>
        <d v="2055-12-31T00:00:00"/>
        <d v="2056-01-31T00:00:00"/>
        <d v="2056-02-29T00:00:00"/>
        <d v="2056-03-31T00:00:00"/>
        <d v="2056-04-30T00:00:00"/>
        <d v="2056-05-31T00:00:00"/>
        <d v="2056-06-30T00:00:00"/>
        <d v="2056-07-31T00:00:00"/>
        <d v="2056-08-31T00:00:00"/>
        <d v="2056-09-30T00:00:00"/>
        <d v="2056-10-31T00:00:00"/>
        <d v="2056-11-30T00:00:00"/>
        <d v="2056-12-31T00:00:00"/>
        <d v="2057-01-31T00:00:00"/>
        <d v="2057-02-28T00:00:00"/>
        <d v="2057-03-31T00:00:00"/>
        <d v="2057-04-30T00:00:00"/>
        <d v="2057-05-31T00:00:00"/>
        <d v="2057-06-30T00:00:00"/>
        <d v="2057-07-31T00:00:00"/>
        <d v="2057-08-31T00:00:00"/>
        <d v="2057-09-30T00:00:00"/>
        <d v="2057-10-31T00:00:00"/>
        <d v="2057-11-30T00:00:00"/>
        <d v="2057-12-31T00:00:00"/>
        <d v="2058-01-31T00:00:00"/>
        <d v="2058-02-28T00:00:00"/>
        <d v="2058-03-31T00:00:00"/>
        <d v="2058-04-30T00:00:00"/>
        <d v="2058-05-31T00:00:00"/>
        <d v="2058-06-30T00:00:00"/>
        <d v="2058-07-31T00:00:00"/>
        <d v="2058-08-31T00:00:00"/>
        <d v="2058-09-30T00:00:00"/>
        <d v="2058-10-31T00:00:00"/>
        <d v="2058-11-30T00:00:00"/>
        <d v="2058-12-31T00:00:00"/>
        <d v="2059-01-31T00:00:00"/>
        <d v="2059-02-28T00:00:00"/>
        <d v="2059-03-31T00:00:00"/>
        <d v="2059-04-30T00:00:00"/>
        <d v="2059-05-31T00:00:00"/>
        <d v="2059-06-30T00:00:00"/>
        <d v="2059-07-31T00:00:00"/>
        <d v="2059-08-31T00:00:00"/>
        <d v="2059-09-30T00:00:00"/>
        <d v="2059-10-31T00:00:00"/>
        <d v="2059-11-30T00:00:00"/>
        <d v="2059-12-31T00:00:00"/>
        <d v="2060-01-31T00:00:00"/>
        <d v="2060-02-29T00:00:00"/>
        <d v="2060-03-31T00:00:00"/>
        <d v="2060-04-30T00:00:00"/>
        <d v="2060-05-31T00:00:00"/>
        <d v="2060-06-30T00:00:00"/>
        <d v="2060-07-31T00:00:00"/>
        <d v="2060-08-31T00:00:00"/>
        <d v="2060-09-30T00:00:00"/>
        <d v="2060-10-31T00:00:00"/>
        <d v="2060-11-30T00:00:00"/>
        <d v="2060-12-31T00:00:00"/>
        <d v="2061-01-31T00:00:00"/>
        <d v="2061-02-28T00:00:00"/>
        <d v="2061-03-31T00:00:00"/>
        <d v="2061-04-30T00:00:00"/>
        <d v="2061-05-31T00:00:00"/>
        <d v="2061-06-30T00:00:00"/>
        <d v="2061-07-31T00:00:00"/>
        <d v="2061-08-31T00:00:00"/>
        <d v="2061-09-30T00:00:00"/>
        <d v="2061-10-31T00:00:00"/>
        <d v="2061-11-30T00:00:00"/>
        <d v="2061-12-31T00:00:00"/>
        <d v="2062-01-31T00:00:00"/>
        <d v="2062-02-28T00:00:00"/>
        <d v="2062-03-31T00:00:00"/>
        <d v="2062-04-30T00:00:00"/>
        <d v="2062-05-31T00:00:00"/>
        <d v="2062-06-30T00:00:00"/>
        <d v="2062-07-31T00:00:00"/>
        <d v="2062-08-31T00:00:00"/>
        <d v="2062-09-30T00:00:00"/>
        <d v="2062-10-31T00:00:00"/>
        <d v="2062-11-30T00:00:00"/>
        <d v="2062-12-31T00:00:00"/>
        <d v="2063-01-31T00:00:00"/>
        <d v="2063-02-28T00:00:00"/>
        <d v="2063-03-31T00:00:00"/>
        <d v="2063-04-30T00:00:00"/>
        <d v="2063-05-31T00:00:00"/>
        <d v="2063-06-30T00:00:00"/>
        <d v="2063-07-31T00:00:00"/>
        <d v="2063-08-31T00:00:00"/>
        <d v="2063-09-30T00:00:00"/>
        <d v="2063-10-31T00:00:00"/>
        <d v="2063-11-30T00:00:00"/>
        <d v="2063-12-31T00:00:00"/>
        <d v="2064-01-31T00:00:00"/>
        <d v="2064-02-29T00:00:00"/>
        <d v="2064-03-31T00:00:00"/>
        <d v="2064-04-30T00:00:00"/>
        <d v="2064-05-31T00:00:00"/>
        <d v="2064-06-30T00:00:00"/>
        <d v="2064-07-31T00:00:00"/>
        <d v="2064-08-31T00:00:00"/>
        <d v="2064-09-30T00:00:00"/>
        <d v="2064-10-31T00:00:00"/>
        <d v="2064-11-30T00:00:00"/>
        <d v="2064-12-31T00:00:00"/>
        <d v="2065-01-31T00:00:00"/>
        <d v="2065-02-28T00:00:00"/>
        <d v="2065-03-31T00:00:00"/>
        <d v="2065-04-30T00:00:00"/>
        <d v="2065-05-31T00:00:00"/>
        <d v="2065-06-30T00:00:00"/>
        <d v="2065-07-31T00:00:00"/>
        <d v="2065-08-31T00:00:00"/>
        <d v="2065-09-30T00:00:00"/>
        <d v="2065-10-31T00:00:00"/>
        <d v="2065-11-30T00:00:00"/>
        <d v="2065-12-31T00:00:00"/>
        <d v="2066-01-31T00:00:00"/>
        <d v="2066-02-28T00:00:00"/>
        <d v="2066-03-31T00:00:00"/>
        <d v="2066-04-30T00:00:00"/>
        <d v="2066-05-31T00:00:00"/>
        <d v="2066-06-30T00:00:00"/>
        <d v="2066-07-31T00:00:00"/>
        <d v="2066-08-31T00:00:00"/>
        <d v="2066-09-30T00:00:00"/>
        <d v="2066-10-31T00:00:00"/>
        <d v="2066-11-30T00:00:00"/>
        <d v="2066-12-31T00:00:00"/>
        <d v="2067-01-31T00:00:00"/>
        <d v="2067-02-28T00:00:00"/>
        <d v="2067-03-31T00:00:00"/>
        <d v="2067-04-30T00:00:00"/>
        <d v="2067-05-31T00:00:00"/>
        <d v="2067-06-30T00:00:00"/>
        <d v="2067-07-31T00:00:00"/>
        <d v="2067-08-31T00:00:00"/>
        <d v="2067-09-30T00:00:00"/>
        <d v="2067-10-31T00:00:00"/>
        <d v="2067-11-30T00:00:00"/>
        <d v="2067-12-31T00:00:00"/>
        <d v="2068-01-31T00:00:00"/>
        <d v="2068-02-29T00:00:00"/>
        <d v="2068-03-31T00:00:00"/>
        <d v="2068-04-30T00:00:00"/>
        <d v="2068-05-31T00:00:00"/>
        <d v="2068-06-30T00:00:00"/>
        <d v="2068-07-31T00:00:00"/>
        <d v="2068-08-31T00:00:00"/>
        <d v="2068-09-30T00:00:00"/>
        <d v="2068-10-31T00:00:00"/>
        <d v="2068-11-30T00:00:00"/>
        <d v="2068-12-31T00:00:00"/>
        <d v="2069-01-31T00:00:00"/>
        <d v="2069-02-28T00:00:00"/>
        <d v="2069-03-31T00:00:00"/>
        <d v="2069-04-30T00:00:00"/>
        <d v="2069-05-31T00:00:00"/>
        <d v="2069-06-30T00:00:00"/>
        <d v="2069-07-31T00:00:00"/>
        <d v="2069-08-31T00:00:00"/>
        <d v="2069-09-30T00:00:00"/>
        <d v="2069-10-31T00:00:00"/>
        <d v="2069-11-30T00:00:00"/>
        <d v="2069-12-31T00:00:00"/>
        <d v="2070-01-31T00:00:00"/>
        <d v="2070-02-28T00:00:00"/>
        <d v="2070-03-31T00:00:00"/>
        <d v="2070-04-30T00:00:00"/>
        <d v="2070-05-31T00:00:00"/>
        <d v="2070-06-30T00:00:00"/>
        <d v="2070-07-31T00:00:00"/>
        <d v="2070-08-31T00:00:00"/>
        <d v="2070-09-30T00:00:00"/>
        <d v="2070-10-31T00:00:00"/>
        <d v="2070-11-30T00:00:00"/>
        <d v="2070-12-31T00:00:00"/>
        <d v="2071-01-31T00:00:00"/>
        <d v="2071-02-28T00:00:00"/>
        <d v="2071-03-31T00:00:00"/>
        <d v="2071-04-30T00:00:00"/>
        <d v="2071-05-31T00:00:00"/>
        <d v="2071-06-30T00:00:00"/>
        <d v="2071-07-31T00:00:00"/>
        <d v="2071-08-31T00:00:00"/>
        <d v="2071-09-30T00:00:00"/>
        <d v="2071-10-31T00:00:00"/>
        <d v="2071-11-30T00:00:00"/>
        <d v="2071-12-31T00:00:00"/>
        <d v="2072-01-31T00:00:00"/>
        <d v="2072-02-29T00:00:00"/>
        <d v="2072-03-31T00:00:00"/>
        <d v="2072-04-30T00:00:00"/>
        <d v="2072-05-31T00:00:00"/>
        <d v="2072-06-30T00:00:00"/>
        <d v="2072-07-31T00:00:00"/>
        <d v="2072-08-31T00:00:00"/>
        <d v="2072-09-30T00:00:00"/>
        <d v="2072-10-31T00:00:00"/>
        <d v="2072-11-30T00:00:00"/>
        <d v="2072-12-31T00:00:00"/>
        <d v="2073-01-31T00:00:00"/>
        <d v="2073-02-28T00:00:00"/>
        <d v="2073-03-31T00:00:00"/>
        <d v="2073-04-30T00:00:00"/>
        <d v="2073-05-31T00:00:00"/>
        <d v="2073-06-30T00:00:00"/>
        <d v="2073-07-31T00:00:00"/>
        <d v="2073-08-31T00:00:00"/>
        <d v="2073-09-30T00:00:00"/>
        <d v="2073-10-31T00:00:00"/>
        <d v="2073-11-30T00:00:00"/>
        <d v="2073-12-31T00:00:00"/>
        <d v="2074-01-31T00:00:00"/>
        <d v="2074-02-28T00:00:00"/>
        <d v="2074-03-31T00:00:00"/>
        <d v="2074-04-30T00:00:00"/>
        <d v="2074-05-31T00:00:00"/>
        <d v="2074-06-30T00:00:00"/>
        <d v="2074-07-31T00:00:00"/>
        <d v="2074-08-31T00:00:00"/>
        <d v="2074-09-30T00:00:00"/>
        <d v="2074-10-31T00:00:00"/>
        <d v="2074-11-30T00:00:00"/>
        <d v="2074-12-31T00:00:00"/>
        <d v="2075-01-31T00:00:00"/>
        <d v="2075-02-28T00:00:00"/>
        <d v="2075-03-31T00:00:00"/>
        <d v="2075-04-30T00:00:00"/>
        <d v="2075-05-31T00:00:00"/>
        <d v="2075-06-30T00:00:00"/>
        <d v="2075-07-31T00:00:00"/>
        <d v="2075-08-31T00:00:00"/>
        <d v="2075-09-30T00:00:00"/>
        <d v="2075-10-31T00:00:00"/>
        <d v="2075-11-30T00:00:00"/>
        <d v="2075-12-31T00:00:00"/>
        <d v="2076-01-31T00:00:00"/>
        <d v="2076-02-29T00:00:00"/>
        <d v="2076-03-31T00:00:00"/>
        <d v="2076-04-30T00:00:00"/>
        <d v="2076-05-31T00:00:00"/>
        <d v="2076-06-30T00:00:00"/>
        <d v="2076-07-31T00:00:00"/>
        <d v="2076-08-31T00:00:00"/>
        <d v="2076-09-30T00:00:00"/>
        <d v="2076-10-31T00:00:00"/>
        <d v="2076-11-30T00:00:00"/>
        <d v="2076-12-31T00:00:00"/>
        <d v="2077-01-31T00:00:00"/>
        <d v="2077-02-28T00:00:00"/>
        <d v="2077-03-31T00:00:00"/>
        <d v="2077-04-30T00:00:00"/>
        <d v="2077-05-31T00:00:00"/>
        <d v="2077-06-30T00:00:00"/>
        <d v="2077-07-31T00:00:00"/>
        <d v="2077-08-31T00:00:00"/>
        <d v="2077-09-30T00:00:00"/>
        <d v="2077-10-31T00:00:00"/>
        <d v="2077-11-30T00:00:00"/>
        <d v="2077-12-31T00:00:00"/>
        <d v="2078-01-31T00:00:00"/>
        <d v="2078-02-28T00:00:00"/>
        <d v="2078-03-31T00:00:00"/>
        <d v="2078-04-30T00:00:00"/>
        <d v="2078-05-31T00:00:00"/>
        <d v="2078-06-30T00:00:00"/>
        <d v="2078-07-31T00:00:00"/>
        <d v="2078-08-31T00:00:00"/>
        <d v="2078-09-30T00:00:00"/>
        <d v="2078-10-31T00:00:00"/>
        <d v="2078-11-30T00:00:00"/>
        <d v="2078-12-31T00:00:00"/>
        <d v="2079-01-31T00:00:00"/>
        <d v="2079-02-28T00:00:00"/>
        <d v="2079-03-31T00:00:00"/>
        <d v="2079-04-30T00:00:00"/>
        <d v="2079-05-31T00:00:00"/>
        <d v="2079-06-30T00:00:00"/>
        <d v="2079-07-31T00:00:00"/>
        <d v="2079-08-31T00:00:00"/>
        <d v="2079-09-30T00:00:00"/>
        <d v="2079-10-31T00:00:00"/>
        <d v="2079-11-30T00:00:00"/>
        <d v="2079-12-31T00:00:00"/>
        <d v="2080-01-31T00:00:00"/>
        <d v="2080-02-29T00:00:00"/>
        <d v="2080-03-31T00:00:00"/>
        <d v="2080-04-30T00:00:00"/>
        <d v="2080-05-31T00:00:00"/>
        <d v="2080-06-30T00:00:00"/>
        <d v="2080-07-31T00:00:00"/>
        <d v="2080-08-31T00:00:00"/>
        <d v="2080-09-30T00:00:00"/>
        <d v="2080-10-31T00:00:00"/>
        <d v="2080-11-30T00:00:00"/>
        <d v="2080-12-31T00:00:00"/>
        <d v="2081-01-31T00:00:00"/>
        <d v="2081-02-28T00:00:00"/>
        <d v="2081-03-31T00:00:00"/>
        <d v="2081-04-30T00:00:00"/>
        <d v="2081-05-31T00:00:00"/>
        <d v="2081-06-30T00:00:00"/>
        <d v="2081-07-31T00:00:00"/>
        <d v="2081-08-31T00:00:00"/>
        <d v="2081-09-30T00:00:00"/>
        <d v="2081-10-31T00:00:00"/>
        <d v="2081-11-30T00:00:00"/>
        <d v="2081-12-31T00:00:00"/>
        <d v="2082-01-31T00:00:00"/>
        <d v="2082-02-28T00:00:00"/>
        <d v="2082-03-31T00:00:00"/>
        <d v="2082-04-30T00:00:00"/>
        <d v="2082-05-31T00:00:00"/>
        <d v="2082-06-30T00:00:00"/>
        <d v="2082-07-31T00:00:00"/>
        <d v="2082-08-31T00:00:00"/>
        <d v="2082-09-30T00:00:00"/>
        <d v="2082-10-31T00:00:00"/>
        <d v="2082-11-30T00:00:00"/>
        <d v="2082-12-31T00:00:00"/>
        <d v="2083-01-31T00:00:00"/>
        <d v="2083-02-28T00:00:00"/>
        <d v="2083-03-31T00:00:00"/>
        <d v="2083-04-30T00:00:00"/>
        <d v="2083-05-31T00:00:00"/>
        <d v="2083-06-30T00:00:00"/>
        <d v="2083-07-31T00:00:00"/>
        <d v="2083-08-31T00:00:00"/>
        <d v="2083-09-30T00:00:00"/>
        <d v="2083-10-31T00:00:00"/>
        <d v="2083-11-30T00:00:00"/>
        <d v="2083-12-31T00:00:00"/>
        <d v="2084-01-31T00:00:00"/>
        <d v="2084-02-29T00:00:00"/>
        <d v="2084-03-31T00:00:00"/>
        <d v="2084-04-30T00:00:00"/>
        <d v="2084-05-31T00:00:00"/>
        <d v="2084-06-30T00:00:00"/>
        <d v="2084-07-31T00:00:00"/>
        <d v="2084-08-31T00:00:00"/>
        <d v="2084-09-30T00:00:00"/>
        <d v="2084-10-31T00:00:00"/>
        <d v="2084-11-30T00:00:00"/>
        <d v="2084-12-31T00:00:00"/>
        <d v="2085-01-31T00:00:00"/>
        <d v="2085-02-28T00:00:00"/>
        <d v="2085-03-31T00:00:00"/>
        <d v="2085-04-30T00:00:00"/>
        <d v="2085-05-31T00:00:00"/>
        <d v="2085-06-30T00:00:00"/>
        <d v="2085-07-31T00:00:00"/>
        <d v="2085-08-31T00:00:00"/>
        <d v="2085-09-30T00:00:00"/>
        <d v="2085-10-31T00:00:00"/>
        <d v="2085-11-30T00:00:00"/>
        <d v="2085-12-31T00:00:00"/>
        <d v="2086-01-31T00:00:00"/>
        <d v="2086-02-28T00:00:00"/>
        <d v="2086-03-31T00:00:00"/>
        <d v="2086-04-30T00:00:00"/>
        <d v="2086-05-31T00:00:00"/>
        <d v="2086-06-30T00:00:00"/>
        <d v="2086-07-31T00:00:00"/>
        <d v="2086-08-31T00:00:00"/>
        <d v="2086-09-30T00:00:00"/>
        <d v="2086-10-31T00:00:00"/>
        <d v="2086-11-30T00:00:00"/>
        <d v="2086-12-31T00:00:00"/>
        <d v="2087-01-31T00:00:00"/>
        <d v="2087-02-28T00:00:00"/>
        <d v="2087-03-31T00:00:00"/>
        <d v="2087-04-30T00:00:00"/>
        <d v="2087-05-31T00:00:00"/>
        <d v="2087-06-30T00:00:00"/>
        <d v="2087-07-31T00:00:00"/>
        <d v="2087-08-31T00:00:00"/>
        <d v="2087-09-30T00:00:00"/>
        <d v="2087-10-31T00:00:00"/>
        <d v="2087-11-30T00:00:00"/>
        <d v="2087-12-31T00:00:00"/>
        <d v="2088-01-31T00:00:00"/>
        <d v="2088-02-29T00:00:00"/>
        <d v="2088-03-31T00:00:00"/>
        <d v="2088-04-30T00:00:00"/>
        <d v="2088-05-31T00:00:00"/>
        <d v="2088-06-30T00:00:00"/>
        <d v="2088-07-31T00:00:00"/>
        <d v="2088-08-31T00:00:00"/>
        <d v="2088-09-30T00:00:00"/>
        <d v="2088-10-31T00:00:00"/>
        <d v="2088-11-30T00:00:00"/>
        <d v="2088-12-31T00:00:00"/>
        <d v="2089-01-31T00:00:00"/>
        <d v="2089-02-28T00:00:00"/>
        <d v="2089-03-31T00:00:00"/>
        <d v="2089-04-30T00:00:00"/>
        <d v="2089-05-31T00:00:00"/>
        <d v="2089-06-30T00:00:00"/>
        <d v="2089-07-31T00:00:00"/>
        <d v="2089-08-31T00:00:00"/>
        <d v="2089-09-30T00:00:00"/>
        <d v="2089-10-31T00:00:00"/>
        <d v="2089-11-30T00:00:00"/>
        <d v="2089-12-31T00:00:00"/>
        <d v="2090-01-31T00:00:00"/>
        <d v="2090-02-28T00:00:00"/>
        <d v="2090-03-31T00:00:00"/>
        <d v="2090-04-30T00:00:00"/>
        <d v="2090-05-31T00:00:00"/>
        <d v="2090-06-30T00:00:00"/>
        <d v="2090-07-31T00:00:00"/>
        <d v="2090-08-31T00:00:00"/>
        <d v="2090-09-30T00:00:00"/>
        <d v="2090-10-31T00:00:00"/>
        <d v="2090-11-30T00:00:00"/>
        <d v="2090-12-31T00:00:00"/>
        <d v="2091-01-31T00:00:00"/>
        <d v="2091-02-28T00:00:00"/>
        <d v="2091-03-31T00:00:00"/>
        <d v="2091-04-30T00:00:00"/>
        <d v="2091-05-31T00:00:00"/>
        <d v="2091-06-30T00:00:00"/>
        <d v="2091-07-31T00:00:00"/>
        <d v="2091-08-31T00:00:00"/>
        <d v="2091-09-30T00:00:00"/>
        <d v="2091-10-31T00:00:00"/>
        <d v="2091-11-30T00:00:00"/>
        <d v="2091-12-31T00:00:00"/>
        <d v="2092-01-31T00:00:00"/>
        <d v="2092-02-29T00:00:00"/>
        <d v="2092-03-31T00:00:00"/>
        <d v="2092-04-30T00:00:00"/>
        <d v="2092-05-31T00:00:00"/>
        <d v="2092-06-30T00:00:00"/>
        <d v="2092-07-31T00:00:00"/>
        <d v="2092-08-31T00:00:00"/>
        <d v="2092-09-30T00:00:00"/>
        <d v="2092-10-31T00:00:00"/>
        <d v="2092-11-30T00:00:00"/>
        <d v="2092-12-31T00:00:00"/>
        <d v="2093-01-31T00:00:00"/>
        <d v="2093-02-28T00:00:00"/>
        <d v="2093-03-31T00:00:00"/>
        <d v="2093-04-30T00:00:00"/>
        <d v="2093-05-31T00:00:00"/>
        <d v="2093-06-30T00:00:00"/>
        <d v="2093-07-31T00:00:00"/>
        <d v="2093-08-31T00:00:00"/>
        <d v="2093-09-30T00:00:00"/>
        <d v="2093-10-31T00:00:00"/>
        <d v="2093-11-30T00:00:00"/>
        <d v="2093-12-31T00:00:00"/>
        <d v="2094-01-31T00:00:00"/>
        <d v="2094-02-28T00:00:00"/>
        <d v="2094-03-31T00:00:00"/>
        <d v="2094-04-30T00:00:00"/>
        <d v="2094-05-31T00:00:00"/>
        <d v="2094-06-30T00:00:00"/>
        <d v="2094-07-31T00:00:00"/>
        <d v="2094-08-31T00:00:00"/>
        <d v="2094-09-30T00:00:00"/>
        <d v="2094-10-31T00:00:00"/>
        <d v="2094-11-30T00:00:00"/>
        <d v="2094-12-31T00:00:00"/>
        <d v="2095-01-31T00:00:00"/>
        <d v="2095-02-28T00:00:00"/>
        <d v="2095-03-31T00:00:00"/>
        <d v="2095-04-30T00:00:00"/>
        <d v="2095-05-31T00:00:00"/>
        <d v="2095-06-30T00:00:00"/>
        <d v="2095-07-31T00:00:00"/>
        <d v="2095-08-31T00:00:00"/>
        <d v="2095-09-30T00:00:00"/>
        <d v="2095-10-31T00:00:00"/>
        <d v="2095-11-30T00:00:00"/>
        <d v="2095-12-31T00:00:00"/>
        <d v="2096-01-31T00:00:00"/>
        <d v="2096-02-29T00:00:00"/>
        <d v="2096-03-31T00:00:00"/>
        <d v="2096-04-30T00:00:00"/>
        <d v="2096-05-31T00:00:00"/>
        <d v="2096-06-30T00:00:00"/>
        <d v="2096-07-31T00:00:00"/>
        <d v="2096-08-31T00:00:00"/>
        <d v="2096-09-30T00:00:00"/>
        <d v="2096-10-31T00:00:00"/>
        <d v="2096-11-30T00:00:00"/>
        <d v="2096-12-31T00:00:00"/>
        <d v="2097-01-31T00:00:00"/>
        <d v="2097-02-28T00:00:00"/>
        <d v="2097-03-31T00:00:00"/>
        <d v="2097-04-30T00:00:00"/>
        <d v="2097-05-31T00:00:00"/>
        <d v="2097-06-30T00:00:00"/>
        <d v="2097-07-31T00:00:00"/>
        <d v="2097-08-31T00:00:00"/>
        <d v="2097-09-30T00:00:00"/>
        <d v="2097-10-31T00:00:00"/>
        <d v="2097-11-30T00:00:00"/>
        <d v="2097-12-31T00:00:00"/>
        <d v="2098-01-31T00:00:00"/>
        <d v="2098-02-28T00:00:00"/>
        <d v="2098-03-31T00:00:00"/>
        <d v="2098-04-30T00:00:00"/>
        <d v="2098-05-31T00:00:00"/>
        <d v="2098-06-30T00:00:00"/>
        <d v="2098-07-31T00:00:00"/>
        <d v="2098-08-31T00:00:00"/>
        <d v="2098-09-30T00:00:00"/>
        <d v="2098-10-31T00:00:00"/>
        <d v="2098-11-30T00:00:00"/>
        <d v="2098-12-31T00:00:00"/>
        <d v="2099-01-31T00:00:00"/>
        <d v="2099-02-28T00:00:00"/>
        <d v="2099-03-31T00:00:00"/>
        <d v="2099-04-30T00:00:00"/>
        <d v="2099-05-31T00:00:00"/>
        <d v="2099-06-30T00:00:00"/>
        <d v="2099-07-31T00:00:00"/>
        <d v="2099-08-31T00:00:00"/>
        <d v="2099-09-30T00:00:00"/>
        <d v="2099-10-31T00:00:00"/>
        <d v="2099-11-30T00:00:00"/>
        <d v="2099-12-31T00:00:00"/>
        <d v="2100-01-31T00:00:00"/>
        <d v="2100-02-28T00:00:00"/>
        <d v="2100-03-31T00:00:00"/>
        <d v="2100-04-30T00:00:00"/>
        <d v="2100-05-31T00:00:00"/>
        <d v="2100-06-30T00:00:00"/>
        <d v="2100-07-31T00:00:00"/>
        <d v="2100-08-31T00:00:00"/>
        <d v="2100-09-30T00:00:00"/>
        <d v="2100-10-31T00:00:00"/>
        <d v="2100-11-30T00:00:00"/>
        <d v="2100-12-31T00:00:00"/>
        <d v="2101-01-31T00:00:00"/>
        <d v="2101-02-28T00:00:00"/>
        <d v="2101-03-31T00:00:00"/>
        <d v="2101-04-30T00:00:00"/>
        <d v="2101-05-31T00:00:00"/>
        <d v="2101-06-30T00:00:00"/>
        <d v="2101-07-31T00:00:00"/>
        <d v="2101-08-31T00:00:00"/>
        <d v="2101-09-30T00:00:00"/>
        <d v="2101-10-31T00:00:00"/>
        <d v="2101-11-30T00:00:00"/>
        <d v="2101-12-31T00:00:00"/>
        <d v="2102-01-31T00:00:00"/>
        <d v="2102-02-28T00:00:00"/>
        <d v="2102-03-31T00:00:00"/>
        <d v="2102-04-30T00:00:00"/>
        <d v="2102-05-31T00:00:00"/>
        <d v="2102-06-30T00:00:00"/>
        <d v="2102-07-31T00:00:00"/>
        <d v="2102-08-31T00:00:00"/>
        <d v="2102-09-30T00:00:00"/>
        <d v="2102-10-31T00:00:00"/>
        <d v="2102-11-30T00:00:00"/>
      </sharedItems>
      <fieldGroup par="14" base="0">
        <rangePr groupBy="months" startDate="2022-01-31T00:00:00" endDate="2102-12-01T00:00:00"/>
        <groupItems count="14">
          <s v="&lt;31/01/2022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1/12/2102"/>
        </groupItems>
      </fieldGroup>
    </cacheField>
    <cacheField name="P ações" numFmtId="165">
      <sharedItems containsNonDate="0" containsString="0" containsBlank="1"/>
    </cacheField>
    <cacheField name="PA Ações" numFmtId="165">
      <sharedItems containsNonDate="0" containsString="0" containsBlank="1"/>
    </cacheField>
    <cacheField name="P BDRs" numFmtId="0">
      <sharedItems containsNonDate="0" containsString="0" containsBlank="1"/>
    </cacheField>
    <cacheField name="PA BDRs" numFmtId="0">
      <sharedItems containsNonDate="0" containsString="0" containsBlank="1"/>
    </cacheField>
    <cacheField name="P FIIs" numFmtId="0">
      <sharedItems containsNonDate="0" containsString="0" containsBlank="1"/>
    </cacheField>
    <cacheField name="PA FIIs" numFmtId="0">
      <sharedItems containsNonDate="0" containsString="0" containsBlank="1"/>
    </cacheField>
    <cacheField name="P Investido" numFmtId="165">
      <sharedItems containsSemiMixedTypes="0" containsString="0" containsNumber="1" containsInteger="1" minValue="0" maxValue="0"/>
    </cacheField>
    <cacheField name="P Atual" numFmtId="165">
      <sharedItems containsSemiMixedTypes="0" containsString="0" containsNumber="1" containsInteger="1" minValue="0" maxValue="0"/>
    </cacheField>
    <cacheField name="R Ações" numFmtId="165">
      <sharedItems containsSemiMixedTypes="0" containsString="0" containsNumber="1" containsInteger="1" minValue="0" maxValue="0"/>
    </cacheField>
    <cacheField name="R BDRs" numFmtId="165">
      <sharedItems containsSemiMixedTypes="0" containsString="0" containsNumber="1" containsInteger="1" minValue="0" maxValue="0"/>
    </cacheField>
    <cacheField name="R FIIs" numFmtId="165">
      <sharedItems containsSemiMixedTypes="0" containsString="0" containsNumber="1" containsInteger="1" minValue="0" maxValue="0"/>
    </cacheField>
    <cacheField name="R Total" numFmtId="165">
      <sharedItems containsSemiMixedTypes="0" containsString="0" containsNumber="1" containsInteger="1" minValue="0" maxValue="0"/>
    </cacheField>
    <cacheField name="Trimestres" numFmtId="0" databaseField="0">
      <fieldGroup base="0">
        <rangePr groupBy="quarters" startDate="2022-01-31T00:00:00" endDate="2102-12-01T00:00:00"/>
        <groupItems count="6">
          <s v="&lt;31/01/2022"/>
          <s v="Trim1"/>
          <s v="Trim2"/>
          <s v="Trim3"/>
          <s v="Trim4"/>
          <s v="&gt;01/12/2102"/>
        </groupItems>
      </fieldGroup>
    </cacheField>
    <cacheField name="Anos" numFmtId="0" databaseField="0">
      <fieldGroup base="0">
        <rangePr groupBy="years" startDate="2022-01-31T00:00:00" endDate="2102-12-01T00:00:00"/>
        <groupItems count="83">
          <s v="&lt;31/01/2022"/>
          <s v="2022"/>
          <s v="2023"/>
          <s v="2024"/>
          <s v="2025"/>
          <s v="2026"/>
          <s v="2027"/>
          <s v="2028"/>
          <s v="2029"/>
          <s v="2030"/>
          <s v="2031"/>
          <s v="2032"/>
          <s v="2033"/>
          <s v="2034"/>
          <s v="2035"/>
          <s v="2036"/>
          <s v="2037"/>
          <s v="2038"/>
          <s v="2039"/>
          <s v="2040"/>
          <s v="2041"/>
          <s v="2042"/>
          <s v="2043"/>
          <s v="2044"/>
          <s v="2045"/>
          <s v="2046"/>
          <s v="2047"/>
          <s v="2048"/>
          <s v="2049"/>
          <s v="2050"/>
          <s v="2051"/>
          <s v="2052"/>
          <s v="2053"/>
          <s v="2054"/>
          <s v="2055"/>
          <s v="2056"/>
          <s v="2057"/>
          <s v="2058"/>
          <s v="2059"/>
          <s v="2060"/>
          <s v="2061"/>
          <s v="2062"/>
          <s v="2063"/>
          <s v="2064"/>
          <s v="2065"/>
          <s v="2066"/>
          <s v="2067"/>
          <s v="2068"/>
          <s v="2069"/>
          <s v="2070"/>
          <s v="2071"/>
          <s v="2072"/>
          <s v="2073"/>
          <s v="2074"/>
          <s v="2075"/>
          <s v="2076"/>
          <s v="2077"/>
          <s v="2078"/>
          <s v="2079"/>
          <s v="2080"/>
          <s v="2081"/>
          <s v="2082"/>
          <s v="2083"/>
          <s v="2084"/>
          <s v="2085"/>
          <s v="2086"/>
          <s v="2087"/>
          <s v="2088"/>
          <s v="2089"/>
          <s v="2090"/>
          <s v="2091"/>
          <s v="2092"/>
          <s v="2093"/>
          <s v="2094"/>
          <s v="2095"/>
          <s v="2096"/>
          <s v="2097"/>
          <s v="2098"/>
          <s v="2099"/>
          <s v="2100"/>
          <s v="2101"/>
          <s v="2102"/>
          <s v="&gt;01/12/2102"/>
        </groupItems>
      </fieldGroup>
    </cacheField>
  </cacheFields>
  <extLst>
    <ext xmlns:x14="http://schemas.microsoft.com/office/spreadsheetml/2009/9/main" uri="{725AE2AE-9491-48be-B2B4-4EB974FC3084}">
      <x14:pivotCacheDefinition pivotCacheId="55380104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Romão" refreshedDate="44647.468766319442" createdVersion="7" refreshedVersion="7" minRefreshableVersion="3" recordCount="1" xr:uid="{073F953F-1314-4EA5-9608-8DA447A477E9}">
  <cacheSource type="worksheet">
    <worksheetSource name="Interesse_BDRs"/>
  </cacheSource>
  <cacheFields count="14">
    <cacheField name="Título" numFmtId="0">
      <sharedItems containsNonDate="0" containsString="0" containsBlank="1"/>
    </cacheField>
    <cacheField name="Setor" numFmtId="0">
      <sharedItems containsNonDate="0" containsBlank="1" count="11">
        <m/>
        <s v="asdf" u="1"/>
        <s v="elet" u="1"/>
        <s v="ban" u="1"/>
        <s v="tec" u="1"/>
        <s v="pet" u="1"/>
        <s v="era" u="1"/>
        <s v="Social" u="1"/>
        <s v="banc" u="1"/>
        <s v="Tecnologia" u="1"/>
        <s v="varejo" u="1"/>
      </sharedItems>
    </cacheField>
    <cacheField name="Qtd." numFmtId="0">
      <sharedItems containsSemiMixedTypes="0" containsString="0" containsNumber="1" containsInteger="1" minValue="0" maxValue="0"/>
    </cacheField>
    <cacheField name="Nota" numFmtId="0">
      <sharedItems containsNonDate="0" containsString="0" containsBlank="1"/>
    </cacheField>
    <cacheField name="%Div" numFmtId="9">
      <sharedItems containsSemiMixedTypes="0" containsString="0" containsNumber="1" containsInteger="1" minValue="0" maxValue="0"/>
    </cacheField>
    <cacheField name="%Cres" numFmtId="10">
      <sharedItems containsSemiMixedTypes="0" containsString="0" containsNumber="1" containsInteger="1" minValue="0" maxValue="0"/>
    </cacheField>
    <cacheField name="Patri. Invest." numFmtId="165">
      <sharedItems containsSemiMixedTypes="0" containsString="0" containsNumber="1" containsInteger="1" minValue="0" maxValue="0"/>
    </cacheField>
    <cacheField name="Preço M." numFmtId="165">
      <sharedItems containsSemiMixedTypes="0" containsString="0" containsNumber="1" containsInteger="1" minValue="0" maxValue="0"/>
    </cacheField>
    <cacheField name="Preço A." numFmtId="165">
      <sharedItems containsSemiMixedTypes="0" containsString="0" containsNumber="1" containsInteger="1" minValue="0" maxValue="0"/>
    </cacheField>
    <cacheField name="Patri. Atual" numFmtId="165">
      <sharedItems containsSemiMixedTypes="0" containsString="0" containsNumber="1" containsInteger="1" minValue="0" maxValue="0"/>
    </cacheField>
    <cacheField name="%ideal" numFmtId="166">
      <sharedItems containsSemiMixedTypes="0" containsString="0" containsNumber="1" containsInteger="1" minValue="0" maxValue="0"/>
    </cacheField>
    <cacheField name="%Atual" numFmtId="166">
      <sharedItems containsSemiMixedTypes="0" containsString="0" containsNumber="1" containsInteger="1" minValue="0" maxValue="0"/>
    </cacheField>
    <cacheField name="Status" numFmtId="0">
      <sharedItems/>
    </cacheField>
    <cacheField name="Aporte eq." numFmtId="165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Romão" refreshedDate="44647.468766666665" createdVersion="7" refreshedVersion="7" minRefreshableVersion="3" recordCount="1" xr:uid="{E73DD161-07AF-4B1C-9511-A5B38EEA08C0}">
  <cacheSource type="worksheet">
    <worksheetSource name="Interesse_Acoes"/>
  </cacheSource>
  <cacheFields count="14">
    <cacheField name="Título" numFmtId="0">
      <sharedItems containsNonDate="0" containsString="0" containsBlank="1"/>
    </cacheField>
    <cacheField name="Setor" numFmtId="0">
      <sharedItems containsNonDate="0" containsBlank="1" count="19">
        <m/>
        <s v="ban" u="1"/>
        <s v="Tecnologia" u="1"/>
        <s v="petrol" u="1"/>
        <s v="Social" u="1"/>
        <s v="Cosméticos" u="1"/>
        <s v="Máquinas" u="1"/>
        <s v="Mineração" u="1"/>
        <s v="Shoppings" u="1"/>
        <s v="elet" u="1"/>
        <s v="Bebidas" u="1"/>
        <s v="Bancário" u="1"/>
        <s v="Varejo" u="1"/>
        <s v="Saúde" u="1"/>
        <s v="asdfsadf" u="1"/>
        <s v="bc" u="1"/>
        <s v="Elétrico" u="1"/>
        <s v="construção" u="1"/>
        <s v="Petróleo" u="1"/>
      </sharedItems>
    </cacheField>
    <cacheField name="Qtd." numFmtId="0">
      <sharedItems containsSemiMixedTypes="0" containsString="0" containsNumber="1" containsInteger="1" minValue="0" maxValue="0"/>
    </cacheField>
    <cacheField name="Nota" numFmtId="0">
      <sharedItems containsNonDate="0" containsString="0" containsBlank="1"/>
    </cacheField>
    <cacheField name="%Div" numFmtId="9">
      <sharedItems containsSemiMixedTypes="0" containsString="0" containsNumber="1" containsInteger="1" minValue="0" maxValue="0"/>
    </cacheField>
    <cacheField name="%Cres" numFmtId="10">
      <sharedItems containsSemiMixedTypes="0" containsString="0" containsNumber="1" containsInteger="1" minValue="0" maxValue="0"/>
    </cacheField>
    <cacheField name="Patri. Invest." numFmtId="165">
      <sharedItems containsSemiMixedTypes="0" containsString="0" containsNumber="1" containsInteger="1" minValue="0" maxValue="0"/>
    </cacheField>
    <cacheField name="Preço M." numFmtId="165">
      <sharedItems containsSemiMixedTypes="0" containsString="0" containsNumber="1" containsInteger="1" minValue="0" maxValue="0"/>
    </cacheField>
    <cacheField name="Preço A." numFmtId="165">
      <sharedItems containsSemiMixedTypes="0" containsString="0" containsNumber="1" containsInteger="1" minValue="0" maxValue="0"/>
    </cacheField>
    <cacheField name="Patri. Atual" numFmtId="165">
      <sharedItems containsSemiMixedTypes="0" containsString="0" containsNumber="1" containsInteger="1" minValue="0" maxValue="0"/>
    </cacheField>
    <cacheField name="%ideal" numFmtId="166">
      <sharedItems containsSemiMixedTypes="0" containsString="0" containsNumber="1" containsInteger="1" minValue="0" maxValue="0"/>
    </cacheField>
    <cacheField name="%Atual" numFmtId="166">
      <sharedItems containsSemiMixedTypes="0" containsString="0" containsNumber="1" containsInteger="1" minValue="0" maxValue="0"/>
    </cacheField>
    <cacheField name="Status" numFmtId="0">
      <sharedItems/>
    </cacheField>
    <cacheField name="Aporte eq." numFmtId="165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Romão" refreshedDate="44647.46876689815" createdVersion="7" refreshedVersion="7" minRefreshableVersion="3" recordCount="1" xr:uid="{C4241976-B6B2-45D4-A5EB-819516431CF3}">
  <cacheSource type="worksheet">
    <worksheetSource name="Interesse_FIIs"/>
  </cacheSource>
  <cacheFields count="14">
    <cacheField name="Título" numFmtId="0">
      <sharedItems containsNonDate="0" containsString="0" containsBlank="1"/>
    </cacheField>
    <cacheField name="Tipo" numFmtId="0">
      <sharedItems containsNonDate="0" containsBlank="1" count="10">
        <m/>
        <s v="asccv" u="1"/>
        <s v="acasd" u="1"/>
        <s v="asdasd" u="1"/>
        <s v="CRIs" u="1"/>
        <s v="asdfc" u="1"/>
        <s v="Outros" u="1"/>
        <s v="Shoppings" u="1"/>
        <s v="asdfasdf" u="1"/>
        <s v="sdasd" u="1"/>
      </sharedItems>
    </cacheField>
    <cacheField name="Qtd." numFmtId="0">
      <sharedItems containsSemiMixedTypes="0" containsString="0" containsNumber="1" containsInteger="1" minValue="0" maxValue="0"/>
    </cacheField>
    <cacheField name="Nota" numFmtId="0">
      <sharedItems containsNonDate="0" containsString="0" containsBlank="1"/>
    </cacheField>
    <cacheField name="%Div" numFmtId="9">
      <sharedItems containsSemiMixedTypes="0" containsString="0" containsNumber="1" containsInteger="1" minValue="0" maxValue="0"/>
    </cacheField>
    <cacheField name="%Cres" numFmtId="10">
      <sharedItems containsSemiMixedTypes="0" containsString="0" containsNumber="1" containsInteger="1" minValue="0" maxValue="0"/>
    </cacheField>
    <cacheField name="Patri. Invest." numFmtId="165">
      <sharedItems containsSemiMixedTypes="0" containsString="0" containsNumber="1" containsInteger="1" minValue="0" maxValue="0"/>
    </cacheField>
    <cacheField name="Preço M." numFmtId="165">
      <sharedItems containsSemiMixedTypes="0" containsString="0" containsNumber="1" containsInteger="1" minValue="0" maxValue="0"/>
    </cacheField>
    <cacheField name="Preço A." numFmtId="165">
      <sharedItems containsSemiMixedTypes="0" containsString="0" containsNumber="1" containsInteger="1" minValue="0" maxValue="0"/>
    </cacheField>
    <cacheField name="Patri. Atual" numFmtId="165">
      <sharedItems containsSemiMixedTypes="0" containsString="0" containsNumber="1" containsInteger="1" minValue="0" maxValue="0"/>
    </cacheField>
    <cacheField name="%ideal" numFmtId="166">
      <sharedItems containsSemiMixedTypes="0" containsString="0" containsNumber="1" containsInteger="1" minValue="0" maxValue="0"/>
    </cacheField>
    <cacheField name="%Atual" numFmtId="166">
      <sharedItems containsSemiMixedTypes="0" containsString="0" containsNumber="1" containsInteger="1" minValue="0" maxValue="0"/>
    </cacheField>
    <cacheField name="Status" numFmtId="0">
      <sharedItems/>
    </cacheField>
    <cacheField name="Aporte eq." numFmtId="165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1">
  <r>
    <x v="0"/>
    <m/>
    <m/>
    <m/>
    <m/>
    <m/>
    <m/>
    <n v="0"/>
    <n v="0"/>
    <n v="0"/>
    <n v="0"/>
    <n v="0"/>
    <n v="0"/>
  </r>
  <r>
    <x v="1"/>
    <m/>
    <m/>
    <m/>
    <m/>
    <m/>
    <m/>
    <n v="0"/>
    <n v="0"/>
    <n v="0"/>
    <n v="0"/>
    <n v="0"/>
    <n v="0"/>
  </r>
  <r>
    <x v="2"/>
    <m/>
    <m/>
    <m/>
    <m/>
    <m/>
    <m/>
    <n v="0"/>
    <n v="0"/>
    <n v="0"/>
    <n v="0"/>
    <n v="0"/>
    <n v="0"/>
  </r>
  <r>
    <x v="3"/>
    <m/>
    <m/>
    <m/>
    <m/>
    <m/>
    <m/>
    <n v="0"/>
    <n v="0"/>
    <n v="0"/>
    <n v="0"/>
    <n v="0"/>
    <n v="0"/>
  </r>
  <r>
    <x v="4"/>
    <m/>
    <m/>
    <m/>
    <m/>
    <m/>
    <m/>
    <n v="0"/>
    <n v="0"/>
    <n v="0"/>
    <n v="0"/>
    <n v="0"/>
    <n v="0"/>
  </r>
  <r>
    <x v="5"/>
    <m/>
    <m/>
    <m/>
    <m/>
    <m/>
    <m/>
    <n v="0"/>
    <n v="0"/>
    <n v="0"/>
    <n v="0"/>
    <n v="0"/>
    <n v="0"/>
  </r>
  <r>
    <x v="6"/>
    <m/>
    <m/>
    <m/>
    <m/>
    <m/>
    <m/>
    <n v="0"/>
    <n v="0"/>
    <n v="0"/>
    <n v="0"/>
    <n v="0"/>
    <n v="0"/>
  </r>
  <r>
    <x v="7"/>
    <m/>
    <m/>
    <m/>
    <m/>
    <m/>
    <m/>
    <n v="0"/>
    <n v="0"/>
    <n v="0"/>
    <n v="0"/>
    <n v="0"/>
    <n v="0"/>
  </r>
  <r>
    <x v="8"/>
    <m/>
    <m/>
    <m/>
    <m/>
    <m/>
    <m/>
    <n v="0"/>
    <n v="0"/>
    <n v="0"/>
    <n v="0"/>
    <n v="0"/>
    <n v="0"/>
  </r>
  <r>
    <x v="9"/>
    <m/>
    <m/>
    <m/>
    <m/>
    <m/>
    <m/>
    <n v="0"/>
    <n v="0"/>
    <n v="0"/>
    <n v="0"/>
    <n v="0"/>
    <n v="0"/>
  </r>
  <r>
    <x v="10"/>
    <m/>
    <m/>
    <m/>
    <m/>
    <m/>
    <m/>
    <n v="0"/>
    <n v="0"/>
    <n v="0"/>
    <n v="0"/>
    <n v="0"/>
    <n v="0"/>
  </r>
  <r>
    <x v="11"/>
    <m/>
    <m/>
    <m/>
    <m/>
    <m/>
    <m/>
    <n v="0"/>
    <n v="0"/>
    <n v="0"/>
    <n v="0"/>
    <n v="0"/>
    <n v="0"/>
  </r>
  <r>
    <x v="12"/>
    <m/>
    <m/>
    <m/>
    <m/>
    <m/>
    <m/>
    <n v="0"/>
    <n v="0"/>
    <n v="0"/>
    <n v="0"/>
    <n v="0"/>
    <n v="0"/>
  </r>
  <r>
    <x v="13"/>
    <m/>
    <m/>
    <m/>
    <m/>
    <m/>
    <m/>
    <n v="0"/>
    <n v="0"/>
    <n v="0"/>
    <n v="0"/>
    <n v="0"/>
    <n v="0"/>
  </r>
  <r>
    <x v="14"/>
    <m/>
    <m/>
    <m/>
    <m/>
    <m/>
    <m/>
    <n v="0"/>
    <n v="0"/>
    <n v="0"/>
    <n v="0"/>
    <n v="0"/>
    <n v="0"/>
  </r>
  <r>
    <x v="15"/>
    <m/>
    <m/>
    <m/>
    <m/>
    <m/>
    <m/>
    <n v="0"/>
    <n v="0"/>
    <n v="0"/>
    <n v="0"/>
    <n v="0"/>
    <n v="0"/>
  </r>
  <r>
    <x v="16"/>
    <m/>
    <m/>
    <m/>
    <m/>
    <m/>
    <m/>
    <n v="0"/>
    <n v="0"/>
    <n v="0"/>
    <n v="0"/>
    <n v="0"/>
    <n v="0"/>
  </r>
  <r>
    <x v="17"/>
    <m/>
    <m/>
    <m/>
    <m/>
    <m/>
    <m/>
    <n v="0"/>
    <n v="0"/>
    <n v="0"/>
    <n v="0"/>
    <n v="0"/>
    <n v="0"/>
  </r>
  <r>
    <x v="18"/>
    <m/>
    <m/>
    <m/>
    <m/>
    <m/>
    <m/>
    <n v="0"/>
    <n v="0"/>
    <n v="0"/>
    <n v="0"/>
    <n v="0"/>
    <n v="0"/>
  </r>
  <r>
    <x v="19"/>
    <m/>
    <m/>
    <m/>
    <m/>
    <m/>
    <m/>
    <n v="0"/>
    <n v="0"/>
    <n v="0"/>
    <n v="0"/>
    <n v="0"/>
    <n v="0"/>
  </r>
  <r>
    <x v="20"/>
    <m/>
    <m/>
    <m/>
    <m/>
    <m/>
    <m/>
    <n v="0"/>
    <n v="0"/>
    <n v="0"/>
    <n v="0"/>
    <n v="0"/>
    <n v="0"/>
  </r>
  <r>
    <x v="21"/>
    <m/>
    <m/>
    <m/>
    <m/>
    <m/>
    <m/>
    <n v="0"/>
    <n v="0"/>
    <n v="0"/>
    <n v="0"/>
    <n v="0"/>
    <n v="0"/>
  </r>
  <r>
    <x v="22"/>
    <m/>
    <m/>
    <m/>
    <m/>
    <m/>
    <m/>
    <n v="0"/>
    <n v="0"/>
    <n v="0"/>
    <n v="0"/>
    <n v="0"/>
    <n v="0"/>
  </r>
  <r>
    <x v="23"/>
    <m/>
    <m/>
    <m/>
    <m/>
    <m/>
    <m/>
    <n v="0"/>
    <n v="0"/>
    <n v="0"/>
    <n v="0"/>
    <n v="0"/>
    <n v="0"/>
  </r>
  <r>
    <x v="24"/>
    <m/>
    <m/>
    <m/>
    <m/>
    <m/>
    <m/>
    <n v="0"/>
    <n v="0"/>
    <n v="0"/>
    <n v="0"/>
    <n v="0"/>
    <n v="0"/>
  </r>
  <r>
    <x v="25"/>
    <m/>
    <m/>
    <m/>
    <m/>
    <m/>
    <m/>
    <n v="0"/>
    <n v="0"/>
    <n v="0"/>
    <n v="0"/>
    <n v="0"/>
    <n v="0"/>
  </r>
  <r>
    <x v="26"/>
    <m/>
    <m/>
    <m/>
    <m/>
    <m/>
    <m/>
    <n v="0"/>
    <n v="0"/>
    <n v="0"/>
    <n v="0"/>
    <n v="0"/>
    <n v="0"/>
  </r>
  <r>
    <x v="27"/>
    <m/>
    <m/>
    <m/>
    <m/>
    <m/>
    <m/>
    <n v="0"/>
    <n v="0"/>
    <n v="0"/>
    <n v="0"/>
    <n v="0"/>
    <n v="0"/>
  </r>
  <r>
    <x v="28"/>
    <m/>
    <m/>
    <m/>
    <m/>
    <m/>
    <m/>
    <n v="0"/>
    <n v="0"/>
    <n v="0"/>
    <n v="0"/>
    <n v="0"/>
    <n v="0"/>
  </r>
  <r>
    <x v="29"/>
    <m/>
    <m/>
    <m/>
    <m/>
    <m/>
    <m/>
    <n v="0"/>
    <n v="0"/>
    <n v="0"/>
    <n v="0"/>
    <n v="0"/>
    <n v="0"/>
  </r>
  <r>
    <x v="30"/>
    <m/>
    <m/>
    <m/>
    <m/>
    <m/>
    <m/>
    <n v="0"/>
    <n v="0"/>
    <n v="0"/>
    <n v="0"/>
    <n v="0"/>
    <n v="0"/>
  </r>
  <r>
    <x v="31"/>
    <m/>
    <m/>
    <m/>
    <m/>
    <m/>
    <m/>
    <n v="0"/>
    <n v="0"/>
    <n v="0"/>
    <n v="0"/>
    <n v="0"/>
    <n v="0"/>
  </r>
  <r>
    <x v="32"/>
    <m/>
    <m/>
    <m/>
    <m/>
    <m/>
    <m/>
    <n v="0"/>
    <n v="0"/>
    <n v="0"/>
    <n v="0"/>
    <n v="0"/>
    <n v="0"/>
  </r>
  <r>
    <x v="33"/>
    <m/>
    <m/>
    <m/>
    <m/>
    <m/>
    <m/>
    <n v="0"/>
    <n v="0"/>
    <n v="0"/>
    <n v="0"/>
    <n v="0"/>
    <n v="0"/>
  </r>
  <r>
    <x v="34"/>
    <m/>
    <m/>
    <m/>
    <m/>
    <m/>
    <m/>
    <n v="0"/>
    <n v="0"/>
    <n v="0"/>
    <n v="0"/>
    <n v="0"/>
    <n v="0"/>
  </r>
  <r>
    <x v="35"/>
    <m/>
    <m/>
    <m/>
    <m/>
    <m/>
    <m/>
    <n v="0"/>
    <n v="0"/>
    <n v="0"/>
    <n v="0"/>
    <n v="0"/>
    <n v="0"/>
  </r>
  <r>
    <x v="36"/>
    <m/>
    <m/>
    <m/>
    <m/>
    <m/>
    <m/>
    <n v="0"/>
    <n v="0"/>
    <n v="0"/>
    <n v="0"/>
    <n v="0"/>
    <n v="0"/>
  </r>
  <r>
    <x v="37"/>
    <m/>
    <m/>
    <m/>
    <m/>
    <m/>
    <m/>
    <n v="0"/>
    <n v="0"/>
    <n v="0"/>
    <n v="0"/>
    <n v="0"/>
    <n v="0"/>
  </r>
  <r>
    <x v="38"/>
    <m/>
    <m/>
    <m/>
    <m/>
    <m/>
    <m/>
    <n v="0"/>
    <n v="0"/>
    <n v="0"/>
    <n v="0"/>
    <n v="0"/>
    <n v="0"/>
  </r>
  <r>
    <x v="39"/>
    <m/>
    <m/>
    <m/>
    <m/>
    <m/>
    <m/>
    <n v="0"/>
    <n v="0"/>
    <n v="0"/>
    <n v="0"/>
    <n v="0"/>
    <n v="0"/>
  </r>
  <r>
    <x v="40"/>
    <m/>
    <m/>
    <m/>
    <m/>
    <m/>
    <m/>
    <n v="0"/>
    <n v="0"/>
    <n v="0"/>
    <n v="0"/>
    <n v="0"/>
    <n v="0"/>
  </r>
  <r>
    <x v="41"/>
    <m/>
    <m/>
    <m/>
    <m/>
    <m/>
    <m/>
    <n v="0"/>
    <n v="0"/>
    <n v="0"/>
    <n v="0"/>
    <n v="0"/>
    <n v="0"/>
  </r>
  <r>
    <x v="42"/>
    <m/>
    <m/>
    <m/>
    <m/>
    <m/>
    <m/>
    <n v="0"/>
    <n v="0"/>
    <n v="0"/>
    <n v="0"/>
    <n v="0"/>
    <n v="0"/>
  </r>
  <r>
    <x v="43"/>
    <m/>
    <m/>
    <m/>
    <m/>
    <m/>
    <m/>
    <n v="0"/>
    <n v="0"/>
    <n v="0"/>
    <n v="0"/>
    <n v="0"/>
    <n v="0"/>
  </r>
  <r>
    <x v="44"/>
    <m/>
    <m/>
    <m/>
    <m/>
    <m/>
    <m/>
    <n v="0"/>
    <n v="0"/>
    <n v="0"/>
    <n v="0"/>
    <n v="0"/>
    <n v="0"/>
  </r>
  <r>
    <x v="45"/>
    <m/>
    <m/>
    <m/>
    <m/>
    <m/>
    <m/>
    <n v="0"/>
    <n v="0"/>
    <n v="0"/>
    <n v="0"/>
    <n v="0"/>
    <n v="0"/>
  </r>
  <r>
    <x v="46"/>
    <m/>
    <m/>
    <m/>
    <m/>
    <m/>
    <m/>
    <n v="0"/>
    <n v="0"/>
    <n v="0"/>
    <n v="0"/>
    <n v="0"/>
    <n v="0"/>
  </r>
  <r>
    <x v="47"/>
    <m/>
    <m/>
    <m/>
    <m/>
    <m/>
    <m/>
    <n v="0"/>
    <n v="0"/>
    <n v="0"/>
    <n v="0"/>
    <n v="0"/>
    <n v="0"/>
  </r>
  <r>
    <x v="48"/>
    <m/>
    <m/>
    <m/>
    <m/>
    <m/>
    <m/>
    <n v="0"/>
    <n v="0"/>
    <n v="0"/>
    <n v="0"/>
    <n v="0"/>
    <n v="0"/>
  </r>
  <r>
    <x v="49"/>
    <m/>
    <m/>
    <m/>
    <m/>
    <m/>
    <m/>
    <n v="0"/>
    <n v="0"/>
    <n v="0"/>
    <n v="0"/>
    <n v="0"/>
    <n v="0"/>
  </r>
  <r>
    <x v="50"/>
    <m/>
    <m/>
    <m/>
    <m/>
    <m/>
    <m/>
    <n v="0"/>
    <n v="0"/>
    <n v="0"/>
    <n v="0"/>
    <n v="0"/>
    <n v="0"/>
  </r>
  <r>
    <x v="51"/>
    <m/>
    <m/>
    <m/>
    <m/>
    <m/>
    <m/>
    <n v="0"/>
    <n v="0"/>
    <n v="0"/>
    <n v="0"/>
    <n v="0"/>
    <n v="0"/>
  </r>
  <r>
    <x v="52"/>
    <m/>
    <m/>
    <m/>
    <m/>
    <m/>
    <m/>
    <n v="0"/>
    <n v="0"/>
    <n v="0"/>
    <n v="0"/>
    <n v="0"/>
    <n v="0"/>
  </r>
  <r>
    <x v="53"/>
    <m/>
    <m/>
    <m/>
    <m/>
    <m/>
    <m/>
    <n v="0"/>
    <n v="0"/>
    <n v="0"/>
    <n v="0"/>
    <n v="0"/>
    <n v="0"/>
  </r>
  <r>
    <x v="54"/>
    <m/>
    <m/>
    <m/>
    <m/>
    <m/>
    <m/>
    <n v="0"/>
    <n v="0"/>
    <n v="0"/>
    <n v="0"/>
    <n v="0"/>
    <n v="0"/>
  </r>
  <r>
    <x v="55"/>
    <m/>
    <m/>
    <m/>
    <m/>
    <m/>
    <m/>
    <n v="0"/>
    <n v="0"/>
    <n v="0"/>
    <n v="0"/>
    <n v="0"/>
    <n v="0"/>
  </r>
  <r>
    <x v="56"/>
    <m/>
    <m/>
    <m/>
    <m/>
    <m/>
    <m/>
    <n v="0"/>
    <n v="0"/>
    <n v="0"/>
    <n v="0"/>
    <n v="0"/>
    <n v="0"/>
  </r>
  <r>
    <x v="57"/>
    <m/>
    <m/>
    <m/>
    <m/>
    <m/>
    <m/>
    <n v="0"/>
    <n v="0"/>
    <n v="0"/>
    <n v="0"/>
    <n v="0"/>
    <n v="0"/>
  </r>
  <r>
    <x v="58"/>
    <m/>
    <m/>
    <m/>
    <m/>
    <m/>
    <m/>
    <n v="0"/>
    <n v="0"/>
    <n v="0"/>
    <n v="0"/>
    <n v="0"/>
    <n v="0"/>
  </r>
  <r>
    <x v="59"/>
    <m/>
    <m/>
    <m/>
    <m/>
    <m/>
    <m/>
    <n v="0"/>
    <n v="0"/>
    <n v="0"/>
    <n v="0"/>
    <n v="0"/>
    <n v="0"/>
  </r>
  <r>
    <x v="60"/>
    <m/>
    <m/>
    <m/>
    <m/>
    <m/>
    <m/>
    <n v="0"/>
    <n v="0"/>
    <n v="0"/>
    <n v="0"/>
    <n v="0"/>
    <n v="0"/>
  </r>
  <r>
    <x v="61"/>
    <m/>
    <m/>
    <m/>
    <m/>
    <m/>
    <m/>
    <n v="0"/>
    <n v="0"/>
    <n v="0"/>
    <n v="0"/>
    <n v="0"/>
    <n v="0"/>
  </r>
  <r>
    <x v="62"/>
    <m/>
    <m/>
    <m/>
    <m/>
    <m/>
    <m/>
    <n v="0"/>
    <n v="0"/>
    <n v="0"/>
    <n v="0"/>
    <n v="0"/>
    <n v="0"/>
  </r>
  <r>
    <x v="63"/>
    <m/>
    <m/>
    <m/>
    <m/>
    <m/>
    <m/>
    <n v="0"/>
    <n v="0"/>
    <n v="0"/>
    <n v="0"/>
    <n v="0"/>
    <n v="0"/>
  </r>
  <r>
    <x v="64"/>
    <m/>
    <m/>
    <m/>
    <m/>
    <m/>
    <m/>
    <n v="0"/>
    <n v="0"/>
    <n v="0"/>
    <n v="0"/>
    <n v="0"/>
    <n v="0"/>
  </r>
  <r>
    <x v="65"/>
    <m/>
    <m/>
    <m/>
    <m/>
    <m/>
    <m/>
    <n v="0"/>
    <n v="0"/>
    <n v="0"/>
    <n v="0"/>
    <n v="0"/>
    <n v="0"/>
  </r>
  <r>
    <x v="66"/>
    <m/>
    <m/>
    <m/>
    <m/>
    <m/>
    <m/>
    <n v="0"/>
    <n v="0"/>
    <n v="0"/>
    <n v="0"/>
    <n v="0"/>
    <n v="0"/>
  </r>
  <r>
    <x v="67"/>
    <m/>
    <m/>
    <m/>
    <m/>
    <m/>
    <m/>
    <n v="0"/>
    <n v="0"/>
    <n v="0"/>
    <n v="0"/>
    <n v="0"/>
    <n v="0"/>
  </r>
  <r>
    <x v="68"/>
    <m/>
    <m/>
    <m/>
    <m/>
    <m/>
    <m/>
    <n v="0"/>
    <n v="0"/>
    <n v="0"/>
    <n v="0"/>
    <n v="0"/>
    <n v="0"/>
  </r>
  <r>
    <x v="69"/>
    <m/>
    <m/>
    <m/>
    <m/>
    <m/>
    <m/>
    <n v="0"/>
    <n v="0"/>
    <n v="0"/>
    <n v="0"/>
    <n v="0"/>
    <n v="0"/>
  </r>
  <r>
    <x v="70"/>
    <m/>
    <m/>
    <m/>
    <m/>
    <m/>
    <m/>
    <n v="0"/>
    <n v="0"/>
    <n v="0"/>
    <n v="0"/>
    <n v="0"/>
    <n v="0"/>
  </r>
  <r>
    <x v="71"/>
    <m/>
    <m/>
    <m/>
    <m/>
    <m/>
    <m/>
    <n v="0"/>
    <n v="0"/>
    <n v="0"/>
    <n v="0"/>
    <n v="0"/>
    <n v="0"/>
  </r>
  <r>
    <x v="72"/>
    <m/>
    <m/>
    <m/>
    <m/>
    <m/>
    <m/>
    <n v="0"/>
    <n v="0"/>
    <n v="0"/>
    <n v="0"/>
    <n v="0"/>
    <n v="0"/>
  </r>
  <r>
    <x v="73"/>
    <m/>
    <m/>
    <m/>
    <m/>
    <m/>
    <m/>
    <n v="0"/>
    <n v="0"/>
    <n v="0"/>
    <n v="0"/>
    <n v="0"/>
    <n v="0"/>
  </r>
  <r>
    <x v="74"/>
    <m/>
    <m/>
    <m/>
    <m/>
    <m/>
    <m/>
    <n v="0"/>
    <n v="0"/>
    <n v="0"/>
    <n v="0"/>
    <n v="0"/>
    <n v="0"/>
  </r>
  <r>
    <x v="75"/>
    <m/>
    <m/>
    <m/>
    <m/>
    <m/>
    <m/>
    <n v="0"/>
    <n v="0"/>
    <n v="0"/>
    <n v="0"/>
    <n v="0"/>
    <n v="0"/>
  </r>
  <r>
    <x v="76"/>
    <m/>
    <m/>
    <m/>
    <m/>
    <m/>
    <m/>
    <n v="0"/>
    <n v="0"/>
    <n v="0"/>
    <n v="0"/>
    <n v="0"/>
    <n v="0"/>
  </r>
  <r>
    <x v="77"/>
    <m/>
    <m/>
    <m/>
    <m/>
    <m/>
    <m/>
    <n v="0"/>
    <n v="0"/>
    <n v="0"/>
    <n v="0"/>
    <n v="0"/>
    <n v="0"/>
  </r>
  <r>
    <x v="78"/>
    <m/>
    <m/>
    <m/>
    <m/>
    <m/>
    <m/>
    <n v="0"/>
    <n v="0"/>
    <n v="0"/>
    <n v="0"/>
    <n v="0"/>
    <n v="0"/>
  </r>
  <r>
    <x v="79"/>
    <m/>
    <m/>
    <m/>
    <m/>
    <m/>
    <m/>
    <n v="0"/>
    <n v="0"/>
    <n v="0"/>
    <n v="0"/>
    <n v="0"/>
    <n v="0"/>
  </r>
  <r>
    <x v="80"/>
    <m/>
    <m/>
    <m/>
    <m/>
    <m/>
    <m/>
    <n v="0"/>
    <n v="0"/>
    <n v="0"/>
    <n v="0"/>
    <n v="0"/>
    <n v="0"/>
  </r>
  <r>
    <x v="81"/>
    <m/>
    <m/>
    <m/>
    <m/>
    <m/>
    <m/>
    <n v="0"/>
    <n v="0"/>
    <n v="0"/>
    <n v="0"/>
    <n v="0"/>
    <n v="0"/>
  </r>
  <r>
    <x v="82"/>
    <m/>
    <m/>
    <m/>
    <m/>
    <m/>
    <m/>
    <n v="0"/>
    <n v="0"/>
    <n v="0"/>
    <n v="0"/>
    <n v="0"/>
    <n v="0"/>
  </r>
  <r>
    <x v="83"/>
    <m/>
    <m/>
    <m/>
    <m/>
    <m/>
    <m/>
    <n v="0"/>
    <n v="0"/>
    <n v="0"/>
    <n v="0"/>
    <n v="0"/>
    <n v="0"/>
  </r>
  <r>
    <x v="84"/>
    <m/>
    <m/>
    <m/>
    <m/>
    <m/>
    <m/>
    <n v="0"/>
    <n v="0"/>
    <n v="0"/>
    <n v="0"/>
    <n v="0"/>
    <n v="0"/>
  </r>
  <r>
    <x v="85"/>
    <m/>
    <m/>
    <m/>
    <m/>
    <m/>
    <m/>
    <n v="0"/>
    <n v="0"/>
    <n v="0"/>
    <n v="0"/>
    <n v="0"/>
    <n v="0"/>
  </r>
  <r>
    <x v="86"/>
    <m/>
    <m/>
    <m/>
    <m/>
    <m/>
    <m/>
    <n v="0"/>
    <n v="0"/>
    <n v="0"/>
    <n v="0"/>
    <n v="0"/>
    <n v="0"/>
  </r>
  <r>
    <x v="87"/>
    <m/>
    <m/>
    <m/>
    <m/>
    <m/>
    <m/>
    <n v="0"/>
    <n v="0"/>
    <n v="0"/>
    <n v="0"/>
    <n v="0"/>
    <n v="0"/>
  </r>
  <r>
    <x v="88"/>
    <m/>
    <m/>
    <m/>
    <m/>
    <m/>
    <m/>
    <n v="0"/>
    <n v="0"/>
    <n v="0"/>
    <n v="0"/>
    <n v="0"/>
    <n v="0"/>
  </r>
  <r>
    <x v="89"/>
    <m/>
    <m/>
    <m/>
    <m/>
    <m/>
    <m/>
    <n v="0"/>
    <n v="0"/>
    <n v="0"/>
    <n v="0"/>
    <n v="0"/>
    <n v="0"/>
  </r>
  <r>
    <x v="90"/>
    <m/>
    <m/>
    <m/>
    <m/>
    <m/>
    <m/>
    <n v="0"/>
    <n v="0"/>
    <n v="0"/>
    <n v="0"/>
    <n v="0"/>
    <n v="0"/>
  </r>
  <r>
    <x v="91"/>
    <m/>
    <m/>
    <m/>
    <m/>
    <m/>
    <m/>
    <n v="0"/>
    <n v="0"/>
    <n v="0"/>
    <n v="0"/>
    <n v="0"/>
    <n v="0"/>
  </r>
  <r>
    <x v="92"/>
    <m/>
    <m/>
    <m/>
    <m/>
    <m/>
    <m/>
    <n v="0"/>
    <n v="0"/>
    <n v="0"/>
    <n v="0"/>
    <n v="0"/>
    <n v="0"/>
  </r>
  <r>
    <x v="93"/>
    <m/>
    <m/>
    <m/>
    <m/>
    <m/>
    <m/>
    <n v="0"/>
    <n v="0"/>
    <n v="0"/>
    <n v="0"/>
    <n v="0"/>
    <n v="0"/>
  </r>
  <r>
    <x v="94"/>
    <m/>
    <m/>
    <m/>
    <m/>
    <m/>
    <m/>
    <n v="0"/>
    <n v="0"/>
    <n v="0"/>
    <n v="0"/>
    <n v="0"/>
    <n v="0"/>
  </r>
  <r>
    <x v="95"/>
    <m/>
    <m/>
    <m/>
    <m/>
    <m/>
    <m/>
    <n v="0"/>
    <n v="0"/>
    <n v="0"/>
    <n v="0"/>
    <n v="0"/>
    <n v="0"/>
  </r>
  <r>
    <x v="96"/>
    <m/>
    <m/>
    <m/>
    <m/>
    <m/>
    <m/>
    <n v="0"/>
    <n v="0"/>
    <n v="0"/>
    <n v="0"/>
    <n v="0"/>
    <n v="0"/>
  </r>
  <r>
    <x v="97"/>
    <m/>
    <m/>
    <m/>
    <m/>
    <m/>
    <m/>
    <n v="0"/>
    <n v="0"/>
    <n v="0"/>
    <n v="0"/>
    <n v="0"/>
    <n v="0"/>
  </r>
  <r>
    <x v="98"/>
    <m/>
    <m/>
    <m/>
    <m/>
    <m/>
    <m/>
    <n v="0"/>
    <n v="0"/>
    <n v="0"/>
    <n v="0"/>
    <n v="0"/>
    <n v="0"/>
  </r>
  <r>
    <x v="99"/>
    <m/>
    <m/>
    <m/>
    <m/>
    <m/>
    <m/>
    <n v="0"/>
    <n v="0"/>
    <n v="0"/>
    <n v="0"/>
    <n v="0"/>
    <n v="0"/>
  </r>
  <r>
    <x v="100"/>
    <m/>
    <m/>
    <m/>
    <m/>
    <m/>
    <m/>
    <n v="0"/>
    <n v="0"/>
    <n v="0"/>
    <n v="0"/>
    <n v="0"/>
    <n v="0"/>
  </r>
  <r>
    <x v="101"/>
    <m/>
    <m/>
    <m/>
    <m/>
    <m/>
    <m/>
    <n v="0"/>
    <n v="0"/>
    <n v="0"/>
    <n v="0"/>
    <n v="0"/>
    <n v="0"/>
  </r>
  <r>
    <x v="102"/>
    <m/>
    <m/>
    <m/>
    <m/>
    <m/>
    <m/>
    <n v="0"/>
    <n v="0"/>
    <n v="0"/>
    <n v="0"/>
    <n v="0"/>
    <n v="0"/>
  </r>
  <r>
    <x v="103"/>
    <m/>
    <m/>
    <m/>
    <m/>
    <m/>
    <m/>
    <n v="0"/>
    <n v="0"/>
    <n v="0"/>
    <n v="0"/>
    <n v="0"/>
    <n v="0"/>
  </r>
  <r>
    <x v="104"/>
    <m/>
    <m/>
    <m/>
    <m/>
    <m/>
    <m/>
    <n v="0"/>
    <n v="0"/>
    <n v="0"/>
    <n v="0"/>
    <n v="0"/>
    <n v="0"/>
  </r>
  <r>
    <x v="105"/>
    <m/>
    <m/>
    <m/>
    <m/>
    <m/>
    <m/>
    <n v="0"/>
    <n v="0"/>
    <n v="0"/>
    <n v="0"/>
    <n v="0"/>
    <n v="0"/>
  </r>
  <r>
    <x v="106"/>
    <m/>
    <m/>
    <m/>
    <m/>
    <m/>
    <m/>
    <n v="0"/>
    <n v="0"/>
    <n v="0"/>
    <n v="0"/>
    <n v="0"/>
    <n v="0"/>
  </r>
  <r>
    <x v="107"/>
    <m/>
    <m/>
    <m/>
    <m/>
    <m/>
    <m/>
    <n v="0"/>
    <n v="0"/>
    <n v="0"/>
    <n v="0"/>
    <n v="0"/>
    <n v="0"/>
  </r>
  <r>
    <x v="108"/>
    <m/>
    <m/>
    <m/>
    <m/>
    <m/>
    <m/>
    <n v="0"/>
    <n v="0"/>
    <n v="0"/>
    <n v="0"/>
    <n v="0"/>
    <n v="0"/>
  </r>
  <r>
    <x v="109"/>
    <m/>
    <m/>
    <m/>
    <m/>
    <m/>
    <m/>
    <n v="0"/>
    <n v="0"/>
    <n v="0"/>
    <n v="0"/>
    <n v="0"/>
    <n v="0"/>
  </r>
  <r>
    <x v="110"/>
    <m/>
    <m/>
    <m/>
    <m/>
    <m/>
    <m/>
    <n v="0"/>
    <n v="0"/>
    <n v="0"/>
    <n v="0"/>
    <n v="0"/>
    <n v="0"/>
  </r>
  <r>
    <x v="111"/>
    <m/>
    <m/>
    <m/>
    <m/>
    <m/>
    <m/>
    <n v="0"/>
    <n v="0"/>
    <n v="0"/>
    <n v="0"/>
    <n v="0"/>
    <n v="0"/>
  </r>
  <r>
    <x v="112"/>
    <m/>
    <m/>
    <m/>
    <m/>
    <m/>
    <m/>
    <n v="0"/>
    <n v="0"/>
    <n v="0"/>
    <n v="0"/>
    <n v="0"/>
    <n v="0"/>
  </r>
  <r>
    <x v="113"/>
    <m/>
    <m/>
    <m/>
    <m/>
    <m/>
    <m/>
    <n v="0"/>
    <n v="0"/>
    <n v="0"/>
    <n v="0"/>
    <n v="0"/>
    <n v="0"/>
  </r>
  <r>
    <x v="114"/>
    <m/>
    <m/>
    <m/>
    <m/>
    <m/>
    <m/>
    <n v="0"/>
    <n v="0"/>
    <n v="0"/>
    <n v="0"/>
    <n v="0"/>
    <n v="0"/>
  </r>
  <r>
    <x v="115"/>
    <m/>
    <m/>
    <m/>
    <m/>
    <m/>
    <m/>
    <n v="0"/>
    <n v="0"/>
    <n v="0"/>
    <n v="0"/>
    <n v="0"/>
    <n v="0"/>
  </r>
  <r>
    <x v="116"/>
    <m/>
    <m/>
    <m/>
    <m/>
    <m/>
    <m/>
    <n v="0"/>
    <n v="0"/>
    <n v="0"/>
    <n v="0"/>
    <n v="0"/>
    <n v="0"/>
  </r>
  <r>
    <x v="117"/>
    <m/>
    <m/>
    <m/>
    <m/>
    <m/>
    <m/>
    <n v="0"/>
    <n v="0"/>
    <n v="0"/>
    <n v="0"/>
    <n v="0"/>
    <n v="0"/>
  </r>
  <r>
    <x v="118"/>
    <m/>
    <m/>
    <m/>
    <m/>
    <m/>
    <m/>
    <n v="0"/>
    <n v="0"/>
    <n v="0"/>
    <n v="0"/>
    <n v="0"/>
    <n v="0"/>
  </r>
  <r>
    <x v="119"/>
    <m/>
    <m/>
    <m/>
    <m/>
    <m/>
    <m/>
    <n v="0"/>
    <n v="0"/>
    <n v="0"/>
    <n v="0"/>
    <n v="0"/>
    <n v="0"/>
  </r>
  <r>
    <x v="120"/>
    <m/>
    <m/>
    <m/>
    <m/>
    <m/>
    <m/>
    <n v="0"/>
    <n v="0"/>
    <n v="0"/>
    <n v="0"/>
    <n v="0"/>
    <n v="0"/>
  </r>
  <r>
    <x v="121"/>
    <m/>
    <m/>
    <m/>
    <m/>
    <m/>
    <m/>
    <n v="0"/>
    <n v="0"/>
    <n v="0"/>
    <n v="0"/>
    <n v="0"/>
    <n v="0"/>
  </r>
  <r>
    <x v="122"/>
    <m/>
    <m/>
    <m/>
    <m/>
    <m/>
    <m/>
    <n v="0"/>
    <n v="0"/>
    <n v="0"/>
    <n v="0"/>
    <n v="0"/>
    <n v="0"/>
  </r>
  <r>
    <x v="123"/>
    <m/>
    <m/>
    <m/>
    <m/>
    <m/>
    <m/>
    <n v="0"/>
    <n v="0"/>
    <n v="0"/>
    <n v="0"/>
    <n v="0"/>
    <n v="0"/>
  </r>
  <r>
    <x v="124"/>
    <m/>
    <m/>
    <m/>
    <m/>
    <m/>
    <m/>
    <n v="0"/>
    <n v="0"/>
    <n v="0"/>
    <n v="0"/>
    <n v="0"/>
    <n v="0"/>
  </r>
  <r>
    <x v="125"/>
    <m/>
    <m/>
    <m/>
    <m/>
    <m/>
    <m/>
    <n v="0"/>
    <n v="0"/>
    <n v="0"/>
    <n v="0"/>
    <n v="0"/>
    <n v="0"/>
  </r>
  <r>
    <x v="126"/>
    <m/>
    <m/>
    <m/>
    <m/>
    <m/>
    <m/>
    <n v="0"/>
    <n v="0"/>
    <n v="0"/>
    <n v="0"/>
    <n v="0"/>
    <n v="0"/>
  </r>
  <r>
    <x v="127"/>
    <m/>
    <m/>
    <m/>
    <m/>
    <m/>
    <m/>
    <n v="0"/>
    <n v="0"/>
    <n v="0"/>
    <n v="0"/>
    <n v="0"/>
    <n v="0"/>
  </r>
  <r>
    <x v="128"/>
    <m/>
    <m/>
    <m/>
    <m/>
    <m/>
    <m/>
    <n v="0"/>
    <n v="0"/>
    <n v="0"/>
    <n v="0"/>
    <n v="0"/>
    <n v="0"/>
  </r>
  <r>
    <x v="129"/>
    <m/>
    <m/>
    <m/>
    <m/>
    <m/>
    <m/>
    <n v="0"/>
    <n v="0"/>
    <n v="0"/>
    <n v="0"/>
    <n v="0"/>
    <n v="0"/>
  </r>
  <r>
    <x v="130"/>
    <m/>
    <m/>
    <m/>
    <m/>
    <m/>
    <m/>
    <n v="0"/>
    <n v="0"/>
    <n v="0"/>
    <n v="0"/>
    <n v="0"/>
    <n v="0"/>
  </r>
  <r>
    <x v="131"/>
    <m/>
    <m/>
    <m/>
    <m/>
    <m/>
    <m/>
    <n v="0"/>
    <n v="0"/>
    <n v="0"/>
    <n v="0"/>
    <n v="0"/>
    <n v="0"/>
  </r>
  <r>
    <x v="132"/>
    <m/>
    <m/>
    <m/>
    <m/>
    <m/>
    <m/>
    <n v="0"/>
    <n v="0"/>
    <n v="0"/>
    <n v="0"/>
    <n v="0"/>
    <n v="0"/>
  </r>
  <r>
    <x v="133"/>
    <m/>
    <m/>
    <m/>
    <m/>
    <m/>
    <m/>
    <n v="0"/>
    <n v="0"/>
    <n v="0"/>
    <n v="0"/>
    <n v="0"/>
    <n v="0"/>
  </r>
  <r>
    <x v="134"/>
    <m/>
    <m/>
    <m/>
    <m/>
    <m/>
    <m/>
    <n v="0"/>
    <n v="0"/>
    <n v="0"/>
    <n v="0"/>
    <n v="0"/>
    <n v="0"/>
  </r>
  <r>
    <x v="135"/>
    <m/>
    <m/>
    <m/>
    <m/>
    <m/>
    <m/>
    <n v="0"/>
    <n v="0"/>
    <n v="0"/>
    <n v="0"/>
    <n v="0"/>
    <n v="0"/>
  </r>
  <r>
    <x v="136"/>
    <m/>
    <m/>
    <m/>
    <m/>
    <m/>
    <m/>
    <n v="0"/>
    <n v="0"/>
    <n v="0"/>
    <n v="0"/>
    <n v="0"/>
    <n v="0"/>
  </r>
  <r>
    <x v="137"/>
    <m/>
    <m/>
    <m/>
    <m/>
    <m/>
    <m/>
    <n v="0"/>
    <n v="0"/>
    <n v="0"/>
    <n v="0"/>
    <n v="0"/>
    <n v="0"/>
  </r>
  <r>
    <x v="138"/>
    <m/>
    <m/>
    <m/>
    <m/>
    <m/>
    <m/>
    <n v="0"/>
    <n v="0"/>
    <n v="0"/>
    <n v="0"/>
    <n v="0"/>
    <n v="0"/>
  </r>
  <r>
    <x v="139"/>
    <m/>
    <m/>
    <m/>
    <m/>
    <m/>
    <m/>
    <n v="0"/>
    <n v="0"/>
    <n v="0"/>
    <n v="0"/>
    <n v="0"/>
    <n v="0"/>
  </r>
  <r>
    <x v="140"/>
    <m/>
    <m/>
    <m/>
    <m/>
    <m/>
    <m/>
    <n v="0"/>
    <n v="0"/>
    <n v="0"/>
    <n v="0"/>
    <n v="0"/>
    <n v="0"/>
  </r>
  <r>
    <x v="141"/>
    <m/>
    <m/>
    <m/>
    <m/>
    <m/>
    <m/>
    <n v="0"/>
    <n v="0"/>
    <n v="0"/>
    <n v="0"/>
    <n v="0"/>
    <n v="0"/>
  </r>
  <r>
    <x v="142"/>
    <m/>
    <m/>
    <m/>
    <m/>
    <m/>
    <m/>
    <n v="0"/>
    <n v="0"/>
    <n v="0"/>
    <n v="0"/>
    <n v="0"/>
    <n v="0"/>
  </r>
  <r>
    <x v="143"/>
    <m/>
    <m/>
    <m/>
    <m/>
    <m/>
    <m/>
    <n v="0"/>
    <n v="0"/>
    <n v="0"/>
    <n v="0"/>
    <n v="0"/>
    <n v="0"/>
  </r>
  <r>
    <x v="144"/>
    <m/>
    <m/>
    <m/>
    <m/>
    <m/>
    <m/>
    <n v="0"/>
    <n v="0"/>
    <n v="0"/>
    <n v="0"/>
    <n v="0"/>
    <n v="0"/>
  </r>
  <r>
    <x v="145"/>
    <m/>
    <m/>
    <m/>
    <m/>
    <m/>
    <m/>
    <n v="0"/>
    <n v="0"/>
    <n v="0"/>
    <n v="0"/>
    <n v="0"/>
    <n v="0"/>
  </r>
  <r>
    <x v="146"/>
    <m/>
    <m/>
    <m/>
    <m/>
    <m/>
    <m/>
    <n v="0"/>
    <n v="0"/>
    <n v="0"/>
    <n v="0"/>
    <n v="0"/>
    <n v="0"/>
  </r>
  <r>
    <x v="147"/>
    <m/>
    <m/>
    <m/>
    <m/>
    <m/>
    <m/>
    <n v="0"/>
    <n v="0"/>
    <n v="0"/>
    <n v="0"/>
    <n v="0"/>
    <n v="0"/>
  </r>
  <r>
    <x v="148"/>
    <m/>
    <m/>
    <m/>
    <m/>
    <m/>
    <m/>
    <n v="0"/>
    <n v="0"/>
    <n v="0"/>
    <n v="0"/>
    <n v="0"/>
    <n v="0"/>
  </r>
  <r>
    <x v="149"/>
    <m/>
    <m/>
    <m/>
    <m/>
    <m/>
    <m/>
    <n v="0"/>
    <n v="0"/>
    <n v="0"/>
    <n v="0"/>
    <n v="0"/>
    <n v="0"/>
  </r>
  <r>
    <x v="150"/>
    <m/>
    <m/>
    <m/>
    <m/>
    <m/>
    <m/>
    <n v="0"/>
    <n v="0"/>
    <n v="0"/>
    <n v="0"/>
    <n v="0"/>
    <n v="0"/>
  </r>
  <r>
    <x v="151"/>
    <m/>
    <m/>
    <m/>
    <m/>
    <m/>
    <m/>
    <n v="0"/>
    <n v="0"/>
    <n v="0"/>
    <n v="0"/>
    <n v="0"/>
    <n v="0"/>
  </r>
  <r>
    <x v="152"/>
    <m/>
    <m/>
    <m/>
    <m/>
    <m/>
    <m/>
    <n v="0"/>
    <n v="0"/>
    <n v="0"/>
    <n v="0"/>
    <n v="0"/>
    <n v="0"/>
  </r>
  <r>
    <x v="153"/>
    <m/>
    <m/>
    <m/>
    <m/>
    <m/>
    <m/>
    <n v="0"/>
    <n v="0"/>
    <n v="0"/>
    <n v="0"/>
    <n v="0"/>
    <n v="0"/>
  </r>
  <r>
    <x v="154"/>
    <m/>
    <m/>
    <m/>
    <m/>
    <m/>
    <m/>
    <n v="0"/>
    <n v="0"/>
    <n v="0"/>
    <n v="0"/>
    <n v="0"/>
    <n v="0"/>
  </r>
  <r>
    <x v="155"/>
    <m/>
    <m/>
    <m/>
    <m/>
    <m/>
    <m/>
    <n v="0"/>
    <n v="0"/>
    <n v="0"/>
    <n v="0"/>
    <n v="0"/>
    <n v="0"/>
  </r>
  <r>
    <x v="156"/>
    <m/>
    <m/>
    <m/>
    <m/>
    <m/>
    <m/>
    <n v="0"/>
    <n v="0"/>
    <n v="0"/>
    <n v="0"/>
    <n v="0"/>
    <n v="0"/>
  </r>
  <r>
    <x v="157"/>
    <m/>
    <m/>
    <m/>
    <m/>
    <m/>
    <m/>
    <n v="0"/>
    <n v="0"/>
    <n v="0"/>
    <n v="0"/>
    <n v="0"/>
    <n v="0"/>
  </r>
  <r>
    <x v="158"/>
    <m/>
    <m/>
    <m/>
    <m/>
    <m/>
    <m/>
    <n v="0"/>
    <n v="0"/>
    <n v="0"/>
    <n v="0"/>
    <n v="0"/>
    <n v="0"/>
  </r>
  <r>
    <x v="159"/>
    <m/>
    <m/>
    <m/>
    <m/>
    <m/>
    <m/>
    <n v="0"/>
    <n v="0"/>
    <n v="0"/>
    <n v="0"/>
    <n v="0"/>
    <n v="0"/>
  </r>
  <r>
    <x v="160"/>
    <m/>
    <m/>
    <m/>
    <m/>
    <m/>
    <m/>
    <n v="0"/>
    <n v="0"/>
    <n v="0"/>
    <n v="0"/>
    <n v="0"/>
    <n v="0"/>
  </r>
  <r>
    <x v="161"/>
    <m/>
    <m/>
    <m/>
    <m/>
    <m/>
    <m/>
    <n v="0"/>
    <n v="0"/>
    <n v="0"/>
    <n v="0"/>
    <n v="0"/>
    <n v="0"/>
  </r>
  <r>
    <x v="162"/>
    <m/>
    <m/>
    <m/>
    <m/>
    <m/>
    <m/>
    <n v="0"/>
    <n v="0"/>
    <n v="0"/>
    <n v="0"/>
    <n v="0"/>
    <n v="0"/>
  </r>
  <r>
    <x v="163"/>
    <m/>
    <m/>
    <m/>
    <m/>
    <m/>
    <m/>
    <n v="0"/>
    <n v="0"/>
    <n v="0"/>
    <n v="0"/>
    <n v="0"/>
    <n v="0"/>
  </r>
  <r>
    <x v="164"/>
    <m/>
    <m/>
    <m/>
    <m/>
    <m/>
    <m/>
    <n v="0"/>
    <n v="0"/>
    <n v="0"/>
    <n v="0"/>
    <n v="0"/>
    <n v="0"/>
  </r>
  <r>
    <x v="165"/>
    <m/>
    <m/>
    <m/>
    <m/>
    <m/>
    <m/>
    <n v="0"/>
    <n v="0"/>
    <n v="0"/>
    <n v="0"/>
    <n v="0"/>
    <n v="0"/>
  </r>
  <r>
    <x v="166"/>
    <m/>
    <m/>
    <m/>
    <m/>
    <m/>
    <m/>
    <n v="0"/>
    <n v="0"/>
    <n v="0"/>
    <n v="0"/>
    <n v="0"/>
    <n v="0"/>
  </r>
  <r>
    <x v="167"/>
    <m/>
    <m/>
    <m/>
    <m/>
    <m/>
    <m/>
    <n v="0"/>
    <n v="0"/>
    <n v="0"/>
    <n v="0"/>
    <n v="0"/>
    <n v="0"/>
  </r>
  <r>
    <x v="168"/>
    <m/>
    <m/>
    <m/>
    <m/>
    <m/>
    <m/>
    <n v="0"/>
    <n v="0"/>
    <n v="0"/>
    <n v="0"/>
    <n v="0"/>
    <n v="0"/>
  </r>
  <r>
    <x v="169"/>
    <m/>
    <m/>
    <m/>
    <m/>
    <m/>
    <m/>
    <n v="0"/>
    <n v="0"/>
    <n v="0"/>
    <n v="0"/>
    <n v="0"/>
    <n v="0"/>
  </r>
  <r>
    <x v="170"/>
    <m/>
    <m/>
    <m/>
    <m/>
    <m/>
    <m/>
    <n v="0"/>
    <n v="0"/>
    <n v="0"/>
    <n v="0"/>
    <n v="0"/>
    <n v="0"/>
  </r>
  <r>
    <x v="171"/>
    <m/>
    <m/>
    <m/>
    <m/>
    <m/>
    <m/>
    <n v="0"/>
    <n v="0"/>
    <n v="0"/>
    <n v="0"/>
    <n v="0"/>
    <n v="0"/>
  </r>
  <r>
    <x v="172"/>
    <m/>
    <m/>
    <m/>
    <m/>
    <m/>
    <m/>
    <n v="0"/>
    <n v="0"/>
    <n v="0"/>
    <n v="0"/>
    <n v="0"/>
    <n v="0"/>
  </r>
  <r>
    <x v="173"/>
    <m/>
    <m/>
    <m/>
    <m/>
    <m/>
    <m/>
    <n v="0"/>
    <n v="0"/>
    <n v="0"/>
    <n v="0"/>
    <n v="0"/>
    <n v="0"/>
  </r>
  <r>
    <x v="174"/>
    <m/>
    <m/>
    <m/>
    <m/>
    <m/>
    <m/>
    <n v="0"/>
    <n v="0"/>
    <n v="0"/>
    <n v="0"/>
    <n v="0"/>
    <n v="0"/>
  </r>
  <r>
    <x v="175"/>
    <m/>
    <m/>
    <m/>
    <m/>
    <m/>
    <m/>
    <n v="0"/>
    <n v="0"/>
    <n v="0"/>
    <n v="0"/>
    <n v="0"/>
    <n v="0"/>
  </r>
  <r>
    <x v="176"/>
    <m/>
    <m/>
    <m/>
    <m/>
    <m/>
    <m/>
    <n v="0"/>
    <n v="0"/>
    <n v="0"/>
    <n v="0"/>
    <n v="0"/>
    <n v="0"/>
  </r>
  <r>
    <x v="177"/>
    <m/>
    <m/>
    <m/>
    <m/>
    <m/>
    <m/>
    <n v="0"/>
    <n v="0"/>
    <n v="0"/>
    <n v="0"/>
    <n v="0"/>
    <n v="0"/>
  </r>
  <r>
    <x v="178"/>
    <m/>
    <m/>
    <m/>
    <m/>
    <m/>
    <m/>
    <n v="0"/>
    <n v="0"/>
    <n v="0"/>
    <n v="0"/>
    <n v="0"/>
    <n v="0"/>
  </r>
  <r>
    <x v="179"/>
    <m/>
    <m/>
    <m/>
    <m/>
    <m/>
    <m/>
    <n v="0"/>
    <n v="0"/>
    <n v="0"/>
    <n v="0"/>
    <n v="0"/>
    <n v="0"/>
  </r>
  <r>
    <x v="180"/>
    <m/>
    <m/>
    <m/>
    <m/>
    <m/>
    <m/>
    <n v="0"/>
    <n v="0"/>
    <n v="0"/>
    <n v="0"/>
    <n v="0"/>
    <n v="0"/>
  </r>
  <r>
    <x v="181"/>
    <m/>
    <m/>
    <m/>
    <m/>
    <m/>
    <m/>
    <n v="0"/>
    <n v="0"/>
    <n v="0"/>
    <n v="0"/>
    <n v="0"/>
    <n v="0"/>
  </r>
  <r>
    <x v="182"/>
    <m/>
    <m/>
    <m/>
    <m/>
    <m/>
    <m/>
    <n v="0"/>
    <n v="0"/>
    <n v="0"/>
    <n v="0"/>
    <n v="0"/>
    <n v="0"/>
  </r>
  <r>
    <x v="183"/>
    <m/>
    <m/>
    <m/>
    <m/>
    <m/>
    <m/>
    <n v="0"/>
    <n v="0"/>
    <n v="0"/>
    <n v="0"/>
    <n v="0"/>
    <n v="0"/>
  </r>
  <r>
    <x v="184"/>
    <m/>
    <m/>
    <m/>
    <m/>
    <m/>
    <m/>
    <n v="0"/>
    <n v="0"/>
    <n v="0"/>
    <n v="0"/>
    <n v="0"/>
    <n v="0"/>
  </r>
  <r>
    <x v="185"/>
    <m/>
    <m/>
    <m/>
    <m/>
    <m/>
    <m/>
    <n v="0"/>
    <n v="0"/>
    <n v="0"/>
    <n v="0"/>
    <n v="0"/>
    <n v="0"/>
  </r>
  <r>
    <x v="186"/>
    <m/>
    <m/>
    <m/>
    <m/>
    <m/>
    <m/>
    <n v="0"/>
    <n v="0"/>
    <n v="0"/>
    <n v="0"/>
    <n v="0"/>
    <n v="0"/>
  </r>
  <r>
    <x v="187"/>
    <m/>
    <m/>
    <m/>
    <m/>
    <m/>
    <m/>
    <n v="0"/>
    <n v="0"/>
    <n v="0"/>
    <n v="0"/>
    <n v="0"/>
    <n v="0"/>
  </r>
  <r>
    <x v="188"/>
    <m/>
    <m/>
    <m/>
    <m/>
    <m/>
    <m/>
    <n v="0"/>
    <n v="0"/>
    <n v="0"/>
    <n v="0"/>
    <n v="0"/>
    <n v="0"/>
  </r>
  <r>
    <x v="189"/>
    <m/>
    <m/>
    <m/>
    <m/>
    <m/>
    <m/>
    <n v="0"/>
    <n v="0"/>
    <n v="0"/>
    <n v="0"/>
    <n v="0"/>
    <n v="0"/>
  </r>
  <r>
    <x v="190"/>
    <m/>
    <m/>
    <m/>
    <m/>
    <m/>
    <m/>
    <n v="0"/>
    <n v="0"/>
    <n v="0"/>
    <n v="0"/>
    <n v="0"/>
    <n v="0"/>
  </r>
  <r>
    <x v="191"/>
    <m/>
    <m/>
    <m/>
    <m/>
    <m/>
    <m/>
    <n v="0"/>
    <n v="0"/>
    <n v="0"/>
    <n v="0"/>
    <n v="0"/>
    <n v="0"/>
  </r>
  <r>
    <x v="192"/>
    <m/>
    <m/>
    <m/>
    <m/>
    <m/>
    <m/>
    <n v="0"/>
    <n v="0"/>
    <n v="0"/>
    <n v="0"/>
    <n v="0"/>
    <n v="0"/>
  </r>
  <r>
    <x v="193"/>
    <m/>
    <m/>
    <m/>
    <m/>
    <m/>
    <m/>
    <n v="0"/>
    <n v="0"/>
    <n v="0"/>
    <n v="0"/>
    <n v="0"/>
    <n v="0"/>
  </r>
  <r>
    <x v="194"/>
    <m/>
    <m/>
    <m/>
    <m/>
    <m/>
    <m/>
    <n v="0"/>
    <n v="0"/>
    <n v="0"/>
    <n v="0"/>
    <n v="0"/>
    <n v="0"/>
  </r>
  <r>
    <x v="195"/>
    <m/>
    <m/>
    <m/>
    <m/>
    <m/>
    <m/>
    <n v="0"/>
    <n v="0"/>
    <n v="0"/>
    <n v="0"/>
    <n v="0"/>
    <n v="0"/>
  </r>
  <r>
    <x v="196"/>
    <m/>
    <m/>
    <m/>
    <m/>
    <m/>
    <m/>
    <n v="0"/>
    <n v="0"/>
    <n v="0"/>
    <n v="0"/>
    <n v="0"/>
    <n v="0"/>
  </r>
  <r>
    <x v="197"/>
    <m/>
    <m/>
    <m/>
    <m/>
    <m/>
    <m/>
    <n v="0"/>
    <n v="0"/>
    <n v="0"/>
    <n v="0"/>
    <n v="0"/>
    <n v="0"/>
  </r>
  <r>
    <x v="198"/>
    <m/>
    <m/>
    <m/>
    <m/>
    <m/>
    <m/>
    <n v="0"/>
    <n v="0"/>
    <n v="0"/>
    <n v="0"/>
    <n v="0"/>
    <n v="0"/>
  </r>
  <r>
    <x v="199"/>
    <m/>
    <m/>
    <m/>
    <m/>
    <m/>
    <m/>
    <n v="0"/>
    <n v="0"/>
    <n v="0"/>
    <n v="0"/>
    <n v="0"/>
    <n v="0"/>
  </r>
  <r>
    <x v="200"/>
    <m/>
    <m/>
    <m/>
    <m/>
    <m/>
    <m/>
    <n v="0"/>
    <n v="0"/>
    <n v="0"/>
    <n v="0"/>
    <n v="0"/>
    <n v="0"/>
  </r>
  <r>
    <x v="201"/>
    <m/>
    <m/>
    <m/>
    <m/>
    <m/>
    <m/>
    <n v="0"/>
    <n v="0"/>
    <n v="0"/>
    <n v="0"/>
    <n v="0"/>
    <n v="0"/>
  </r>
  <r>
    <x v="202"/>
    <m/>
    <m/>
    <m/>
    <m/>
    <m/>
    <m/>
    <n v="0"/>
    <n v="0"/>
    <n v="0"/>
    <n v="0"/>
    <n v="0"/>
    <n v="0"/>
  </r>
  <r>
    <x v="203"/>
    <m/>
    <m/>
    <m/>
    <m/>
    <m/>
    <m/>
    <n v="0"/>
    <n v="0"/>
    <n v="0"/>
    <n v="0"/>
    <n v="0"/>
    <n v="0"/>
  </r>
  <r>
    <x v="204"/>
    <m/>
    <m/>
    <m/>
    <m/>
    <m/>
    <m/>
    <n v="0"/>
    <n v="0"/>
    <n v="0"/>
    <n v="0"/>
    <n v="0"/>
    <n v="0"/>
  </r>
  <r>
    <x v="205"/>
    <m/>
    <m/>
    <m/>
    <m/>
    <m/>
    <m/>
    <n v="0"/>
    <n v="0"/>
    <n v="0"/>
    <n v="0"/>
    <n v="0"/>
    <n v="0"/>
  </r>
  <r>
    <x v="206"/>
    <m/>
    <m/>
    <m/>
    <m/>
    <m/>
    <m/>
    <n v="0"/>
    <n v="0"/>
    <n v="0"/>
    <n v="0"/>
    <n v="0"/>
    <n v="0"/>
  </r>
  <r>
    <x v="207"/>
    <m/>
    <m/>
    <m/>
    <m/>
    <m/>
    <m/>
    <n v="0"/>
    <n v="0"/>
    <n v="0"/>
    <n v="0"/>
    <n v="0"/>
    <n v="0"/>
  </r>
  <r>
    <x v="208"/>
    <m/>
    <m/>
    <m/>
    <m/>
    <m/>
    <m/>
    <n v="0"/>
    <n v="0"/>
    <n v="0"/>
    <n v="0"/>
    <n v="0"/>
    <n v="0"/>
  </r>
  <r>
    <x v="209"/>
    <m/>
    <m/>
    <m/>
    <m/>
    <m/>
    <m/>
    <n v="0"/>
    <n v="0"/>
    <n v="0"/>
    <n v="0"/>
    <n v="0"/>
    <n v="0"/>
  </r>
  <r>
    <x v="210"/>
    <m/>
    <m/>
    <m/>
    <m/>
    <m/>
    <m/>
    <n v="0"/>
    <n v="0"/>
    <n v="0"/>
    <n v="0"/>
    <n v="0"/>
    <n v="0"/>
  </r>
  <r>
    <x v="211"/>
    <m/>
    <m/>
    <m/>
    <m/>
    <m/>
    <m/>
    <n v="0"/>
    <n v="0"/>
    <n v="0"/>
    <n v="0"/>
    <n v="0"/>
    <n v="0"/>
  </r>
  <r>
    <x v="212"/>
    <m/>
    <m/>
    <m/>
    <m/>
    <m/>
    <m/>
    <n v="0"/>
    <n v="0"/>
    <n v="0"/>
    <n v="0"/>
    <n v="0"/>
    <n v="0"/>
  </r>
  <r>
    <x v="213"/>
    <m/>
    <m/>
    <m/>
    <m/>
    <m/>
    <m/>
    <n v="0"/>
    <n v="0"/>
    <n v="0"/>
    <n v="0"/>
    <n v="0"/>
    <n v="0"/>
  </r>
  <r>
    <x v="214"/>
    <m/>
    <m/>
    <m/>
    <m/>
    <m/>
    <m/>
    <n v="0"/>
    <n v="0"/>
    <n v="0"/>
    <n v="0"/>
    <n v="0"/>
    <n v="0"/>
  </r>
  <r>
    <x v="215"/>
    <m/>
    <m/>
    <m/>
    <m/>
    <m/>
    <m/>
    <n v="0"/>
    <n v="0"/>
    <n v="0"/>
    <n v="0"/>
    <n v="0"/>
    <n v="0"/>
  </r>
  <r>
    <x v="216"/>
    <m/>
    <m/>
    <m/>
    <m/>
    <m/>
    <m/>
    <n v="0"/>
    <n v="0"/>
    <n v="0"/>
    <n v="0"/>
    <n v="0"/>
    <n v="0"/>
  </r>
  <r>
    <x v="217"/>
    <m/>
    <m/>
    <m/>
    <m/>
    <m/>
    <m/>
    <n v="0"/>
    <n v="0"/>
    <n v="0"/>
    <n v="0"/>
    <n v="0"/>
    <n v="0"/>
  </r>
  <r>
    <x v="218"/>
    <m/>
    <m/>
    <m/>
    <m/>
    <m/>
    <m/>
    <n v="0"/>
    <n v="0"/>
    <n v="0"/>
    <n v="0"/>
    <n v="0"/>
    <n v="0"/>
  </r>
  <r>
    <x v="219"/>
    <m/>
    <m/>
    <m/>
    <m/>
    <m/>
    <m/>
    <n v="0"/>
    <n v="0"/>
    <n v="0"/>
    <n v="0"/>
    <n v="0"/>
    <n v="0"/>
  </r>
  <r>
    <x v="220"/>
    <m/>
    <m/>
    <m/>
    <m/>
    <m/>
    <m/>
    <n v="0"/>
    <n v="0"/>
    <n v="0"/>
    <n v="0"/>
    <n v="0"/>
    <n v="0"/>
  </r>
  <r>
    <x v="221"/>
    <m/>
    <m/>
    <m/>
    <m/>
    <m/>
    <m/>
    <n v="0"/>
    <n v="0"/>
    <n v="0"/>
    <n v="0"/>
    <n v="0"/>
    <n v="0"/>
  </r>
  <r>
    <x v="222"/>
    <m/>
    <m/>
    <m/>
    <m/>
    <m/>
    <m/>
    <n v="0"/>
    <n v="0"/>
    <n v="0"/>
    <n v="0"/>
    <n v="0"/>
    <n v="0"/>
  </r>
  <r>
    <x v="223"/>
    <m/>
    <m/>
    <m/>
    <m/>
    <m/>
    <m/>
    <n v="0"/>
    <n v="0"/>
    <n v="0"/>
    <n v="0"/>
    <n v="0"/>
    <n v="0"/>
  </r>
  <r>
    <x v="224"/>
    <m/>
    <m/>
    <m/>
    <m/>
    <m/>
    <m/>
    <n v="0"/>
    <n v="0"/>
    <n v="0"/>
    <n v="0"/>
    <n v="0"/>
    <n v="0"/>
  </r>
  <r>
    <x v="225"/>
    <m/>
    <m/>
    <m/>
    <m/>
    <m/>
    <m/>
    <n v="0"/>
    <n v="0"/>
    <n v="0"/>
    <n v="0"/>
    <n v="0"/>
    <n v="0"/>
  </r>
  <r>
    <x v="226"/>
    <m/>
    <m/>
    <m/>
    <m/>
    <m/>
    <m/>
    <n v="0"/>
    <n v="0"/>
    <n v="0"/>
    <n v="0"/>
    <n v="0"/>
    <n v="0"/>
  </r>
  <r>
    <x v="227"/>
    <m/>
    <m/>
    <m/>
    <m/>
    <m/>
    <m/>
    <n v="0"/>
    <n v="0"/>
    <n v="0"/>
    <n v="0"/>
    <n v="0"/>
    <n v="0"/>
  </r>
  <r>
    <x v="228"/>
    <m/>
    <m/>
    <m/>
    <m/>
    <m/>
    <m/>
    <n v="0"/>
    <n v="0"/>
    <n v="0"/>
    <n v="0"/>
    <n v="0"/>
    <n v="0"/>
  </r>
  <r>
    <x v="229"/>
    <m/>
    <m/>
    <m/>
    <m/>
    <m/>
    <m/>
    <n v="0"/>
    <n v="0"/>
    <n v="0"/>
    <n v="0"/>
    <n v="0"/>
    <n v="0"/>
  </r>
  <r>
    <x v="230"/>
    <m/>
    <m/>
    <m/>
    <m/>
    <m/>
    <m/>
    <n v="0"/>
    <n v="0"/>
    <n v="0"/>
    <n v="0"/>
    <n v="0"/>
    <n v="0"/>
  </r>
  <r>
    <x v="231"/>
    <m/>
    <m/>
    <m/>
    <m/>
    <m/>
    <m/>
    <n v="0"/>
    <n v="0"/>
    <n v="0"/>
    <n v="0"/>
    <n v="0"/>
    <n v="0"/>
  </r>
  <r>
    <x v="232"/>
    <m/>
    <m/>
    <m/>
    <m/>
    <m/>
    <m/>
    <n v="0"/>
    <n v="0"/>
    <n v="0"/>
    <n v="0"/>
    <n v="0"/>
    <n v="0"/>
  </r>
  <r>
    <x v="233"/>
    <m/>
    <m/>
    <m/>
    <m/>
    <m/>
    <m/>
    <n v="0"/>
    <n v="0"/>
    <n v="0"/>
    <n v="0"/>
    <n v="0"/>
    <n v="0"/>
  </r>
  <r>
    <x v="234"/>
    <m/>
    <m/>
    <m/>
    <m/>
    <m/>
    <m/>
    <n v="0"/>
    <n v="0"/>
    <n v="0"/>
    <n v="0"/>
    <n v="0"/>
    <n v="0"/>
  </r>
  <r>
    <x v="235"/>
    <m/>
    <m/>
    <m/>
    <m/>
    <m/>
    <m/>
    <n v="0"/>
    <n v="0"/>
    <n v="0"/>
    <n v="0"/>
    <n v="0"/>
    <n v="0"/>
  </r>
  <r>
    <x v="236"/>
    <m/>
    <m/>
    <m/>
    <m/>
    <m/>
    <m/>
    <n v="0"/>
    <n v="0"/>
    <n v="0"/>
    <n v="0"/>
    <n v="0"/>
    <n v="0"/>
  </r>
  <r>
    <x v="237"/>
    <m/>
    <m/>
    <m/>
    <m/>
    <m/>
    <m/>
    <n v="0"/>
    <n v="0"/>
    <n v="0"/>
    <n v="0"/>
    <n v="0"/>
    <n v="0"/>
  </r>
  <r>
    <x v="238"/>
    <m/>
    <m/>
    <m/>
    <m/>
    <m/>
    <m/>
    <n v="0"/>
    <n v="0"/>
    <n v="0"/>
    <n v="0"/>
    <n v="0"/>
    <n v="0"/>
  </r>
  <r>
    <x v="239"/>
    <m/>
    <m/>
    <m/>
    <m/>
    <m/>
    <m/>
    <n v="0"/>
    <n v="0"/>
    <n v="0"/>
    <n v="0"/>
    <n v="0"/>
    <n v="0"/>
  </r>
  <r>
    <x v="240"/>
    <m/>
    <m/>
    <m/>
    <m/>
    <m/>
    <m/>
    <n v="0"/>
    <n v="0"/>
    <n v="0"/>
    <n v="0"/>
    <n v="0"/>
    <n v="0"/>
  </r>
  <r>
    <x v="241"/>
    <m/>
    <m/>
    <m/>
    <m/>
    <m/>
    <m/>
    <n v="0"/>
    <n v="0"/>
    <n v="0"/>
    <n v="0"/>
    <n v="0"/>
    <n v="0"/>
  </r>
  <r>
    <x v="242"/>
    <m/>
    <m/>
    <m/>
    <m/>
    <m/>
    <m/>
    <n v="0"/>
    <n v="0"/>
    <n v="0"/>
    <n v="0"/>
    <n v="0"/>
    <n v="0"/>
  </r>
  <r>
    <x v="243"/>
    <m/>
    <m/>
    <m/>
    <m/>
    <m/>
    <m/>
    <n v="0"/>
    <n v="0"/>
    <n v="0"/>
    <n v="0"/>
    <n v="0"/>
    <n v="0"/>
  </r>
  <r>
    <x v="244"/>
    <m/>
    <m/>
    <m/>
    <m/>
    <m/>
    <m/>
    <n v="0"/>
    <n v="0"/>
    <n v="0"/>
    <n v="0"/>
    <n v="0"/>
    <n v="0"/>
  </r>
  <r>
    <x v="245"/>
    <m/>
    <m/>
    <m/>
    <m/>
    <m/>
    <m/>
    <n v="0"/>
    <n v="0"/>
    <n v="0"/>
    <n v="0"/>
    <n v="0"/>
    <n v="0"/>
  </r>
  <r>
    <x v="246"/>
    <m/>
    <m/>
    <m/>
    <m/>
    <m/>
    <m/>
    <n v="0"/>
    <n v="0"/>
    <n v="0"/>
    <n v="0"/>
    <n v="0"/>
    <n v="0"/>
  </r>
  <r>
    <x v="247"/>
    <m/>
    <m/>
    <m/>
    <m/>
    <m/>
    <m/>
    <n v="0"/>
    <n v="0"/>
    <n v="0"/>
    <n v="0"/>
    <n v="0"/>
    <n v="0"/>
  </r>
  <r>
    <x v="248"/>
    <m/>
    <m/>
    <m/>
    <m/>
    <m/>
    <m/>
    <n v="0"/>
    <n v="0"/>
    <n v="0"/>
    <n v="0"/>
    <n v="0"/>
    <n v="0"/>
  </r>
  <r>
    <x v="249"/>
    <m/>
    <m/>
    <m/>
    <m/>
    <m/>
    <m/>
    <n v="0"/>
    <n v="0"/>
    <n v="0"/>
    <n v="0"/>
    <n v="0"/>
    <n v="0"/>
  </r>
  <r>
    <x v="250"/>
    <m/>
    <m/>
    <m/>
    <m/>
    <m/>
    <m/>
    <n v="0"/>
    <n v="0"/>
    <n v="0"/>
    <n v="0"/>
    <n v="0"/>
    <n v="0"/>
  </r>
  <r>
    <x v="251"/>
    <m/>
    <m/>
    <m/>
    <m/>
    <m/>
    <m/>
    <n v="0"/>
    <n v="0"/>
    <n v="0"/>
    <n v="0"/>
    <n v="0"/>
    <n v="0"/>
  </r>
  <r>
    <x v="252"/>
    <m/>
    <m/>
    <m/>
    <m/>
    <m/>
    <m/>
    <n v="0"/>
    <n v="0"/>
    <n v="0"/>
    <n v="0"/>
    <n v="0"/>
    <n v="0"/>
  </r>
  <r>
    <x v="253"/>
    <m/>
    <m/>
    <m/>
    <m/>
    <m/>
    <m/>
    <n v="0"/>
    <n v="0"/>
    <n v="0"/>
    <n v="0"/>
    <n v="0"/>
    <n v="0"/>
  </r>
  <r>
    <x v="254"/>
    <m/>
    <m/>
    <m/>
    <m/>
    <m/>
    <m/>
    <n v="0"/>
    <n v="0"/>
    <n v="0"/>
    <n v="0"/>
    <n v="0"/>
    <n v="0"/>
  </r>
  <r>
    <x v="255"/>
    <m/>
    <m/>
    <m/>
    <m/>
    <m/>
    <m/>
    <n v="0"/>
    <n v="0"/>
    <n v="0"/>
    <n v="0"/>
    <n v="0"/>
    <n v="0"/>
  </r>
  <r>
    <x v="256"/>
    <m/>
    <m/>
    <m/>
    <m/>
    <m/>
    <m/>
    <n v="0"/>
    <n v="0"/>
    <n v="0"/>
    <n v="0"/>
    <n v="0"/>
    <n v="0"/>
  </r>
  <r>
    <x v="257"/>
    <m/>
    <m/>
    <m/>
    <m/>
    <m/>
    <m/>
    <n v="0"/>
    <n v="0"/>
    <n v="0"/>
    <n v="0"/>
    <n v="0"/>
    <n v="0"/>
  </r>
  <r>
    <x v="258"/>
    <m/>
    <m/>
    <m/>
    <m/>
    <m/>
    <m/>
    <n v="0"/>
    <n v="0"/>
    <n v="0"/>
    <n v="0"/>
    <n v="0"/>
    <n v="0"/>
  </r>
  <r>
    <x v="259"/>
    <m/>
    <m/>
    <m/>
    <m/>
    <m/>
    <m/>
    <n v="0"/>
    <n v="0"/>
    <n v="0"/>
    <n v="0"/>
    <n v="0"/>
    <n v="0"/>
  </r>
  <r>
    <x v="260"/>
    <m/>
    <m/>
    <m/>
    <m/>
    <m/>
    <m/>
    <n v="0"/>
    <n v="0"/>
    <n v="0"/>
    <n v="0"/>
    <n v="0"/>
    <n v="0"/>
  </r>
  <r>
    <x v="261"/>
    <m/>
    <m/>
    <m/>
    <m/>
    <m/>
    <m/>
    <n v="0"/>
    <n v="0"/>
    <n v="0"/>
    <n v="0"/>
    <n v="0"/>
    <n v="0"/>
  </r>
  <r>
    <x v="262"/>
    <m/>
    <m/>
    <m/>
    <m/>
    <m/>
    <m/>
    <n v="0"/>
    <n v="0"/>
    <n v="0"/>
    <n v="0"/>
    <n v="0"/>
    <n v="0"/>
  </r>
  <r>
    <x v="263"/>
    <m/>
    <m/>
    <m/>
    <m/>
    <m/>
    <m/>
    <n v="0"/>
    <n v="0"/>
    <n v="0"/>
    <n v="0"/>
    <n v="0"/>
    <n v="0"/>
  </r>
  <r>
    <x v="264"/>
    <m/>
    <m/>
    <m/>
    <m/>
    <m/>
    <m/>
    <n v="0"/>
    <n v="0"/>
    <n v="0"/>
    <n v="0"/>
    <n v="0"/>
    <n v="0"/>
  </r>
  <r>
    <x v="265"/>
    <m/>
    <m/>
    <m/>
    <m/>
    <m/>
    <m/>
    <n v="0"/>
    <n v="0"/>
    <n v="0"/>
    <n v="0"/>
    <n v="0"/>
    <n v="0"/>
  </r>
  <r>
    <x v="266"/>
    <m/>
    <m/>
    <m/>
    <m/>
    <m/>
    <m/>
    <n v="0"/>
    <n v="0"/>
    <n v="0"/>
    <n v="0"/>
    <n v="0"/>
    <n v="0"/>
  </r>
  <r>
    <x v="267"/>
    <m/>
    <m/>
    <m/>
    <m/>
    <m/>
    <m/>
    <n v="0"/>
    <n v="0"/>
    <n v="0"/>
    <n v="0"/>
    <n v="0"/>
    <n v="0"/>
  </r>
  <r>
    <x v="268"/>
    <m/>
    <m/>
    <m/>
    <m/>
    <m/>
    <m/>
    <n v="0"/>
    <n v="0"/>
    <n v="0"/>
    <n v="0"/>
    <n v="0"/>
    <n v="0"/>
  </r>
  <r>
    <x v="269"/>
    <m/>
    <m/>
    <m/>
    <m/>
    <m/>
    <m/>
    <n v="0"/>
    <n v="0"/>
    <n v="0"/>
    <n v="0"/>
    <n v="0"/>
    <n v="0"/>
  </r>
  <r>
    <x v="270"/>
    <m/>
    <m/>
    <m/>
    <m/>
    <m/>
    <m/>
    <n v="0"/>
    <n v="0"/>
    <n v="0"/>
    <n v="0"/>
    <n v="0"/>
    <n v="0"/>
  </r>
  <r>
    <x v="271"/>
    <m/>
    <m/>
    <m/>
    <m/>
    <m/>
    <m/>
    <n v="0"/>
    <n v="0"/>
    <n v="0"/>
    <n v="0"/>
    <n v="0"/>
    <n v="0"/>
  </r>
  <r>
    <x v="272"/>
    <m/>
    <m/>
    <m/>
    <m/>
    <m/>
    <m/>
    <n v="0"/>
    <n v="0"/>
    <n v="0"/>
    <n v="0"/>
    <n v="0"/>
    <n v="0"/>
  </r>
  <r>
    <x v="273"/>
    <m/>
    <m/>
    <m/>
    <m/>
    <m/>
    <m/>
    <n v="0"/>
    <n v="0"/>
    <n v="0"/>
    <n v="0"/>
    <n v="0"/>
    <n v="0"/>
  </r>
  <r>
    <x v="274"/>
    <m/>
    <m/>
    <m/>
    <m/>
    <m/>
    <m/>
    <n v="0"/>
    <n v="0"/>
    <n v="0"/>
    <n v="0"/>
    <n v="0"/>
    <n v="0"/>
  </r>
  <r>
    <x v="275"/>
    <m/>
    <m/>
    <m/>
    <m/>
    <m/>
    <m/>
    <n v="0"/>
    <n v="0"/>
    <n v="0"/>
    <n v="0"/>
    <n v="0"/>
    <n v="0"/>
  </r>
  <r>
    <x v="276"/>
    <m/>
    <m/>
    <m/>
    <m/>
    <m/>
    <m/>
    <n v="0"/>
    <n v="0"/>
    <n v="0"/>
    <n v="0"/>
    <n v="0"/>
    <n v="0"/>
  </r>
  <r>
    <x v="277"/>
    <m/>
    <m/>
    <m/>
    <m/>
    <m/>
    <m/>
    <n v="0"/>
    <n v="0"/>
    <n v="0"/>
    <n v="0"/>
    <n v="0"/>
    <n v="0"/>
  </r>
  <r>
    <x v="278"/>
    <m/>
    <m/>
    <m/>
    <m/>
    <m/>
    <m/>
    <n v="0"/>
    <n v="0"/>
    <n v="0"/>
    <n v="0"/>
    <n v="0"/>
    <n v="0"/>
  </r>
  <r>
    <x v="279"/>
    <m/>
    <m/>
    <m/>
    <m/>
    <m/>
    <m/>
    <n v="0"/>
    <n v="0"/>
    <n v="0"/>
    <n v="0"/>
    <n v="0"/>
    <n v="0"/>
  </r>
  <r>
    <x v="280"/>
    <m/>
    <m/>
    <m/>
    <m/>
    <m/>
    <m/>
    <n v="0"/>
    <n v="0"/>
    <n v="0"/>
    <n v="0"/>
    <n v="0"/>
    <n v="0"/>
  </r>
  <r>
    <x v="281"/>
    <m/>
    <m/>
    <m/>
    <m/>
    <m/>
    <m/>
    <n v="0"/>
    <n v="0"/>
    <n v="0"/>
    <n v="0"/>
    <n v="0"/>
    <n v="0"/>
  </r>
  <r>
    <x v="282"/>
    <m/>
    <m/>
    <m/>
    <m/>
    <m/>
    <m/>
    <n v="0"/>
    <n v="0"/>
    <n v="0"/>
    <n v="0"/>
    <n v="0"/>
    <n v="0"/>
  </r>
  <r>
    <x v="283"/>
    <m/>
    <m/>
    <m/>
    <m/>
    <m/>
    <m/>
    <n v="0"/>
    <n v="0"/>
    <n v="0"/>
    <n v="0"/>
    <n v="0"/>
    <n v="0"/>
  </r>
  <r>
    <x v="284"/>
    <m/>
    <m/>
    <m/>
    <m/>
    <m/>
    <m/>
    <n v="0"/>
    <n v="0"/>
    <n v="0"/>
    <n v="0"/>
    <n v="0"/>
    <n v="0"/>
  </r>
  <r>
    <x v="285"/>
    <m/>
    <m/>
    <m/>
    <m/>
    <m/>
    <m/>
    <n v="0"/>
    <n v="0"/>
    <n v="0"/>
    <n v="0"/>
    <n v="0"/>
    <n v="0"/>
  </r>
  <r>
    <x v="286"/>
    <m/>
    <m/>
    <m/>
    <m/>
    <m/>
    <m/>
    <n v="0"/>
    <n v="0"/>
    <n v="0"/>
    <n v="0"/>
    <n v="0"/>
    <n v="0"/>
  </r>
  <r>
    <x v="287"/>
    <m/>
    <m/>
    <m/>
    <m/>
    <m/>
    <m/>
    <n v="0"/>
    <n v="0"/>
    <n v="0"/>
    <n v="0"/>
    <n v="0"/>
    <n v="0"/>
  </r>
  <r>
    <x v="288"/>
    <m/>
    <m/>
    <m/>
    <m/>
    <m/>
    <m/>
    <n v="0"/>
    <n v="0"/>
    <n v="0"/>
    <n v="0"/>
    <n v="0"/>
    <n v="0"/>
  </r>
  <r>
    <x v="289"/>
    <m/>
    <m/>
    <m/>
    <m/>
    <m/>
    <m/>
    <n v="0"/>
    <n v="0"/>
    <n v="0"/>
    <n v="0"/>
    <n v="0"/>
    <n v="0"/>
  </r>
  <r>
    <x v="290"/>
    <m/>
    <m/>
    <m/>
    <m/>
    <m/>
    <m/>
    <n v="0"/>
    <n v="0"/>
    <n v="0"/>
    <n v="0"/>
    <n v="0"/>
    <n v="0"/>
  </r>
  <r>
    <x v="291"/>
    <m/>
    <m/>
    <m/>
    <m/>
    <m/>
    <m/>
    <n v="0"/>
    <n v="0"/>
    <n v="0"/>
    <n v="0"/>
    <n v="0"/>
    <n v="0"/>
  </r>
  <r>
    <x v="292"/>
    <m/>
    <m/>
    <m/>
    <m/>
    <m/>
    <m/>
    <n v="0"/>
    <n v="0"/>
    <n v="0"/>
    <n v="0"/>
    <n v="0"/>
    <n v="0"/>
  </r>
  <r>
    <x v="293"/>
    <m/>
    <m/>
    <m/>
    <m/>
    <m/>
    <m/>
    <n v="0"/>
    <n v="0"/>
    <n v="0"/>
    <n v="0"/>
    <n v="0"/>
    <n v="0"/>
  </r>
  <r>
    <x v="294"/>
    <m/>
    <m/>
    <m/>
    <m/>
    <m/>
    <m/>
    <n v="0"/>
    <n v="0"/>
    <n v="0"/>
    <n v="0"/>
    <n v="0"/>
    <n v="0"/>
  </r>
  <r>
    <x v="295"/>
    <m/>
    <m/>
    <m/>
    <m/>
    <m/>
    <m/>
    <n v="0"/>
    <n v="0"/>
    <n v="0"/>
    <n v="0"/>
    <n v="0"/>
    <n v="0"/>
  </r>
  <r>
    <x v="296"/>
    <m/>
    <m/>
    <m/>
    <m/>
    <m/>
    <m/>
    <n v="0"/>
    <n v="0"/>
    <n v="0"/>
    <n v="0"/>
    <n v="0"/>
    <n v="0"/>
  </r>
  <r>
    <x v="297"/>
    <m/>
    <m/>
    <m/>
    <m/>
    <m/>
    <m/>
    <n v="0"/>
    <n v="0"/>
    <n v="0"/>
    <n v="0"/>
    <n v="0"/>
    <n v="0"/>
  </r>
  <r>
    <x v="298"/>
    <m/>
    <m/>
    <m/>
    <m/>
    <m/>
    <m/>
    <n v="0"/>
    <n v="0"/>
    <n v="0"/>
    <n v="0"/>
    <n v="0"/>
    <n v="0"/>
  </r>
  <r>
    <x v="299"/>
    <m/>
    <m/>
    <m/>
    <m/>
    <m/>
    <m/>
    <n v="0"/>
    <n v="0"/>
    <n v="0"/>
    <n v="0"/>
    <n v="0"/>
    <n v="0"/>
  </r>
  <r>
    <x v="300"/>
    <m/>
    <m/>
    <m/>
    <m/>
    <m/>
    <m/>
    <n v="0"/>
    <n v="0"/>
    <n v="0"/>
    <n v="0"/>
    <n v="0"/>
    <n v="0"/>
  </r>
  <r>
    <x v="301"/>
    <m/>
    <m/>
    <m/>
    <m/>
    <m/>
    <m/>
    <n v="0"/>
    <n v="0"/>
    <n v="0"/>
    <n v="0"/>
    <n v="0"/>
    <n v="0"/>
  </r>
  <r>
    <x v="302"/>
    <m/>
    <m/>
    <m/>
    <m/>
    <m/>
    <m/>
    <n v="0"/>
    <n v="0"/>
    <n v="0"/>
    <n v="0"/>
    <n v="0"/>
    <n v="0"/>
  </r>
  <r>
    <x v="303"/>
    <m/>
    <m/>
    <m/>
    <m/>
    <m/>
    <m/>
    <n v="0"/>
    <n v="0"/>
    <n v="0"/>
    <n v="0"/>
    <n v="0"/>
    <n v="0"/>
  </r>
  <r>
    <x v="304"/>
    <m/>
    <m/>
    <m/>
    <m/>
    <m/>
    <m/>
    <n v="0"/>
    <n v="0"/>
    <n v="0"/>
    <n v="0"/>
    <n v="0"/>
    <n v="0"/>
  </r>
  <r>
    <x v="305"/>
    <m/>
    <m/>
    <m/>
    <m/>
    <m/>
    <m/>
    <n v="0"/>
    <n v="0"/>
    <n v="0"/>
    <n v="0"/>
    <n v="0"/>
    <n v="0"/>
  </r>
  <r>
    <x v="306"/>
    <m/>
    <m/>
    <m/>
    <m/>
    <m/>
    <m/>
    <n v="0"/>
    <n v="0"/>
    <n v="0"/>
    <n v="0"/>
    <n v="0"/>
    <n v="0"/>
  </r>
  <r>
    <x v="307"/>
    <m/>
    <m/>
    <m/>
    <m/>
    <m/>
    <m/>
    <n v="0"/>
    <n v="0"/>
    <n v="0"/>
    <n v="0"/>
    <n v="0"/>
    <n v="0"/>
  </r>
  <r>
    <x v="308"/>
    <m/>
    <m/>
    <m/>
    <m/>
    <m/>
    <m/>
    <n v="0"/>
    <n v="0"/>
    <n v="0"/>
    <n v="0"/>
    <n v="0"/>
    <n v="0"/>
  </r>
  <r>
    <x v="309"/>
    <m/>
    <m/>
    <m/>
    <m/>
    <m/>
    <m/>
    <n v="0"/>
    <n v="0"/>
    <n v="0"/>
    <n v="0"/>
    <n v="0"/>
    <n v="0"/>
  </r>
  <r>
    <x v="310"/>
    <m/>
    <m/>
    <m/>
    <m/>
    <m/>
    <m/>
    <n v="0"/>
    <n v="0"/>
    <n v="0"/>
    <n v="0"/>
    <n v="0"/>
    <n v="0"/>
  </r>
  <r>
    <x v="311"/>
    <m/>
    <m/>
    <m/>
    <m/>
    <m/>
    <m/>
    <n v="0"/>
    <n v="0"/>
    <n v="0"/>
    <n v="0"/>
    <n v="0"/>
    <n v="0"/>
  </r>
  <r>
    <x v="312"/>
    <m/>
    <m/>
    <m/>
    <m/>
    <m/>
    <m/>
    <n v="0"/>
    <n v="0"/>
    <n v="0"/>
    <n v="0"/>
    <n v="0"/>
    <n v="0"/>
  </r>
  <r>
    <x v="313"/>
    <m/>
    <m/>
    <m/>
    <m/>
    <m/>
    <m/>
    <n v="0"/>
    <n v="0"/>
    <n v="0"/>
    <n v="0"/>
    <n v="0"/>
    <n v="0"/>
  </r>
  <r>
    <x v="314"/>
    <m/>
    <m/>
    <m/>
    <m/>
    <m/>
    <m/>
    <n v="0"/>
    <n v="0"/>
    <n v="0"/>
    <n v="0"/>
    <n v="0"/>
    <n v="0"/>
  </r>
  <r>
    <x v="315"/>
    <m/>
    <m/>
    <m/>
    <m/>
    <m/>
    <m/>
    <n v="0"/>
    <n v="0"/>
    <n v="0"/>
    <n v="0"/>
    <n v="0"/>
    <n v="0"/>
  </r>
  <r>
    <x v="316"/>
    <m/>
    <m/>
    <m/>
    <m/>
    <m/>
    <m/>
    <n v="0"/>
    <n v="0"/>
    <n v="0"/>
    <n v="0"/>
    <n v="0"/>
    <n v="0"/>
  </r>
  <r>
    <x v="317"/>
    <m/>
    <m/>
    <m/>
    <m/>
    <m/>
    <m/>
    <n v="0"/>
    <n v="0"/>
    <n v="0"/>
    <n v="0"/>
    <n v="0"/>
    <n v="0"/>
  </r>
  <r>
    <x v="318"/>
    <m/>
    <m/>
    <m/>
    <m/>
    <m/>
    <m/>
    <n v="0"/>
    <n v="0"/>
    <n v="0"/>
    <n v="0"/>
    <n v="0"/>
    <n v="0"/>
  </r>
  <r>
    <x v="319"/>
    <m/>
    <m/>
    <m/>
    <m/>
    <m/>
    <m/>
    <n v="0"/>
    <n v="0"/>
    <n v="0"/>
    <n v="0"/>
    <n v="0"/>
    <n v="0"/>
  </r>
  <r>
    <x v="320"/>
    <m/>
    <m/>
    <m/>
    <m/>
    <m/>
    <m/>
    <n v="0"/>
    <n v="0"/>
    <n v="0"/>
    <n v="0"/>
    <n v="0"/>
    <n v="0"/>
  </r>
  <r>
    <x v="321"/>
    <m/>
    <m/>
    <m/>
    <m/>
    <m/>
    <m/>
    <n v="0"/>
    <n v="0"/>
    <n v="0"/>
    <n v="0"/>
    <n v="0"/>
    <n v="0"/>
  </r>
  <r>
    <x v="322"/>
    <m/>
    <m/>
    <m/>
    <m/>
    <m/>
    <m/>
    <n v="0"/>
    <n v="0"/>
    <n v="0"/>
    <n v="0"/>
    <n v="0"/>
    <n v="0"/>
  </r>
  <r>
    <x v="323"/>
    <m/>
    <m/>
    <m/>
    <m/>
    <m/>
    <m/>
    <n v="0"/>
    <n v="0"/>
    <n v="0"/>
    <n v="0"/>
    <n v="0"/>
    <n v="0"/>
  </r>
  <r>
    <x v="324"/>
    <m/>
    <m/>
    <m/>
    <m/>
    <m/>
    <m/>
    <n v="0"/>
    <n v="0"/>
    <n v="0"/>
    <n v="0"/>
    <n v="0"/>
    <n v="0"/>
  </r>
  <r>
    <x v="325"/>
    <m/>
    <m/>
    <m/>
    <m/>
    <m/>
    <m/>
    <n v="0"/>
    <n v="0"/>
    <n v="0"/>
    <n v="0"/>
    <n v="0"/>
    <n v="0"/>
  </r>
  <r>
    <x v="326"/>
    <m/>
    <m/>
    <m/>
    <m/>
    <m/>
    <m/>
    <n v="0"/>
    <n v="0"/>
    <n v="0"/>
    <n v="0"/>
    <n v="0"/>
    <n v="0"/>
  </r>
  <r>
    <x v="327"/>
    <m/>
    <m/>
    <m/>
    <m/>
    <m/>
    <m/>
    <n v="0"/>
    <n v="0"/>
    <n v="0"/>
    <n v="0"/>
    <n v="0"/>
    <n v="0"/>
  </r>
  <r>
    <x v="328"/>
    <m/>
    <m/>
    <m/>
    <m/>
    <m/>
    <m/>
    <n v="0"/>
    <n v="0"/>
    <n v="0"/>
    <n v="0"/>
    <n v="0"/>
    <n v="0"/>
  </r>
  <r>
    <x v="329"/>
    <m/>
    <m/>
    <m/>
    <m/>
    <m/>
    <m/>
    <n v="0"/>
    <n v="0"/>
    <n v="0"/>
    <n v="0"/>
    <n v="0"/>
    <n v="0"/>
  </r>
  <r>
    <x v="330"/>
    <m/>
    <m/>
    <m/>
    <m/>
    <m/>
    <m/>
    <n v="0"/>
    <n v="0"/>
    <n v="0"/>
    <n v="0"/>
    <n v="0"/>
    <n v="0"/>
  </r>
  <r>
    <x v="331"/>
    <m/>
    <m/>
    <m/>
    <m/>
    <m/>
    <m/>
    <n v="0"/>
    <n v="0"/>
    <n v="0"/>
    <n v="0"/>
    <n v="0"/>
    <n v="0"/>
  </r>
  <r>
    <x v="332"/>
    <m/>
    <m/>
    <m/>
    <m/>
    <m/>
    <m/>
    <n v="0"/>
    <n v="0"/>
    <n v="0"/>
    <n v="0"/>
    <n v="0"/>
    <n v="0"/>
  </r>
  <r>
    <x v="333"/>
    <m/>
    <m/>
    <m/>
    <m/>
    <m/>
    <m/>
    <n v="0"/>
    <n v="0"/>
    <n v="0"/>
    <n v="0"/>
    <n v="0"/>
    <n v="0"/>
  </r>
  <r>
    <x v="334"/>
    <m/>
    <m/>
    <m/>
    <m/>
    <m/>
    <m/>
    <n v="0"/>
    <n v="0"/>
    <n v="0"/>
    <n v="0"/>
    <n v="0"/>
    <n v="0"/>
  </r>
  <r>
    <x v="335"/>
    <m/>
    <m/>
    <m/>
    <m/>
    <m/>
    <m/>
    <n v="0"/>
    <n v="0"/>
    <n v="0"/>
    <n v="0"/>
    <n v="0"/>
    <n v="0"/>
  </r>
  <r>
    <x v="336"/>
    <m/>
    <m/>
    <m/>
    <m/>
    <m/>
    <m/>
    <n v="0"/>
    <n v="0"/>
    <n v="0"/>
    <n v="0"/>
    <n v="0"/>
    <n v="0"/>
  </r>
  <r>
    <x v="337"/>
    <m/>
    <m/>
    <m/>
    <m/>
    <m/>
    <m/>
    <n v="0"/>
    <n v="0"/>
    <n v="0"/>
    <n v="0"/>
    <n v="0"/>
    <n v="0"/>
  </r>
  <r>
    <x v="338"/>
    <m/>
    <m/>
    <m/>
    <m/>
    <m/>
    <m/>
    <n v="0"/>
    <n v="0"/>
    <n v="0"/>
    <n v="0"/>
    <n v="0"/>
    <n v="0"/>
  </r>
  <r>
    <x v="339"/>
    <m/>
    <m/>
    <m/>
    <m/>
    <m/>
    <m/>
    <n v="0"/>
    <n v="0"/>
    <n v="0"/>
    <n v="0"/>
    <n v="0"/>
    <n v="0"/>
  </r>
  <r>
    <x v="340"/>
    <m/>
    <m/>
    <m/>
    <m/>
    <m/>
    <m/>
    <n v="0"/>
    <n v="0"/>
    <n v="0"/>
    <n v="0"/>
    <n v="0"/>
    <n v="0"/>
  </r>
  <r>
    <x v="341"/>
    <m/>
    <m/>
    <m/>
    <m/>
    <m/>
    <m/>
    <n v="0"/>
    <n v="0"/>
    <n v="0"/>
    <n v="0"/>
    <n v="0"/>
    <n v="0"/>
  </r>
  <r>
    <x v="342"/>
    <m/>
    <m/>
    <m/>
    <m/>
    <m/>
    <m/>
    <n v="0"/>
    <n v="0"/>
    <n v="0"/>
    <n v="0"/>
    <n v="0"/>
    <n v="0"/>
  </r>
  <r>
    <x v="343"/>
    <m/>
    <m/>
    <m/>
    <m/>
    <m/>
    <m/>
    <n v="0"/>
    <n v="0"/>
    <n v="0"/>
    <n v="0"/>
    <n v="0"/>
    <n v="0"/>
  </r>
  <r>
    <x v="344"/>
    <m/>
    <m/>
    <m/>
    <m/>
    <m/>
    <m/>
    <n v="0"/>
    <n v="0"/>
    <n v="0"/>
    <n v="0"/>
    <n v="0"/>
    <n v="0"/>
  </r>
  <r>
    <x v="345"/>
    <m/>
    <m/>
    <m/>
    <m/>
    <m/>
    <m/>
    <n v="0"/>
    <n v="0"/>
    <n v="0"/>
    <n v="0"/>
    <n v="0"/>
    <n v="0"/>
  </r>
  <r>
    <x v="346"/>
    <m/>
    <m/>
    <m/>
    <m/>
    <m/>
    <m/>
    <n v="0"/>
    <n v="0"/>
    <n v="0"/>
    <n v="0"/>
    <n v="0"/>
    <n v="0"/>
  </r>
  <r>
    <x v="347"/>
    <m/>
    <m/>
    <m/>
    <m/>
    <m/>
    <m/>
    <n v="0"/>
    <n v="0"/>
    <n v="0"/>
    <n v="0"/>
    <n v="0"/>
    <n v="0"/>
  </r>
  <r>
    <x v="348"/>
    <m/>
    <m/>
    <m/>
    <m/>
    <m/>
    <m/>
    <n v="0"/>
    <n v="0"/>
    <n v="0"/>
    <n v="0"/>
    <n v="0"/>
    <n v="0"/>
  </r>
  <r>
    <x v="349"/>
    <m/>
    <m/>
    <m/>
    <m/>
    <m/>
    <m/>
    <n v="0"/>
    <n v="0"/>
    <n v="0"/>
    <n v="0"/>
    <n v="0"/>
    <n v="0"/>
  </r>
  <r>
    <x v="350"/>
    <m/>
    <m/>
    <m/>
    <m/>
    <m/>
    <m/>
    <n v="0"/>
    <n v="0"/>
    <n v="0"/>
    <n v="0"/>
    <n v="0"/>
    <n v="0"/>
  </r>
  <r>
    <x v="351"/>
    <m/>
    <m/>
    <m/>
    <m/>
    <m/>
    <m/>
    <n v="0"/>
    <n v="0"/>
    <n v="0"/>
    <n v="0"/>
    <n v="0"/>
    <n v="0"/>
  </r>
  <r>
    <x v="352"/>
    <m/>
    <m/>
    <m/>
    <m/>
    <m/>
    <m/>
    <n v="0"/>
    <n v="0"/>
    <n v="0"/>
    <n v="0"/>
    <n v="0"/>
    <n v="0"/>
  </r>
  <r>
    <x v="353"/>
    <m/>
    <m/>
    <m/>
    <m/>
    <m/>
    <m/>
    <n v="0"/>
    <n v="0"/>
    <n v="0"/>
    <n v="0"/>
    <n v="0"/>
    <n v="0"/>
  </r>
  <r>
    <x v="354"/>
    <m/>
    <m/>
    <m/>
    <m/>
    <m/>
    <m/>
    <n v="0"/>
    <n v="0"/>
    <n v="0"/>
    <n v="0"/>
    <n v="0"/>
    <n v="0"/>
  </r>
  <r>
    <x v="355"/>
    <m/>
    <m/>
    <m/>
    <m/>
    <m/>
    <m/>
    <n v="0"/>
    <n v="0"/>
    <n v="0"/>
    <n v="0"/>
    <n v="0"/>
    <n v="0"/>
  </r>
  <r>
    <x v="356"/>
    <m/>
    <m/>
    <m/>
    <m/>
    <m/>
    <m/>
    <n v="0"/>
    <n v="0"/>
    <n v="0"/>
    <n v="0"/>
    <n v="0"/>
    <n v="0"/>
  </r>
  <r>
    <x v="357"/>
    <m/>
    <m/>
    <m/>
    <m/>
    <m/>
    <m/>
    <n v="0"/>
    <n v="0"/>
    <n v="0"/>
    <n v="0"/>
    <n v="0"/>
    <n v="0"/>
  </r>
  <r>
    <x v="358"/>
    <m/>
    <m/>
    <m/>
    <m/>
    <m/>
    <m/>
    <n v="0"/>
    <n v="0"/>
    <n v="0"/>
    <n v="0"/>
    <n v="0"/>
    <n v="0"/>
  </r>
  <r>
    <x v="359"/>
    <m/>
    <m/>
    <m/>
    <m/>
    <m/>
    <m/>
    <n v="0"/>
    <n v="0"/>
    <n v="0"/>
    <n v="0"/>
    <n v="0"/>
    <n v="0"/>
  </r>
  <r>
    <x v="360"/>
    <m/>
    <m/>
    <m/>
    <m/>
    <m/>
    <m/>
    <n v="0"/>
    <n v="0"/>
    <n v="0"/>
    <n v="0"/>
    <n v="0"/>
    <n v="0"/>
  </r>
  <r>
    <x v="361"/>
    <m/>
    <m/>
    <m/>
    <m/>
    <m/>
    <m/>
    <n v="0"/>
    <n v="0"/>
    <n v="0"/>
    <n v="0"/>
    <n v="0"/>
    <n v="0"/>
  </r>
  <r>
    <x v="362"/>
    <m/>
    <m/>
    <m/>
    <m/>
    <m/>
    <m/>
    <n v="0"/>
    <n v="0"/>
    <n v="0"/>
    <n v="0"/>
    <n v="0"/>
    <n v="0"/>
  </r>
  <r>
    <x v="363"/>
    <m/>
    <m/>
    <m/>
    <m/>
    <m/>
    <m/>
    <n v="0"/>
    <n v="0"/>
    <n v="0"/>
    <n v="0"/>
    <n v="0"/>
    <n v="0"/>
  </r>
  <r>
    <x v="364"/>
    <m/>
    <m/>
    <m/>
    <m/>
    <m/>
    <m/>
    <n v="0"/>
    <n v="0"/>
    <n v="0"/>
    <n v="0"/>
    <n v="0"/>
    <n v="0"/>
  </r>
  <r>
    <x v="365"/>
    <m/>
    <m/>
    <m/>
    <m/>
    <m/>
    <m/>
    <n v="0"/>
    <n v="0"/>
    <n v="0"/>
    <n v="0"/>
    <n v="0"/>
    <n v="0"/>
  </r>
  <r>
    <x v="366"/>
    <m/>
    <m/>
    <m/>
    <m/>
    <m/>
    <m/>
    <n v="0"/>
    <n v="0"/>
    <n v="0"/>
    <n v="0"/>
    <n v="0"/>
    <n v="0"/>
  </r>
  <r>
    <x v="367"/>
    <m/>
    <m/>
    <m/>
    <m/>
    <m/>
    <m/>
    <n v="0"/>
    <n v="0"/>
    <n v="0"/>
    <n v="0"/>
    <n v="0"/>
    <n v="0"/>
  </r>
  <r>
    <x v="368"/>
    <m/>
    <m/>
    <m/>
    <m/>
    <m/>
    <m/>
    <n v="0"/>
    <n v="0"/>
    <n v="0"/>
    <n v="0"/>
    <n v="0"/>
    <n v="0"/>
  </r>
  <r>
    <x v="369"/>
    <m/>
    <m/>
    <m/>
    <m/>
    <m/>
    <m/>
    <n v="0"/>
    <n v="0"/>
    <n v="0"/>
    <n v="0"/>
    <n v="0"/>
    <n v="0"/>
  </r>
  <r>
    <x v="370"/>
    <m/>
    <m/>
    <m/>
    <m/>
    <m/>
    <m/>
    <n v="0"/>
    <n v="0"/>
    <n v="0"/>
    <n v="0"/>
    <n v="0"/>
    <n v="0"/>
  </r>
  <r>
    <x v="371"/>
    <m/>
    <m/>
    <m/>
    <m/>
    <m/>
    <m/>
    <n v="0"/>
    <n v="0"/>
    <n v="0"/>
    <n v="0"/>
    <n v="0"/>
    <n v="0"/>
  </r>
  <r>
    <x v="372"/>
    <m/>
    <m/>
    <m/>
    <m/>
    <m/>
    <m/>
    <n v="0"/>
    <n v="0"/>
    <n v="0"/>
    <n v="0"/>
    <n v="0"/>
    <n v="0"/>
  </r>
  <r>
    <x v="373"/>
    <m/>
    <m/>
    <m/>
    <m/>
    <m/>
    <m/>
    <n v="0"/>
    <n v="0"/>
    <n v="0"/>
    <n v="0"/>
    <n v="0"/>
    <n v="0"/>
  </r>
  <r>
    <x v="374"/>
    <m/>
    <m/>
    <m/>
    <m/>
    <m/>
    <m/>
    <n v="0"/>
    <n v="0"/>
    <n v="0"/>
    <n v="0"/>
    <n v="0"/>
    <n v="0"/>
  </r>
  <r>
    <x v="375"/>
    <m/>
    <m/>
    <m/>
    <m/>
    <m/>
    <m/>
    <n v="0"/>
    <n v="0"/>
    <n v="0"/>
    <n v="0"/>
    <n v="0"/>
    <n v="0"/>
  </r>
  <r>
    <x v="376"/>
    <m/>
    <m/>
    <m/>
    <m/>
    <m/>
    <m/>
    <n v="0"/>
    <n v="0"/>
    <n v="0"/>
    <n v="0"/>
    <n v="0"/>
    <n v="0"/>
  </r>
  <r>
    <x v="377"/>
    <m/>
    <m/>
    <m/>
    <m/>
    <m/>
    <m/>
    <n v="0"/>
    <n v="0"/>
    <n v="0"/>
    <n v="0"/>
    <n v="0"/>
    <n v="0"/>
  </r>
  <r>
    <x v="378"/>
    <m/>
    <m/>
    <m/>
    <m/>
    <m/>
    <m/>
    <n v="0"/>
    <n v="0"/>
    <n v="0"/>
    <n v="0"/>
    <n v="0"/>
    <n v="0"/>
  </r>
  <r>
    <x v="379"/>
    <m/>
    <m/>
    <m/>
    <m/>
    <m/>
    <m/>
    <n v="0"/>
    <n v="0"/>
    <n v="0"/>
    <n v="0"/>
    <n v="0"/>
    <n v="0"/>
  </r>
  <r>
    <x v="380"/>
    <m/>
    <m/>
    <m/>
    <m/>
    <m/>
    <m/>
    <n v="0"/>
    <n v="0"/>
    <n v="0"/>
    <n v="0"/>
    <n v="0"/>
    <n v="0"/>
  </r>
  <r>
    <x v="381"/>
    <m/>
    <m/>
    <m/>
    <m/>
    <m/>
    <m/>
    <n v="0"/>
    <n v="0"/>
    <n v="0"/>
    <n v="0"/>
    <n v="0"/>
    <n v="0"/>
  </r>
  <r>
    <x v="382"/>
    <m/>
    <m/>
    <m/>
    <m/>
    <m/>
    <m/>
    <n v="0"/>
    <n v="0"/>
    <n v="0"/>
    <n v="0"/>
    <n v="0"/>
    <n v="0"/>
  </r>
  <r>
    <x v="383"/>
    <m/>
    <m/>
    <m/>
    <m/>
    <m/>
    <m/>
    <n v="0"/>
    <n v="0"/>
    <n v="0"/>
    <n v="0"/>
    <n v="0"/>
    <n v="0"/>
  </r>
  <r>
    <x v="384"/>
    <m/>
    <m/>
    <m/>
    <m/>
    <m/>
    <m/>
    <n v="0"/>
    <n v="0"/>
    <n v="0"/>
    <n v="0"/>
    <n v="0"/>
    <n v="0"/>
  </r>
  <r>
    <x v="385"/>
    <m/>
    <m/>
    <m/>
    <m/>
    <m/>
    <m/>
    <n v="0"/>
    <n v="0"/>
    <n v="0"/>
    <n v="0"/>
    <n v="0"/>
    <n v="0"/>
  </r>
  <r>
    <x v="386"/>
    <m/>
    <m/>
    <m/>
    <m/>
    <m/>
    <m/>
    <n v="0"/>
    <n v="0"/>
    <n v="0"/>
    <n v="0"/>
    <n v="0"/>
    <n v="0"/>
  </r>
  <r>
    <x v="387"/>
    <m/>
    <m/>
    <m/>
    <m/>
    <m/>
    <m/>
    <n v="0"/>
    <n v="0"/>
    <n v="0"/>
    <n v="0"/>
    <n v="0"/>
    <n v="0"/>
  </r>
  <r>
    <x v="388"/>
    <m/>
    <m/>
    <m/>
    <m/>
    <m/>
    <m/>
    <n v="0"/>
    <n v="0"/>
    <n v="0"/>
    <n v="0"/>
    <n v="0"/>
    <n v="0"/>
  </r>
  <r>
    <x v="389"/>
    <m/>
    <m/>
    <m/>
    <m/>
    <m/>
    <m/>
    <n v="0"/>
    <n v="0"/>
    <n v="0"/>
    <n v="0"/>
    <n v="0"/>
    <n v="0"/>
  </r>
  <r>
    <x v="390"/>
    <m/>
    <m/>
    <m/>
    <m/>
    <m/>
    <m/>
    <n v="0"/>
    <n v="0"/>
    <n v="0"/>
    <n v="0"/>
    <n v="0"/>
    <n v="0"/>
  </r>
  <r>
    <x v="391"/>
    <m/>
    <m/>
    <m/>
    <m/>
    <m/>
    <m/>
    <n v="0"/>
    <n v="0"/>
    <n v="0"/>
    <n v="0"/>
    <n v="0"/>
    <n v="0"/>
  </r>
  <r>
    <x v="392"/>
    <m/>
    <m/>
    <m/>
    <m/>
    <m/>
    <m/>
    <n v="0"/>
    <n v="0"/>
    <n v="0"/>
    <n v="0"/>
    <n v="0"/>
    <n v="0"/>
  </r>
  <r>
    <x v="393"/>
    <m/>
    <m/>
    <m/>
    <m/>
    <m/>
    <m/>
    <n v="0"/>
    <n v="0"/>
    <n v="0"/>
    <n v="0"/>
    <n v="0"/>
    <n v="0"/>
  </r>
  <r>
    <x v="394"/>
    <m/>
    <m/>
    <m/>
    <m/>
    <m/>
    <m/>
    <n v="0"/>
    <n v="0"/>
    <n v="0"/>
    <n v="0"/>
    <n v="0"/>
    <n v="0"/>
  </r>
  <r>
    <x v="395"/>
    <m/>
    <m/>
    <m/>
    <m/>
    <m/>
    <m/>
    <n v="0"/>
    <n v="0"/>
    <n v="0"/>
    <n v="0"/>
    <n v="0"/>
    <n v="0"/>
  </r>
  <r>
    <x v="396"/>
    <m/>
    <m/>
    <m/>
    <m/>
    <m/>
    <m/>
    <n v="0"/>
    <n v="0"/>
    <n v="0"/>
    <n v="0"/>
    <n v="0"/>
    <n v="0"/>
  </r>
  <r>
    <x v="397"/>
    <m/>
    <m/>
    <m/>
    <m/>
    <m/>
    <m/>
    <n v="0"/>
    <n v="0"/>
    <n v="0"/>
    <n v="0"/>
    <n v="0"/>
    <n v="0"/>
  </r>
  <r>
    <x v="398"/>
    <m/>
    <m/>
    <m/>
    <m/>
    <m/>
    <m/>
    <n v="0"/>
    <n v="0"/>
    <n v="0"/>
    <n v="0"/>
    <n v="0"/>
    <n v="0"/>
  </r>
  <r>
    <x v="399"/>
    <m/>
    <m/>
    <m/>
    <m/>
    <m/>
    <m/>
    <n v="0"/>
    <n v="0"/>
    <n v="0"/>
    <n v="0"/>
    <n v="0"/>
    <n v="0"/>
  </r>
  <r>
    <x v="400"/>
    <m/>
    <m/>
    <m/>
    <m/>
    <m/>
    <m/>
    <n v="0"/>
    <n v="0"/>
    <n v="0"/>
    <n v="0"/>
    <n v="0"/>
    <n v="0"/>
  </r>
  <r>
    <x v="401"/>
    <m/>
    <m/>
    <m/>
    <m/>
    <m/>
    <m/>
    <n v="0"/>
    <n v="0"/>
    <n v="0"/>
    <n v="0"/>
    <n v="0"/>
    <n v="0"/>
  </r>
  <r>
    <x v="402"/>
    <m/>
    <m/>
    <m/>
    <m/>
    <m/>
    <m/>
    <n v="0"/>
    <n v="0"/>
    <n v="0"/>
    <n v="0"/>
    <n v="0"/>
    <n v="0"/>
  </r>
  <r>
    <x v="403"/>
    <m/>
    <m/>
    <m/>
    <m/>
    <m/>
    <m/>
    <n v="0"/>
    <n v="0"/>
    <n v="0"/>
    <n v="0"/>
    <n v="0"/>
    <n v="0"/>
  </r>
  <r>
    <x v="404"/>
    <m/>
    <m/>
    <m/>
    <m/>
    <m/>
    <m/>
    <n v="0"/>
    <n v="0"/>
    <n v="0"/>
    <n v="0"/>
    <n v="0"/>
    <n v="0"/>
  </r>
  <r>
    <x v="405"/>
    <m/>
    <m/>
    <m/>
    <m/>
    <m/>
    <m/>
    <n v="0"/>
    <n v="0"/>
    <n v="0"/>
    <n v="0"/>
    <n v="0"/>
    <n v="0"/>
  </r>
  <r>
    <x v="406"/>
    <m/>
    <m/>
    <m/>
    <m/>
    <m/>
    <m/>
    <n v="0"/>
    <n v="0"/>
    <n v="0"/>
    <n v="0"/>
    <n v="0"/>
    <n v="0"/>
  </r>
  <r>
    <x v="407"/>
    <m/>
    <m/>
    <m/>
    <m/>
    <m/>
    <m/>
    <n v="0"/>
    <n v="0"/>
    <n v="0"/>
    <n v="0"/>
    <n v="0"/>
    <n v="0"/>
  </r>
  <r>
    <x v="408"/>
    <m/>
    <m/>
    <m/>
    <m/>
    <m/>
    <m/>
    <n v="0"/>
    <n v="0"/>
    <n v="0"/>
    <n v="0"/>
    <n v="0"/>
    <n v="0"/>
  </r>
  <r>
    <x v="409"/>
    <m/>
    <m/>
    <m/>
    <m/>
    <m/>
    <m/>
    <n v="0"/>
    <n v="0"/>
    <n v="0"/>
    <n v="0"/>
    <n v="0"/>
    <n v="0"/>
  </r>
  <r>
    <x v="410"/>
    <m/>
    <m/>
    <m/>
    <m/>
    <m/>
    <m/>
    <n v="0"/>
    <n v="0"/>
    <n v="0"/>
    <n v="0"/>
    <n v="0"/>
    <n v="0"/>
  </r>
  <r>
    <x v="411"/>
    <m/>
    <m/>
    <m/>
    <m/>
    <m/>
    <m/>
    <n v="0"/>
    <n v="0"/>
    <n v="0"/>
    <n v="0"/>
    <n v="0"/>
    <n v="0"/>
  </r>
  <r>
    <x v="412"/>
    <m/>
    <m/>
    <m/>
    <m/>
    <m/>
    <m/>
    <n v="0"/>
    <n v="0"/>
    <n v="0"/>
    <n v="0"/>
    <n v="0"/>
    <n v="0"/>
  </r>
  <r>
    <x v="413"/>
    <m/>
    <m/>
    <m/>
    <m/>
    <m/>
    <m/>
    <n v="0"/>
    <n v="0"/>
    <n v="0"/>
    <n v="0"/>
    <n v="0"/>
    <n v="0"/>
  </r>
  <r>
    <x v="414"/>
    <m/>
    <m/>
    <m/>
    <m/>
    <m/>
    <m/>
    <n v="0"/>
    <n v="0"/>
    <n v="0"/>
    <n v="0"/>
    <n v="0"/>
    <n v="0"/>
  </r>
  <r>
    <x v="415"/>
    <m/>
    <m/>
    <m/>
    <m/>
    <m/>
    <m/>
    <n v="0"/>
    <n v="0"/>
    <n v="0"/>
    <n v="0"/>
    <n v="0"/>
    <n v="0"/>
  </r>
  <r>
    <x v="416"/>
    <m/>
    <m/>
    <m/>
    <m/>
    <m/>
    <m/>
    <n v="0"/>
    <n v="0"/>
    <n v="0"/>
    <n v="0"/>
    <n v="0"/>
    <n v="0"/>
  </r>
  <r>
    <x v="417"/>
    <m/>
    <m/>
    <m/>
    <m/>
    <m/>
    <m/>
    <n v="0"/>
    <n v="0"/>
    <n v="0"/>
    <n v="0"/>
    <n v="0"/>
    <n v="0"/>
  </r>
  <r>
    <x v="418"/>
    <m/>
    <m/>
    <m/>
    <m/>
    <m/>
    <m/>
    <n v="0"/>
    <n v="0"/>
    <n v="0"/>
    <n v="0"/>
    <n v="0"/>
    <n v="0"/>
  </r>
  <r>
    <x v="419"/>
    <m/>
    <m/>
    <m/>
    <m/>
    <m/>
    <m/>
    <n v="0"/>
    <n v="0"/>
    <n v="0"/>
    <n v="0"/>
    <n v="0"/>
    <n v="0"/>
  </r>
  <r>
    <x v="420"/>
    <m/>
    <m/>
    <m/>
    <m/>
    <m/>
    <m/>
    <n v="0"/>
    <n v="0"/>
    <n v="0"/>
    <n v="0"/>
    <n v="0"/>
    <n v="0"/>
  </r>
  <r>
    <x v="421"/>
    <m/>
    <m/>
    <m/>
    <m/>
    <m/>
    <m/>
    <n v="0"/>
    <n v="0"/>
    <n v="0"/>
    <n v="0"/>
    <n v="0"/>
    <n v="0"/>
  </r>
  <r>
    <x v="422"/>
    <m/>
    <m/>
    <m/>
    <m/>
    <m/>
    <m/>
    <n v="0"/>
    <n v="0"/>
    <n v="0"/>
    <n v="0"/>
    <n v="0"/>
    <n v="0"/>
  </r>
  <r>
    <x v="423"/>
    <m/>
    <m/>
    <m/>
    <m/>
    <m/>
    <m/>
    <n v="0"/>
    <n v="0"/>
    <n v="0"/>
    <n v="0"/>
    <n v="0"/>
    <n v="0"/>
  </r>
  <r>
    <x v="424"/>
    <m/>
    <m/>
    <m/>
    <m/>
    <m/>
    <m/>
    <n v="0"/>
    <n v="0"/>
    <n v="0"/>
    <n v="0"/>
    <n v="0"/>
    <n v="0"/>
  </r>
  <r>
    <x v="425"/>
    <m/>
    <m/>
    <m/>
    <m/>
    <m/>
    <m/>
    <n v="0"/>
    <n v="0"/>
    <n v="0"/>
    <n v="0"/>
    <n v="0"/>
    <n v="0"/>
  </r>
  <r>
    <x v="426"/>
    <m/>
    <m/>
    <m/>
    <m/>
    <m/>
    <m/>
    <n v="0"/>
    <n v="0"/>
    <n v="0"/>
    <n v="0"/>
    <n v="0"/>
    <n v="0"/>
  </r>
  <r>
    <x v="427"/>
    <m/>
    <m/>
    <m/>
    <m/>
    <m/>
    <m/>
    <n v="0"/>
    <n v="0"/>
    <n v="0"/>
    <n v="0"/>
    <n v="0"/>
    <n v="0"/>
  </r>
  <r>
    <x v="428"/>
    <m/>
    <m/>
    <m/>
    <m/>
    <m/>
    <m/>
    <n v="0"/>
    <n v="0"/>
    <n v="0"/>
    <n v="0"/>
    <n v="0"/>
    <n v="0"/>
  </r>
  <r>
    <x v="429"/>
    <m/>
    <m/>
    <m/>
    <m/>
    <m/>
    <m/>
    <n v="0"/>
    <n v="0"/>
    <n v="0"/>
    <n v="0"/>
    <n v="0"/>
    <n v="0"/>
  </r>
  <r>
    <x v="430"/>
    <m/>
    <m/>
    <m/>
    <m/>
    <m/>
    <m/>
    <n v="0"/>
    <n v="0"/>
    <n v="0"/>
    <n v="0"/>
    <n v="0"/>
    <n v="0"/>
  </r>
  <r>
    <x v="431"/>
    <m/>
    <m/>
    <m/>
    <m/>
    <m/>
    <m/>
    <n v="0"/>
    <n v="0"/>
    <n v="0"/>
    <n v="0"/>
    <n v="0"/>
    <n v="0"/>
  </r>
  <r>
    <x v="432"/>
    <m/>
    <m/>
    <m/>
    <m/>
    <m/>
    <m/>
    <n v="0"/>
    <n v="0"/>
    <n v="0"/>
    <n v="0"/>
    <n v="0"/>
    <n v="0"/>
  </r>
  <r>
    <x v="433"/>
    <m/>
    <m/>
    <m/>
    <m/>
    <m/>
    <m/>
    <n v="0"/>
    <n v="0"/>
    <n v="0"/>
    <n v="0"/>
    <n v="0"/>
    <n v="0"/>
  </r>
  <r>
    <x v="434"/>
    <m/>
    <m/>
    <m/>
    <m/>
    <m/>
    <m/>
    <n v="0"/>
    <n v="0"/>
    <n v="0"/>
    <n v="0"/>
    <n v="0"/>
    <n v="0"/>
  </r>
  <r>
    <x v="435"/>
    <m/>
    <m/>
    <m/>
    <m/>
    <m/>
    <m/>
    <n v="0"/>
    <n v="0"/>
    <n v="0"/>
    <n v="0"/>
    <n v="0"/>
    <n v="0"/>
  </r>
  <r>
    <x v="436"/>
    <m/>
    <m/>
    <m/>
    <m/>
    <m/>
    <m/>
    <n v="0"/>
    <n v="0"/>
    <n v="0"/>
    <n v="0"/>
    <n v="0"/>
    <n v="0"/>
  </r>
  <r>
    <x v="437"/>
    <m/>
    <m/>
    <m/>
    <m/>
    <m/>
    <m/>
    <n v="0"/>
    <n v="0"/>
    <n v="0"/>
    <n v="0"/>
    <n v="0"/>
    <n v="0"/>
  </r>
  <r>
    <x v="438"/>
    <m/>
    <m/>
    <m/>
    <m/>
    <m/>
    <m/>
    <n v="0"/>
    <n v="0"/>
    <n v="0"/>
    <n v="0"/>
    <n v="0"/>
    <n v="0"/>
  </r>
  <r>
    <x v="439"/>
    <m/>
    <m/>
    <m/>
    <m/>
    <m/>
    <m/>
    <n v="0"/>
    <n v="0"/>
    <n v="0"/>
    <n v="0"/>
    <n v="0"/>
    <n v="0"/>
  </r>
  <r>
    <x v="440"/>
    <m/>
    <m/>
    <m/>
    <m/>
    <m/>
    <m/>
    <n v="0"/>
    <n v="0"/>
    <n v="0"/>
    <n v="0"/>
    <n v="0"/>
    <n v="0"/>
  </r>
  <r>
    <x v="441"/>
    <m/>
    <m/>
    <m/>
    <m/>
    <m/>
    <m/>
    <n v="0"/>
    <n v="0"/>
    <n v="0"/>
    <n v="0"/>
    <n v="0"/>
    <n v="0"/>
  </r>
  <r>
    <x v="442"/>
    <m/>
    <m/>
    <m/>
    <m/>
    <m/>
    <m/>
    <n v="0"/>
    <n v="0"/>
    <n v="0"/>
    <n v="0"/>
    <n v="0"/>
    <n v="0"/>
  </r>
  <r>
    <x v="443"/>
    <m/>
    <m/>
    <m/>
    <m/>
    <m/>
    <m/>
    <n v="0"/>
    <n v="0"/>
    <n v="0"/>
    <n v="0"/>
    <n v="0"/>
    <n v="0"/>
  </r>
  <r>
    <x v="444"/>
    <m/>
    <m/>
    <m/>
    <m/>
    <m/>
    <m/>
    <n v="0"/>
    <n v="0"/>
    <n v="0"/>
    <n v="0"/>
    <n v="0"/>
    <n v="0"/>
  </r>
  <r>
    <x v="445"/>
    <m/>
    <m/>
    <m/>
    <m/>
    <m/>
    <m/>
    <n v="0"/>
    <n v="0"/>
    <n v="0"/>
    <n v="0"/>
    <n v="0"/>
    <n v="0"/>
  </r>
  <r>
    <x v="446"/>
    <m/>
    <m/>
    <m/>
    <m/>
    <m/>
    <m/>
    <n v="0"/>
    <n v="0"/>
    <n v="0"/>
    <n v="0"/>
    <n v="0"/>
    <n v="0"/>
  </r>
  <r>
    <x v="447"/>
    <m/>
    <m/>
    <m/>
    <m/>
    <m/>
    <m/>
    <n v="0"/>
    <n v="0"/>
    <n v="0"/>
    <n v="0"/>
    <n v="0"/>
    <n v="0"/>
  </r>
  <r>
    <x v="448"/>
    <m/>
    <m/>
    <m/>
    <m/>
    <m/>
    <m/>
    <n v="0"/>
    <n v="0"/>
    <n v="0"/>
    <n v="0"/>
    <n v="0"/>
    <n v="0"/>
  </r>
  <r>
    <x v="449"/>
    <m/>
    <m/>
    <m/>
    <m/>
    <m/>
    <m/>
    <n v="0"/>
    <n v="0"/>
    <n v="0"/>
    <n v="0"/>
    <n v="0"/>
    <n v="0"/>
  </r>
  <r>
    <x v="450"/>
    <m/>
    <m/>
    <m/>
    <m/>
    <m/>
    <m/>
    <n v="0"/>
    <n v="0"/>
    <n v="0"/>
    <n v="0"/>
    <n v="0"/>
    <n v="0"/>
  </r>
  <r>
    <x v="451"/>
    <m/>
    <m/>
    <m/>
    <m/>
    <m/>
    <m/>
    <n v="0"/>
    <n v="0"/>
    <n v="0"/>
    <n v="0"/>
    <n v="0"/>
    <n v="0"/>
  </r>
  <r>
    <x v="452"/>
    <m/>
    <m/>
    <m/>
    <m/>
    <m/>
    <m/>
    <n v="0"/>
    <n v="0"/>
    <n v="0"/>
    <n v="0"/>
    <n v="0"/>
    <n v="0"/>
  </r>
  <r>
    <x v="453"/>
    <m/>
    <m/>
    <m/>
    <m/>
    <m/>
    <m/>
    <n v="0"/>
    <n v="0"/>
    <n v="0"/>
    <n v="0"/>
    <n v="0"/>
    <n v="0"/>
  </r>
  <r>
    <x v="454"/>
    <m/>
    <m/>
    <m/>
    <m/>
    <m/>
    <m/>
    <n v="0"/>
    <n v="0"/>
    <n v="0"/>
    <n v="0"/>
    <n v="0"/>
    <n v="0"/>
  </r>
  <r>
    <x v="455"/>
    <m/>
    <m/>
    <m/>
    <m/>
    <m/>
    <m/>
    <n v="0"/>
    <n v="0"/>
    <n v="0"/>
    <n v="0"/>
    <n v="0"/>
    <n v="0"/>
  </r>
  <r>
    <x v="456"/>
    <m/>
    <m/>
    <m/>
    <m/>
    <m/>
    <m/>
    <n v="0"/>
    <n v="0"/>
    <n v="0"/>
    <n v="0"/>
    <n v="0"/>
    <n v="0"/>
  </r>
  <r>
    <x v="457"/>
    <m/>
    <m/>
    <m/>
    <m/>
    <m/>
    <m/>
    <n v="0"/>
    <n v="0"/>
    <n v="0"/>
    <n v="0"/>
    <n v="0"/>
    <n v="0"/>
  </r>
  <r>
    <x v="458"/>
    <m/>
    <m/>
    <m/>
    <m/>
    <m/>
    <m/>
    <n v="0"/>
    <n v="0"/>
    <n v="0"/>
    <n v="0"/>
    <n v="0"/>
    <n v="0"/>
  </r>
  <r>
    <x v="459"/>
    <m/>
    <m/>
    <m/>
    <m/>
    <m/>
    <m/>
    <n v="0"/>
    <n v="0"/>
    <n v="0"/>
    <n v="0"/>
    <n v="0"/>
    <n v="0"/>
  </r>
  <r>
    <x v="460"/>
    <m/>
    <m/>
    <m/>
    <m/>
    <m/>
    <m/>
    <n v="0"/>
    <n v="0"/>
    <n v="0"/>
    <n v="0"/>
    <n v="0"/>
    <n v="0"/>
  </r>
  <r>
    <x v="461"/>
    <m/>
    <m/>
    <m/>
    <m/>
    <m/>
    <m/>
    <n v="0"/>
    <n v="0"/>
    <n v="0"/>
    <n v="0"/>
    <n v="0"/>
    <n v="0"/>
  </r>
  <r>
    <x v="462"/>
    <m/>
    <m/>
    <m/>
    <m/>
    <m/>
    <m/>
    <n v="0"/>
    <n v="0"/>
    <n v="0"/>
    <n v="0"/>
    <n v="0"/>
    <n v="0"/>
  </r>
  <r>
    <x v="463"/>
    <m/>
    <m/>
    <m/>
    <m/>
    <m/>
    <m/>
    <n v="0"/>
    <n v="0"/>
    <n v="0"/>
    <n v="0"/>
    <n v="0"/>
    <n v="0"/>
  </r>
  <r>
    <x v="464"/>
    <m/>
    <m/>
    <m/>
    <m/>
    <m/>
    <m/>
    <n v="0"/>
    <n v="0"/>
    <n v="0"/>
    <n v="0"/>
    <n v="0"/>
    <n v="0"/>
  </r>
  <r>
    <x v="465"/>
    <m/>
    <m/>
    <m/>
    <m/>
    <m/>
    <m/>
    <n v="0"/>
    <n v="0"/>
    <n v="0"/>
    <n v="0"/>
    <n v="0"/>
    <n v="0"/>
  </r>
  <r>
    <x v="466"/>
    <m/>
    <m/>
    <m/>
    <m/>
    <m/>
    <m/>
    <n v="0"/>
    <n v="0"/>
    <n v="0"/>
    <n v="0"/>
    <n v="0"/>
    <n v="0"/>
  </r>
  <r>
    <x v="467"/>
    <m/>
    <m/>
    <m/>
    <m/>
    <m/>
    <m/>
    <n v="0"/>
    <n v="0"/>
    <n v="0"/>
    <n v="0"/>
    <n v="0"/>
    <n v="0"/>
  </r>
  <r>
    <x v="468"/>
    <m/>
    <m/>
    <m/>
    <m/>
    <m/>
    <m/>
    <n v="0"/>
    <n v="0"/>
    <n v="0"/>
    <n v="0"/>
    <n v="0"/>
    <n v="0"/>
  </r>
  <r>
    <x v="469"/>
    <m/>
    <m/>
    <m/>
    <m/>
    <m/>
    <m/>
    <n v="0"/>
    <n v="0"/>
    <n v="0"/>
    <n v="0"/>
    <n v="0"/>
    <n v="0"/>
  </r>
  <r>
    <x v="470"/>
    <m/>
    <m/>
    <m/>
    <m/>
    <m/>
    <m/>
    <n v="0"/>
    <n v="0"/>
    <n v="0"/>
    <n v="0"/>
    <n v="0"/>
    <n v="0"/>
  </r>
  <r>
    <x v="471"/>
    <m/>
    <m/>
    <m/>
    <m/>
    <m/>
    <m/>
    <n v="0"/>
    <n v="0"/>
    <n v="0"/>
    <n v="0"/>
    <n v="0"/>
    <n v="0"/>
  </r>
  <r>
    <x v="472"/>
    <m/>
    <m/>
    <m/>
    <m/>
    <m/>
    <m/>
    <n v="0"/>
    <n v="0"/>
    <n v="0"/>
    <n v="0"/>
    <n v="0"/>
    <n v="0"/>
  </r>
  <r>
    <x v="473"/>
    <m/>
    <m/>
    <m/>
    <m/>
    <m/>
    <m/>
    <n v="0"/>
    <n v="0"/>
    <n v="0"/>
    <n v="0"/>
    <n v="0"/>
    <n v="0"/>
  </r>
  <r>
    <x v="474"/>
    <m/>
    <m/>
    <m/>
    <m/>
    <m/>
    <m/>
    <n v="0"/>
    <n v="0"/>
    <n v="0"/>
    <n v="0"/>
    <n v="0"/>
    <n v="0"/>
  </r>
  <r>
    <x v="475"/>
    <m/>
    <m/>
    <m/>
    <m/>
    <m/>
    <m/>
    <n v="0"/>
    <n v="0"/>
    <n v="0"/>
    <n v="0"/>
    <n v="0"/>
    <n v="0"/>
  </r>
  <r>
    <x v="476"/>
    <m/>
    <m/>
    <m/>
    <m/>
    <m/>
    <m/>
    <n v="0"/>
    <n v="0"/>
    <n v="0"/>
    <n v="0"/>
    <n v="0"/>
    <n v="0"/>
  </r>
  <r>
    <x v="477"/>
    <m/>
    <m/>
    <m/>
    <m/>
    <m/>
    <m/>
    <n v="0"/>
    <n v="0"/>
    <n v="0"/>
    <n v="0"/>
    <n v="0"/>
    <n v="0"/>
  </r>
  <r>
    <x v="478"/>
    <m/>
    <m/>
    <m/>
    <m/>
    <m/>
    <m/>
    <n v="0"/>
    <n v="0"/>
    <n v="0"/>
    <n v="0"/>
    <n v="0"/>
    <n v="0"/>
  </r>
  <r>
    <x v="479"/>
    <m/>
    <m/>
    <m/>
    <m/>
    <m/>
    <m/>
    <n v="0"/>
    <n v="0"/>
    <n v="0"/>
    <n v="0"/>
    <n v="0"/>
    <n v="0"/>
  </r>
  <r>
    <x v="480"/>
    <m/>
    <m/>
    <m/>
    <m/>
    <m/>
    <m/>
    <n v="0"/>
    <n v="0"/>
    <n v="0"/>
    <n v="0"/>
    <n v="0"/>
    <n v="0"/>
  </r>
  <r>
    <x v="481"/>
    <m/>
    <m/>
    <m/>
    <m/>
    <m/>
    <m/>
    <n v="0"/>
    <n v="0"/>
    <n v="0"/>
    <n v="0"/>
    <n v="0"/>
    <n v="0"/>
  </r>
  <r>
    <x v="482"/>
    <m/>
    <m/>
    <m/>
    <m/>
    <m/>
    <m/>
    <n v="0"/>
    <n v="0"/>
    <n v="0"/>
    <n v="0"/>
    <n v="0"/>
    <n v="0"/>
  </r>
  <r>
    <x v="483"/>
    <m/>
    <m/>
    <m/>
    <m/>
    <m/>
    <m/>
    <n v="0"/>
    <n v="0"/>
    <n v="0"/>
    <n v="0"/>
    <n v="0"/>
    <n v="0"/>
  </r>
  <r>
    <x v="484"/>
    <m/>
    <m/>
    <m/>
    <m/>
    <m/>
    <m/>
    <n v="0"/>
    <n v="0"/>
    <n v="0"/>
    <n v="0"/>
    <n v="0"/>
    <n v="0"/>
  </r>
  <r>
    <x v="485"/>
    <m/>
    <m/>
    <m/>
    <m/>
    <m/>
    <m/>
    <n v="0"/>
    <n v="0"/>
    <n v="0"/>
    <n v="0"/>
    <n v="0"/>
    <n v="0"/>
  </r>
  <r>
    <x v="486"/>
    <m/>
    <m/>
    <m/>
    <m/>
    <m/>
    <m/>
    <n v="0"/>
    <n v="0"/>
    <n v="0"/>
    <n v="0"/>
    <n v="0"/>
    <n v="0"/>
  </r>
  <r>
    <x v="487"/>
    <m/>
    <m/>
    <m/>
    <m/>
    <m/>
    <m/>
    <n v="0"/>
    <n v="0"/>
    <n v="0"/>
    <n v="0"/>
    <n v="0"/>
    <n v="0"/>
  </r>
  <r>
    <x v="488"/>
    <m/>
    <m/>
    <m/>
    <m/>
    <m/>
    <m/>
    <n v="0"/>
    <n v="0"/>
    <n v="0"/>
    <n v="0"/>
    <n v="0"/>
    <n v="0"/>
  </r>
  <r>
    <x v="489"/>
    <m/>
    <m/>
    <m/>
    <m/>
    <m/>
    <m/>
    <n v="0"/>
    <n v="0"/>
    <n v="0"/>
    <n v="0"/>
    <n v="0"/>
    <n v="0"/>
  </r>
  <r>
    <x v="490"/>
    <m/>
    <m/>
    <m/>
    <m/>
    <m/>
    <m/>
    <n v="0"/>
    <n v="0"/>
    <n v="0"/>
    <n v="0"/>
    <n v="0"/>
    <n v="0"/>
  </r>
  <r>
    <x v="491"/>
    <m/>
    <m/>
    <m/>
    <m/>
    <m/>
    <m/>
    <n v="0"/>
    <n v="0"/>
    <n v="0"/>
    <n v="0"/>
    <n v="0"/>
    <n v="0"/>
  </r>
  <r>
    <x v="492"/>
    <m/>
    <m/>
    <m/>
    <m/>
    <m/>
    <m/>
    <n v="0"/>
    <n v="0"/>
    <n v="0"/>
    <n v="0"/>
    <n v="0"/>
    <n v="0"/>
  </r>
  <r>
    <x v="493"/>
    <m/>
    <m/>
    <m/>
    <m/>
    <m/>
    <m/>
    <n v="0"/>
    <n v="0"/>
    <n v="0"/>
    <n v="0"/>
    <n v="0"/>
    <n v="0"/>
  </r>
  <r>
    <x v="494"/>
    <m/>
    <m/>
    <m/>
    <m/>
    <m/>
    <m/>
    <n v="0"/>
    <n v="0"/>
    <n v="0"/>
    <n v="0"/>
    <n v="0"/>
    <n v="0"/>
  </r>
  <r>
    <x v="495"/>
    <m/>
    <m/>
    <m/>
    <m/>
    <m/>
    <m/>
    <n v="0"/>
    <n v="0"/>
    <n v="0"/>
    <n v="0"/>
    <n v="0"/>
    <n v="0"/>
  </r>
  <r>
    <x v="496"/>
    <m/>
    <m/>
    <m/>
    <m/>
    <m/>
    <m/>
    <n v="0"/>
    <n v="0"/>
    <n v="0"/>
    <n v="0"/>
    <n v="0"/>
    <n v="0"/>
  </r>
  <r>
    <x v="497"/>
    <m/>
    <m/>
    <m/>
    <m/>
    <m/>
    <m/>
    <n v="0"/>
    <n v="0"/>
    <n v="0"/>
    <n v="0"/>
    <n v="0"/>
    <n v="0"/>
  </r>
  <r>
    <x v="498"/>
    <m/>
    <m/>
    <m/>
    <m/>
    <m/>
    <m/>
    <n v="0"/>
    <n v="0"/>
    <n v="0"/>
    <n v="0"/>
    <n v="0"/>
    <n v="0"/>
  </r>
  <r>
    <x v="499"/>
    <m/>
    <m/>
    <m/>
    <m/>
    <m/>
    <m/>
    <n v="0"/>
    <n v="0"/>
    <n v="0"/>
    <n v="0"/>
    <n v="0"/>
    <n v="0"/>
  </r>
  <r>
    <x v="500"/>
    <m/>
    <m/>
    <m/>
    <m/>
    <m/>
    <m/>
    <n v="0"/>
    <n v="0"/>
    <n v="0"/>
    <n v="0"/>
    <n v="0"/>
    <n v="0"/>
  </r>
  <r>
    <x v="501"/>
    <m/>
    <m/>
    <m/>
    <m/>
    <m/>
    <m/>
    <n v="0"/>
    <n v="0"/>
    <n v="0"/>
    <n v="0"/>
    <n v="0"/>
    <n v="0"/>
  </r>
  <r>
    <x v="502"/>
    <m/>
    <m/>
    <m/>
    <m/>
    <m/>
    <m/>
    <n v="0"/>
    <n v="0"/>
    <n v="0"/>
    <n v="0"/>
    <n v="0"/>
    <n v="0"/>
  </r>
  <r>
    <x v="503"/>
    <m/>
    <m/>
    <m/>
    <m/>
    <m/>
    <m/>
    <n v="0"/>
    <n v="0"/>
    <n v="0"/>
    <n v="0"/>
    <n v="0"/>
    <n v="0"/>
  </r>
  <r>
    <x v="504"/>
    <m/>
    <m/>
    <m/>
    <m/>
    <m/>
    <m/>
    <n v="0"/>
    <n v="0"/>
    <n v="0"/>
    <n v="0"/>
    <n v="0"/>
    <n v="0"/>
  </r>
  <r>
    <x v="505"/>
    <m/>
    <m/>
    <m/>
    <m/>
    <m/>
    <m/>
    <n v="0"/>
    <n v="0"/>
    <n v="0"/>
    <n v="0"/>
    <n v="0"/>
    <n v="0"/>
  </r>
  <r>
    <x v="506"/>
    <m/>
    <m/>
    <m/>
    <m/>
    <m/>
    <m/>
    <n v="0"/>
    <n v="0"/>
    <n v="0"/>
    <n v="0"/>
    <n v="0"/>
    <n v="0"/>
  </r>
  <r>
    <x v="507"/>
    <m/>
    <m/>
    <m/>
    <m/>
    <m/>
    <m/>
    <n v="0"/>
    <n v="0"/>
    <n v="0"/>
    <n v="0"/>
    <n v="0"/>
    <n v="0"/>
  </r>
  <r>
    <x v="508"/>
    <m/>
    <m/>
    <m/>
    <m/>
    <m/>
    <m/>
    <n v="0"/>
    <n v="0"/>
    <n v="0"/>
    <n v="0"/>
    <n v="0"/>
    <n v="0"/>
  </r>
  <r>
    <x v="509"/>
    <m/>
    <m/>
    <m/>
    <m/>
    <m/>
    <m/>
    <n v="0"/>
    <n v="0"/>
    <n v="0"/>
    <n v="0"/>
    <n v="0"/>
    <n v="0"/>
  </r>
  <r>
    <x v="510"/>
    <m/>
    <m/>
    <m/>
    <m/>
    <m/>
    <m/>
    <n v="0"/>
    <n v="0"/>
    <n v="0"/>
    <n v="0"/>
    <n v="0"/>
    <n v="0"/>
  </r>
  <r>
    <x v="511"/>
    <m/>
    <m/>
    <m/>
    <m/>
    <m/>
    <m/>
    <n v="0"/>
    <n v="0"/>
    <n v="0"/>
    <n v="0"/>
    <n v="0"/>
    <n v="0"/>
  </r>
  <r>
    <x v="512"/>
    <m/>
    <m/>
    <m/>
    <m/>
    <m/>
    <m/>
    <n v="0"/>
    <n v="0"/>
    <n v="0"/>
    <n v="0"/>
    <n v="0"/>
    <n v="0"/>
  </r>
  <r>
    <x v="513"/>
    <m/>
    <m/>
    <m/>
    <m/>
    <m/>
    <m/>
    <n v="0"/>
    <n v="0"/>
    <n v="0"/>
    <n v="0"/>
    <n v="0"/>
    <n v="0"/>
  </r>
  <r>
    <x v="514"/>
    <m/>
    <m/>
    <m/>
    <m/>
    <m/>
    <m/>
    <n v="0"/>
    <n v="0"/>
    <n v="0"/>
    <n v="0"/>
    <n v="0"/>
    <n v="0"/>
  </r>
  <r>
    <x v="515"/>
    <m/>
    <m/>
    <m/>
    <m/>
    <m/>
    <m/>
    <n v="0"/>
    <n v="0"/>
    <n v="0"/>
    <n v="0"/>
    <n v="0"/>
    <n v="0"/>
  </r>
  <r>
    <x v="516"/>
    <m/>
    <m/>
    <m/>
    <m/>
    <m/>
    <m/>
    <n v="0"/>
    <n v="0"/>
    <n v="0"/>
    <n v="0"/>
    <n v="0"/>
    <n v="0"/>
  </r>
  <r>
    <x v="517"/>
    <m/>
    <m/>
    <m/>
    <m/>
    <m/>
    <m/>
    <n v="0"/>
    <n v="0"/>
    <n v="0"/>
    <n v="0"/>
    <n v="0"/>
    <n v="0"/>
  </r>
  <r>
    <x v="518"/>
    <m/>
    <m/>
    <m/>
    <m/>
    <m/>
    <m/>
    <n v="0"/>
    <n v="0"/>
    <n v="0"/>
    <n v="0"/>
    <n v="0"/>
    <n v="0"/>
  </r>
  <r>
    <x v="519"/>
    <m/>
    <m/>
    <m/>
    <m/>
    <m/>
    <m/>
    <n v="0"/>
    <n v="0"/>
    <n v="0"/>
    <n v="0"/>
    <n v="0"/>
    <n v="0"/>
  </r>
  <r>
    <x v="520"/>
    <m/>
    <m/>
    <m/>
    <m/>
    <m/>
    <m/>
    <n v="0"/>
    <n v="0"/>
    <n v="0"/>
    <n v="0"/>
    <n v="0"/>
    <n v="0"/>
  </r>
  <r>
    <x v="521"/>
    <m/>
    <m/>
    <m/>
    <m/>
    <m/>
    <m/>
    <n v="0"/>
    <n v="0"/>
    <n v="0"/>
    <n v="0"/>
    <n v="0"/>
    <n v="0"/>
  </r>
  <r>
    <x v="522"/>
    <m/>
    <m/>
    <m/>
    <m/>
    <m/>
    <m/>
    <n v="0"/>
    <n v="0"/>
    <n v="0"/>
    <n v="0"/>
    <n v="0"/>
    <n v="0"/>
  </r>
  <r>
    <x v="523"/>
    <m/>
    <m/>
    <m/>
    <m/>
    <m/>
    <m/>
    <n v="0"/>
    <n v="0"/>
    <n v="0"/>
    <n v="0"/>
    <n v="0"/>
    <n v="0"/>
  </r>
  <r>
    <x v="524"/>
    <m/>
    <m/>
    <m/>
    <m/>
    <m/>
    <m/>
    <n v="0"/>
    <n v="0"/>
    <n v="0"/>
    <n v="0"/>
    <n v="0"/>
    <n v="0"/>
  </r>
  <r>
    <x v="525"/>
    <m/>
    <m/>
    <m/>
    <m/>
    <m/>
    <m/>
    <n v="0"/>
    <n v="0"/>
    <n v="0"/>
    <n v="0"/>
    <n v="0"/>
    <n v="0"/>
  </r>
  <r>
    <x v="526"/>
    <m/>
    <m/>
    <m/>
    <m/>
    <m/>
    <m/>
    <n v="0"/>
    <n v="0"/>
    <n v="0"/>
    <n v="0"/>
    <n v="0"/>
    <n v="0"/>
  </r>
  <r>
    <x v="527"/>
    <m/>
    <m/>
    <m/>
    <m/>
    <m/>
    <m/>
    <n v="0"/>
    <n v="0"/>
    <n v="0"/>
    <n v="0"/>
    <n v="0"/>
    <n v="0"/>
  </r>
  <r>
    <x v="528"/>
    <m/>
    <m/>
    <m/>
    <m/>
    <m/>
    <m/>
    <n v="0"/>
    <n v="0"/>
    <n v="0"/>
    <n v="0"/>
    <n v="0"/>
    <n v="0"/>
  </r>
  <r>
    <x v="529"/>
    <m/>
    <m/>
    <m/>
    <m/>
    <m/>
    <m/>
    <n v="0"/>
    <n v="0"/>
    <n v="0"/>
    <n v="0"/>
    <n v="0"/>
    <n v="0"/>
  </r>
  <r>
    <x v="530"/>
    <m/>
    <m/>
    <m/>
    <m/>
    <m/>
    <m/>
    <n v="0"/>
    <n v="0"/>
    <n v="0"/>
    <n v="0"/>
    <n v="0"/>
    <n v="0"/>
  </r>
  <r>
    <x v="531"/>
    <m/>
    <m/>
    <m/>
    <m/>
    <m/>
    <m/>
    <n v="0"/>
    <n v="0"/>
    <n v="0"/>
    <n v="0"/>
    <n v="0"/>
    <n v="0"/>
  </r>
  <r>
    <x v="532"/>
    <m/>
    <m/>
    <m/>
    <m/>
    <m/>
    <m/>
    <n v="0"/>
    <n v="0"/>
    <n v="0"/>
    <n v="0"/>
    <n v="0"/>
    <n v="0"/>
  </r>
  <r>
    <x v="533"/>
    <m/>
    <m/>
    <m/>
    <m/>
    <m/>
    <m/>
    <n v="0"/>
    <n v="0"/>
    <n v="0"/>
    <n v="0"/>
    <n v="0"/>
    <n v="0"/>
  </r>
  <r>
    <x v="534"/>
    <m/>
    <m/>
    <m/>
    <m/>
    <m/>
    <m/>
    <n v="0"/>
    <n v="0"/>
    <n v="0"/>
    <n v="0"/>
    <n v="0"/>
    <n v="0"/>
  </r>
  <r>
    <x v="535"/>
    <m/>
    <m/>
    <m/>
    <m/>
    <m/>
    <m/>
    <n v="0"/>
    <n v="0"/>
    <n v="0"/>
    <n v="0"/>
    <n v="0"/>
    <n v="0"/>
  </r>
  <r>
    <x v="536"/>
    <m/>
    <m/>
    <m/>
    <m/>
    <m/>
    <m/>
    <n v="0"/>
    <n v="0"/>
    <n v="0"/>
    <n v="0"/>
    <n v="0"/>
    <n v="0"/>
  </r>
  <r>
    <x v="537"/>
    <m/>
    <m/>
    <m/>
    <m/>
    <m/>
    <m/>
    <n v="0"/>
    <n v="0"/>
    <n v="0"/>
    <n v="0"/>
    <n v="0"/>
    <n v="0"/>
  </r>
  <r>
    <x v="538"/>
    <m/>
    <m/>
    <m/>
    <m/>
    <m/>
    <m/>
    <n v="0"/>
    <n v="0"/>
    <n v="0"/>
    <n v="0"/>
    <n v="0"/>
    <n v="0"/>
  </r>
  <r>
    <x v="539"/>
    <m/>
    <m/>
    <m/>
    <m/>
    <m/>
    <m/>
    <n v="0"/>
    <n v="0"/>
    <n v="0"/>
    <n v="0"/>
    <n v="0"/>
    <n v="0"/>
  </r>
  <r>
    <x v="540"/>
    <m/>
    <m/>
    <m/>
    <m/>
    <m/>
    <m/>
    <n v="0"/>
    <n v="0"/>
    <n v="0"/>
    <n v="0"/>
    <n v="0"/>
    <n v="0"/>
  </r>
  <r>
    <x v="541"/>
    <m/>
    <m/>
    <m/>
    <m/>
    <m/>
    <m/>
    <n v="0"/>
    <n v="0"/>
    <n v="0"/>
    <n v="0"/>
    <n v="0"/>
    <n v="0"/>
  </r>
  <r>
    <x v="542"/>
    <m/>
    <m/>
    <m/>
    <m/>
    <m/>
    <m/>
    <n v="0"/>
    <n v="0"/>
    <n v="0"/>
    <n v="0"/>
    <n v="0"/>
    <n v="0"/>
  </r>
  <r>
    <x v="543"/>
    <m/>
    <m/>
    <m/>
    <m/>
    <m/>
    <m/>
    <n v="0"/>
    <n v="0"/>
    <n v="0"/>
    <n v="0"/>
    <n v="0"/>
    <n v="0"/>
  </r>
  <r>
    <x v="544"/>
    <m/>
    <m/>
    <m/>
    <m/>
    <m/>
    <m/>
    <n v="0"/>
    <n v="0"/>
    <n v="0"/>
    <n v="0"/>
    <n v="0"/>
    <n v="0"/>
  </r>
  <r>
    <x v="545"/>
    <m/>
    <m/>
    <m/>
    <m/>
    <m/>
    <m/>
    <n v="0"/>
    <n v="0"/>
    <n v="0"/>
    <n v="0"/>
    <n v="0"/>
    <n v="0"/>
  </r>
  <r>
    <x v="546"/>
    <m/>
    <m/>
    <m/>
    <m/>
    <m/>
    <m/>
    <n v="0"/>
    <n v="0"/>
    <n v="0"/>
    <n v="0"/>
    <n v="0"/>
    <n v="0"/>
  </r>
  <r>
    <x v="547"/>
    <m/>
    <m/>
    <m/>
    <m/>
    <m/>
    <m/>
    <n v="0"/>
    <n v="0"/>
    <n v="0"/>
    <n v="0"/>
    <n v="0"/>
    <n v="0"/>
  </r>
  <r>
    <x v="548"/>
    <m/>
    <m/>
    <m/>
    <m/>
    <m/>
    <m/>
    <n v="0"/>
    <n v="0"/>
    <n v="0"/>
    <n v="0"/>
    <n v="0"/>
    <n v="0"/>
  </r>
  <r>
    <x v="549"/>
    <m/>
    <m/>
    <m/>
    <m/>
    <m/>
    <m/>
    <n v="0"/>
    <n v="0"/>
    <n v="0"/>
    <n v="0"/>
    <n v="0"/>
    <n v="0"/>
  </r>
  <r>
    <x v="550"/>
    <m/>
    <m/>
    <m/>
    <m/>
    <m/>
    <m/>
    <n v="0"/>
    <n v="0"/>
    <n v="0"/>
    <n v="0"/>
    <n v="0"/>
    <n v="0"/>
  </r>
  <r>
    <x v="551"/>
    <m/>
    <m/>
    <m/>
    <m/>
    <m/>
    <m/>
    <n v="0"/>
    <n v="0"/>
    <n v="0"/>
    <n v="0"/>
    <n v="0"/>
    <n v="0"/>
  </r>
  <r>
    <x v="552"/>
    <m/>
    <m/>
    <m/>
    <m/>
    <m/>
    <m/>
    <n v="0"/>
    <n v="0"/>
    <n v="0"/>
    <n v="0"/>
    <n v="0"/>
    <n v="0"/>
  </r>
  <r>
    <x v="553"/>
    <m/>
    <m/>
    <m/>
    <m/>
    <m/>
    <m/>
    <n v="0"/>
    <n v="0"/>
    <n v="0"/>
    <n v="0"/>
    <n v="0"/>
    <n v="0"/>
  </r>
  <r>
    <x v="554"/>
    <m/>
    <m/>
    <m/>
    <m/>
    <m/>
    <m/>
    <n v="0"/>
    <n v="0"/>
    <n v="0"/>
    <n v="0"/>
    <n v="0"/>
    <n v="0"/>
  </r>
  <r>
    <x v="555"/>
    <m/>
    <m/>
    <m/>
    <m/>
    <m/>
    <m/>
    <n v="0"/>
    <n v="0"/>
    <n v="0"/>
    <n v="0"/>
    <n v="0"/>
    <n v="0"/>
  </r>
  <r>
    <x v="556"/>
    <m/>
    <m/>
    <m/>
    <m/>
    <m/>
    <m/>
    <n v="0"/>
    <n v="0"/>
    <n v="0"/>
    <n v="0"/>
    <n v="0"/>
    <n v="0"/>
  </r>
  <r>
    <x v="557"/>
    <m/>
    <m/>
    <m/>
    <m/>
    <m/>
    <m/>
    <n v="0"/>
    <n v="0"/>
    <n v="0"/>
    <n v="0"/>
    <n v="0"/>
    <n v="0"/>
  </r>
  <r>
    <x v="558"/>
    <m/>
    <m/>
    <m/>
    <m/>
    <m/>
    <m/>
    <n v="0"/>
    <n v="0"/>
    <n v="0"/>
    <n v="0"/>
    <n v="0"/>
    <n v="0"/>
  </r>
  <r>
    <x v="559"/>
    <m/>
    <m/>
    <m/>
    <m/>
    <m/>
    <m/>
    <n v="0"/>
    <n v="0"/>
    <n v="0"/>
    <n v="0"/>
    <n v="0"/>
    <n v="0"/>
  </r>
  <r>
    <x v="560"/>
    <m/>
    <m/>
    <m/>
    <m/>
    <m/>
    <m/>
    <n v="0"/>
    <n v="0"/>
    <n v="0"/>
    <n v="0"/>
    <n v="0"/>
    <n v="0"/>
  </r>
  <r>
    <x v="561"/>
    <m/>
    <m/>
    <m/>
    <m/>
    <m/>
    <m/>
    <n v="0"/>
    <n v="0"/>
    <n v="0"/>
    <n v="0"/>
    <n v="0"/>
    <n v="0"/>
  </r>
  <r>
    <x v="562"/>
    <m/>
    <m/>
    <m/>
    <m/>
    <m/>
    <m/>
    <n v="0"/>
    <n v="0"/>
    <n v="0"/>
    <n v="0"/>
    <n v="0"/>
    <n v="0"/>
  </r>
  <r>
    <x v="563"/>
    <m/>
    <m/>
    <m/>
    <m/>
    <m/>
    <m/>
    <n v="0"/>
    <n v="0"/>
    <n v="0"/>
    <n v="0"/>
    <n v="0"/>
    <n v="0"/>
  </r>
  <r>
    <x v="564"/>
    <m/>
    <m/>
    <m/>
    <m/>
    <m/>
    <m/>
    <n v="0"/>
    <n v="0"/>
    <n v="0"/>
    <n v="0"/>
    <n v="0"/>
    <n v="0"/>
  </r>
  <r>
    <x v="565"/>
    <m/>
    <m/>
    <m/>
    <m/>
    <m/>
    <m/>
    <n v="0"/>
    <n v="0"/>
    <n v="0"/>
    <n v="0"/>
    <n v="0"/>
    <n v="0"/>
  </r>
  <r>
    <x v="566"/>
    <m/>
    <m/>
    <m/>
    <m/>
    <m/>
    <m/>
    <n v="0"/>
    <n v="0"/>
    <n v="0"/>
    <n v="0"/>
    <n v="0"/>
    <n v="0"/>
  </r>
  <r>
    <x v="567"/>
    <m/>
    <m/>
    <m/>
    <m/>
    <m/>
    <m/>
    <n v="0"/>
    <n v="0"/>
    <n v="0"/>
    <n v="0"/>
    <n v="0"/>
    <n v="0"/>
  </r>
  <r>
    <x v="568"/>
    <m/>
    <m/>
    <m/>
    <m/>
    <m/>
    <m/>
    <n v="0"/>
    <n v="0"/>
    <n v="0"/>
    <n v="0"/>
    <n v="0"/>
    <n v="0"/>
  </r>
  <r>
    <x v="569"/>
    <m/>
    <m/>
    <m/>
    <m/>
    <m/>
    <m/>
    <n v="0"/>
    <n v="0"/>
    <n v="0"/>
    <n v="0"/>
    <n v="0"/>
    <n v="0"/>
  </r>
  <r>
    <x v="570"/>
    <m/>
    <m/>
    <m/>
    <m/>
    <m/>
    <m/>
    <n v="0"/>
    <n v="0"/>
    <n v="0"/>
    <n v="0"/>
    <n v="0"/>
    <n v="0"/>
  </r>
  <r>
    <x v="571"/>
    <m/>
    <m/>
    <m/>
    <m/>
    <m/>
    <m/>
    <n v="0"/>
    <n v="0"/>
    <n v="0"/>
    <n v="0"/>
    <n v="0"/>
    <n v="0"/>
  </r>
  <r>
    <x v="572"/>
    <m/>
    <m/>
    <m/>
    <m/>
    <m/>
    <m/>
    <n v="0"/>
    <n v="0"/>
    <n v="0"/>
    <n v="0"/>
    <n v="0"/>
    <n v="0"/>
  </r>
  <r>
    <x v="573"/>
    <m/>
    <m/>
    <m/>
    <m/>
    <m/>
    <m/>
    <n v="0"/>
    <n v="0"/>
    <n v="0"/>
    <n v="0"/>
    <n v="0"/>
    <n v="0"/>
  </r>
  <r>
    <x v="574"/>
    <m/>
    <m/>
    <m/>
    <m/>
    <m/>
    <m/>
    <n v="0"/>
    <n v="0"/>
    <n v="0"/>
    <n v="0"/>
    <n v="0"/>
    <n v="0"/>
  </r>
  <r>
    <x v="575"/>
    <m/>
    <m/>
    <m/>
    <m/>
    <m/>
    <m/>
    <n v="0"/>
    <n v="0"/>
    <n v="0"/>
    <n v="0"/>
    <n v="0"/>
    <n v="0"/>
  </r>
  <r>
    <x v="576"/>
    <m/>
    <m/>
    <m/>
    <m/>
    <m/>
    <m/>
    <n v="0"/>
    <n v="0"/>
    <n v="0"/>
    <n v="0"/>
    <n v="0"/>
    <n v="0"/>
  </r>
  <r>
    <x v="577"/>
    <m/>
    <m/>
    <m/>
    <m/>
    <m/>
    <m/>
    <n v="0"/>
    <n v="0"/>
    <n v="0"/>
    <n v="0"/>
    <n v="0"/>
    <n v="0"/>
  </r>
  <r>
    <x v="578"/>
    <m/>
    <m/>
    <m/>
    <m/>
    <m/>
    <m/>
    <n v="0"/>
    <n v="0"/>
    <n v="0"/>
    <n v="0"/>
    <n v="0"/>
    <n v="0"/>
  </r>
  <r>
    <x v="579"/>
    <m/>
    <m/>
    <m/>
    <m/>
    <m/>
    <m/>
    <n v="0"/>
    <n v="0"/>
    <n v="0"/>
    <n v="0"/>
    <n v="0"/>
    <n v="0"/>
  </r>
  <r>
    <x v="580"/>
    <m/>
    <m/>
    <m/>
    <m/>
    <m/>
    <m/>
    <n v="0"/>
    <n v="0"/>
    <n v="0"/>
    <n v="0"/>
    <n v="0"/>
    <n v="0"/>
  </r>
  <r>
    <x v="581"/>
    <m/>
    <m/>
    <m/>
    <m/>
    <m/>
    <m/>
    <n v="0"/>
    <n v="0"/>
    <n v="0"/>
    <n v="0"/>
    <n v="0"/>
    <n v="0"/>
  </r>
  <r>
    <x v="582"/>
    <m/>
    <m/>
    <m/>
    <m/>
    <m/>
    <m/>
    <n v="0"/>
    <n v="0"/>
    <n v="0"/>
    <n v="0"/>
    <n v="0"/>
    <n v="0"/>
  </r>
  <r>
    <x v="583"/>
    <m/>
    <m/>
    <m/>
    <m/>
    <m/>
    <m/>
    <n v="0"/>
    <n v="0"/>
    <n v="0"/>
    <n v="0"/>
    <n v="0"/>
    <n v="0"/>
  </r>
  <r>
    <x v="584"/>
    <m/>
    <m/>
    <m/>
    <m/>
    <m/>
    <m/>
    <n v="0"/>
    <n v="0"/>
    <n v="0"/>
    <n v="0"/>
    <n v="0"/>
    <n v="0"/>
  </r>
  <r>
    <x v="585"/>
    <m/>
    <m/>
    <m/>
    <m/>
    <m/>
    <m/>
    <n v="0"/>
    <n v="0"/>
    <n v="0"/>
    <n v="0"/>
    <n v="0"/>
    <n v="0"/>
  </r>
  <r>
    <x v="586"/>
    <m/>
    <m/>
    <m/>
    <m/>
    <m/>
    <m/>
    <n v="0"/>
    <n v="0"/>
    <n v="0"/>
    <n v="0"/>
    <n v="0"/>
    <n v="0"/>
  </r>
  <r>
    <x v="587"/>
    <m/>
    <m/>
    <m/>
    <m/>
    <m/>
    <m/>
    <n v="0"/>
    <n v="0"/>
    <n v="0"/>
    <n v="0"/>
    <n v="0"/>
    <n v="0"/>
  </r>
  <r>
    <x v="588"/>
    <m/>
    <m/>
    <m/>
    <m/>
    <m/>
    <m/>
    <n v="0"/>
    <n v="0"/>
    <n v="0"/>
    <n v="0"/>
    <n v="0"/>
    <n v="0"/>
  </r>
  <r>
    <x v="589"/>
    <m/>
    <m/>
    <m/>
    <m/>
    <m/>
    <m/>
    <n v="0"/>
    <n v="0"/>
    <n v="0"/>
    <n v="0"/>
    <n v="0"/>
    <n v="0"/>
  </r>
  <r>
    <x v="590"/>
    <m/>
    <m/>
    <m/>
    <m/>
    <m/>
    <m/>
    <n v="0"/>
    <n v="0"/>
    <n v="0"/>
    <n v="0"/>
    <n v="0"/>
    <n v="0"/>
  </r>
  <r>
    <x v="591"/>
    <m/>
    <m/>
    <m/>
    <m/>
    <m/>
    <m/>
    <n v="0"/>
    <n v="0"/>
    <n v="0"/>
    <n v="0"/>
    <n v="0"/>
    <n v="0"/>
  </r>
  <r>
    <x v="592"/>
    <m/>
    <m/>
    <m/>
    <m/>
    <m/>
    <m/>
    <n v="0"/>
    <n v="0"/>
    <n v="0"/>
    <n v="0"/>
    <n v="0"/>
    <n v="0"/>
  </r>
  <r>
    <x v="593"/>
    <m/>
    <m/>
    <m/>
    <m/>
    <m/>
    <m/>
    <n v="0"/>
    <n v="0"/>
    <n v="0"/>
    <n v="0"/>
    <n v="0"/>
    <n v="0"/>
  </r>
  <r>
    <x v="594"/>
    <m/>
    <m/>
    <m/>
    <m/>
    <m/>
    <m/>
    <n v="0"/>
    <n v="0"/>
    <n v="0"/>
    <n v="0"/>
    <n v="0"/>
    <n v="0"/>
  </r>
  <r>
    <x v="595"/>
    <m/>
    <m/>
    <m/>
    <m/>
    <m/>
    <m/>
    <n v="0"/>
    <n v="0"/>
    <n v="0"/>
    <n v="0"/>
    <n v="0"/>
    <n v="0"/>
  </r>
  <r>
    <x v="596"/>
    <m/>
    <m/>
    <m/>
    <m/>
    <m/>
    <m/>
    <n v="0"/>
    <n v="0"/>
    <n v="0"/>
    <n v="0"/>
    <n v="0"/>
    <n v="0"/>
  </r>
  <r>
    <x v="597"/>
    <m/>
    <m/>
    <m/>
    <m/>
    <m/>
    <m/>
    <n v="0"/>
    <n v="0"/>
    <n v="0"/>
    <n v="0"/>
    <n v="0"/>
    <n v="0"/>
  </r>
  <r>
    <x v="598"/>
    <m/>
    <m/>
    <m/>
    <m/>
    <m/>
    <m/>
    <n v="0"/>
    <n v="0"/>
    <n v="0"/>
    <n v="0"/>
    <n v="0"/>
    <n v="0"/>
  </r>
  <r>
    <x v="599"/>
    <m/>
    <m/>
    <m/>
    <m/>
    <m/>
    <m/>
    <n v="0"/>
    <n v="0"/>
    <n v="0"/>
    <n v="0"/>
    <n v="0"/>
    <n v="0"/>
  </r>
  <r>
    <x v="600"/>
    <m/>
    <m/>
    <m/>
    <m/>
    <m/>
    <m/>
    <n v="0"/>
    <n v="0"/>
    <n v="0"/>
    <n v="0"/>
    <n v="0"/>
    <n v="0"/>
  </r>
  <r>
    <x v="601"/>
    <m/>
    <m/>
    <m/>
    <m/>
    <m/>
    <m/>
    <n v="0"/>
    <n v="0"/>
    <n v="0"/>
    <n v="0"/>
    <n v="0"/>
    <n v="0"/>
  </r>
  <r>
    <x v="602"/>
    <m/>
    <m/>
    <m/>
    <m/>
    <m/>
    <m/>
    <n v="0"/>
    <n v="0"/>
    <n v="0"/>
    <n v="0"/>
    <n v="0"/>
    <n v="0"/>
  </r>
  <r>
    <x v="603"/>
    <m/>
    <m/>
    <m/>
    <m/>
    <m/>
    <m/>
    <n v="0"/>
    <n v="0"/>
    <n v="0"/>
    <n v="0"/>
    <n v="0"/>
    <n v="0"/>
  </r>
  <r>
    <x v="604"/>
    <m/>
    <m/>
    <m/>
    <m/>
    <m/>
    <m/>
    <n v="0"/>
    <n v="0"/>
    <n v="0"/>
    <n v="0"/>
    <n v="0"/>
    <n v="0"/>
  </r>
  <r>
    <x v="605"/>
    <m/>
    <m/>
    <m/>
    <m/>
    <m/>
    <m/>
    <n v="0"/>
    <n v="0"/>
    <n v="0"/>
    <n v="0"/>
    <n v="0"/>
    <n v="0"/>
  </r>
  <r>
    <x v="606"/>
    <m/>
    <m/>
    <m/>
    <m/>
    <m/>
    <m/>
    <n v="0"/>
    <n v="0"/>
    <n v="0"/>
    <n v="0"/>
    <n v="0"/>
    <n v="0"/>
  </r>
  <r>
    <x v="607"/>
    <m/>
    <m/>
    <m/>
    <m/>
    <m/>
    <m/>
    <n v="0"/>
    <n v="0"/>
    <n v="0"/>
    <n v="0"/>
    <n v="0"/>
    <n v="0"/>
  </r>
  <r>
    <x v="608"/>
    <m/>
    <m/>
    <m/>
    <m/>
    <m/>
    <m/>
    <n v="0"/>
    <n v="0"/>
    <n v="0"/>
    <n v="0"/>
    <n v="0"/>
    <n v="0"/>
  </r>
  <r>
    <x v="609"/>
    <m/>
    <m/>
    <m/>
    <m/>
    <m/>
    <m/>
    <n v="0"/>
    <n v="0"/>
    <n v="0"/>
    <n v="0"/>
    <n v="0"/>
    <n v="0"/>
  </r>
  <r>
    <x v="610"/>
    <m/>
    <m/>
    <m/>
    <m/>
    <m/>
    <m/>
    <n v="0"/>
    <n v="0"/>
    <n v="0"/>
    <n v="0"/>
    <n v="0"/>
    <n v="0"/>
  </r>
  <r>
    <x v="611"/>
    <m/>
    <m/>
    <m/>
    <m/>
    <m/>
    <m/>
    <n v="0"/>
    <n v="0"/>
    <n v="0"/>
    <n v="0"/>
    <n v="0"/>
    <n v="0"/>
  </r>
  <r>
    <x v="612"/>
    <m/>
    <m/>
    <m/>
    <m/>
    <m/>
    <m/>
    <n v="0"/>
    <n v="0"/>
    <n v="0"/>
    <n v="0"/>
    <n v="0"/>
    <n v="0"/>
  </r>
  <r>
    <x v="613"/>
    <m/>
    <m/>
    <m/>
    <m/>
    <m/>
    <m/>
    <n v="0"/>
    <n v="0"/>
    <n v="0"/>
    <n v="0"/>
    <n v="0"/>
    <n v="0"/>
  </r>
  <r>
    <x v="614"/>
    <m/>
    <m/>
    <m/>
    <m/>
    <m/>
    <m/>
    <n v="0"/>
    <n v="0"/>
    <n v="0"/>
    <n v="0"/>
    <n v="0"/>
    <n v="0"/>
  </r>
  <r>
    <x v="615"/>
    <m/>
    <m/>
    <m/>
    <m/>
    <m/>
    <m/>
    <n v="0"/>
    <n v="0"/>
    <n v="0"/>
    <n v="0"/>
    <n v="0"/>
    <n v="0"/>
  </r>
  <r>
    <x v="616"/>
    <m/>
    <m/>
    <m/>
    <m/>
    <m/>
    <m/>
    <n v="0"/>
    <n v="0"/>
    <n v="0"/>
    <n v="0"/>
    <n v="0"/>
    <n v="0"/>
  </r>
  <r>
    <x v="617"/>
    <m/>
    <m/>
    <m/>
    <m/>
    <m/>
    <m/>
    <n v="0"/>
    <n v="0"/>
    <n v="0"/>
    <n v="0"/>
    <n v="0"/>
    <n v="0"/>
  </r>
  <r>
    <x v="618"/>
    <m/>
    <m/>
    <m/>
    <m/>
    <m/>
    <m/>
    <n v="0"/>
    <n v="0"/>
    <n v="0"/>
    <n v="0"/>
    <n v="0"/>
    <n v="0"/>
  </r>
  <r>
    <x v="619"/>
    <m/>
    <m/>
    <m/>
    <m/>
    <m/>
    <m/>
    <n v="0"/>
    <n v="0"/>
    <n v="0"/>
    <n v="0"/>
    <n v="0"/>
    <n v="0"/>
  </r>
  <r>
    <x v="620"/>
    <m/>
    <m/>
    <m/>
    <m/>
    <m/>
    <m/>
    <n v="0"/>
    <n v="0"/>
    <n v="0"/>
    <n v="0"/>
    <n v="0"/>
    <n v="0"/>
  </r>
  <r>
    <x v="621"/>
    <m/>
    <m/>
    <m/>
    <m/>
    <m/>
    <m/>
    <n v="0"/>
    <n v="0"/>
    <n v="0"/>
    <n v="0"/>
    <n v="0"/>
    <n v="0"/>
  </r>
  <r>
    <x v="622"/>
    <m/>
    <m/>
    <m/>
    <m/>
    <m/>
    <m/>
    <n v="0"/>
    <n v="0"/>
    <n v="0"/>
    <n v="0"/>
    <n v="0"/>
    <n v="0"/>
  </r>
  <r>
    <x v="623"/>
    <m/>
    <m/>
    <m/>
    <m/>
    <m/>
    <m/>
    <n v="0"/>
    <n v="0"/>
    <n v="0"/>
    <n v="0"/>
    <n v="0"/>
    <n v="0"/>
  </r>
  <r>
    <x v="624"/>
    <m/>
    <m/>
    <m/>
    <m/>
    <m/>
    <m/>
    <n v="0"/>
    <n v="0"/>
    <n v="0"/>
    <n v="0"/>
    <n v="0"/>
    <n v="0"/>
  </r>
  <r>
    <x v="625"/>
    <m/>
    <m/>
    <m/>
    <m/>
    <m/>
    <m/>
    <n v="0"/>
    <n v="0"/>
    <n v="0"/>
    <n v="0"/>
    <n v="0"/>
    <n v="0"/>
  </r>
  <r>
    <x v="626"/>
    <m/>
    <m/>
    <m/>
    <m/>
    <m/>
    <m/>
    <n v="0"/>
    <n v="0"/>
    <n v="0"/>
    <n v="0"/>
    <n v="0"/>
    <n v="0"/>
  </r>
  <r>
    <x v="627"/>
    <m/>
    <m/>
    <m/>
    <m/>
    <m/>
    <m/>
    <n v="0"/>
    <n v="0"/>
    <n v="0"/>
    <n v="0"/>
    <n v="0"/>
    <n v="0"/>
  </r>
  <r>
    <x v="628"/>
    <m/>
    <m/>
    <m/>
    <m/>
    <m/>
    <m/>
    <n v="0"/>
    <n v="0"/>
    <n v="0"/>
    <n v="0"/>
    <n v="0"/>
    <n v="0"/>
  </r>
  <r>
    <x v="629"/>
    <m/>
    <m/>
    <m/>
    <m/>
    <m/>
    <m/>
    <n v="0"/>
    <n v="0"/>
    <n v="0"/>
    <n v="0"/>
    <n v="0"/>
    <n v="0"/>
  </r>
  <r>
    <x v="630"/>
    <m/>
    <m/>
    <m/>
    <m/>
    <m/>
    <m/>
    <n v="0"/>
    <n v="0"/>
    <n v="0"/>
    <n v="0"/>
    <n v="0"/>
    <n v="0"/>
  </r>
  <r>
    <x v="631"/>
    <m/>
    <m/>
    <m/>
    <m/>
    <m/>
    <m/>
    <n v="0"/>
    <n v="0"/>
    <n v="0"/>
    <n v="0"/>
    <n v="0"/>
    <n v="0"/>
  </r>
  <r>
    <x v="632"/>
    <m/>
    <m/>
    <m/>
    <m/>
    <m/>
    <m/>
    <n v="0"/>
    <n v="0"/>
    <n v="0"/>
    <n v="0"/>
    <n v="0"/>
    <n v="0"/>
  </r>
  <r>
    <x v="633"/>
    <m/>
    <m/>
    <m/>
    <m/>
    <m/>
    <m/>
    <n v="0"/>
    <n v="0"/>
    <n v="0"/>
    <n v="0"/>
    <n v="0"/>
    <n v="0"/>
  </r>
  <r>
    <x v="634"/>
    <m/>
    <m/>
    <m/>
    <m/>
    <m/>
    <m/>
    <n v="0"/>
    <n v="0"/>
    <n v="0"/>
    <n v="0"/>
    <n v="0"/>
    <n v="0"/>
  </r>
  <r>
    <x v="635"/>
    <m/>
    <m/>
    <m/>
    <m/>
    <m/>
    <m/>
    <n v="0"/>
    <n v="0"/>
    <n v="0"/>
    <n v="0"/>
    <n v="0"/>
    <n v="0"/>
  </r>
  <r>
    <x v="636"/>
    <m/>
    <m/>
    <m/>
    <m/>
    <m/>
    <m/>
    <n v="0"/>
    <n v="0"/>
    <n v="0"/>
    <n v="0"/>
    <n v="0"/>
    <n v="0"/>
  </r>
  <r>
    <x v="637"/>
    <m/>
    <m/>
    <m/>
    <m/>
    <m/>
    <m/>
    <n v="0"/>
    <n v="0"/>
    <n v="0"/>
    <n v="0"/>
    <n v="0"/>
    <n v="0"/>
  </r>
  <r>
    <x v="638"/>
    <m/>
    <m/>
    <m/>
    <m/>
    <m/>
    <m/>
    <n v="0"/>
    <n v="0"/>
    <n v="0"/>
    <n v="0"/>
    <n v="0"/>
    <n v="0"/>
  </r>
  <r>
    <x v="639"/>
    <m/>
    <m/>
    <m/>
    <m/>
    <m/>
    <m/>
    <n v="0"/>
    <n v="0"/>
    <n v="0"/>
    <n v="0"/>
    <n v="0"/>
    <n v="0"/>
  </r>
  <r>
    <x v="640"/>
    <m/>
    <m/>
    <m/>
    <m/>
    <m/>
    <m/>
    <n v="0"/>
    <n v="0"/>
    <n v="0"/>
    <n v="0"/>
    <n v="0"/>
    <n v="0"/>
  </r>
  <r>
    <x v="641"/>
    <m/>
    <m/>
    <m/>
    <m/>
    <m/>
    <m/>
    <n v="0"/>
    <n v="0"/>
    <n v="0"/>
    <n v="0"/>
    <n v="0"/>
    <n v="0"/>
  </r>
  <r>
    <x v="642"/>
    <m/>
    <m/>
    <m/>
    <m/>
    <m/>
    <m/>
    <n v="0"/>
    <n v="0"/>
    <n v="0"/>
    <n v="0"/>
    <n v="0"/>
    <n v="0"/>
  </r>
  <r>
    <x v="643"/>
    <m/>
    <m/>
    <m/>
    <m/>
    <m/>
    <m/>
    <n v="0"/>
    <n v="0"/>
    <n v="0"/>
    <n v="0"/>
    <n v="0"/>
    <n v="0"/>
  </r>
  <r>
    <x v="644"/>
    <m/>
    <m/>
    <m/>
    <m/>
    <m/>
    <m/>
    <n v="0"/>
    <n v="0"/>
    <n v="0"/>
    <n v="0"/>
    <n v="0"/>
    <n v="0"/>
  </r>
  <r>
    <x v="645"/>
    <m/>
    <m/>
    <m/>
    <m/>
    <m/>
    <m/>
    <n v="0"/>
    <n v="0"/>
    <n v="0"/>
    <n v="0"/>
    <n v="0"/>
    <n v="0"/>
  </r>
  <r>
    <x v="646"/>
    <m/>
    <m/>
    <m/>
    <m/>
    <m/>
    <m/>
    <n v="0"/>
    <n v="0"/>
    <n v="0"/>
    <n v="0"/>
    <n v="0"/>
    <n v="0"/>
  </r>
  <r>
    <x v="647"/>
    <m/>
    <m/>
    <m/>
    <m/>
    <m/>
    <m/>
    <n v="0"/>
    <n v="0"/>
    <n v="0"/>
    <n v="0"/>
    <n v="0"/>
    <n v="0"/>
  </r>
  <r>
    <x v="648"/>
    <m/>
    <m/>
    <m/>
    <m/>
    <m/>
    <m/>
    <n v="0"/>
    <n v="0"/>
    <n v="0"/>
    <n v="0"/>
    <n v="0"/>
    <n v="0"/>
  </r>
  <r>
    <x v="649"/>
    <m/>
    <m/>
    <m/>
    <m/>
    <m/>
    <m/>
    <n v="0"/>
    <n v="0"/>
    <n v="0"/>
    <n v="0"/>
    <n v="0"/>
    <n v="0"/>
  </r>
  <r>
    <x v="650"/>
    <m/>
    <m/>
    <m/>
    <m/>
    <m/>
    <m/>
    <n v="0"/>
    <n v="0"/>
    <n v="0"/>
    <n v="0"/>
    <n v="0"/>
    <n v="0"/>
  </r>
  <r>
    <x v="651"/>
    <m/>
    <m/>
    <m/>
    <m/>
    <m/>
    <m/>
    <n v="0"/>
    <n v="0"/>
    <n v="0"/>
    <n v="0"/>
    <n v="0"/>
    <n v="0"/>
  </r>
  <r>
    <x v="652"/>
    <m/>
    <m/>
    <m/>
    <m/>
    <m/>
    <m/>
    <n v="0"/>
    <n v="0"/>
    <n v="0"/>
    <n v="0"/>
    <n v="0"/>
    <n v="0"/>
  </r>
  <r>
    <x v="653"/>
    <m/>
    <m/>
    <m/>
    <m/>
    <m/>
    <m/>
    <n v="0"/>
    <n v="0"/>
    <n v="0"/>
    <n v="0"/>
    <n v="0"/>
    <n v="0"/>
  </r>
  <r>
    <x v="654"/>
    <m/>
    <m/>
    <m/>
    <m/>
    <m/>
    <m/>
    <n v="0"/>
    <n v="0"/>
    <n v="0"/>
    <n v="0"/>
    <n v="0"/>
    <n v="0"/>
  </r>
  <r>
    <x v="655"/>
    <m/>
    <m/>
    <m/>
    <m/>
    <m/>
    <m/>
    <n v="0"/>
    <n v="0"/>
    <n v="0"/>
    <n v="0"/>
    <n v="0"/>
    <n v="0"/>
  </r>
  <r>
    <x v="656"/>
    <m/>
    <m/>
    <m/>
    <m/>
    <m/>
    <m/>
    <n v="0"/>
    <n v="0"/>
    <n v="0"/>
    <n v="0"/>
    <n v="0"/>
    <n v="0"/>
  </r>
  <r>
    <x v="657"/>
    <m/>
    <m/>
    <m/>
    <m/>
    <m/>
    <m/>
    <n v="0"/>
    <n v="0"/>
    <n v="0"/>
    <n v="0"/>
    <n v="0"/>
    <n v="0"/>
  </r>
  <r>
    <x v="658"/>
    <m/>
    <m/>
    <m/>
    <m/>
    <m/>
    <m/>
    <n v="0"/>
    <n v="0"/>
    <n v="0"/>
    <n v="0"/>
    <n v="0"/>
    <n v="0"/>
  </r>
  <r>
    <x v="659"/>
    <m/>
    <m/>
    <m/>
    <m/>
    <m/>
    <m/>
    <n v="0"/>
    <n v="0"/>
    <n v="0"/>
    <n v="0"/>
    <n v="0"/>
    <n v="0"/>
  </r>
  <r>
    <x v="660"/>
    <m/>
    <m/>
    <m/>
    <m/>
    <m/>
    <m/>
    <n v="0"/>
    <n v="0"/>
    <n v="0"/>
    <n v="0"/>
    <n v="0"/>
    <n v="0"/>
  </r>
  <r>
    <x v="661"/>
    <m/>
    <m/>
    <m/>
    <m/>
    <m/>
    <m/>
    <n v="0"/>
    <n v="0"/>
    <n v="0"/>
    <n v="0"/>
    <n v="0"/>
    <n v="0"/>
  </r>
  <r>
    <x v="662"/>
    <m/>
    <m/>
    <m/>
    <m/>
    <m/>
    <m/>
    <n v="0"/>
    <n v="0"/>
    <n v="0"/>
    <n v="0"/>
    <n v="0"/>
    <n v="0"/>
  </r>
  <r>
    <x v="663"/>
    <m/>
    <m/>
    <m/>
    <m/>
    <m/>
    <m/>
    <n v="0"/>
    <n v="0"/>
    <n v="0"/>
    <n v="0"/>
    <n v="0"/>
    <n v="0"/>
  </r>
  <r>
    <x v="664"/>
    <m/>
    <m/>
    <m/>
    <m/>
    <m/>
    <m/>
    <n v="0"/>
    <n v="0"/>
    <n v="0"/>
    <n v="0"/>
    <n v="0"/>
    <n v="0"/>
  </r>
  <r>
    <x v="665"/>
    <m/>
    <m/>
    <m/>
    <m/>
    <m/>
    <m/>
    <n v="0"/>
    <n v="0"/>
    <n v="0"/>
    <n v="0"/>
    <n v="0"/>
    <n v="0"/>
  </r>
  <r>
    <x v="666"/>
    <m/>
    <m/>
    <m/>
    <m/>
    <m/>
    <m/>
    <n v="0"/>
    <n v="0"/>
    <n v="0"/>
    <n v="0"/>
    <n v="0"/>
    <n v="0"/>
  </r>
  <r>
    <x v="667"/>
    <m/>
    <m/>
    <m/>
    <m/>
    <m/>
    <m/>
    <n v="0"/>
    <n v="0"/>
    <n v="0"/>
    <n v="0"/>
    <n v="0"/>
    <n v="0"/>
  </r>
  <r>
    <x v="668"/>
    <m/>
    <m/>
    <m/>
    <m/>
    <m/>
    <m/>
    <n v="0"/>
    <n v="0"/>
    <n v="0"/>
    <n v="0"/>
    <n v="0"/>
    <n v="0"/>
  </r>
  <r>
    <x v="669"/>
    <m/>
    <m/>
    <m/>
    <m/>
    <m/>
    <m/>
    <n v="0"/>
    <n v="0"/>
    <n v="0"/>
    <n v="0"/>
    <n v="0"/>
    <n v="0"/>
  </r>
  <r>
    <x v="670"/>
    <m/>
    <m/>
    <m/>
    <m/>
    <m/>
    <m/>
    <n v="0"/>
    <n v="0"/>
    <n v="0"/>
    <n v="0"/>
    <n v="0"/>
    <n v="0"/>
  </r>
  <r>
    <x v="671"/>
    <m/>
    <m/>
    <m/>
    <m/>
    <m/>
    <m/>
    <n v="0"/>
    <n v="0"/>
    <n v="0"/>
    <n v="0"/>
    <n v="0"/>
    <n v="0"/>
  </r>
  <r>
    <x v="672"/>
    <m/>
    <m/>
    <m/>
    <m/>
    <m/>
    <m/>
    <n v="0"/>
    <n v="0"/>
    <n v="0"/>
    <n v="0"/>
    <n v="0"/>
    <n v="0"/>
  </r>
  <r>
    <x v="673"/>
    <m/>
    <m/>
    <m/>
    <m/>
    <m/>
    <m/>
    <n v="0"/>
    <n v="0"/>
    <n v="0"/>
    <n v="0"/>
    <n v="0"/>
    <n v="0"/>
  </r>
  <r>
    <x v="674"/>
    <m/>
    <m/>
    <m/>
    <m/>
    <m/>
    <m/>
    <n v="0"/>
    <n v="0"/>
    <n v="0"/>
    <n v="0"/>
    <n v="0"/>
    <n v="0"/>
  </r>
  <r>
    <x v="675"/>
    <m/>
    <m/>
    <m/>
    <m/>
    <m/>
    <m/>
    <n v="0"/>
    <n v="0"/>
    <n v="0"/>
    <n v="0"/>
    <n v="0"/>
    <n v="0"/>
  </r>
  <r>
    <x v="676"/>
    <m/>
    <m/>
    <m/>
    <m/>
    <m/>
    <m/>
    <n v="0"/>
    <n v="0"/>
    <n v="0"/>
    <n v="0"/>
    <n v="0"/>
    <n v="0"/>
  </r>
  <r>
    <x v="677"/>
    <m/>
    <m/>
    <m/>
    <m/>
    <m/>
    <m/>
    <n v="0"/>
    <n v="0"/>
    <n v="0"/>
    <n v="0"/>
    <n v="0"/>
    <n v="0"/>
  </r>
  <r>
    <x v="678"/>
    <m/>
    <m/>
    <m/>
    <m/>
    <m/>
    <m/>
    <n v="0"/>
    <n v="0"/>
    <n v="0"/>
    <n v="0"/>
    <n v="0"/>
    <n v="0"/>
  </r>
  <r>
    <x v="679"/>
    <m/>
    <m/>
    <m/>
    <m/>
    <m/>
    <m/>
    <n v="0"/>
    <n v="0"/>
    <n v="0"/>
    <n v="0"/>
    <n v="0"/>
    <n v="0"/>
  </r>
  <r>
    <x v="680"/>
    <m/>
    <m/>
    <m/>
    <m/>
    <m/>
    <m/>
    <n v="0"/>
    <n v="0"/>
    <n v="0"/>
    <n v="0"/>
    <n v="0"/>
    <n v="0"/>
  </r>
  <r>
    <x v="681"/>
    <m/>
    <m/>
    <m/>
    <m/>
    <m/>
    <m/>
    <n v="0"/>
    <n v="0"/>
    <n v="0"/>
    <n v="0"/>
    <n v="0"/>
    <n v="0"/>
  </r>
  <r>
    <x v="682"/>
    <m/>
    <m/>
    <m/>
    <m/>
    <m/>
    <m/>
    <n v="0"/>
    <n v="0"/>
    <n v="0"/>
    <n v="0"/>
    <n v="0"/>
    <n v="0"/>
  </r>
  <r>
    <x v="683"/>
    <m/>
    <m/>
    <m/>
    <m/>
    <m/>
    <m/>
    <n v="0"/>
    <n v="0"/>
    <n v="0"/>
    <n v="0"/>
    <n v="0"/>
    <n v="0"/>
  </r>
  <r>
    <x v="684"/>
    <m/>
    <m/>
    <m/>
    <m/>
    <m/>
    <m/>
    <n v="0"/>
    <n v="0"/>
    <n v="0"/>
    <n v="0"/>
    <n v="0"/>
    <n v="0"/>
  </r>
  <r>
    <x v="685"/>
    <m/>
    <m/>
    <m/>
    <m/>
    <m/>
    <m/>
    <n v="0"/>
    <n v="0"/>
    <n v="0"/>
    <n v="0"/>
    <n v="0"/>
    <n v="0"/>
  </r>
  <r>
    <x v="686"/>
    <m/>
    <m/>
    <m/>
    <m/>
    <m/>
    <m/>
    <n v="0"/>
    <n v="0"/>
    <n v="0"/>
    <n v="0"/>
    <n v="0"/>
    <n v="0"/>
  </r>
  <r>
    <x v="687"/>
    <m/>
    <m/>
    <m/>
    <m/>
    <m/>
    <m/>
    <n v="0"/>
    <n v="0"/>
    <n v="0"/>
    <n v="0"/>
    <n v="0"/>
    <n v="0"/>
  </r>
  <r>
    <x v="688"/>
    <m/>
    <m/>
    <m/>
    <m/>
    <m/>
    <m/>
    <n v="0"/>
    <n v="0"/>
    <n v="0"/>
    <n v="0"/>
    <n v="0"/>
    <n v="0"/>
  </r>
  <r>
    <x v="689"/>
    <m/>
    <m/>
    <m/>
    <m/>
    <m/>
    <m/>
    <n v="0"/>
    <n v="0"/>
    <n v="0"/>
    <n v="0"/>
    <n v="0"/>
    <n v="0"/>
  </r>
  <r>
    <x v="690"/>
    <m/>
    <m/>
    <m/>
    <m/>
    <m/>
    <m/>
    <n v="0"/>
    <n v="0"/>
    <n v="0"/>
    <n v="0"/>
    <n v="0"/>
    <n v="0"/>
  </r>
  <r>
    <x v="691"/>
    <m/>
    <m/>
    <m/>
    <m/>
    <m/>
    <m/>
    <n v="0"/>
    <n v="0"/>
    <n v="0"/>
    <n v="0"/>
    <n v="0"/>
    <n v="0"/>
  </r>
  <r>
    <x v="692"/>
    <m/>
    <m/>
    <m/>
    <m/>
    <m/>
    <m/>
    <n v="0"/>
    <n v="0"/>
    <n v="0"/>
    <n v="0"/>
    <n v="0"/>
    <n v="0"/>
  </r>
  <r>
    <x v="693"/>
    <m/>
    <m/>
    <m/>
    <m/>
    <m/>
    <m/>
    <n v="0"/>
    <n v="0"/>
    <n v="0"/>
    <n v="0"/>
    <n v="0"/>
    <n v="0"/>
  </r>
  <r>
    <x v="694"/>
    <m/>
    <m/>
    <m/>
    <m/>
    <m/>
    <m/>
    <n v="0"/>
    <n v="0"/>
    <n v="0"/>
    <n v="0"/>
    <n v="0"/>
    <n v="0"/>
  </r>
  <r>
    <x v="695"/>
    <m/>
    <m/>
    <m/>
    <m/>
    <m/>
    <m/>
    <n v="0"/>
    <n v="0"/>
    <n v="0"/>
    <n v="0"/>
    <n v="0"/>
    <n v="0"/>
  </r>
  <r>
    <x v="696"/>
    <m/>
    <m/>
    <m/>
    <m/>
    <m/>
    <m/>
    <n v="0"/>
    <n v="0"/>
    <n v="0"/>
    <n v="0"/>
    <n v="0"/>
    <n v="0"/>
  </r>
  <r>
    <x v="697"/>
    <m/>
    <m/>
    <m/>
    <m/>
    <m/>
    <m/>
    <n v="0"/>
    <n v="0"/>
    <n v="0"/>
    <n v="0"/>
    <n v="0"/>
    <n v="0"/>
  </r>
  <r>
    <x v="698"/>
    <m/>
    <m/>
    <m/>
    <m/>
    <m/>
    <m/>
    <n v="0"/>
    <n v="0"/>
    <n v="0"/>
    <n v="0"/>
    <n v="0"/>
    <n v="0"/>
  </r>
  <r>
    <x v="699"/>
    <m/>
    <m/>
    <m/>
    <m/>
    <m/>
    <m/>
    <n v="0"/>
    <n v="0"/>
    <n v="0"/>
    <n v="0"/>
    <n v="0"/>
    <n v="0"/>
  </r>
  <r>
    <x v="700"/>
    <m/>
    <m/>
    <m/>
    <m/>
    <m/>
    <m/>
    <n v="0"/>
    <n v="0"/>
    <n v="0"/>
    <n v="0"/>
    <n v="0"/>
    <n v="0"/>
  </r>
  <r>
    <x v="701"/>
    <m/>
    <m/>
    <m/>
    <m/>
    <m/>
    <m/>
    <n v="0"/>
    <n v="0"/>
    <n v="0"/>
    <n v="0"/>
    <n v="0"/>
    <n v="0"/>
  </r>
  <r>
    <x v="702"/>
    <m/>
    <m/>
    <m/>
    <m/>
    <m/>
    <m/>
    <n v="0"/>
    <n v="0"/>
    <n v="0"/>
    <n v="0"/>
    <n v="0"/>
    <n v="0"/>
  </r>
  <r>
    <x v="703"/>
    <m/>
    <m/>
    <m/>
    <m/>
    <m/>
    <m/>
    <n v="0"/>
    <n v="0"/>
    <n v="0"/>
    <n v="0"/>
    <n v="0"/>
    <n v="0"/>
  </r>
  <r>
    <x v="704"/>
    <m/>
    <m/>
    <m/>
    <m/>
    <m/>
    <m/>
    <n v="0"/>
    <n v="0"/>
    <n v="0"/>
    <n v="0"/>
    <n v="0"/>
    <n v="0"/>
  </r>
  <r>
    <x v="705"/>
    <m/>
    <m/>
    <m/>
    <m/>
    <m/>
    <m/>
    <n v="0"/>
    <n v="0"/>
    <n v="0"/>
    <n v="0"/>
    <n v="0"/>
    <n v="0"/>
  </r>
  <r>
    <x v="706"/>
    <m/>
    <m/>
    <m/>
    <m/>
    <m/>
    <m/>
    <n v="0"/>
    <n v="0"/>
    <n v="0"/>
    <n v="0"/>
    <n v="0"/>
    <n v="0"/>
  </r>
  <r>
    <x v="707"/>
    <m/>
    <m/>
    <m/>
    <m/>
    <m/>
    <m/>
    <n v="0"/>
    <n v="0"/>
    <n v="0"/>
    <n v="0"/>
    <n v="0"/>
    <n v="0"/>
  </r>
  <r>
    <x v="708"/>
    <m/>
    <m/>
    <m/>
    <m/>
    <m/>
    <m/>
    <n v="0"/>
    <n v="0"/>
    <n v="0"/>
    <n v="0"/>
    <n v="0"/>
    <n v="0"/>
  </r>
  <r>
    <x v="709"/>
    <m/>
    <m/>
    <m/>
    <m/>
    <m/>
    <m/>
    <n v="0"/>
    <n v="0"/>
    <n v="0"/>
    <n v="0"/>
    <n v="0"/>
    <n v="0"/>
  </r>
  <r>
    <x v="710"/>
    <m/>
    <m/>
    <m/>
    <m/>
    <m/>
    <m/>
    <n v="0"/>
    <n v="0"/>
    <n v="0"/>
    <n v="0"/>
    <n v="0"/>
    <n v="0"/>
  </r>
  <r>
    <x v="711"/>
    <m/>
    <m/>
    <m/>
    <m/>
    <m/>
    <m/>
    <n v="0"/>
    <n v="0"/>
    <n v="0"/>
    <n v="0"/>
    <n v="0"/>
    <n v="0"/>
  </r>
  <r>
    <x v="712"/>
    <m/>
    <m/>
    <m/>
    <m/>
    <m/>
    <m/>
    <n v="0"/>
    <n v="0"/>
    <n v="0"/>
    <n v="0"/>
    <n v="0"/>
    <n v="0"/>
  </r>
  <r>
    <x v="713"/>
    <m/>
    <m/>
    <m/>
    <m/>
    <m/>
    <m/>
    <n v="0"/>
    <n v="0"/>
    <n v="0"/>
    <n v="0"/>
    <n v="0"/>
    <n v="0"/>
  </r>
  <r>
    <x v="714"/>
    <m/>
    <m/>
    <m/>
    <m/>
    <m/>
    <m/>
    <n v="0"/>
    <n v="0"/>
    <n v="0"/>
    <n v="0"/>
    <n v="0"/>
    <n v="0"/>
  </r>
  <r>
    <x v="715"/>
    <m/>
    <m/>
    <m/>
    <m/>
    <m/>
    <m/>
    <n v="0"/>
    <n v="0"/>
    <n v="0"/>
    <n v="0"/>
    <n v="0"/>
    <n v="0"/>
  </r>
  <r>
    <x v="716"/>
    <m/>
    <m/>
    <m/>
    <m/>
    <m/>
    <m/>
    <n v="0"/>
    <n v="0"/>
    <n v="0"/>
    <n v="0"/>
    <n v="0"/>
    <n v="0"/>
  </r>
  <r>
    <x v="717"/>
    <m/>
    <m/>
    <m/>
    <m/>
    <m/>
    <m/>
    <n v="0"/>
    <n v="0"/>
    <n v="0"/>
    <n v="0"/>
    <n v="0"/>
    <n v="0"/>
  </r>
  <r>
    <x v="718"/>
    <m/>
    <m/>
    <m/>
    <m/>
    <m/>
    <m/>
    <n v="0"/>
    <n v="0"/>
    <n v="0"/>
    <n v="0"/>
    <n v="0"/>
    <n v="0"/>
  </r>
  <r>
    <x v="719"/>
    <m/>
    <m/>
    <m/>
    <m/>
    <m/>
    <m/>
    <n v="0"/>
    <n v="0"/>
    <n v="0"/>
    <n v="0"/>
    <n v="0"/>
    <n v="0"/>
  </r>
  <r>
    <x v="720"/>
    <m/>
    <m/>
    <m/>
    <m/>
    <m/>
    <m/>
    <n v="0"/>
    <n v="0"/>
    <n v="0"/>
    <n v="0"/>
    <n v="0"/>
    <n v="0"/>
  </r>
  <r>
    <x v="721"/>
    <m/>
    <m/>
    <m/>
    <m/>
    <m/>
    <m/>
    <n v="0"/>
    <n v="0"/>
    <n v="0"/>
    <n v="0"/>
    <n v="0"/>
    <n v="0"/>
  </r>
  <r>
    <x v="722"/>
    <m/>
    <m/>
    <m/>
    <m/>
    <m/>
    <m/>
    <n v="0"/>
    <n v="0"/>
    <n v="0"/>
    <n v="0"/>
    <n v="0"/>
    <n v="0"/>
  </r>
  <r>
    <x v="723"/>
    <m/>
    <m/>
    <m/>
    <m/>
    <m/>
    <m/>
    <n v="0"/>
    <n v="0"/>
    <n v="0"/>
    <n v="0"/>
    <n v="0"/>
    <n v="0"/>
  </r>
  <r>
    <x v="724"/>
    <m/>
    <m/>
    <m/>
    <m/>
    <m/>
    <m/>
    <n v="0"/>
    <n v="0"/>
    <n v="0"/>
    <n v="0"/>
    <n v="0"/>
    <n v="0"/>
  </r>
  <r>
    <x v="725"/>
    <m/>
    <m/>
    <m/>
    <m/>
    <m/>
    <m/>
    <n v="0"/>
    <n v="0"/>
    <n v="0"/>
    <n v="0"/>
    <n v="0"/>
    <n v="0"/>
  </r>
  <r>
    <x v="726"/>
    <m/>
    <m/>
    <m/>
    <m/>
    <m/>
    <m/>
    <n v="0"/>
    <n v="0"/>
    <n v="0"/>
    <n v="0"/>
    <n v="0"/>
    <n v="0"/>
  </r>
  <r>
    <x v="727"/>
    <m/>
    <m/>
    <m/>
    <m/>
    <m/>
    <m/>
    <n v="0"/>
    <n v="0"/>
    <n v="0"/>
    <n v="0"/>
    <n v="0"/>
    <n v="0"/>
  </r>
  <r>
    <x v="728"/>
    <m/>
    <m/>
    <m/>
    <m/>
    <m/>
    <m/>
    <n v="0"/>
    <n v="0"/>
    <n v="0"/>
    <n v="0"/>
    <n v="0"/>
    <n v="0"/>
  </r>
  <r>
    <x v="729"/>
    <m/>
    <m/>
    <m/>
    <m/>
    <m/>
    <m/>
    <n v="0"/>
    <n v="0"/>
    <n v="0"/>
    <n v="0"/>
    <n v="0"/>
    <n v="0"/>
  </r>
  <r>
    <x v="730"/>
    <m/>
    <m/>
    <m/>
    <m/>
    <m/>
    <m/>
    <n v="0"/>
    <n v="0"/>
    <n v="0"/>
    <n v="0"/>
    <n v="0"/>
    <n v="0"/>
  </r>
  <r>
    <x v="731"/>
    <m/>
    <m/>
    <m/>
    <m/>
    <m/>
    <m/>
    <n v="0"/>
    <n v="0"/>
    <n v="0"/>
    <n v="0"/>
    <n v="0"/>
    <n v="0"/>
  </r>
  <r>
    <x v="732"/>
    <m/>
    <m/>
    <m/>
    <m/>
    <m/>
    <m/>
    <n v="0"/>
    <n v="0"/>
    <n v="0"/>
    <n v="0"/>
    <n v="0"/>
    <n v="0"/>
  </r>
  <r>
    <x v="733"/>
    <m/>
    <m/>
    <m/>
    <m/>
    <m/>
    <m/>
    <n v="0"/>
    <n v="0"/>
    <n v="0"/>
    <n v="0"/>
    <n v="0"/>
    <n v="0"/>
  </r>
  <r>
    <x v="734"/>
    <m/>
    <m/>
    <m/>
    <m/>
    <m/>
    <m/>
    <n v="0"/>
    <n v="0"/>
    <n v="0"/>
    <n v="0"/>
    <n v="0"/>
    <n v="0"/>
  </r>
  <r>
    <x v="735"/>
    <m/>
    <m/>
    <m/>
    <m/>
    <m/>
    <m/>
    <n v="0"/>
    <n v="0"/>
    <n v="0"/>
    <n v="0"/>
    <n v="0"/>
    <n v="0"/>
  </r>
  <r>
    <x v="736"/>
    <m/>
    <m/>
    <m/>
    <m/>
    <m/>
    <m/>
    <n v="0"/>
    <n v="0"/>
    <n v="0"/>
    <n v="0"/>
    <n v="0"/>
    <n v="0"/>
  </r>
  <r>
    <x v="737"/>
    <m/>
    <m/>
    <m/>
    <m/>
    <m/>
    <m/>
    <n v="0"/>
    <n v="0"/>
    <n v="0"/>
    <n v="0"/>
    <n v="0"/>
    <n v="0"/>
  </r>
  <r>
    <x v="738"/>
    <m/>
    <m/>
    <m/>
    <m/>
    <m/>
    <m/>
    <n v="0"/>
    <n v="0"/>
    <n v="0"/>
    <n v="0"/>
    <n v="0"/>
    <n v="0"/>
  </r>
  <r>
    <x v="739"/>
    <m/>
    <m/>
    <m/>
    <m/>
    <m/>
    <m/>
    <n v="0"/>
    <n v="0"/>
    <n v="0"/>
    <n v="0"/>
    <n v="0"/>
    <n v="0"/>
  </r>
  <r>
    <x v="740"/>
    <m/>
    <m/>
    <m/>
    <m/>
    <m/>
    <m/>
    <n v="0"/>
    <n v="0"/>
    <n v="0"/>
    <n v="0"/>
    <n v="0"/>
    <n v="0"/>
  </r>
  <r>
    <x v="741"/>
    <m/>
    <m/>
    <m/>
    <m/>
    <m/>
    <m/>
    <n v="0"/>
    <n v="0"/>
    <n v="0"/>
    <n v="0"/>
    <n v="0"/>
    <n v="0"/>
  </r>
  <r>
    <x v="742"/>
    <m/>
    <m/>
    <m/>
    <m/>
    <m/>
    <m/>
    <n v="0"/>
    <n v="0"/>
    <n v="0"/>
    <n v="0"/>
    <n v="0"/>
    <n v="0"/>
  </r>
  <r>
    <x v="743"/>
    <m/>
    <m/>
    <m/>
    <m/>
    <m/>
    <m/>
    <n v="0"/>
    <n v="0"/>
    <n v="0"/>
    <n v="0"/>
    <n v="0"/>
    <n v="0"/>
  </r>
  <r>
    <x v="744"/>
    <m/>
    <m/>
    <m/>
    <m/>
    <m/>
    <m/>
    <n v="0"/>
    <n v="0"/>
    <n v="0"/>
    <n v="0"/>
    <n v="0"/>
    <n v="0"/>
  </r>
  <r>
    <x v="745"/>
    <m/>
    <m/>
    <m/>
    <m/>
    <m/>
    <m/>
    <n v="0"/>
    <n v="0"/>
    <n v="0"/>
    <n v="0"/>
    <n v="0"/>
    <n v="0"/>
  </r>
  <r>
    <x v="746"/>
    <m/>
    <m/>
    <m/>
    <m/>
    <m/>
    <m/>
    <n v="0"/>
    <n v="0"/>
    <n v="0"/>
    <n v="0"/>
    <n v="0"/>
    <n v="0"/>
  </r>
  <r>
    <x v="747"/>
    <m/>
    <m/>
    <m/>
    <m/>
    <m/>
    <m/>
    <n v="0"/>
    <n v="0"/>
    <n v="0"/>
    <n v="0"/>
    <n v="0"/>
    <n v="0"/>
  </r>
  <r>
    <x v="748"/>
    <m/>
    <m/>
    <m/>
    <m/>
    <m/>
    <m/>
    <n v="0"/>
    <n v="0"/>
    <n v="0"/>
    <n v="0"/>
    <n v="0"/>
    <n v="0"/>
  </r>
  <r>
    <x v="749"/>
    <m/>
    <m/>
    <m/>
    <m/>
    <m/>
    <m/>
    <n v="0"/>
    <n v="0"/>
    <n v="0"/>
    <n v="0"/>
    <n v="0"/>
    <n v="0"/>
  </r>
  <r>
    <x v="750"/>
    <m/>
    <m/>
    <m/>
    <m/>
    <m/>
    <m/>
    <n v="0"/>
    <n v="0"/>
    <n v="0"/>
    <n v="0"/>
    <n v="0"/>
    <n v="0"/>
  </r>
  <r>
    <x v="751"/>
    <m/>
    <m/>
    <m/>
    <m/>
    <m/>
    <m/>
    <n v="0"/>
    <n v="0"/>
    <n v="0"/>
    <n v="0"/>
    <n v="0"/>
    <n v="0"/>
  </r>
  <r>
    <x v="752"/>
    <m/>
    <m/>
    <m/>
    <m/>
    <m/>
    <m/>
    <n v="0"/>
    <n v="0"/>
    <n v="0"/>
    <n v="0"/>
    <n v="0"/>
    <n v="0"/>
  </r>
  <r>
    <x v="753"/>
    <m/>
    <m/>
    <m/>
    <m/>
    <m/>
    <m/>
    <n v="0"/>
    <n v="0"/>
    <n v="0"/>
    <n v="0"/>
    <n v="0"/>
    <n v="0"/>
  </r>
  <r>
    <x v="754"/>
    <m/>
    <m/>
    <m/>
    <m/>
    <m/>
    <m/>
    <n v="0"/>
    <n v="0"/>
    <n v="0"/>
    <n v="0"/>
    <n v="0"/>
    <n v="0"/>
  </r>
  <r>
    <x v="755"/>
    <m/>
    <m/>
    <m/>
    <m/>
    <m/>
    <m/>
    <n v="0"/>
    <n v="0"/>
    <n v="0"/>
    <n v="0"/>
    <n v="0"/>
    <n v="0"/>
  </r>
  <r>
    <x v="756"/>
    <m/>
    <m/>
    <m/>
    <m/>
    <m/>
    <m/>
    <n v="0"/>
    <n v="0"/>
    <n v="0"/>
    <n v="0"/>
    <n v="0"/>
    <n v="0"/>
  </r>
  <r>
    <x v="757"/>
    <m/>
    <m/>
    <m/>
    <m/>
    <m/>
    <m/>
    <n v="0"/>
    <n v="0"/>
    <n v="0"/>
    <n v="0"/>
    <n v="0"/>
    <n v="0"/>
  </r>
  <r>
    <x v="758"/>
    <m/>
    <m/>
    <m/>
    <m/>
    <m/>
    <m/>
    <n v="0"/>
    <n v="0"/>
    <n v="0"/>
    <n v="0"/>
    <n v="0"/>
    <n v="0"/>
  </r>
  <r>
    <x v="759"/>
    <m/>
    <m/>
    <m/>
    <m/>
    <m/>
    <m/>
    <n v="0"/>
    <n v="0"/>
    <n v="0"/>
    <n v="0"/>
    <n v="0"/>
    <n v="0"/>
  </r>
  <r>
    <x v="760"/>
    <m/>
    <m/>
    <m/>
    <m/>
    <m/>
    <m/>
    <n v="0"/>
    <n v="0"/>
    <n v="0"/>
    <n v="0"/>
    <n v="0"/>
    <n v="0"/>
  </r>
  <r>
    <x v="761"/>
    <m/>
    <m/>
    <m/>
    <m/>
    <m/>
    <m/>
    <n v="0"/>
    <n v="0"/>
    <n v="0"/>
    <n v="0"/>
    <n v="0"/>
    <n v="0"/>
  </r>
  <r>
    <x v="762"/>
    <m/>
    <m/>
    <m/>
    <m/>
    <m/>
    <m/>
    <n v="0"/>
    <n v="0"/>
    <n v="0"/>
    <n v="0"/>
    <n v="0"/>
    <n v="0"/>
  </r>
  <r>
    <x v="763"/>
    <m/>
    <m/>
    <m/>
    <m/>
    <m/>
    <m/>
    <n v="0"/>
    <n v="0"/>
    <n v="0"/>
    <n v="0"/>
    <n v="0"/>
    <n v="0"/>
  </r>
  <r>
    <x v="764"/>
    <m/>
    <m/>
    <m/>
    <m/>
    <m/>
    <m/>
    <n v="0"/>
    <n v="0"/>
    <n v="0"/>
    <n v="0"/>
    <n v="0"/>
    <n v="0"/>
  </r>
  <r>
    <x v="765"/>
    <m/>
    <m/>
    <m/>
    <m/>
    <m/>
    <m/>
    <n v="0"/>
    <n v="0"/>
    <n v="0"/>
    <n v="0"/>
    <n v="0"/>
    <n v="0"/>
  </r>
  <r>
    <x v="766"/>
    <m/>
    <m/>
    <m/>
    <m/>
    <m/>
    <m/>
    <n v="0"/>
    <n v="0"/>
    <n v="0"/>
    <n v="0"/>
    <n v="0"/>
    <n v="0"/>
  </r>
  <r>
    <x v="767"/>
    <m/>
    <m/>
    <m/>
    <m/>
    <m/>
    <m/>
    <n v="0"/>
    <n v="0"/>
    <n v="0"/>
    <n v="0"/>
    <n v="0"/>
    <n v="0"/>
  </r>
  <r>
    <x v="768"/>
    <m/>
    <m/>
    <m/>
    <m/>
    <m/>
    <m/>
    <n v="0"/>
    <n v="0"/>
    <n v="0"/>
    <n v="0"/>
    <n v="0"/>
    <n v="0"/>
  </r>
  <r>
    <x v="769"/>
    <m/>
    <m/>
    <m/>
    <m/>
    <m/>
    <m/>
    <n v="0"/>
    <n v="0"/>
    <n v="0"/>
    <n v="0"/>
    <n v="0"/>
    <n v="0"/>
  </r>
  <r>
    <x v="770"/>
    <m/>
    <m/>
    <m/>
    <m/>
    <m/>
    <m/>
    <n v="0"/>
    <n v="0"/>
    <n v="0"/>
    <n v="0"/>
    <n v="0"/>
    <n v="0"/>
  </r>
  <r>
    <x v="771"/>
    <m/>
    <m/>
    <m/>
    <m/>
    <m/>
    <m/>
    <n v="0"/>
    <n v="0"/>
    <n v="0"/>
    <n v="0"/>
    <n v="0"/>
    <n v="0"/>
  </r>
  <r>
    <x v="772"/>
    <m/>
    <m/>
    <m/>
    <m/>
    <m/>
    <m/>
    <n v="0"/>
    <n v="0"/>
    <n v="0"/>
    <n v="0"/>
    <n v="0"/>
    <n v="0"/>
  </r>
  <r>
    <x v="773"/>
    <m/>
    <m/>
    <m/>
    <m/>
    <m/>
    <m/>
    <n v="0"/>
    <n v="0"/>
    <n v="0"/>
    <n v="0"/>
    <n v="0"/>
    <n v="0"/>
  </r>
  <r>
    <x v="774"/>
    <m/>
    <m/>
    <m/>
    <m/>
    <m/>
    <m/>
    <n v="0"/>
    <n v="0"/>
    <n v="0"/>
    <n v="0"/>
    <n v="0"/>
    <n v="0"/>
  </r>
  <r>
    <x v="775"/>
    <m/>
    <m/>
    <m/>
    <m/>
    <m/>
    <m/>
    <n v="0"/>
    <n v="0"/>
    <n v="0"/>
    <n v="0"/>
    <n v="0"/>
    <n v="0"/>
  </r>
  <r>
    <x v="776"/>
    <m/>
    <m/>
    <m/>
    <m/>
    <m/>
    <m/>
    <n v="0"/>
    <n v="0"/>
    <n v="0"/>
    <n v="0"/>
    <n v="0"/>
    <n v="0"/>
  </r>
  <r>
    <x v="777"/>
    <m/>
    <m/>
    <m/>
    <m/>
    <m/>
    <m/>
    <n v="0"/>
    <n v="0"/>
    <n v="0"/>
    <n v="0"/>
    <n v="0"/>
    <n v="0"/>
  </r>
  <r>
    <x v="778"/>
    <m/>
    <m/>
    <m/>
    <m/>
    <m/>
    <m/>
    <n v="0"/>
    <n v="0"/>
    <n v="0"/>
    <n v="0"/>
    <n v="0"/>
    <n v="0"/>
  </r>
  <r>
    <x v="779"/>
    <m/>
    <m/>
    <m/>
    <m/>
    <m/>
    <m/>
    <n v="0"/>
    <n v="0"/>
    <n v="0"/>
    <n v="0"/>
    <n v="0"/>
    <n v="0"/>
  </r>
  <r>
    <x v="780"/>
    <m/>
    <m/>
    <m/>
    <m/>
    <m/>
    <m/>
    <n v="0"/>
    <n v="0"/>
    <n v="0"/>
    <n v="0"/>
    <n v="0"/>
    <n v="0"/>
  </r>
  <r>
    <x v="781"/>
    <m/>
    <m/>
    <m/>
    <m/>
    <m/>
    <m/>
    <n v="0"/>
    <n v="0"/>
    <n v="0"/>
    <n v="0"/>
    <n v="0"/>
    <n v="0"/>
  </r>
  <r>
    <x v="782"/>
    <m/>
    <m/>
    <m/>
    <m/>
    <m/>
    <m/>
    <n v="0"/>
    <n v="0"/>
    <n v="0"/>
    <n v="0"/>
    <n v="0"/>
    <n v="0"/>
  </r>
  <r>
    <x v="783"/>
    <m/>
    <m/>
    <m/>
    <m/>
    <m/>
    <m/>
    <n v="0"/>
    <n v="0"/>
    <n v="0"/>
    <n v="0"/>
    <n v="0"/>
    <n v="0"/>
  </r>
  <r>
    <x v="784"/>
    <m/>
    <m/>
    <m/>
    <m/>
    <m/>
    <m/>
    <n v="0"/>
    <n v="0"/>
    <n v="0"/>
    <n v="0"/>
    <n v="0"/>
    <n v="0"/>
  </r>
  <r>
    <x v="785"/>
    <m/>
    <m/>
    <m/>
    <m/>
    <m/>
    <m/>
    <n v="0"/>
    <n v="0"/>
    <n v="0"/>
    <n v="0"/>
    <n v="0"/>
    <n v="0"/>
  </r>
  <r>
    <x v="786"/>
    <m/>
    <m/>
    <m/>
    <m/>
    <m/>
    <m/>
    <n v="0"/>
    <n v="0"/>
    <n v="0"/>
    <n v="0"/>
    <n v="0"/>
    <n v="0"/>
  </r>
  <r>
    <x v="787"/>
    <m/>
    <m/>
    <m/>
    <m/>
    <m/>
    <m/>
    <n v="0"/>
    <n v="0"/>
    <n v="0"/>
    <n v="0"/>
    <n v="0"/>
    <n v="0"/>
  </r>
  <r>
    <x v="788"/>
    <m/>
    <m/>
    <m/>
    <m/>
    <m/>
    <m/>
    <n v="0"/>
    <n v="0"/>
    <n v="0"/>
    <n v="0"/>
    <n v="0"/>
    <n v="0"/>
  </r>
  <r>
    <x v="789"/>
    <m/>
    <m/>
    <m/>
    <m/>
    <m/>
    <m/>
    <n v="0"/>
    <n v="0"/>
    <n v="0"/>
    <n v="0"/>
    <n v="0"/>
    <n v="0"/>
  </r>
  <r>
    <x v="790"/>
    <m/>
    <m/>
    <m/>
    <m/>
    <m/>
    <m/>
    <n v="0"/>
    <n v="0"/>
    <n v="0"/>
    <n v="0"/>
    <n v="0"/>
    <n v="0"/>
  </r>
  <r>
    <x v="791"/>
    <m/>
    <m/>
    <m/>
    <m/>
    <m/>
    <m/>
    <n v="0"/>
    <n v="0"/>
    <n v="0"/>
    <n v="0"/>
    <n v="0"/>
    <n v="0"/>
  </r>
  <r>
    <x v="792"/>
    <m/>
    <m/>
    <m/>
    <m/>
    <m/>
    <m/>
    <n v="0"/>
    <n v="0"/>
    <n v="0"/>
    <n v="0"/>
    <n v="0"/>
    <n v="0"/>
  </r>
  <r>
    <x v="793"/>
    <m/>
    <m/>
    <m/>
    <m/>
    <m/>
    <m/>
    <n v="0"/>
    <n v="0"/>
    <n v="0"/>
    <n v="0"/>
    <n v="0"/>
    <n v="0"/>
  </r>
  <r>
    <x v="794"/>
    <m/>
    <m/>
    <m/>
    <m/>
    <m/>
    <m/>
    <n v="0"/>
    <n v="0"/>
    <n v="0"/>
    <n v="0"/>
    <n v="0"/>
    <n v="0"/>
  </r>
  <r>
    <x v="795"/>
    <m/>
    <m/>
    <m/>
    <m/>
    <m/>
    <m/>
    <n v="0"/>
    <n v="0"/>
    <n v="0"/>
    <n v="0"/>
    <n v="0"/>
    <n v="0"/>
  </r>
  <r>
    <x v="796"/>
    <m/>
    <m/>
    <m/>
    <m/>
    <m/>
    <m/>
    <n v="0"/>
    <n v="0"/>
    <n v="0"/>
    <n v="0"/>
    <n v="0"/>
    <n v="0"/>
  </r>
  <r>
    <x v="797"/>
    <m/>
    <m/>
    <m/>
    <m/>
    <m/>
    <m/>
    <n v="0"/>
    <n v="0"/>
    <n v="0"/>
    <n v="0"/>
    <n v="0"/>
    <n v="0"/>
  </r>
  <r>
    <x v="798"/>
    <m/>
    <m/>
    <m/>
    <m/>
    <m/>
    <m/>
    <n v="0"/>
    <n v="0"/>
    <n v="0"/>
    <n v="0"/>
    <n v="0"/>
    <n v="0"/>
  </r>
  <r>
    <x v="799"/>
    <m/>
    <m/>
    <m/>
    <m/>
    <m/>
    <m/>
    <n v="0"/>
    <n v="0"/>
    <n v="0"/>
    <n v="0"/>
    <n v="0"/>
    <n v="0"/>
  </r>
  <r>
    <x v="800"/>
    <m/>
    <m/>
    <m/>
    <m/>
    <m/>
    <m/>
    <n v="0"/>
    <n v="0"/>
    <n v="0"/>
    <n v="0"/>
    <n v="0"/>
    <n v="0"/>
  </r>
  <r>
    <x v="801"/>
    <m/>
    <m/>
    <m/>
    <m/>
    <m/>
    <m/>
    <n v="0"/>
    <n v="0"/>
    <n v="0"/>
    <n v="0"/>
    <n v="0"/>
    <n v="0"/>
  </r>
  <r>
    <x v="802"/>
    <m/>
    <m/>
    <m/>
    <m/>
    <m/>
    <m/>
    <n v="0"/>
    <n v="0"/>
    <n v="0"/>
    <n v="0"/>
    <n v="0"/>
    <n v="0"/>
  </r>
  <r>
    <x v="803"/>
    <m/>
    <m/>
    <m/>
    <m/>
    <m/>
    <m/>
    <n v="0"/>
    <n v="0"/>
    <n v="0"/>
    <n v="0"/>
    <n v="0"/>
    <n v="0"/>
  </r>
  <r>
    <x v="804"/>
    <m/>
    <m/>
    <m/>
    <m/>
    <m/>
    <m/>
    <n v="0"/>
    <n v="0"/>
    <n v="0"/>
    <n v="0"/>
    <n v="0"/>
    <n v="0"/>
  </r>
  <r>
    <x v="805"/>
    <m/>
    <m/>
    <m/>
    <m/>
    <m/>
    <m/>
    <n v="0"/>
    <n v="0"/>
    <n v="0"/>
    <n v="0"/>
    <n v="0"/>
    <n v="0"/>
  </r>
  <r>
    <x v="806"/>
    <m/>
    <m/>
    <m/>
    <m/>
    <m/>
    <m/>
    <n v="0"/>
    <n v="0"/>
    <n v="0"/>
    <n v="0"/>
    <n v="0"/>
    <n v="0"/>
  </r>
  <r>
    <x v="807"/>
    <m/>
    <m/>
    <m/>
    <m/>
    <m/>
    <m/>
    <n v="0"/>
    <n v="0"/>
    <n v="0"/>
    <n v="0"/>
    <n v="0"/>
    <n v="0"/>
  </r>
  <r>
    <x v="808"/>
    <m/>
    <m/>
    <m/>
    <m/>
    <m/>
    <m/>
    <n v="0"/>
    <n v="0"/>
    <n v="0"/>
    <n v="0"/>
    <n v="0"/>
    <n v="0"/>
  </r>
  <r>
    <x v="809"/>
    <m/>
    <m/>
    <m/>
    <m/>
    <m/>
    <m/>
    <n v="0"/>
    <n v="0"/>
    <n v="0"/>
    <n v="0"/>
    <n v="0"/>
    <n v="0"/>
  </r>
  <r>
    <x v="810"/>
    <m/>
    <m/>
    <m/>
    <m/>
    <m/>
    <m/>
    <n v="0"/>
    <n v="0"/>
    <n v="0"/>
    <n v="0"/>
    <n v="0"/>
    <n v="0"/>
  </r>
  <r>
    <x v="811"/>
    <m/>
    <m/>
    <m/>
    <m/>
    <m/>
    <m/>
    <n v="0"/>
    <n v="0"/>
    <n v="0"/>
    <n v="0"/>
    <n v="0"/>
    <n v="0"/>
  </r>
  <r>
    <x v="812"/>
    <m/>
    <m/>
    <m/>
    <m/>
    <m/>
    <m/>
    <n v="0"/>
    <n v="0"/>
    <n v="0"/>
    <n v="0"/>
    <n v="0"/>
    <n v="0"/>
  </r>
  <r>
    <x v="813"/>
    <m/>
    <m/>
    <m/>
    <m/>
    <m/>
    <m/>
    <n v="0"/>
    <n v="0"/>
    <n v="0"/>
    <n v="0"/>
    <n v="0"/>
    <n v="0"/>
  </r>
  <r>
    <x v="814"/>
    <m/>
    <m/>
    <m/>
    <m/>
    <m/>
    <m/>
    <n v="0"/>
    <n v="0"/>
    <n v="0"/>
    <n v="0"/>
    <n v="0"/>
    <n v="0"/>
  </r>
  <r>
    <x v="815"/>
    <m/>
    <m/>
    <m/>
    <m/>
    <m/>
    <m/>
    <n v="0"/>
    <n v="0"/>
    <n v="0"/>
    <n v="0"/>
    <n v="0"/>
    <n v="0"/>
  </r>
  <r>
    <x v="816"/>
    <m/>
    <m/>
    <m/>
    <m/>
    <m/>
    <m/>
    <n v="0"/>
    <n v="0"/>
    <n v="0"/>
    <n v="0"/>
    <n v="0"/>
    <n v="0"/>
  </r>
  <r>
    <x v="817"/>
    <m/>
    <m/>
    <m/>
    <m/>
    <m/>
    <m/>
    <n v="0"/>
    <n v="0"/>
    <n v="0"/>
    <n v="0"/>
    <n v="0"/>
    <n v="0"/>
  </r>
  <r>
    <x v="818"/>
    <m/>
    <m/>
    <m/>
    <m/>
    <m/>
    <m/>
    <n v="0"/>
    <n v="0"/>
    <n v="0"/>
    <n v="0"/>
    <n v="0"/>
    <n v="0"/>
  </r>
  <r>
    <x v="819"/>
    <m/>
    <m/>
    <m/>
    <m/>
    <m/>
    <m/>
    <n v="0"/>
    <n v="0"/>
    <n v="0"/>
    <n v="0"/>
    <n v="0"/>
    <n v="0"/>
  </r>
  <r>
    <x v="820"/>
    <m/>
    <m/>
    <m/>
    <m/>
    <m/>
    <m/>
    <n v="0"/>
    <n v="0"/>
    <n v="0"/>
    <n v="0"/>
    <n v="0"/>
    <n v="0"/>
  </r>
  <r>
    <x v="821"/>
    <m/>
    <m/>
    <m/>
    <m/>
    <m/>
    <m/>
    <n v="0"/>
    <n v="0"/>
    <n v="0"/>
    <n v="0"/>
    <n v="0"/>
    <n v="0"/>
  </r>
  <r>
    <x v="822"/>
    <m/>
    <m/>
    <m/>
    <m/>
    <m/>
    <m/>
    <n v="0"/>
    <n v="0"/>
    <n v="0"/>
    <n v="0"/>
    <n v="0"/>
    <n v="0"/>
  </r>
  <r>
    <x v="823"/>
    <m/>
    <m/>
    <m/>
    <m/>
    <m/>
    <m/>
    <n v="0"/>
    <n v="0"/>
    <n v="0"/>
    <n v="0"/>
    <n v="0"/>
    <n v="0"/>
  </r>
  <r>
    <x v="824"/>
    <m/>
    <m/>
    <m/>
    <m/>
    <m/>
    <m/>
    <n v="0"/>
    <n v="0"/>
    <n v="0"/>
    <n v="0"/>
    <n v="0"/>
    <n v="0"/>
  </r>
  <r>
    <x v="825"/>
    <m/>
    <m/>
    <m/>
    <m/>
    <m/>
    <m/>
    <n v="0"/>
    <n v="0"/>
    <n v="0"/>
    <n v="0"/>
    <n v="0"/>
    <n v="0"/>
  </r>
  <r>
    <x v="826"/>
    <m/>
    <m/>
    <m/>
    <m/>
    <m/>
    <m/>
    <n v="0"/>
    <n v="0"/>
    <n v="0"/>
    <n v="0"/>
    <n v="0"/>
    <n v="0"/>
  </r>
  <r>
    <x v="827"/>
    <m/>
    <m/>
    <m/>
    <m/>
    <m/>
    <m/>
    <n v="0"/>
    <n v="0"/>
    <n v="0"/>
    <n v="0"/>
    <n v="0"/>
    <n v="0"/>
  </r>
  <r>
    <x v="828"/>
    <m/>
    <m/>
    <m/>
    <m/>
    <m/>
    <m/>
    <n v="0"/>
    <n v="0"/>
    <n v="0"/>
    <n v="0"/>
    <n v="0"/>
    <n v="0"/>
  </r>
  <r>
    <x v="829"/>
    <m/>
    <m/>
    <m/>
    <m/>
    <m/>
    <m/>
    <n v="0"/>
    <n v="0"/>
    <n v="0"/>
    <n v="0"/>
    <n v="0"/>
    <n v="0"/>
  </r>
  <r>
    <x v="830"/>
    <m/>
    <m/>
    <m/>
    <m/>
    <m/>
    <m/>
    <n v="0"/>
    <n v="0"/>
    <n v="0"/>
    <n v="0"/>
    <n v="0"/>
    <n v="0"/>
  </r>
  <r>
    <x v="831"/>
    <m/>
    <m/>
    <m/>
    <m/>
    <m/>
    <m/>
    <n v="0"/>
    <n v="0"/>
    <n v="0"/>
    <n v="0"/>
    <n v="0"/>
    <n v="0"/>
  </r>
  <r>
    <x v="832"/>
    <m/>
    <m/>
    <m/>
    <m/>
    <m/>
    <m/>
    <n v="0"/>
    <n v="0"/>
    <n v="0"/>
    <n v="0"/>
    <n v="0"/>
    <n v="0"/>
  </r>
  <r>
    <x v="833"/>
    <m/>
    <m/>
    <m/>
    <m/>
    <m/>
    <m/>
    <n v="0"/>
    <n v="0"/>
    <n v="0"/>
    <n v="0"/>
    <n v="0"/>
    <n v="0"/>
  </r>
  <r>
    <x v="834"/>
    <m/>
    <m/>
    <m/>
    <m/>
    <m/>
    <m/>
    <n v="0"/>
    <n v="0"/>
    <n v="0"/>
    <n v="0"/>
    <n v="0"/>
    <n v="0"/>
  </r>
  <r>
    <x v="835"/>
    <m/>
    <m/>
    <m/>
    <m/>
    <m/>
    <m/>
    <n v="0"/>
    <n v="0"/>
    <n v="0"/>
    <n v="0"/>
    <n v="0"/>
    <n v="0"/>
  </r>
  <r>
    <x v="836"/>
    <m/>
    <m/>
    <m/>
    <m/>
    <m/>
    <m/>
    <n v="0"/>
    <n v="0"/>
    <n v="0"/>
    <n v="0"/>
    <n v="0"/>
    <n v="0"/>
  </r>
  <r>
    <x v="837"/>
    <m/>
    <m/>
    <m/>
    <m/>
    <m/>
    <m/>
    <n v="0"/>
    <n v="0"/>
    <n v="0"/>
    <n v="0"/>
    <n v="0"/>
    <n v="0"/>
  </r>
  <r>
    <x v="838"/>
    <m/>
    <m/>
    <m/>
    <m/>
    <m/>
    <m/>
    <n v="0"/>
    <n v="0"/>
    <n v="0"/>
    <n v="0"/>
    <n v="0"/>
    <n v="0"/>
  </r>
  <r>
    <x v="839"/>
    <m/>
    <m/>
    <m/>
    <m/>
    <m/>
    <m/>
    <n v="0"/>
    <n v="0"/>
    <n v="0"/>
    <n v="0"/>
    <n v="0"/>
    <n v="0"/>
  </r>
  <r>
    <x v="840"/>
    <m/>
    <m/>
    <m/>
    <m/>
    <m/>
    <m/>
    <n v="0"/>
    <n v="0"/>
    <n v="0"/>
    <n v="0"/>
    <n v="0"/>
    <n v="0"/>
  </r>
  <r>
    <x v="841"/>
    <m/>
    <m/>
    <m/>
    <m/>
    <m/>
    <m/>
    <n v="0"/>
    <n v="0"/>
    <n v="0"/>
    <n v="0"/>
    <n v="0"/>
    <n v="0"/>
  </r>
  <r>
    <x v="842"/>
    <m/>
    <m/>
    <m/>
    <m/>
    <m/>
    <m/>
    <n v="0"/>
    <n v="0"/>
    <n v="0"/>
    <n v="0"/>
    <n v="0"/>
    <n v="0"/>
  </r>
  <r>
    <x v="843"/>
    <m/>
    <m/>
    <m/>
    <m/>
    <m/>
    <m/>
    <n v="0"/>
    <n v="0"/>
    <n v="0"/>
    <n v="0"/>
    <n v="0"/>
    <n v="0"/>
  </r>
  <r>
    <x v="844"/>
    <m/>
    <m/>
    <m/>
    <m/>
    <m/>
    <m/>
    <n v="0"/>
    <n v="0"/>
    <n v="0"/>
    <n v="0"/>
    <n v="0"/>
    <n v="0"/>
  </r>
  <r>
    <x v="845"/>
    <m/>
    <m/>
    <m/>
    <m/>
    <m/>
    <m/>
    <n v="0"/>
    <n v="0"/>
    <n v="0"/>
    <n v="0"/>
    <n v="0"/>
    <n v="0"/>
  </r>
  <r>
    <x v="846"/>
    <m/>
    <m/>
    <m/>
    <m/>
    <m/>
    <m/>
    <n v="0"/>
    <n v="0"/>
    <n v="0"/>
    <n v="0"/>
    <n v="0"/>
    <n v="0"/>
  </r>
  <r>
    <x v="847"/>
    <m/>
    <m/>
    <m/>
    <m/>
    <m/>
    <m/>
    <n v="0"/>
    <n v="0"/>
    <n v="0"/>
    <n v="0"/>
    <n v="0"/>
    <n v="0"/>
  </r>
  <r>
    <x v="848"/>
    <m/>
    <m/>
    <m/>
    <m/>
    <m/>
    <m/>
    <n v="0"/>
    <n v="0"/>
    <n v="0"/>
    <n v="0"/>
    <n v="0"/>
    <n v="0"/>
  </r>
  <r>
    <x v="849"/>
    <m/>
    <m/>
    <m/>
    <m/>
    <m/>
    <m/>
    <n v="0"/>
    <n v="0"/>
    <n v="0"/>
    <n v="0"/>
    <n v="0"/>
    <n v="0"/>
  </r>
  <r>
    <x v="850"/>
    <m/>
    <m/>
    <m/>
    <m/>
    <m/>
    <m/>
    <n v="0"/>
    <n v="0"/>
    <n v="0"/>
    <n v="0"/>
    <n v="0"/>
    <n v="0"/>
  </r>
  <r>
    <x v="851"/>
    <m/>
    <m/>
    <m/>
    <m/>
    <m/>
    <m/>
    <n v="0"/>
    <n v="0"/>
    <n v="0"/>
    <n v="0"/>
    <n v="0"/>
    <n v="0"/>
  </r>
  <r>
    <x v="852"/>
    <m/>
    <m/>
    <m/>
    <m/>
    <m/>
    <m/>
    <n v="0"/>
    <n v="0"/>
    <n v="0"/>
    <n v="0"/>
    <n v="0"/>
    <n v="0"/>
  </r>
  <r>
    <x v="853"/>
    <m/>
    <m/>
    <m/>
    <m/>
    <m/>
    <m/>
    <n v="0"/>
    <n v="0"/>
    <n v="0"/>
    <n v="0"/>
    <n v="0"/>
    <n v="0"/>
  </r>
  <r>
    <x v="854"/>
    <m/>
    <m/>
    <m/>
    <m/>
    <m/>
    <m/>
    <n v="0"/>
    <n v="0"/>
    <n v="0"/>
    <n v="0"/>
    <n v="0"/>
    <n v="0"/>
  </r>
  <r>
    <x v="855"/>
    <m/>
    <m/>
    <m/>
    <m/>
    <m/>
    <m/>
    <n v="0"/>
    <n v="0"/>
    <n v="0"/>
    <n v="0"/>
    <n v="0"/>
    <n v="0"/>
  </r>
  <r>
    <x v="856"/>
    <m/>
    <m/>
    <m/>
    <m/>
    <m/>
    <m/>
    <n v="0"/>
    <n v="0"/>
    <n v="0"/>
    <n v="0"/>
    <n v="0"/>
    <n v="0"/>
  </r>
  <r>
    <x v="857"/>
    <m/>
    <m/>
    <m/>
    <m/>
    <m/>
    <m/>
    <n v="0"/>
    <n v="0"/>
    <n v="0"/>
    <n v="0"/>
    <n v="0"/>
    <n v="0"/>
  </r>
  <r>
    <x v="858"/>
    <m/>
    <m/>
    <m/>
    <m/>
    <m/>
    <m/>
    <n v="0"/>
    <n v="0"/>
    <n v="0"/>
    <n v="0"/>
    <n v="0"/>
    <n v="0"/>
  </r>
  <r>
    <x v="859"/>
    <m/>
    <m/>
    <m/>
    <m/>
    <m/>
    <m/>
    <n v="0"/>
    <n v="0"/>
    <n v="0"/>
    <n v="0"/>
    <n v="0"/>
    <n v="0"/>
  </r>
  <r>
    <x v="860"/>
    <m/>
    <m/>
    <m/>
    <m/>
    <m/>
    <m/>
    <n v="0"/>
    <n v="0"/>
    <n v="0"/>
    <n v="0"/>
    <n v="0"/>
    <n v="0"/>
  </r>
  <r>
    <x v="861"/>
    <m/>
    <m/>
    <m/>
    <m/>
    <m/>
    <m/>
    <n v="0"/>
    <n v="0"/>
    <n v="0"/>
    <n v="0"/>
    <n v="0"/>
    <n v="0"/>
  </r>
  <r>
    <x v="862"/>
    <m/>
    <m/>
    <m/>
    <m/>
    <m/>
    <m/>
    <n v="0"/>
    <n v="0"/>
    <n v="0"/>
    <n v="0"/>
    <n v="0"/>
    <n v="0"/>
  </r>
  <r>
    <x v="863"/>
    <m/>
    <m/>
    <m/>
    <m/>
    <m/>
    <m/>
    <n v="0"/>
    <n v="0"/>
    <n v="0"/>
    <n v="0"/>
    <n v="0"/>
    <n v="0"/>
  </r>
  <r>
    <x v="864"/>
    <m/>
    <m/>
    <m/>
    <m/>
    <m/>
    <m/>
    <n v="0"/>
    <n v="0"/>
    <n v="0"/>
    <n v="0"/>
    <n v="0"/>
    <n v="0"/>
  </r>
  <r>
    <x v="865"/>
    <m/>
    <m/>
    <m/>
    <m/>
    <m/>
    <m/>
    <n v="0"/>
    <n v="0"/>
    <n v="0"/>
    <n v="0"/>
    <n v="0"/>
    <n v="0"/>
  </r>
  <r>
    <x v="866"/>
    <m/>
    <m/>
    <m/>
    <m/>
    <m/>
    <m/>
    <n v="0"/>
    <n v="0"/>
    <n v="0"/>
    <n v="0"/>
    <n v="0"/>
    <n v="0"/>
  </r>
  <r>
    <x v="867"/>
    <m/>
    <m/>
    <m/>
    <m/>
    <m/>
    <m/>
    <n v="0"/>
    <n v="0"/>
    <n v="0"/>
    <n v="0"/>
    <n v="0"/>
    <n v="0"/>
  </r>
  <r>
    <x v="868"/>
    <m/>
    <m/>
    <m/>
    <m/>
    <m/>
    <m/>
    <n v="0"/>
    <n v="0"/>
    <n v="0"/>
    <n v="0"/>
    <n v="0"/>
    <n v="0"/>
  </r>
  <r>
    <x v="869"/>
    <m/>
    <m/>
    <m/>
    <m/>
    <m/>
    <m/>
    <n v="0"/>
    <n v="0"/>
    <n v="0"/>
    <n v="0"/>
    <n v="0"/>
    <n v="0"/>
  </r>
  <r>
    <x v="870"/>
    <m/>
    <m/>
    <m/>
    <m/>
    <m/>
    <m/>
    <n v="0"/>
    <n v="0"/>
    <n v="0"/>
    <n v="0"/>
    <n v="0"/>
    <n v="0"/>
  </r>
  <r>
    <x v="871"/>
    <m/>
    <m/>
    <m/>
    <m/>
    <m/>
    <m/>
    <n v="0"/>
    <n v="0"/>
    <n v="0"/>
    <n v="0"/>
    <n v="0"/>
    <n v="0"/>
  </r>
  <r>
    <x v="872"/>
    <m/>
    <m/>
    <m/>
    <m/>
    <m/>
    <m/>
    <n v="0"/>
    <n v="0"/>
    <n v="0"/>
    <n v="0"/>
    <n v="0"/>
    <n v="0"/>
  </r>
  <r>
    <x v="873"/>
    <m/>
    <m/>
    <m/>
    <m/>
    <m/>
    <m/>
    <n v="0"/>
    <n v="0"/>
    <n v="0"/>
    <n v="0"/>
    <n v="0"/>
    <n v="0"/>
  </r>
  <r>
    <x v="874"/>
    <m/>
    <m/>
    <m/>
    <m/>
    <m/>
    <m/>
    <n v="0"/>
    <n v="0"/>
    <n v="0"/>
    <n v="0"/>
    <n v="0"/>
    <n v="0"/>
  </r>
  <r>
    <x v="875"/>
    <m/>
    <m/>
    <m/>
    <m/>
    <m/>
    <m/>
    <n v="0"/>
    <n v="0"/>
    <n v="0"/>
    <n v="0"/>
    <n v="0"/>
    <n v="0"/>
  </r>
  <r>
    <x v="876"/>
    <m/>
    <m/>
    <m/>
    <m/>
    <m/>
    <m/>
    <n v="0"/>
    <n v="0"/>
    <n v="0"/>
    <n v="0"/>
    <n v="0"/>
    <n v="0"/>
  </r>
  <r>
    <x v="877"/>
    <m/>
    <m/>
    <m/>
    <m/>
    <m/>
    <m/>
    <n v="0"/>
    <n v="0"/>
    <n v="0"/>
    <n v="0"/>
    <n v="0"/>
    <n v="0"/>
  </r>
  <r>
    <x v="878"/>
    <m/>
    <m/>
    <m/>
    <m/>
    <m/>
    <m/>
    <n v="0"/>
    <n v="0"/>
    <n v="0"/>
    <n v="0"/>
    <n v="0"/>
    <n v="0"/>
  </r>
  <r>
    <x v="879"/>
    <m/>
    <m/>
    <m/>
    <m/>
    <m/>
    <m/>
    <n v="0"/>
    <n v="0"/>
    <n v="0"/>
    <n v="0"/>
    <n v="0"/>
    <n v="0"/>
  </r>
  <r>
    <x v="880"/>
    <m/>
    <m/>
    <m/>
    <m/>
    <m/>
    <m/>
    <n v="0"/>
    <n v="0"/>
    <n v="0"/>
    <n v="0"/>
    <n v="0"/>
    <n v="0"/>
  </r>
  <r>
    <x v="881"/>
    <m/>
    <m/>
    <m/>
    <m/>
    <m/>
    <m/>
    <n v="0"/>
    <n v="0"/>
    <n v="0"/>
    <n v="0"/>
    <n v="0"/>
    <n v="0"/>
  </r>
  <r>
    <x v="882"/>
    <m/>
    <m/>
    <m/>
    <m/>
    <m/>
    <m/>
    <n v="0"/>
    <n v="0"/>
    <n v="0"/>
    <n v="0"/>
    <n v="0"/>
    <n v="0"/>
  </r>
  <r>
    <x v="883"/>
    <m/>
    <m/>
    <m/>
    <m/>
    <m/>
    <m/>
    <n v="0"/>
    <n v="0"/>
    <n v="0"/>
    <n v="0"/>
    <n v="0"/>
    <n v="0"/>
  </r>
  <r>
    <x v="884"/>
    <m/>
    <m/>
    <m/>
    <m/>
    <m/>
    <m/>
    <n v="0"/>
    <n v="0"/>
    <n v="0"/>
    <n v="0"/>
    <n v="0"/>
    <n v="0"/>
  </r>
  <r>
    <x v="885"/>
    <m/>
    <m/>
    <m/>
    <m/>
    <m/>
    <m/>
    <n v="0"/>
    <n v="0"/>
    <n v="0"/>
    <n v="0"/>
    <n v="0"/>
    <n v="0"/>
  </r>
  <r>
    <x v="886"/>
    <m/>
    <m/>
    <m/>
    <m/>
    <m/>
    <m/>
    <n v="0"/>
    <n v="0"/>
    <n v="0"/>
    <n v="0"/>
    <n v="0"/>
    <n v="0"/>
  </r>
  <r>
    <x v="887"/>
    <m/>
    <m/>
    <m/>
    <m/>
    <m/>
    <m/>
    <n v="0"/>
    <n v="0"/>
    <n v="0"/>
    <n v="0"/>
    <n v="0"/>
    <n v="0"/>
  </r>
  <r>
    <x v="888"/>
    <m/>
    <m/>
    <m/>
    <m/>
    <m/>
    <m/>
    <n v="0"/>
    <n v="0"/>
    <n v="0"/>
    <n v="0"/>
    <n v="0"/>
    <n v="0"/>
  </r>
  <r>
    <x v="889"/>
    <m/>
    <m/>
    <m/>
    <m/>
    <m/>
    <m/>
    <n v="0"/>
    <n v="0"/>
    <n v="0"/>
    <n v="0"/>
    <n v="0"/>
    <n v="0"/>
  </r>
  <r>
    <x v="890"/>
    <m/>
    <m/>
    <m/>
    <m/>
    <m/>
    <m/>
    <n v="0"/>
    <n v="0"/>
    <n v="0"/>
    <n v="0"/>
    <n v="0"/>
    <n v="0"/>
  </r>
  <r>
    <x v="891"/>
    <m/>
    <m/>
    <m/>
    <m/>
    <m/>
    <m/>
    <n v="0"/>
    <n v="0"/>
    <n v="0"/>
    <n v="0"/>
    <n v="0"/>
    <n v="0"/>
  </r>
  <r>
    <x v="892"/>
    <m/>
    <m/>
    <m/>
    <m/>
    <m/>
    <m/>
    <n v="0"/>
    <n v="0"/>
    <n v="0"/>
    <n v="0"/>
    <n v="0"/>
    <n v="0"/>
  </r>
  <r>
    <x v="893"/>
    <m/>
    <m/>
    <m/>
    <m/>
    <m/>
    <m/>
    <n v="0"/>
    <n v="0"/>
    <n v="0"/>
    <n v="0"/>
    <n v="0"/>
    <n v="0"/>
  </r>
  <r>
    <x v="894"/>
    <m/>
    <m/>
    <m/>
    <m/>
    <m/>
    <m/>
    <n v="0"/>
    <n v="0"/>
    <n v="0"/>
    <n v="0"/>
    <n v="0"/>
    <n v="0"/>
  </r>
  <r>
    <x v="895"/>
    <m/>
    <m/>
    <m/>
    <m/>
    <m/>
    <m/>
    <n v="0"/>
    <n v="0"/>
    <n v="0"/>
    <n v="0"/>
    <n v="0"/>
    <n v="0"/>
  </r>
  <r>
    <x v="896"/>
    <m/>
    <m/>
    <m/>
    <m/>
    <m/>
    <m/>
    <n v="0"/>
    <n v="0"/>
    <n v="0"/>
    <n v="0"/>
    <n v="0"/>
    <n v="0"/>
  </r>
  <r>
    <x v="897"/>
    <m/>
    <m/>
    <m/>
    <m/>
    <m/>
    <m/>
    <n v="0"/>
    <n v="0"/>
    <n v="0"/>
    <n v="0"/>
    <n v="0"/>
    <n v="0"/>
  </r>
  <r>
    <x v="898"/>
    <m/>
    <m/>
    <m/>
    <m/>
    <m/>
    <m/>
    <n v="0"/>
    <n v="0"/>
    <n v="0"/>
    <n v="0"/>
    <n v="0"/>
    <n v="0"/>
  </r>
  <r>
    <x v="899"/>
    <m/>
    <m/>
    <m/>
    <m/>
    <m/>
    <m/>
    <n v="0"/>
    <n v="0"/>
    <n v="0"/>
    <n v="0"/>
    <n v="0"/>
    <n v="0"/>
  </r>
  <r>
    <x v="900"/>
    <m/>
    <m/>
    <m/>
    <m/>
    <m/>
    <m/>
    <n v="0"/>
    <n v="0"/>
    <n v="0"/>
    <n v="0"/>
    <n v="0"/>
    <n v="0"/>
  </r>
  <r>
    <x v="901"/>
    <m/>
    <m/>
    <m/>
    <m/>
    <m/>
    <m/>
    <n v="0"/>
    <n v="0"/>
    <n v="0"/>
    <n v="0"/>
    <n v="0"/>
    <n v="0"/>
  </r>
  <r>
    <x v="902"/>
    <m/>
    <m/>
    <m/>
    <m/>
    <m/>
    <m/>
    <n v="0"/>
    <n v="0"/>
    <n v="0"/>
    <n v="0"/>
    <n v="0"/>
    <n v="0"/>
  </r>
  <r>
    <x v="903"/>
    <m/>
    <m/>
    <m/>
    <m/>
    <m/>
    <m/>
    <n v="0"/>
    <n v="0"/>
    <n v="0"/>
    <n v="0"/>
    <n v="0"/>
    <n v="0"/>
  </r>
  <r>
    <x v="904"/>
    <m/>
    <m/>
    <m/>
    <m/>
    <m/>
    <m/>
    <n v="0"/>
    <n v="0"/>
    <n v="0"/>
    <n v="0"/>
    <n v="0"/>
    <n v="0"/>
  </r>
  <r>
    <x v="905"/>
    <m/>
    <m/>
    <m/>
    <m/>
    <m/>
    <m/>
    <n v="0"/>
    <n v="0"/>
    <n v="0"/>
    <n v="0"/>
    <n v="0"/>
    <n v="0"/>
  </r>
  <r>
    <x v="906"/>
    <m/>
    <m/>
    <m/>
    <m/>
    <m/>
    <m/>
    <n v="0"/>
    <n v="0"/>
    <n v="0"/>
    <n v="0"/>
    <n v="0"/>
    <n v="0"/>
  </r>
  <r>
    <x v="907"/>
    <m/>
    <m/>
    <m/>
    <m/>
    <m/>
    <m/>
    <n v="0"/>
    <n v="0"/>
    <n v="0"/>
    <n v="0"/>
    <n v="0"/>
    <n v="0"/>
  </r>
  <r>
    <x v="908"/>
    <m/>
    <m/>
    <m/>
    <m/>
    <m/>
    <m/>
    <n v="0"/>
    <n v="0"/>
    <n v="0"/>
    <n v="0"/>
    <n v="0"/>
    <n v="0"/>
  </r>
  <r>
    <x v="909"/>
    <m/>
    <m/>
    <m/>
    <m/>
    <m/>
    <m/>
    <n v="0"/>
    <n v="0"/>
    <n v="0"/>
    <n v="0"/>
    <n v="0"/>
    <n v="0"/>
  </r>
  <r>
    <x v="910"/>
    <m/>
    <m/>
    <m/>
    <m/>
    <m/>
    <m/>
    <n v="0"/>
    <n v="0"/>
    <n v="0"/>
    <n v="0"/>
    <n v="0"/>
    <n v="0"/>
  </r>
  <r>
    <x v="911"/>
    <m/>
    <m/>
    <m/>
    <m/>
    <m/>
    <m/>
    <n v="0"/>
    <n v="0"/>
    <n v="0"/>
    <n v="0"/>
    <n v="0"/>
    <n v="0"/>
  </r>
  <r>
    <x v="912"/>
    <m/>
    <m/>
    <m/>
    <m/>
    <m/>
    <m/>
    <n v="0"/>
    <n v="0"/>
    <n v="0"/>
    <n v="0"/>
    <n v="0"/>
    <n v="0"/>
  </r>
  <r>
    <x v="913"/>
    <m/>
    <m/>
    <m/>
    <m/>
    <m/>
    <m/>
    <n v="0"/>
    <n v="0"/>
    <n v="0"/>
    <n v="0"/>
    <n v="0"/>
    <n v="0"/>
  </r>
  <r>
    <x v="914"/>
    <m/>
    <m/>
    <m/>
    <m/>
    <m/>
    <m/>
    <n v="0"/>
    <n v="0"/>
    <n v="0"/>
    <n v="0"/>
    <n v="0"/>
    <n v="0"/>
  </r>
  <r>
    <x v="915"/>
    <m/>
    <m/>
    <m/>
    <m/>
    <m/>
    <m/>
    <n v="0"/>
    <n v="0"/>
    <n v="0"/>
    <n v="0"/>
    <n v="0"/>
    <n v="0"/>
  </r>
  <r>
    <x v="916"/>
    <m/>
    <m/>
    <m/>
    <m/>
    <m/>
    <m/>
    <n v="0"/>
    <n v="0"/>
    <n v="0"/>
    <n v="0"/>
    <n v="0"/>
    <n v="0"/>
  </r>
  <r>
    <x v="917"/>
    <m/>
    <m/>
    <m/>
    <m/>
    <m/>
    <m/>
    <n v="0"/>
    <n v="0"/>
    <n v="0"/>
    <n v="0"/>
    <n v="0"/>
    <n v="0"/>
  </r>
  <r>
    <x v="918"/>
    <m/>
    <m/>
    <m/>
    <m/>
    <m/>
    <m/>
    <n v="0"/>
    <n v="0"/>
    <n v="0"/>
    <n v="0"/>
    <n v="0"/>
    <n v="0"/>
  </r>
  <r>
    <x v="919"/>
    <m/>
    <m/>
    <m/>
    <m/>
    <m/>
    <m/>
    <n v="0"/>
    <n v="0"/>
    <n v="0"/>
    <n v="0"/>
    <n v="0"/>
    <n v="0"/>
  </r>
  <r>
    <x v="920"/>
    <m/>
    <m/>
    <m/>
    <m/>
    <m/>
    <m/>
    <n v="0"/>
    <n v="0"/>
    <n v="0"/>
    <n v="0"/>
    <n v="0"/>
    <n v="0"/>
  </r>
  <r>
    <x v="921"/>
    <m/>
    <m/>
    <m/>
    <m/>
    <m/>
    <m/>
    <n v="0"/>
    <n v="0"/>
    <n v="0"/>
    <n v="0"/>
    <n v="0"/>
    <n v="0"/>
  </r>
  <r>
    <x v="922"/>
    <m/>
    <m/>
    <m/>
    <m/>
    <m/>
    <m/>
    <n v="0"/>
    <n v="0"/>
    <n v="0"/>
    <n v="0"/>
    <n v="0"/>
    <n v="0"/>
  </r>
  <r>
    <x v="923"/>
    <m/>
    <m/>
    <m/>
    <m/>
    <m/>
    <m/>
    <n v="0"/>
    <n v="0"/>
    <n v="0"/>
    <n v="0"/>
    <n v="0"/>
    <n v="0"/>
  </r>
  <r>
    <x v="924"/>
    <m/>
    <m/>
    <m/>
    <m/>
    <m/>
    <m/>
    <n v="0"/>
    <n v="0"/>
    <n v="0"/>
    <n v="0"/>
    <n v="0"/>
    <n v="0"/>
  </r>
  <r>
    <x v="925"/>
    <m/>
    <m/>
    <m/>
    <m/>
    <m/>
    <m/>
    <n v="0"/>
    <n v="0"/>
    <n v="0"/>
    <n v="0"/>
    <n v="0"/>
    <n v="0"/>
  </r>
  <r>
    <x v="926"/>
    <m/>
    <m/>
    <m/>
    <m/>
    <m/>
    <m/>
    <n v="0"/>
    <n v="0"/>
    <n v="0"/>
    <n v="0"/>
    <n v="0"/>
    <n v="0"/>
  </r>
  <r>
    <x v="927"/>
    <m/>
    <m/>
    <m/>
    <m/>
    <m/>
    <m/>
    <n v="0"/>
    <n v="0"/>
    <n v="0"/>
    <n v="0"/>
    <n v="0"/>
    <n v="0"/>
  </r>
  <r>
    <x v="928"/>
    <m/>
    <m/>
    <m/>
    <m/>
    <m/>
    <m/>
    <n v="0"/>
    <n v="0"/>
    <n v="0"/>
    <n v="0"/>
    <n v="0"/>
    <n v="0"/>
  </r>
  <r>
    <x v="929"/>
    <m/>
    <m/>
    <m/>
    <m/>
    <m/>
    <m/>
    <n v="0"/>
    <n v="0"/>
    <n v="0"/>
    <n v="0"/>
    <n v="0"/>
    <n v="0"/>
  </r>
  <r>
    <x v="930"/>
    <m/>
    <m/>
    <m/>
    <m/>
    <m/>
    <m/>
    <n v="0"/>
    <n v="0"/>
    <n v="0"/>
    <n v="0"/>
    <n v="0"/>
    <n v="0"/>
  </r>
  <r>
    <x v="931"/>
    <m/>
    <m/>
    <m/>
    <m/>
    <m/>
    <m/>
    <n v="0"/>
    <n v="0"/>
    <n v="0"/>
    <n v="0"/>
    <n v="0"/>
    <n v="0"/>
  </r>
  <r>
    <x v="932"/>
    <m/>
    <m/>
    <m/>
    <m/>
    <m/>
    <m/>
    <n v="0"/>
    <n v="0"/>
    <n v="0"/>
    <n v="0"/>
    <n v="0"/>
    <n v="0"/>
  </r>
  <r>
    <x v="933"/>
    <m/>
    <m/>
    <m/>
    <m/>
    <m/>
    <m/>
    <n v="0"/>
    <n v="0"/>
    <n v="0"/>
    <n v="0"/>
    <n v="0"/>
    <n v="0"/>
  </r>
  <r>
    <x v="934"/>
    <m/>
    <m/>
    <m/>
    <m/>
    <m/>
    <m/>
    <n v="0"/>
    <n v="0"/>
    <n v="0"/>
    <n v="0"/>
    <n v="0"/>
    <n v="0"/>
  </r>
  <r>
    <x v="935"/>
    <m/>
    <m/>
    <m/>
    <m/>
    <m/>
    <m/>
    <n v="0"/>
    <n v="0"/>
    <n v="0"/>
    <n v="0"/>
    <n v="0"/>
    <n v="0"/>
  </r>
  <r>
    <x v="936"/>
    <m/>
    <m/>
    <m/>
    <m/>
    <m/>
    <m/>
    <n v="0"/>
    <n v="0"/>
    <n v="0"/>
    <n v="0"/>
    <n v="0"/>
    <n v="0"/>
  </r>
  <r>
    <x v="937"/>
    <m/>
    <m/>
    <m/>
    <m/>
    <m/>
    <m/>
    <n v="0"/>
    <n v="0"/>
    <n v="0"/>
    <n v="0"/>
    <n v="0"/>
    <n v="0"/>
  </r>
  <r>
    <x v="938"/>
    <m/>
    <m/>
    <m/>
    <m/>
    <m/>
    <m/>
    <n v="0"/>
    <n v="0"/>
    <n v="0"/>
    <n v="0"/>
    <n v="0"/>
    <n v="0"/>
  </r>
  <r>
    <x v="939"/>
    <m/>
    <m/>
    <m/>
    <m/>
    <m/>
    <m/>
    <n v="0"/>
    <n v="0"/>
    <n v="0"/>
    <n v="0"/>
    <n v="0"/>
    <n v="0"/>
  </r>
  <r>
    <x v="940"/>
    <m/>
    <m/>
    <m/>
    <m/>
    <m/>
    <m/>
    <n v="0"/>
    <n v="0"/>
    <n v="0"/>
    <n v="0"/>
    <n v="0"/>
    <n v="0"/>
  </r>
  <r>
    <x v="941"/>
    <m/>
    <m/>
    <m/>
    <m/>
    <m/>
    <m/>
    <n v="0"/>
    <n v="0"/>
    <n v="0"/>
    <n v="0"/>
    <n v="0"/>
    <n v="0"/>
  </r>
  <r>
    <x v="942"/>
    <m/>
    <m/>
    <m/>
    <m/>
    <m/>
    <m/>
    <n v="0"/>
    <n v="0"/>
    <n v="0"/>
    <n v="0"/>
    <n v="0"/>
    <n v="0"/>
  </r>
  <r>
    <x v="943"/>
    <m/>
    <m/>
    <m/>
    <m/>
    <m/>
    <m/>
    <n v="0"/>
    <n v="0"/>
    <n v="0"/>
    <n v="0"/>
    <n v="0"/>
    <n v="0"/>
  </r>
  <r>
    <x v="944"/>
    <m/>
    <m/>
    <m/>
    <m/>
    <m/>
    <m/>
    <n v="0"/>
    <n v="0"/>
    <n v="0"/>
    <n v="0"/>
    <n v="0"/>
    <n v="0"/>
  </r>
  <r>
    <x v="945"/>
    <m/>
    <m/>
    <m/>
    <m/>
    <m/>
    <m/>
    <n v="0"/>
    <n v="0"/>
    <n v="0"/>
    <n v="0"/>
    <n v="0"/>
    <n v="0"/>
  </r>
  <r>
    <x v="946"/>
    <m/>
    <m/>
    <m/>
    <m/>
    <m/>
    <m/>
    <n v="0"/>
    <n v="0"/>
    <n v="0"/>
    <n v="0"/>
    <n v="0"/>
    <n v="0"/>
  </r>
  <r>
    <x v="947"/>
    <m/>
    <m/>
    <m/>
    <m/>
    <m/>
    <m/>
    <n v="0"/>
    <n v="0"/>
    <n v="0"/>
    <n v="0"/>
    <n v="0"/>
    <n v="0"/>
  </r>
  <r>
    <x v="948"/>
    <m/>
    <m/>
    <m/>
    <m/>
    <m/>
    <m/>
    <n v="0"/>
    <n v="0"/>
    <n v="0"/>
    <n v="0"/>
    <n v="0"/>
    <n v="0"/>
  </r>
  <r>
    <x v="949"/>
    <m/>
    <m/>
    <m/>
    <m/>
    <m/>
    <m/>
    <n v="0"/>
    <n v="0"/>
    <n v="0"/>
    <n v="0"/>
    <n v="0"/>
    <n v="0"/>
  </r>
  <r>
    <x v="950"/>
    <m/>
    <m/>
    <m/>
    <m/>
    <m/>
    <m/>
    <n v="0"/>
    <n v="0"/>
    <n v="0"/>
    <n v="0"/>
    <n v="0"/>
    <n v="0"/>
  </r>
  <r>
    <x v="951"/>
    <m/>
    <m/>
    <m/>
    <m/>
    <m/>
    <m/>
    <n v="0"/>
    <n v="0"/>
    <n v="0"/>
    <n v="0"/>
    <n v="0"/>
    <n v="0"/>
  </r>
  <r>
    <x v="952"/>
    <m/>
    <m/>
    <m/>
    <m/>
    <m/>
    <m/>
    <n v="0"/>
    <n v="0"/>
    <n v="0"/>
    <n v="0"/>
    <n v="0"/>
    <n v="0"/>
  </r>
  <r>
    <x v="953"/>
    <m/>
    <m/>
    <m/>
    <m/>
    <m/>
    <m/>
    <n v="0"/>
    <n v="0"/>
    <n v="0"/>
    <n v="0"/>
    <n v="0"/>
    <n v="0"/>
  </r>
  <r>
    <x v="954"/>
    <m/>
    <m/>
    <m/>
    <m/>
    <m/>
    <m/>
    <n v="0"/>
    <n v="0"/>
    <n v="0"/>
    <n v="0"/>
    <n v="0"/>
    <n v="0"/>
  </r>
  <r>
    <x v="955"/>
    <m/>
    <m/>
    <m/>
    <m/>
    <m/>
    <m/>
    <n v="0"/>
    <n v="0"/>
    <n v="0"/>
    <n v="0"/>
    <n v="0"/>
    <n v="0"/>
  </r>
  <r>
    <x v="956"/>
    <m/>
    <m/>
    <m/>
    <m/>
    <m/>
    <m/>
    <n v="0"/>
    <n v="0"/>
    <n v="0"/>
    <n v="0"/>
    <n v="0"/>
    <n v="0"/>
  </r>
  <r>
    <x v="957"/>
    <m/>
    <m/>
    <m/>
    <m/>
    <m/>
    <m/>
    <n v="0"/>
    <n v="0"/>
    <n v="0"/>
    <n v="0"/>
    <n v="0"/>
    <n v="0"/>
  </r>
  <r>
    <x v="958"/>
    <m/>
    <m/>
    <m/>
    <m/>
    <m/>
    <m/>
    <n v="0"/>
    <n v="0"/>
    <n v="0"/>
    <n v="0"/>
    <n v="0"/>
    <n v="0"/>
  </r>
  <r>
    <x v="959"/>
    <m/>
    <m/>
    <m/>
    <m/>
    <m/>
    <m/>
    <n v="0"/>
    <n v="0"/>
    <n v="0"/>
    <n v="0"/>
    <n v="0"/>
    <n v="0"/>
  </r>
  <r>
    <x v="960"/>
    <m/>
    <m/>
    <m/>
    <m/>
    <m/>
    <m/>
    <n v="0"/>
    <n v="0"/>
    <n v="0"/>
    <n v="0"/>
    <n v="0"/>
    <n v="0"/>
  </r>
  <r>
    <x v="961"/>
    <m/>
    <m/>
    <m/>
    <m/>
    <m/>
    <m/>
    <n v="0"/>
    <n v="0"/>
    <n v="0"/>
    <n v="0"/>
    <n v="0"/>
    <n v="0"/>
  </r>
  <r>
    <x v="962"/>
    <m/>
    <m/>
    <m/>
    <m/>
    <m/>
    <m/>
    <n v="0"/>
    <n v="0"/>
    <n v="0"/>
    <n v="0"/>
    <n v="0"/>
    <n v="0"/>
  </r>
  <r>
    <x v="963"/>
    <m/>
    <m/>
    <m/>
    <m/>
    <m/>
    <m/>
    <n v="0"/>
    <n v="0"/>
    <n v="0"/>
    <n v="0"/>
    <n v="0"/>
    <n v="0"/>
  </r>
  <r>
    <x v="964"/>
    <m/>
    <m/>
    <m/>
    <m/>
    <m/>
    <m/>
    <n v="0"/>
    <n v="0"/>
    <n v="0"/>
    <n v="0"/>
    <n v="0"/>
    <n v="0"/>
  </r>
  <r>
    <x v="965"/>
    <m/>
    <m/>
    <m/>
    <m/>
    <m/>
    <m/>
    <n v="0"/>
    <n v="0"/>
    <n v="0"/>
    <n v="0"/>
    <n v="0"/>
    <n v="0"/>
  </r>
  <r>
    <x v="966"/>
    <m/>
    <m/>
    <m/>
    <m/>
    <m/>
    <m/>
    <n v="0"/>
    <n v="0"/>
    <n v="0"/>
    <n v="0"/>
    <n v="0"/>
    <n v="0"/>
  </r>
  <r>
    <x v="967"/>
    <m/>
    <m/>
    <m/>
    <m/>
    <m/>
    <m/>
    <n v="0"/>
    <n v="0"/>
    <n v="0"/>
    <n v="0"/>
    <n v="0"/>
    <n v="0"/>
  </r>
  <r>
    <x v="968"/>
    <m/>
    <m/>
    <m/>
    <m/>
    <m/>
    <m/>
    <n v="0"/>
    <n v="0"/>
    <n v="0"/>
    <n v="0"/>
    <n v="0"/>
    <n v="0"/>
  </r>
  <r>
    <x v="969"/>
    <m/>
    <m/>
    <m/>
    <m/>
    <m/>
    <m/>
    <n v="0"/>
    <n v="0"/>
    <n v="0"/>
    <n v="0"/>
    <n v="0"/>
    <n v="0"/>
  </r>
  <r>
    <x v="970"/>
    <m/>
    <m/>
    <m/>
    <m/>
    <m/>
    <m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n v="0"/>
    <m/>
    <n v="0"/>
    <n v="0"/>
    <n v="0"/>
    <n v="0"/>
    <n v="0"/>
    <n v="0"/>
    <n v="0"/>
    <n v="0"/>
    <e v="#N/A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n v="0"/>
    <m/>
    <n v="0"/>
    <n v="0"/>
    <n v="0"/>
    <n v="0"/>
    <n v="0"/>
    <n v="0"/>
    <n v="0"/>
    <n v="0"/>
    <e v="#N/A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n v="0"/>
    <m/>
    <n v="0"/>
    <n v="0"/>
    <n v="0"/>
    <n v="0"/>
    <n v="0"/>
    <n v="0"/>
    <n v="0"/>
    <n v="0"/>
    <e v="#N/A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0CDA51-8C1D-4E8B-9D79-754B18803E17}" name="Tabela dinâmica1" cacheId="2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8">
  <location ref="Q22:R36" firstHeaderRow="1" firstDataRow="1" firstDataCol="1"/>
  <pivotFields count="15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numFmtId="165" showAll="0"/>
    <pivotField numFmtId="165" showAll="0"/>
    <pivotField numFmtId="165" showAll="0"/>
    <pivotField numFmtId="165" showAll="0"/>
    <pivotField numFmtId="165" showAll="0"/>
    <pivotField dataField="1" numFmtId="165" showAll="0"/>
    <pivotField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84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t="default"/>
      </items>
    </pivotField>
  </pivotFields>
  <rowFields count="2">
    <field x="14"/>
    <field x="0"/>
  </rowFields>
  <rowItems count="14"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Items count="1">
    <i/>
  </colItems>
  <dataFields count="1">
    <dataField name="Soma de R Total" fld="12" baseField="14" baseItem="1" numFmtId="165"/>
  </dataFields>
  <chartFormats count="1"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069324-991B-43C0-933B-413C599E9CC9}" name="Tabela dinâmica1" cacheId="3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8">
  <location ref="P5:Q7" firstHeaderRow="1" firstDataRow="1" firstDataCol="1"/>
  <pivotFields count="14">
    <pivotField showAll="0"/>
    <pivotField axis="axisRow" showAll="0">
      <items count="11">
        <item m="1" x="4"/>
        <item m="1" x="6"/>
        <item m="1" x="7"/>
        <item x="0"/>
        <item m="1" x="3"/>
        <item m="1" x="9"/>
        <item m="1" x="1"/>
        <item m="1" x="2"/>
        <item m="1" x="8"/>
        <item m="1" x="5"/>
        <item t="default"/>
      </items>
    </pivotField>
    <pivotField showAll="0"/>
    <pivotField showAll="0"/>
    <pivotField numFmtId="9" showAll="0"/>
    <pivotField numFmtId="9" showAll="0"/>
    <pivotField numFmtId="165" showAll="0"/>
    <pivotField numFmtId="165" showAll="0"/>
    <pivotField numFmtId="165" showAll="0"/>
    <pivotField numFmtId="165" showAll="0"/>
    <pivotField numFmtId="166" showAll="0"/>
    <pivotField dataField="1" numFmtId="166" showAll="0"/>
    <pivotField showAll="0"/>
    <pivotField numFmtId="165" showAll="0"/>
  </pivotFields>
  <rowFields count="1">
    <field x="1"/>
  </rowFields>
  <rowItems count="2">
    <i>
      <x v="3"/>
    </i>
    <i t="grand">
      <x/>
    </i>
  </rowItems>
  <colItems count="1">
    <i/>
  </colItems>
  <dataFields count="1">
    <dataField name="Soma de %Atual" fld="11" baseField="0" baseItem="0"/>
  </dataFields>
  <chartFormats count="5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0C5B5A-A3A8-4DCA-9B7D-10BDD9B6E744}" name="Div_Setorial_Ações" cacheId="28" applyNumberFormats="0" applyBorderFormats="0" applyFontFormats="0" applyPatternFormats="0" applyAlignmentFormats="0" applyWidthHeightFormats="1" dataCaption="Valores" updatedVersion="7" minRefreshableVersion="3" enableDrill="0" useAutoFormatting="1" rowGrandTotals="0" colGrandTotals="0" itemPrintTitles="1" createdVersion="7" indent="0" outline="1" outlineData="1" multipleFieldFilters="0" chartFormat="28">
  <location ref="C5:D6" firstHeaderRow="1" firstDataRow="1" firstDataCol="1"/>
  <pivotFields count="14">
    <pivotField showAll="0"/>
    <pivotField axis="axisRow" showAll="0">
      <items count="20">
        <item m="1" x="11"/>
        <item m="1" x="16"/>
        <item m="1" x="4"/>
        <item m="1" x="2"/>
        <item m="1" x="12"/>
        <item m="1" x="13"/>
        <item m="1" x="5"/>
        <item m="1" x="18"/>
        <item m="1" x="6"/>
        <item m="1" x="10"/>
        <item m="1" x="7"/>
        <item m="1" x="8"/>
        <item x="0"/>
        <item m="1" x="15"/>
        <item m="1" x="3"/>
        <item m="1" x="14"/>
        <item m="1" x="9"/>
        <item m="1" x="1"/>
        <item m="1" x="17"/>
        <item t="default"/>
      </items>
    </pivotField>
    <pivotField showAll="0"/>
    <pivotField showAll="0"/>
    <pivotField numFmtId="9" showAll="0"/>
    <pivotField numFmtId="9" showAll="0"/>
    <pivotField numFmtId="165" showAll="0"/>
    <pivotField numFmtId="165" showAll="0"/>
    <pivotField numFmtId="165" showAll="0"/>
    <pivotField numFmtId="165" showAll="0"/>
    <pivotField numFmtId="166" showAll="0"/>
    <pivotField dataField="1" numFmtId="166" showAll="0"/>
    <pivotField showAll="0"/>
    <pivotField showAll="0"/>
  </pivotFields>
  <rowFields count="1">
    <field x="1"/>
  </rowFields>
  <rowItems count="1">
    <i>
      <x v="12"/>
    </i>
  </rowItems>
  <colItems count="1">
    <i/>
  </colItems>
  <dataFields count="1">
    <dataField name="Soma de %Atual" fld="11" baseField="0" baseItem="0" numFmtId="9"/>
  </dataFields>
  <formats count="6">
    <format dxfId="5">
      <pivotArea type="all" dataOnly="0" outline="0" fieldPosition="0"/>
    </format>
    <format dxfId="4">
      <pivotArea outline="0" collapsedLevelsAreSubtotals="1" fieldPosition="0"/>
    </format>
    <format dxfId="3">
      <pivotArea field="1" type="button" dataOnly="0" labelOnly="1" outline="0" axis="axisRow" fieldPosition="0"/>
    </format>
    <format dxfId="2">
      <pivotArea dataOnly="0" labelOnly="1" fieldPosition="0">
        <references count="1">
          <reference field="1" count="0"/>
        </references>
      </pivotArea>
    </format>
    <format dxfId="1">
      <pivotArea dataOnly="0" labelOnly="1" outline="0" axis="axisValues" fieldPosition="0"/>
    </format>
    <format dxfId="0">
      <pivotArea outline="0" collapsedLevelsAreSubtotals="1" fieldPosition="0"/>
    </format>
  </formats>
  <chartFormats count="33">
    <chartFormat chart="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5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2" format="16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2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2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3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3" format="2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3" format="22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3" format="23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1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5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1" format="26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1" format="27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1" format="28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4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4" format="2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4" format="22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4" format="23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5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3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5" format="3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5" format="32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5" format="33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6" format="3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35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6" format="36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6" format="37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6" format="38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7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0550D-FA04-4C2A-9042-866BA922FCD0}" name="Div_Setorial_BDRs" cacheId="25" applyNumberFormats="0" applyBorderFormats="0" applyFontFormats="0" applyPatternFormats="0" applyAlignmentFormats="0" applyWidthHeightFormats="1" dataCaption="Valores" updatedVersion="7" minRefreshableVersion="3" showDrill="0" showDataTips="0" useAutoFormatting="1" rowGrandTotals="0" itemPrintTitles="1" createdVersion="7" indent="0" outline="1" outlineData="1" multipleFieldFilters="0" chartFormat="11">
  <location ref="H5:I6" firstHeaderRow="1" firstDataRow="1" firstDataCol="1"/>
  <pivotFields count="14">
    <pivotField showAll="0"/>
    <pivotField axis="axisRow" showAll="0">
      <items count="12">
        <item x="0"/>
        <item m="1" x="7"/>
        <item m="1" x="9"/>
        <item m="1" x="8"/>
        <item m="1" x="6"/>
        <item m="1" x="4"/>
        <item m="1" x="1"/>
        <item m="1" x="3"/>
        <item m="1" x="2"/>
        <item m="1" x="5"/>
        <item m="1" x="10"/>
        <item t="default"/>
      </items>
    </pivotField>
    <pivotField showAll="0"/>
    <pivotField showAll="0"/>
    <pivotField numFmtId="9" showAll="0"/>
    <pivotField numFmtId="9" showAll="0"/>
    <pivotField numFmtId="165" showAll="0"/>
    <pivotField showAll="0"/>
    <pivotField showAll="0"/>
    <pivotField numFmtId="165" showAll="0"/>
    <pivotField numFmtId="166" showAll="0"/>
    <pivotField dataField="1" numFmtId="166" showAll="0"/>
    <pivotField showAll="0"/>
    <pivotField numFmtId="165" showAll="0"/>
  </pivotFields>
  <rowFields count="1">
    <field x="1"/>
  </rowFields>
  <rowItems count="1">
    <i>
      <x/>
    </i>
  </rowItems>
  <colItems count="1">
    <i/>
  </colItems>
  <dataFields count="1">
    <dataField name="Soma de %Atual" fld="11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1" type="button" dataOnly="0" labelOnly="1" outline="0" axis="axisRow" fieldPosition="0"/>
    </format>
    <format dxfId="7">
      <pivotArea dataOnly="0" labelOnly="1" fieldPosition="0">
        <references count="1">
          <reference field="1" count="0"/>
        </references>
      </pivotArea>
    </format>
    <format dxfId="6">
      <pivotArea dataOnly="0" labelOnly="1" outline="0" axis="axisValues" fieldPosition="0"/>
    </format>
  </formats>
  <chartFormats count="1">
    <chartFormat chart="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526289-D330-404D-ACD7-6AC690F0D645}" name="Dist_Classes" displayName="Dist_Classes" ref="D11:L14" totalsRowShown="0" headerRowDxfId="133" dataDxfId="131" headerRowBorderDxfId="132" tableBorderDxfId="130">
  <tableColumns count="9">
    <tableColumn id="1" xr3:uid="{A266651F-06B7-4A70-BD93-C10E63A8151A}" name="Tipo" dataDxfId="129"/>
    <tableColumn id="2" xr3:uid="{2DB95F33-9847-416C-8E1D-9B10A1E3D4E8}" name="Investido" dataDxfId="128">
      <calculatedColumnFormula>BDRs!I4</calculatedColumnFormula>
    </tableColumn>
    <tableColumn id="5" xr3:uid="{F25D539E-44ED-407B-A2EF-0AEA45493E77}" name="L/P" dataDxfId="127"/>
    <tableColumn id="7" xr3:uid="{ABF29BFC-B2D5-4CD5-9B5F-C944174B219A}" name="%L/P" dataDxfId="126" dataCellStyle="Porcentagem">
      <calculatedColumnFormula>IFERROR(Dist_Classes[[#This Row],[L/P]]/Dist_Classes[[#This Row],[Investido]],0)</calculatedColumnFormula>
    </tableColumn>
    <tableColumn id="3" xr3:uid="{BC08430D-7D2A-4E33-A93C-9140C8B92748}" name="Patrimônio Atual" dataDxfId="125"/>
    <tableColumn id="8" xr3:uid="{7B22EFBC-CED2-4B08-8E03-6E88C6740813}" name="Peso ideal" dataDxfId="124" dataCellStyle="Porcentagem"/>
    <tableColumn id="9" xr3:uid="{747C78F2-014E-415A-9676-A479F2C225B7}" name="Peso atual " dataDxfId="123" dataCellStyle="Porcentagem">
      <calculatedColumnFormula>IFERROR(H12/$D$5,0)</calculatedColumnFormula>
    </tableColumn>
    <tableColumn id="10" xr3:uid="{362EC75B-631D-468B-B462-C5130CB822E4}" name="Status" dataDxfId="122">
      <calculatedColumnFormula>_xlfn.IFS(J12&lt;I12,"Abaixo",J12 = I12,"Ideal",J12&gt;I12,"Acima")</calculatedColumnFormula>
    </tableColumn>
    <tableColumn id="12" xr3:uid="{DA95A44C-7C3F-4905-9098-796F08D5B929}" name="Aporte equílibrio" dataDxfId="121">
      <calculatedColumnFormula>I12*$D$5 - H12</calculatedColumnFormula>
    </tableColumn>
  </tableColumns>
  <tableStyleInfo name="Estilo de Tabela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D15B5E-F82D-4BFD-B41F-BD3B1D94E57E}" name="His_Operacoes_acoes" displayName="His_Operacoes_acoes" ref="D65:P66" totalsRowShown="0" headerRowDxfId="117" dataDxfId="115" headerRowBorderDxfId="116" tableBorderDxfId="114">
  <autoFilter ref="D65:P66" xr:uid="{ACD15B5E-F82D-4BFD-B41F-BD3B1D94E57E}"/>
  <tableColumns count="13">
    <tableColumn id="1" xr3:uid="{3EA95BAC-FB4E-4C2A-9312-2636B5273213}" name="Título" dataDxfId="113"/>
    <tableColumn id="2" xr3:uid="{73E74978-23E8-4305-9B33-E09DFC7DB77E}" name="Operação" dataDxfId="112"/>
    <tableColumn id="7" xr3:uid="{A8D3C1A3-59D8-4AA9-A5FE-B98852309AB2}" name="Data" dataDxfId="111"/>
    <tableColumn id="3" xr3:uid="{AC3191BE-B002-4536-BE31-BE9289EEDB09}" name="Setor" dataDxfId="110">
      <calculatedColumnFormula>IFERROR(VLOOKUP(His_Operacoes_acoes[[#This Row],[Título]],Interesse_Acoes[],2,0),"")</calculatedColumnFormula>
    </tableColumn>
    <tableColumn id="4" xr3:uid="{4DEF1777-E01C-4523-9B99-38C7A8814714}" name="Qtd." dataDxfId="109"/>
    <tableColumn id="5" xr3:uid="{2AF5BF2D-10FA-4B35-84D6-5CF4C39629FD}" name="Preço" dataDxfId="108"/>
    <tableColumn id="6" xr3:uid="{1CAA5BF2-6868-4167-84CB-3FA34840EE12}" name="Total" dataDxfId="107">
      <calculatedColumnFormula>His_Operacoes_acoes[[#This Row],[Qtd.]]*His_Operacoes_acoes[[#This Row],[Preço]] +His_Operacoes_acoes[[#This Row],[corret.]]</calculatedColumnFormula>
    </tableColumn>
    <tableColumn id="8" xr3:uid="{2F92B0DB-85C9-4552-A003-A5803DBA75CC}" name="Qtd acum." dataDxfId="106">
      <calculatedColumnFormula>SUMIFS(H66:H$1048576,D66:D$1048576,His_Operacoes_acoes[[#This Row],[Título]],E66:E$1048576,"Compra") -
SUMIFS(H66:H$1048576,D66:D$1048576,His_Operacoes_acoes[[#This Row],[Título]],E66:E$1048576,"Venda")</calculatedColumnFormula>
    </tableColumn>
    <tableColumn id="9" xr3:uid="{A9FDA809-61B9-4985-A280-7B4BBECD098B}" name="PM" dataDxfId="105">
      <calculatedColumnFormula>IF(His_Operacoes_acoes[[#This Row],[Operação]] = "Compra",
His_Operacoes_acoes[[#This Row],[Saldo Acum.]]/His_Operacoes_acoes[[#This Row],[Qtd acum.]],
IFERROR(VLOOKUP(His_Operacoes_acoes[[#This Row],[Título]],D67:M$1048576,9,FALSE),0))</calculatedColumnFormula>
    </tableColumn>
    <tableColumn id="10" xr3:uid="{9EEA210A-5C37-49F0-863C-88EA59D6F63C}" name="Saldo Acum." dataDxfId="104">
      <calculatedColumnFormula>_xlfn.IFS(His_Operacoes_acoes[[#This Row],[Operação]] = "Compra", IFERROR(VLOOKUP(His_Operacoes_acoes[[#This Row],[Título]],D67:M$1048576,10,FALSE),0) + His_Operacoes_acoes[[#This Row],[Total]],
His_Operacoes_acoes[[#This Row],[Operação]] = "Venda",His_Operacoes_acoes[[#This Row],[Qtd acum.]] * IFERROR(VLOOKUP(His_Operacoes_acoes[[#This Row],[Título]],D67:M$1048576,9,FALSE),0),
OR(His_Operacoes_acoes[[#This Row],[Operação]] = "JCP", His_Operacoes_acoes[[#This Row],[Operação]] = "Divid.", His_Operacoes_acoes[[#This Row],[Operação]] = "Bonif."),VLOOKUP(His_Operacoes_acoes[[#This Row],[Título]],D67:M$1048576,10,FALSE))</calculatedColumnFormula>
    </tableColumn>
    <tableColumn id="11" xr3:uid="{F4523F51-0691-41A0-8B1B-52E1187C53C1}" name="Fimmes" dataDxfId="103">
      <calculatedColumnFormula>EOMONTH(His_Operacoes_acoes[[#This Row],[Data]],0)</calculatedColumnFormula>
    </tableColumn>
    <tableColumn id="12" xr3:uid="{3AACDA9D-9630-4881-A0E0-D18AD6FF0891}" name="corret." dataDxfId="102"/>
    <tableColumn id="13" xr3:uid="{A7BE1D99-51B2-41D0-A792-D8F4B3298B4E}" name="Lucro" dataDxfId="101">
      <calculatedColumnFormula>_xlfn.IFS(His_Operacoes_acoes[[#This Row],[Operação]] = "Venda",His_Operacoes_acoes[[#This Row],[Total]]-His_Operacoes_acoes[[#This Row],[PM]]*His_Operacoes_acoes[[#This Row],[Qtd.]], OR(His_Operacoes_acoes[[#This Row],[Operação]] = "JCP", His_Operacoes_acoes[[#This Row],[Operação]] = "Divid.", His_Operacoes_acoes[[#This Row],[Operação]] = "Bonif."),His_Operacoes_acoes[[#This Row],[Total]],His_Operacoes_acoes[[#This Row],[Operação]] = "Compra", 0)</calculatedColumnFormula>
    </tableColumn>
  </tableColumns>
  <tableStyleInfo name="Estilo de Tabela 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36009DE-800B-40E7-BEEE-3C924091BC7F}" name="Interesse_Acoes" displayName="Interesse_Acoes" ref="D18:Q19" totalsRowShown="0" headerRowDxfId="100" dataDxfId="98" headerRowBorderDxfId="99" tableBorderDxfId="97">
  <autoFilter ref="D18:Q19" xr:uid="{F36009DE-800B-40E7-BEEE-3C924091BC7F}"/>
  <sortState xmlns:xlrd2="http://schemas.microsoft.com/office/spreadsheetml/2017/richdata2" ref="D19:Q19">
    <sortCondition descending="1" ref="O18:O19"/>
  </sortState>
  <tableColumns count="14">
    <tableColumn id="1" xr3:uid="{3106B259-AA0A-4362-A46D-F0452F2D365B}" name="Título" dataDxfId="96"/>
    <tableColumn id="2" xr3:uid="{FCD08974-EA79-49DA-AD43-437B9F689A19}" name="Setor" dataDxfId="95"/>
    <tableColumn id="3" xr3:uid="{6EC294C3-414D-460A-9342-F16F86308A05}" name="Qtd." dataDxfId="94">
      <calculatedColumnFormula>SUMIFS(His_Operacoes_acoes[[#All],[Qtd.]],His_Operacoes_acoes[[#All],[Título]],Interesse_Acoes[[#This Row],[Título]],His_Operacoes_acoes[[#All],[Operação]],"Compra")
- SUMIFS(His_Operacoes_acoes[[#All],[Qtd.]],His_Operacoes_acoes[[#All],[Título]],Interesse_Acoes[[#This Row],[Título]],His_Operacoes_acoes[[#All],[Operação]],"Venda")</calculatedColumnFormula>
    </tableColumn>
    <tableColumn id="4" xr3:uid="{86644F97-D05D-44A5-BB48-4854038153F2}" name="Nota" dataDxfId="93"/>
    <tableColumn id="5" xr3:uid="{B3E9D413-C1A0-41FC-8C5C-8284F886FD63}" name="%Div" dataDxfId="92" dataCellStyle="Porcentagem">
      <calculatedColumnFormula>IFERROR(
SUMIFS(His_Operacoes_acoes[[#All],[Total]],His_Operacoes_acoes[[#All],[Operação]],"JCP",His_Operacoes_acoes[[#All],[Título]],Interesse_Acoes[[#This Row],[Título]]) / Interesse_Acoes[[#This Row],[Patri. Invest.]]
+ SUMIFS(His_Operacoes_acoes[[#All],[Total]],His_Operacoes_acoes[[#All],[Operação]],"Divid.",His_Operacoes_acoes[[#All],[Título]],Interesse_Acoes[[#This Row],[Título]]) / Interesse_Acoes[[#This Row],[Patri. Invest.]]
+ SUMIFS(His_Operacoes_acoes[[#All],[Total]],His_Operacoes_acoes[[#All],[Operação]],"Bonif.",His_Operacoes_acoes[[#All],[Título]],Interesse_Acoes[[#This Row],[Título]]) / Interesse_Acoes[[#This Row],[Patri. Invest.]],0)</calculatedColumnFormula>
    </tableColumn>
    <tableColumn id="7" xr3:uid="{263EBCB4-9D80-4505-AB7B-7EC29E3227F2}" name="%Cres" dataDxfId="91" dataCellStyle="Porcentagem">
      <calculatedColumnFormula>IFERROR((Interesse_Acoes[[#This Row],[Patri. Atual]]-Interesse_Acoes[[#This Row],[Patri. Invest.]])/Interesse_Acoes[[#This Row],[Patri. Invest.]],0)</calculatedColumnFormula>
    </tableColumn>
    <tableColumn id="6" xr3:uid="{7EF68C42-D84E-4AF3-8FF2-E485E34954DD}" name="Patri. Invest." dataDxfId="90">
      <calculatedColumnFormula>IFERROR(VLOOKUP(Interesse_Acoes[[#This Row],[Título]],His_Operacoes_acoes[],10,0),0)</calculatedColumnFormula>
    </tableColumn>
    <tableColumn id="8" xr3:uid="{BE2F836C-DC6B-4C65-BB36-5A35FC46F2FB}" name="Preço M." dataDxfId="89">
      <calculatedColumnFormula>IFERROR(Interesse_Acoes[[#This Row],[Patri. Invest.]]/Interesse_Acoes[[#This Row],[Qtd.]],0)</calculatedColumnFormula>
    </tableColumn>
    <tableColumn id="9" xr3:uid="{4CB24B76-EB12-41F3-8DAD-BFE20237F1D6}" name="Preço A." dataDxfId="88">
      <calculatedColumnFormula>COTAÇÃO(Interesse_Acoes[[#This Row],[Título]])</calculatedColumnFormula>
    </tableColumn>
    <tableColumn id="14" xr3:uid="{EB8F6DCD-5FB4-4400-B2B5-7DAD31A0DAAD}" name="Patri. Atual" dataDxfId="87">
      <calculatedColumnFormula>Interesse_Acoes[[#This Row],[Preço A.]]*Interesse_Acoes[[#This Row],[Qtd.]]</calculatedColumnFormula>
    </tableColumn>
    <tableColumn id="10" xr3:uid="{1B0020E4-5FCE-4A2B-90A5-CFD138061431}" name="%ideal" dataDxfId="86" dataCellStyle="Porcentagem">
      <calculatedColumnFormula>IFERROR(Interesse_Acoes[[#This Row],[Nota]]/SUM(Interesse_Acoes[[#All],[Nota]]),0)</calculatedColumnFormula>
    </tableColumn>
    <tableColumn id="11" xr3:uid="{1F8C82C7-9212-4ED6-9EFB-104704B80171}" name="%Atual" dataDxfId="85" dataCellStyle="Porcentagem">
      <calculatedColumnFormula>IFERROR(Interesse_Acoes[[#This Row],[Patri. Atual]]/($D$5 + $L$5),0)</calculatedColumnFormula>
    </tableColumn>
    <tableColumn id="12" xr3:uid="{904F3E0E-6C70-4AF9-A4CE-2657BDEC647F}" name="Status" dataDxfId="84">
      <calculatedColumnFormula>_xlfn.IFS(OR(AND(Interesse_Acoes[[#This Row],[Aporte eq.]]&lt;Interesse_Acoes[[#This Row],[Preço A.]],Interesse_Acoes[[#This Row],[Aporte eq.]]&gt;0),AND(Interesse_Acoes[[#This Row],[Aporte eq.]]&lt;0,-Interesse_Acoes[[#This Row],[Aporte eq.]]&lt;Interesse_Acoes[[#This Row],[Preço A.]])),"Ideal",
Interesse_Acoes[[#This Row],[%Atual]]&gt;Interesse_Acoes[[#This Row],[%ideal]],"Acima",
Interesse_Acoes[[#This Row],[%Atual]]&lt;Interesse_Acoes[[#This Row],[%ideal]],"Abaixo")</calculatedColumnFormula>
    </tableColumn>
    <tableColumn id="13" xr3:uid="{CDC3915F-A5A1-4D84-BAE3-FD7D633F186F}" name="Aporte eq." dataDxfId="83">
      <calculatedColumnFormula>($D$5+$L$5)*Interesse_Acoes[[#This Row],[%ideal]] - Interesse_Acoes[[#This Row],[Patri. Atual]]</calculatedColumnFormula>
    </tableColumn>
  </tableColumns>
  <tableStyleInfo name="Estilo de Tabela 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857240-3186-4806-8513-959D3BE8E33B}" name="His_Operacoes_BDRs" displayName="His_Operacoes_BDRs" ref="D65:N66" totalsRowShown="0" headerRowDxfId="79" dataDxfId="77" headerRowBorderDxfId="78" tableBorderDxfId="76">
  <autoFilter ref="D65:N66" xr:uid="{ACD15B5E-F82D-4BFD-B41F-BD3B1D94E57E}"/>
  <tableColumns count="11">
    <tableColumn id="1" xr3:uid="{D6AF9E2A-30FC-424E-8D88-1BF90CF15BD6}" name="Título" dataDxfId="75"/>
    <tableColumn id="2" xr3:uid="{B7BB7A43-C816-412D-BE27-EB0DFCAA055B}" name="Operação" dataDxfId="74"/>
    <tableColumn id="7" xr3:uid="{BDEABF41-A166-4A75-A54B-2B38A5F921BE}" name="Data" dataDxfId="73"/>
    <tableColumn id="3" xr3:uid="{8C0548AA-8B86-4130-9E1B-0AF3B0BD9C7A}" name="Setor" dataDxfId="72">
      <calculatedColumnFormula>IFERROR(VLOOKUP(His_Operacoes_BDRs[[#This Row],[Título]],Interesse_BDRs[],2,0),"")</calculatedColumnFormula>
    </tableColumn>
    <tableColumn id="4" xr3:uid="{D638A759-8559-4EE1-B855-E3BF38BE11E4}" name="Qtd." dataDxfId="71"/>
    <tableColumn id="5" xr3:uid="{DF3BBBB2-9488-468F-BEEC-B381B0B57D51}" name="Preço" dataDxfId="70"/>
    <tableColumn id="6" xr3:uid="{2425390C-E0CA-4C10-90A0-B87A7037BEAA}" name="Total" dataDxfId="69">
      <calculatedColumnFormula>His_Operacoes_BDRs[[#This Row],[Qtd.]]*His_Operacoes_BDRs[[#This Row],[Preço]]</calculatedColumnFormula>
    </tableColumn>
    <tableColumn id="8" xr3:uid="{95B2B09D-4B55-451A-8B9A-9898986CA103}" name="Qtd Acum" dataDxfId="68">
      <calculatedColumnFormula>SUMIFS(H66:H$1048576,D66:D$1048576,His_Operacoes_BDRs[[#This Row],[Título]],E66:E$1048576,"Compra") -
SUMIFS(H66:H$1048576,D66:D$1048576,His_Operacoes_BDRs[[#This Row],[Título]],E66:E$1048576,"Venda")</calculatedColumnFormula>
    </tableColumn>
    <tableColumn id="9" xr3:uid="{5B694725-7AD9-4258-A4FF-0115533A936B}" name="PM" dataDxfId="67">
      <calculatedColumnFormula>IF(His_Operacoes_BDRs[[#This Row],[Operação]] = "Compra",
His_Operacoes_BDRs[[#This Row],[Saldo Acum.]]/His_Operacoes_BDRs[[#This Row],[Qtd Acum]],
IFERROR(VLOOKUP(His_Operacoes_BDRs[[#This Row],[Título]],D67:M$1048576,9,FALSE),0))</calculatedColumnFormula>
    </tableColumn>
    <tableColumn id="10" xr3:uid="{56506F9A-39C2-47A3-A0DE-9979E11B1C1E}" name="Saldo Acum." dataDxfId="66">
      <calculatedColumnFormula>_xlfn.IFS(His_Operacoes_BDRs[[#This Row],[Operação]] = "Compra", IFERROR(VLOOKUP(His_Operacoes_BDRs[[#This Row],[Título]],D67:M$1048576,10,FALSE),0) + His_Operacoes_BDRs[[#This Row],[Total]],
His_Operacoes_BDRs[[#This Row],[Operação]] = "Venda",His_Operacoes_BDRs[[#This Row],[Qtd Acum]] * IFERROR(VLOOKUP(His_Operacoes_BDRs[[#This Row],[Título]],D67:M$1048576,9,FALSE),0),
His_Operacoes_BDRs[[#This Row],[Operação]] = "Provento",VLOOKUP(His_Operacoes_BDRs[[#This Row],[Título]],D67:M$1048576,10,FALSE))</calculatedColumnFormula>
    </tableColumn>
    <tableColumn id="11" xr3:uid="{7EDE13BC-AEDC-4F83-8B7E-5DDF68AF984A}" name="fimmês" dataDxfId="65">
      <calculatedColumnFormula>EOMONTH(His_Operacoes_BDRs[[#This Row],[Data]],0)</calculatedColumnFormula>
    </tableColumn>
  </tableColumns>
  <tableStyleInfo name="Estilo de Tabela 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8782A32-010F-4AE0-B6EC-3519C7151CE5}" name="Interesse_BDRs" displayName="Interesse_BDRs" ref="D18:Q19" totalsRowShown="0" headerRowDxfId="64" dataDxfId="62" headerRowBorderDxfId="63" tableBorderDxfId="61">
  <autoFilter ref="D18:Q19" xr:uid="{F36009DE-800B-40E7-BEEE-3C924091BC7F}"/>
  <tableColumns count="14">
    <tableColumn id="1" xr3:uid="{BBF53F7E-E4E0-452B-9569-512A0E3228FE}" name="Título" dataDxfId="60"/>
    <tableColumn id="2" xr3:uid="{932F598C-24E2-4C2B-90C2-50587C4E4673}" name="Setor" dataDxfId="59"/>
    <tableColumn id="3" xr3:uid="{6F0DB7E0-3423-4D0A-A479-914592D2122B}" name="Qtd." dataDxfId="58">
      <calculatedColumnFormula>SUMIFS(His_Operacoes_BDRs[[#All],[Qtd.]],His_Operacoes_BDRs[[#All],[Título]],Interesse_BDRs[[#This Row],[Título]],His_Operacoes_BDRs[[#All],[Operação]],"Compra")
- SUMIFS(His_Operacoes_BDRs[[#All],[Qtd.]],His_Operacoes_BDRs[[#All],[Título]],Interesse_BDRs[[#This Row],[Título]],His_Operacoes_BDRs[[#All],[Operação]],"Venda")</calculatedColumnFormula>
    </tableColumn>
    <tableColumn id="4" xr3:uid="{57B56C1E-FC9A-4B30-AD84-2E86DD520E3D}" name="Nota" dataDxfId="57"/>
    <tableColumn id="5" xr3:uid="{A590CE3B-FA69-460A-A2CA-5693337790BD}" name="%Div" dataDxfId="56" dataCellStyle="Porcentagem">
      <calculatedColumnFormula>IFERROR(SUMIFS(His_Operacoes_BDRs[[#All],[Total]],His_Operacoes_BDRs[[#All],[Operação]],"Provento",His_Operacoes_BDRs[[#All],[Título]],Interesse_BDRs[[#This Row],[Título]]) / Interesse_BDRs[[#This Row],[Patri. Invest.]],0)</calculatedColumnFormula>
    </tableColumn>
    <tableColumn id="7" xr3:uid="{0427128D-13AF-4AE8-8B90-D65866EDEBCE}" name="%Cres" dataDxfId="55" dataCellStyle="Porcentagem">
      <calculatedColumnFormula>IFERROR((Interesse_BDRs[[#This Row],[Patri. Atual]]-Interesse_BDRs[[#This Row],[Patri. Invest.]])/Interesse_BDRs[[#This Row],[Patri. Invest.]],0)</calculatedColumnFormula>
    </tableColumn>
    <tableColumn id="6" xr3:uid="{992936C4-C522-4771-876A-4804F2318056}" name="Patri. Invest." dataDxfId="54">
      <calculatedColumnFormula>Interesse_BDRs[[#This Row],[Preço M.]]*Interesse_BDRs[[#This Row],[Qtd.]]</calculatedColumnFormula>
    </tableColumn>
    <tableColumn id="8" xr3:uid="{6B100239-1BD3-4494-8D91-A13BC6CED588}" name="Preço M." dataDxfId="53">
      <calculatedColumnFormula>IFERROR(SUMIFS(His_Operacoes_BDRs[Total],His_Operacoes_BDRs[Operação],"Compra",His_Operacoes_BDRs[Título],Interesse_BDRs[[#This Row],[Título]])/SUMIFS(His_Operacoes_BDRs[Qtd.],His_Operacoes_BDRs[Operação],"Compra",His_Operacoes_BDRs[Título],Interesse_BDRs[[#This Row],[Título]]),0)</calculatedColumnFormula>
    </tableColumn>
    <tableColumn id="9" xr3:uid="{576FCB18-24BC-4476-90C0-267AD561575E}" name="Preço A." dataDxfId="52">
      <calculatedColumnFormula>COTAÇÃO(Interesse_BDRs[[#This Row],[Título]])</calculatedColumnFormula>
    </tableColumn>
    <tableColumn id="14" xr3:uid="{FE04FFA1-3635-41E4-AB46-94B72C9D7F0F}" name="Patri. Atual" dataDxfId="51">
      <calculatedColumnFormula>IFERROR(Interesse_BDRs[[#This Row],[Preço A.]]*Interesse_BDRs[[#This Row],[Qtd.]],0)</calculatedColumnFormula>
    </tableColumn>
    <tableColumn id="10" xr3:uid="{47191F94-C684-45E2-A95D-0A8A96A38DB9}" name="%ideal" dataDxfId="50" dataCellStyle="Porcentagem">
      <calculatedColumnFormula>IFERROR(Interesse_BDRs[[#This Row],[Nota]]/SUM(Interesse_BDRs[[#All],[Nota]]),0)</calculatedColumnFormula>
    </tableColumn>
    <tableColumn id="11" xr3:uid="{D92A4B72-5DAB-4D67-B751-2A6E929139B2}" name="%Atual" dataDxfId="49" dataCellStyle="Porcentagem">
      <calculatedColumnFormula>IFERROR(Interesse_BDRs[[#This Row],[Patri. Atual]]/($D$5 + $L$5),0)</calculatedColumnFormula>
    </tableColumn>
    <tableColumn id="12" xr3:uid="{4CAE99C7-66B2-4103-860D-47619E395856}" name="Status" dataDxfId="48">
      <calculatedColumnFormula>_xlfn.IFS(OR(AND(Interesse_BDRs[[#This Row],[Aporte eq.]]&lt;Interesse_BDRs[[#This Row],[Preço A.]],Interesse_BDRs[[#This Row],[Aporte eq.]]&gt;0),AND(Interesse_BDRs[[#This Row],[Aporte eq.]]&lt;0,-Interesse_BDRs[[#This Row],[Aporte eq.]]&lt;Interesse_BDRs[[#This Row],[Preço A.]])),"Ideal",
Interesse_BDRs[[#This Row],[%Atual]]&gt;Interesse_BDRs[[#This Row],[%ideal]],"Acima",
Interesse_BDRs[[#This Row],[%Atual]]&lt;Interesse_BDRs[[#This Row],[%ideal]],"Abaixo")</calculatedColumnFormula>
    </tableColumn>
    <tableColumn id="13" xr3:uid="{09697654-5BBB-4DDC-AD19-6C31FF2B8812}" name="Aporte eq." dataDxfId="47">
      <calculatedColumnFormula>($D$5+$L$5)*Interesse_BDRs[[#This Row],[%ideal]] - Interesse_BDRs[[#This Row],[Patri. Atual]]</calculatedColumnFormula>
    </tableColumn>
  </tableColumns>
  <tableStyleInfo name="Estilo de Tabela 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603215-7D00-415E-97B2-7D59BFA3E94B}" name="His_Operacoes_FIIs" displayName="His_Operacoes_FIIs" ref="D65:N66" totalsRowShown="0" headerRowDxfId="43" dataDxfId="41" headerRowBorderDxfId="42" tableBorderDxfId="40">
  <autoFilter ref="D65:N66" xr:uid="{ACD15B5E-F82D-4BFD-B41F-BD3B1D94E57E}"/>
  <tableColumns count="11">
    <tableColumn id="1" xr3:uid="{ED671001-B110-4FB3-A896-66F23B74D581}" name="Título" dataDxfId="39"/>
    <tableColumn id="2" xr3:uid="{4F3C5CDF-CF47-4927-B602-E81E55E95AB4}" name="Operação" dataDxfId="38"/>
    <tableColumn id="7" xr3:uid="{0E61AA45-359F-4125-9369-1F271926DE5F}" name="Data" dataDxfId="37"/>
    <tableColumn id="3" xr3:uid="{E048585D-D657-4F86-A763-806B5D650C2B}" name="Tipo" dataDxfId="36">
      <calculatedColumnFormula>IFERROR(VLOOKUP(His_Operacoes_FIIs[[#This Row],[Título]],Interesse_FIIs[],2,0),"")</calculatedColumnFormula>
    </tableColumn>
    <tableColumn id="4" xr3:uid="{9F1720C6-AB93-4979-8C89-5A7810942750}" name="Qtd." dataDxfId="35"/>
    <tableColumn id="5" xr3:uid="{669D3AA2-3703-4EEB-8481-324F1EE20F36}" name="Preço" dataDxfId="34"/>
    <tableColumn id="6" xr3:uid="{6035A04B-A67E-41B2-AC58-0178EA7BAB28}" name="Total" dataDxfId="33">
      <calculatedColumnFormula>His_Operacoes_FIIs[[#This Row],[Qtd.]]*His_Operacoes_FIIs[[#This Row],[Preço]]</calculatedColumnFormula>
    </tableColumn>
    <tableColumn id="8" xr3:uid="{BA28EB30-A583-453F-96A0-3F54551261C0}" name="Qtd Acum" dataDxfId="32">
      <calculatedColumnFormula>SUMIFS(H66:H$1048576,D66:D$1048576,His_Operacoes_FIIs[[#This Row],[Título]],E66:E$1048576,"Compra") -
SUMIFS(H66:H$1048576,D66:D$1048576,His_Operacoes_FIIs[[#This Row],[Título]],E66:E$1048576,"Venda")</calculatedColumnFormula>
    </tableColumn>
    <tableColumn id="9" xr3:uid="{103A0490-72A1-4F12-9563-00553FBB0B21}" name="PM" dataDxfId="31">
      <calculatedColumnFormula>IF(His_Operacoes_FIIs[[#This Row],[Operação]] = "Compra",
His_Operacoes_FIIs[[#This Row],[Saldo Acum.]]/His_Operacoes_FIIs[[#This Row],[Qtd Acum]],
IFERROR(VLOOKUP(His_Operacoes_FIIs[[#This Row],[Título]],D67:M$1048576,9,FALSE),0))</calculatedColumnFormula>
    </tableColumn>
    <tableColumn id="10" xr3:uid="{6F937ADF-20C7-4C4A-B359-962288D1F90D}" name="Saldo Acum." dataDxfId="30">
      <calculatedColumnFormula>_xlfn.IFS(His_Operacoes_FIIs[[#This Row],[Operação]] = "Compra", IFERROR(VLOOKUP(His_Operacoes_FIIs[[#This Row],[Título]],D67:M$1048576,10,FALSE),0) + His_Operacoes_FIIs[[#This Row],[Total]],
His_Operacoes_FIIs[[#This Row],[Operação]] = "Venda",His_Operacoes_FIIs[[#This Row],[Qtd Acum]] * IFERROR(VLOOKUP(His_Operacoes_FIIs[[#This Row],[Título]],D67:M$1048576,9,FALSE),0),
His_Operacoes_FIIs[[#This Row],[Operação]] = "Provento",VLOOKUP(His_Operacoes_FIIs[[#This Row],[Título]],D67:M$1048576,10,FALSE))</calculatedColumnFormula>
    </tableColumn>
    <tableColumn id="11" xr3:uid="{FC40F80D-F074-46B1-B47E-C1402E702B27}" name="fimmês" dataDxfId="29">
      <calculatedColumnFormula>EOMONTH(His_Operacoes_FIIs[[#This Row],[Data]],0)</calculatedColumnFormula>
    </tableColumn>
  </tableColumns>
  <tableStyleInfo name="Estilo de Tabela 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A124F7C-63BF-4130-B958-58D86FEA0617}" name="Interesse_FIIs" displayName="Interesse_FIIs" ref="D18:Q19" totalsRowShown="0" headerRowDxfId="28" dataDxfId="26" headerRowBorderDxfId="27" tableBorderDxfId="25">
  <autoFilter ref="D18:Q19" xr:uid="{F36009DE-800B-40E7-BEEE-3C924091BC7F}"/>
  <tableColumns count="14">
    <tableColumn id="1" xr3:uid="{E9EC69AC-178C-47CF-9141-C9C113A5E054}" name="Título" dataDxfId="24"/>
    <tableColumn id="2" xr3:uid="{B2AC1550-FDF0-46E7-A77B-0787371D8853}" name="Tipo" dataDxfId="23"/>
    <tableColumn id="3" xr3:uid="{73196932-D61B-49AA-8FCA-B0140CC0C15A}" name="Qtd." dataDxfId="22">
      <calculatedColumnFormula>SUMIFS(His_Operacoes_FIIs[[#All],[Qtd.]],His_Operacoes_FIIs[[#All],[Título]],Interesse_FIIs[[#This Row],[Título]],His_Operacoes_FIIs[[#All],[Operação]],"Compra")
- SUMIFS(His_Operacoes_FIIs[[#All],[Qtd.]],His_Operacoes_FIIs[[#All],[Título]],Interesse_FIIs[[#This Row],[Título]],His_Operacoes_FIIs[[#All],[Operação]],"Venda")</calculatedColumnFormula>
    </tableColumn>
    <tableColumn id="4" xr3:uid="{FD5C535D-8EB9-49C4-92C8-404EBF834F45}" name="Nota" dataDxfId="21"/>
    <tableColumn id="5" xr3:uid="{AF71DF2E-0C33-495C-9BAF-3788515C16DB}" name="%Div" dataDxfId="20" dataCellStyle="Porcentagem">
      <calculatedColumnFormula>IFERROR(SUMIFS(His_Operacoes_FIIs[[#All],[Total]],His_Operacoes_FIIs[[#All],[Operação]],"Provento",His_Operacoes_FIIs[[#All],[Título]],Interesse_FIIs[[#This Row],[Título]]) / Interesse_FIIs[[#This Row],[Patri. Invest.]],0)</calculatedColumnFormula>
    </tableColumn>
    <tableColumn id="7" xr3:uid="{D123DB12-F13D-48C8-B893-34324FACB1B5}" name="%Cres" dataDxfId="19" dataCellStyle="Porcentagem">
      <calculatedColumnFormula>IFERROR((Interesse_FIIs[[#This Row],[Patri. Atual]]-Interesse_FIIs[[#This Row],[Patri. Invest.]])/Interesse_FIIs[[#This Row],[Patri. Invest.]],0)</calculatedColumnFormula>
    </tableColumn>
    <tableColumn id="6" xr3:uid="{5F71BB47-7EE1-491C-8FCD-58DB767D3532}" name="Patri. Invest." dataDxfId="18">
      <calculatedColumnFormula>Interesse_FIIs[[#This Row],[Preço M.]]*Interesse_FIIs[[#This Row],[Qtd.]]</calculatedColumnFormula>
    </tableColumn>
    <tableColumn id="8" xr3:uid="{7E3B1981-C8DD-4E25-94B5-B59D4C97FA09}" name="Preço M." dataDxfId="17">
      <calculatedColumnFormula>IFERROR(SUMIFS(His_Operacoes_FIIs[Total],His_Operacoes_FIIs[Operação],"Compra",His_Operacoes_FIIs[Título],Interesse_FIIs[[#This Row],[Título]])/SUMIFS(His_Operacoes_FIIs[Qtd.],His_Operacoes_FIIs[Operação],"Compra",His_Operacoes_FIIs[Título],Interesse_FIIs[[#This Row],[Título]]),0)</calculatedColumnFormula>
    </tableColumn>
    <tableColumn id="9" xr3:uid="{0070B95A-2AFF-46A2-A4E6-3D67D5D2E638}" name="Preço A." dataDxfId="16">
      <calculatedColumnFormula>COTAÇÃO(Interesse_FIIs[[#This Row],[Título]])</calculatedColumnFormula>
    </tableColumn>
    <tableColumn id="14" xr3:uid="{3732FBDC-5159-4211-9F2B-1A879E0FBFB4}" name="Patri. Atual" dataDxfId="15">
      <calculatedColumnFormula>IF(Interesse_FIIs[[#This Row],[Preço A.]]= 0,Interesse_FIIs[[#This Row],[Qtd.]]*Interesse_FIIs[[#This Row],[Preço M.]],Interesse_FIIs[[#This Row],[Preço A.]]*Interesse_FIIs[[#This Row],[Qtd.]])</calculatedColumnFormula>
    </tableColumn>
    <tableColumn id="10" xr3:uid="{329951F2-EEE7-44A1-9AC0-44FBF45B75B2}" name="%ideal" dataDxfId="14" dataCellStyle="Porcentagem">
      <calculatedColumnFormula>IFERROR(Interesse_FIIs[[#This Row],[Nota]]/SUM(Interesse_FIIs[[#All],[Nota]]),0)</calculatedColumnFormula>
    </tableColumn>
    <tableColumn id="11" xr3:uid="{F6A25ECD-7879-4ECB-908A-422D2A7F6163}" name="%Atual" dataDxfId="13" dataCellStyle="Porcentagem">
      <calculatedColumnFormula>IFERROR(Interesse_FIIs[[#This Row],[Patri. Atual]]/($D$5 + $L$5),0)</calculatedColumnFormula>
    </tableColumn>
    <tableColumn id="12" xr3:uid="{81F98634-B19B-49FF-877A-3D968F1F7244}" name="Status" dataDxfId="12">
      <calculatedColumnFormula>_xlfn.IFS(OR(AND(Interesse_FIIs[[#This Row],[Aporte eq.]]&lt;Interesse_FIIs[[#This Row],[Preço A.]],Interesse_FIIs[[#This Row],[Aporte eq.]]&gt;0),AND(Interesse_FIIs[[#This Row],[Aporte eq.]]&lt;0,-Interesse_FIIs[[#This Row],[Aporte eq.]]&lt;Interesse_FIIs[[#This Row],[Preço A.]])),"Ideal",
Interesse_FIIs[[#This Row],[%Atual]]&gt;Interesse_FIIs[[#This Row],[%ideal]],"Acima",
Interesse_FIIs[[#This Row],[%Atual]]&lt;Interesse_FIIs[[#This Row],[%ideal]],"Abaixo")</calculatedColumnFormula>
    </tableColumn>
    <tableColumn id="13" xr3:uid="{80247E58-CADA-4B34-ADF0-05EB85C49059}" name="Aporte eq." dataDxfId="11">
      <calculatedColumnFormula>($D$5+$L$5)*Interesse_FIIs[[#This Row],[%ideal]] - Interesse_FIIs[[#This Row],[Patri. Atual]]</calculatedColumnFormula>
    </tableColumn>
  </tableColumns>
  <tableStyleInfo name="Estilo de Tabela 2" showFirstColumn="0" showLastColumn="0" showRowStripes="1" showColumnStripes="0"/>
</table>
</file>

<file path=xl/theme/theme1.xml><?xml version="1.0" encoding="utf-8"?>
<a:theme xmlns:a="http://schemas.openxmlformats.org/drawingml/2006/main" name="Dividendo">
  <a:themeElements>
    <a:clrScheme name="Violeta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Dividendo">
      <a:majorFont>
        <a:latin typeface="Gill Sans MT" panose="020B0502020104020203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ill Sans MT" panose="020B0502020104020203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Dividendo">
      <a:fillStyleLst>
        <a:solidFill>
          <a:schemeClr val="phClr"/>
        </a:solidFill>
        <a:gradFill rotWithShape="1">
          <a:gsLst>
            <a:gs pos="0">
              <a:schemeClr val="phClr">
                <a:tint val="68000"/>
                <a:alpha val="90000"/>
                <a:lumMod val="100000"/>
              </a:schemeClr>
            </a:gs>
            <a:gs pos="100000">
              <a:schemeClr val="phClr">
                <a:tint val="90000"/>
                <a:lumMod val="95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8000"/>
                <a:lumMod val="110000"/>
              </a:schemeClr>
            </a:gs>
            <a:gs pos="84000">
              <a:schemeClr val="phClr">
                <a:shade val="90000"/>
                <a:lumMod val="88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>
              <a:lumMod val="90000"/>
            </a:schemeClr>
          </a:solidFill>
          <a:prstDash val="solid"/>
        </a:ln>
        <a:ln w="2222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55000"/>
              </a:srgbClr>
            </a:outerShdw>
          </a:effectLst>
        </a:effectStyle>
        <a:effectStyle>
          <a:effectLst>
            <a:outerShdw blurRad="88900" dist="38100" dir="504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1200000"/>
            </a:lightRig>
          </a:scene3d>
          <a:sp3d>
            <a:bevelT w="38100"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88000">
              <a:schemeClr val="phClr">
                <a:shade val="94000"/>
                <a:satMod val="110000"/>
                <a:lumMod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8000"/>
                <a:satMod val="110000"/>
                <a:lumMod val="8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ividend" id="{9697A71B-4AB7-4A1A-BD5B-BB2D22835B57}" vid="{C21699FF-00E4-43C8-BBCC-D7E5536C3717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32778-09B0-47A4-8BBB-B84CA516F22D}">
  <sheetPr codeName="Planilha2"/>
  <dimension ref="A2:Y36"/>
  <sheetViews>
    <sheetView showGridLines="0" showRowColHeaders="0" topLeftCell="A34" zoomScale="80" zoomScaleNormal="80" workbookViewId="0"/>
  </sheetViews>
  <sheetFormatPr defaultRowHeight="17.25" x14ac:dyDescent="0.35"/>
  <cols>
    <col min="1" max="2" width="11.375" style="17" customWidth="1"/>
    <col min="3" max="3" width="2.75" style="19" customWidth="1"/>
    <col min="4" max="4" width="11.375" style="20" customWidth="1"/>
    <col min="5" max="5" width="23.75" style="20" customWidth="1"/>
    <col min="6" max="6" width="17" style="20" customWidth="1"/>
    <col min="7" max="7" width="12.5" style="20" customWidth="1"/>
    <col min="8" max="8" width="18.125" style="20" customWidth="1"/>
    <col min="9" max="9" width="12.875" style="20" customWidth="1"/>
    <col min="10" max="10" width="11" style="20" bestFit="1" customWidth="1"/>
    <col min="11" max="11" width="7.875" style="20" bestFit="1" customWidth="1"/>
    <col min="12" max="12" width="18.375" style="20" bestFit="1" customWidth="1"/>
    <col min="13" max="13" width="15.875" style="20" customWidth="1"/>
    <col min="14" max="14" width="10.875" style="20" bestFit="1" customWidth="1"/>
    <col min="15" max="15" width="5.25" style="20" customWidth="1"/>
    <col min="16" max="16" width="3.125" style="20" customWidth="1"/>
    <col min="17" max="17" width="3.875" style="20" customWidth="1"/>
    <col min="18" max="18" width="8.5" style="20" customWidth="1"/>
    <col min="19" max="19" width="8" style="20" customWidth="1"/>
    <col min="20" max="20" width="8.5" style="20" customWidth="1"/>
    <col min="21" max="16384" width="9" style="20"/>
  </cols>
  <sheetData>
    <row r="2" spans="1:25" ht="21.75" x14ac:dyDescent="0.45">
      <c r="D2" s="125" t="s">
        <v>19</v>
      </c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>
        <v>2</v>
      </c>
      <c r="P2" s="125">
        <v>2</v>
      </c>
      <c r="Q2" s="125"/>
      <c r="R2" s="125"/>
    </row>
    <row r="4" spans="1:25" ht="25.5" thickBot="1" x14ac:dyDescent="0.55000000000000004">
      <c r="D4" s="127" t="s">
        <v>0</v>
      </c>
      <c r="E4" s="127"/>
      <c r="F4" s="21"/>
      <c r="G4" s="22"/>
      <c r="H4" s="127" t="s">
        <v>62</v>
      </c>
      <c r="I4" s="127"/>
      <c r="J4" s="23"/>
      <c r="K4" s="22"/>
      <c r="L4" s="127" t="s">
        <v>1</v>
      </c>
      <c r="M4" s="127"/>
      <c r="N4" s="127"/>
    </row>
    <row r="5" spans="1:25" ht="29.25" customHeight="1" x14ac:dyDescent="0.55000000000000004">
      <c r="D5" s="128">
        <f>SUM(L5,H12:H14)</f>
        <v>0</v>
      </c>
      <c r="E5" s="128"/>
      <c r="F5" s="21"/>
      <c r="G5" s="22"/>
      <c r="H5" s="128">
        <f>SUM(Dist_Classes[Investido],$L$5)</f>
        <v>0</v>
      </c>
      <c r="I5" s="128"/>
      <c r="J5" s="24"/>
      <c r="K5" s="22"/>
      <c r="L5" s="126">
        <v>0</v>
      </c>
      <c r="M5" s="126"/>
      <c r="N5" s="126"/>
      <c r="S5" s="124"/>
      <c r="T5" s="124"/>
    </row>
    <row r="6" spans="1:25" ht="24.75" x14ac:dyDescent="0.5">
      <c r="D6" s="24"/>
      <c r="E6" s="22"/>
      <c r="F6" s="25" t="s">
        <v>51</v>
      </c>
      <c r="G6" s="26">
        <f>IFERROR(D5/H5 - 1,0)</f>
        <v>0</v>
      </c>
      <c r="H6" s="24"/>
      <c r="I6" s="24"/>
      <c r="J6" s="27"/>
      <c r="K6" s="22"/>
      <c r="L6" s="22"/>
      <c r="M6" s="22"/>
      <c r="N6" s="22"/>
    </row>
    <row r="7" spans="1:25" ht="24.75" x14ac:dyDescent="0.5">
      <c r="D7" s="25" t="s">
        <v>69</v>
      </c>
      <c r="E7" s="28">
        <f>SUM(Dist_Classes[L/P])</f>
        <v>0</v>
      </c>
      <c r="F7" s="25" t="s">
        <v>70</v>
      </c>
      <c r="G7" s="26">
        <f>IFERROR(E7/H5,0)</f>
        <v>0</v>
      </c>
      <c r="H7" s="24"/>
      <c r="I7" s="24"/>
      <c r="J7" s="22"/>
      <c r="K7" s="22"/>
      <c r="L7" s="22"/>
      <c r="M7" s="22"/>
      <c r="N7" s="22"/>
    </row>
    <row r="9" spans="1:25" ht="21.75" x14ac:dyDescent="0.45">
      <c r="D9" s="125" t="s">
        <v>26</v>
      </c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V9" s="29"/>
      <c r="W9" s="29"/>
      <c r="X9" s="29"/>
      <c r="Y9" s="29"/>
    </row>
    <row r="11" spans="1:25" ht="59.25" customHeight="1" thickBot="1" x14ac:dyDescent="0.4">
      <c r="D11" s="30" t="s">
        <v>2</v>
      </c>
      <c r="E11" s="30" t="s">
        <v>62</v>
      </c>
      <c r="F11" s="30" t="s">
        <v>67</v>
      </c>
      <c r="G11" s="31" t="s">
        <v>68</v>
      </c>
      <c r="H11" s="30" t="s">
        <v>63</v>
      </c>
      <c r="I11" s="31" t="s">
        <v>5</v>
      </c>
      <c r="J11" s="31" t="s">
        <v>6</v>
      </c>
      <c r="K11" s="30" t="s">
        <v>27</v>
      </c>
      <c r="L11" s="32" t="s">
        <v>7</v>
      </c>
    </row>
    <row r="12" spans="1:25" ht="21.75" customHeight="1" x14ac:dyDescent="0.4">
      <c r="D12" s="33" t="s">
        <v>3</v>
      </c>
      <c r="E12" s="34">
        <f>Ações!I5</f>
        <v>0</v>
      </c>
      <c r="F12" s="35">
        <f>Ações!G4 + Dist_Classes[[#This Row],[Patrimônio Atual]] - Dist_Classes[[#This Row],[Investido]]</f>
        <v>0</v>
      </c>
      <c r="G12" s="26">
        <f>IFERROR(Dist_Classes[[#This Row],[L/P]]/Dist_Classes[[#This Row],[Investido]],0)</f>
        <v>0</v>
      </c>
      <c r="H12" s="35">
        <f>Ações!D5</f>
        <v>0</v>
      </c>
      <c r="I12" s="101">
        <v>1</v>
      </c>
      <c r="J12" s="103">
        <f>IFERROR(H12/$D$5,0)</f>
        <v>0</v>
      </c>
      <c r="K12" s="36" t="str">
        <f>_xlfn.IFS(J12&lt;I12,"Abaixo",J12 = I12,"Ideal",J12&gt;I12,"Acima")</f>
        <v>Abaixo</v>
      </c>
      <c r="L12" s="37">
        <f>I12*$D$5 - H12</f>
        <v>0</v>
      </c>
      <c r="N12" s="38"/>
    </row>
    <row r="13" spans="1:25" ht="21.75" customHeight="1" x14ac:dyDescent="0.4">
      <c r="D13" s="39" t="s">
        <v>8</v>
      </c>
      <c r="E13" s="40">
        <f>BDRs!I5</f>
        <v>0</v>
      </c>
      <c r="F13" s="41">
        <f>BDRs!G4 + Dist_Classes[[#This Row],[Patrimônio Atual]] - Dist_Classes[[#This Row],[Investido]]</f>
        <v>0</v>
      </c>
      <c r="G13" s="26">
        <f>IFERROR(Dist_Classes[[#This Row],[L/P]]/Dist_Classes[[#This Row],[Investido]],0)</f>
        <v>0</v>
      </c>
      <c r="H13" s="41">
        <f>BDRs!D5</f>
        <v>0</v>
      </c>
      <c r="I13" s="102">
        <v>0</v>
      </c>
      <c r="J13" s="104">
        <f>IFERROR(H13/$D$5,0)</f>
        <v>0</v>
      </c>
      <c r="K13" s="42" t="str">
        <f>_xlfn.IFS(J13&lt;I13,"Abaixo",J13 = I13,"Ideal",J13&gt;I13,"Acima")</f>
        <v>Ideal</v>
      </c>
      <c r="L13" s="43">
        <f>I13*$D$5 - H13</f>
        <v>0</v>
      </c>
    </row>
    <row r="14" spans="1:25" ht="21.75" customHeight="1" thickBot="1" x14ac:dyDescent="0.45">
      <c r="D14" s="39" t="s">
        <v>9</v>
      </c>
      <c r="E14" s="40">
        <f>FIIs!I5</f>
        <v>0</v>
      </c>
      <c r="F14" s="41">
        <f>FIIs!G4 +Dist_Classes[[#This Row],[Patrimônio Atual]]-Dist_Classes[[#This Row],[Investido]]</f>
        <v>0</v>
      </c>
      <c r="G14" s="26">
        <f>IFERROR(Dist_Classes[[#This Row],[L/P]]/Dist_Classes[[#This Row],[Investido]],0)</f>
        <v>0</v>
      </c>
      <c r="H14" s="41">
        <f>FIIs!D5</f>
        <v>0</v>
      </c>
      <c r="I14" s="102">
        <v>0</v>
      </c>
      <c r="J14" s="104">
        <f>IFERROR(H14/$D$5,0)</f>
        <v>0</v>
      </c>
      <c r="K14" s="42" t="str">
        <f>_xlfn.IFS(J14&lt;I14,"Abaixo",J14 = I14,"Ideal",J14&gt;I14,"Acima")</f>
        <v>Ideal</v>
      </c>
      <c r="L14" s="43">
        <f>I14*$D$5 - H14</f>
        <v>0</v>
      </c>
    </row>
    <row r="15" spans="1:25" x14ac:dyDescent="0.35">
      <c r="I15" s="44"/>
    </row>
    <row r="16" spans="1:25" x14ac:dyDescent="0.35">
      <c r="A16" s="15" t="s">
        <v>89</v>
      </c>
    </row>
    <row r="17" spans="1:18" ht="21.75" x14ac:dyDescent="0.45">
      <c r="A17" s="16" t="s">
        <v>90</v>
      </c>
      <c r="D17" s="125" t="s">
        <v>57</v>
      </c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  <c r="R17" s="125"/>
    </row>
    <row r="18" spans="1:18" x14ac:dyDescent="0.35">
      <c r="A18" s="15" t="s">
        <v>91</v>
      </c>
    </row>
    <row r="19" spans="1:18" x14ac:dyDescent="0.35">
      <c r="A19" s="16" t="s">
        <v>92</v>
      </c>
    </row>
    <row r="20" spans="1:18" x14ac:dyDescent="0.35">
      <c r="A20" s="15" t="s">
        <v>107</v>
      </c>
    </row>
    <row r="36" spans="4:18" ht="21.75" x14ac:dyDescent="0.45">
      <c r="D36" s="125" t="s">
        <v>75</v>
      </c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</row>
  </sheetData>
  <mergeCells count="11">
    <mergeCell ref="D17:R17"/>
    <mergeCell ref="D36:R36"/>
    <mergeCell ref="D2:R2"/>
    <mergeCell ref="D4:E4"/>
    <mergeCell ref="D5:E5"/>
    <mergeCell ref="L4:N4"/>
    <mergeCell ref="S5:T5"/>
    <mergeCell ref="D9:R9"/>
    <mergeCell ref="L5:N5"/>
    <mergeCell ref="H4:I4"/>
    <mergeCell ref="H5:I5"/>
  </mergeCells>
  <dataValidations count="1">
    <dataValidation type="custom" allowBlank="1" showInputMessage="1" showErrorMessage="1" errorTitle="Pesos acima de 100%" error="Reajuste os pesos para que somados fiquem em 100%." sqref="I12:I14" xr:uid="{89ED0082-D5D8-4539-88B1-D0D181138719}">
      <formula1>SUM($I$12:$I$14) &lt;= 100%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ignoredErrors>
    <ignoredError sqref="E12 E14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Spinner 6">
              <controlPr locked="0" defaultSize="0" autoPict="0">
                <anchor moveWithCells="1" sizeWithCells="1">
                  <from>
                    <xdr:col>7</xdr:col>
                    <xdr:colOff>428625</xdr:colOff>
                    <xdr:row>36</xdr:row>
                    <xdr:rowOff>66675</xdr:rowOff>
                  </from>
                  <to>
                    <xdr:col>7</xdr:col>
                    <xdr:colOff>1276350</xdr:colOff>
                    <xdr:row>38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78C9752F-2F10-480B-80A9-016BFA496FC7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8" id="{A7157497-FAA6-4338-962F-53D39E039300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G6:G7</xm:sqref>
        </x14:conditionalFormatting>
        <x14:conditionalFormatting xmlns:xm="http://schemas.microsoft.com/office/excel/2006/main">
          <x14:cfRule type="iconSet" priority="5" id="{3580CDF2-FA80-48C2-96A8-8BA5765A2097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6" id="{4E7B364F-A6D2-4955-ADA9-77F4B30D51A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E7</xm:sqref>
        </x14:conditionalFormatting>
        <x14:conditionalFormatting xmlns:xm="http://schemas.microsoft.com/office/excel/2006/main">
          <x14:cfRule type="iconSet" priority="3" id="{9897D18A-8CE6-4236-A064-61752B95DAD4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4" id="{FF629124-8C80-4475-AFB3-77E1F9FA8B97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G12</xm:sqref>
        </x14:conditionalFormatting>
        <x14:conditionalFormatting xmlns:xm="http://schemas.microsoft.com/office/excel/2006/main">
          <x14:cfRule type="iconSet" priority="1" id="{EB39B186-D959-4077-AE6C-7FE6454B9B7B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2" id="{3075A5A3-4072-427D-971B-D8F24B79EB97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G13:G14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16225-B43F-46C3-8A4B-B9A590D17704}">
  <sheetPr codeName="Planilha1"/>
  <dimension ref="A2:X79"/>
  <sheetViews>
    <sheetView showGridLines="0" showRowColHeaders="0" topLeftCell="A40" zoomScale="80" zoomScaleNormal="80" workbookViewId="0">
      <selection activeCell="D41" sqref="D41:Q41"/>
    </sheetView>
  </sheetViews>
  <sheetFormatPr defaultRowHeight="17.25" x14ac:dyDescent="0.35"/>
  <cols>
    <col min="1" max="2" width="11.375" style="17" customWidth="1"/>
    <col min="3" max="3" width="4.375" style="19" customWidth="1"/>
    <col min="4" max="4" width="12.375" style="20" customWidth="1"/>
    <col min="5" max="5" width="13.125" style="20" bestFit="1" customWidth="1"/>
    <col min="6" max="6" width="12.125" style="20" customWidth="1"/>
    <col min="7" max="7" width="11.875" style="20" customWidth="1"/>
    <col min="8" max="8" width="9.375" style="20" bestFit="1" customWidth="1"/>
    <col min="9" max="9" width="12.625" style="20" customWidth="1"/>
    <col min="10" max="10" width="15.375" style="20" customWidth="1"/>
    <col min="11" max="11" width="12.375" style="20" customWidth="1"/>
    <col min="12" max="12" width="13.125" style="20" customWidth="1"/>
    <col min="13" max="13" width="16.25" style="20" customWidth="1"/>
    <col min="14" max="14" width="11.25" style="20" bestFit="1" customWidth="1"/>
    <col min="15" max="16" width="10.875" style="20" customWidth="1"/>
    <col min="17" max="17" width="16.625" style="20" customWidth="1"/>
    <col min="18" max="16384" width="9" style="20"/>
  </cols>
  <sheetData>
    <row r="2" spans="3:24" ht="21.75" x14ac:dyDescent="0.45">
      <c r="D2" s="125" t="s">
        <v>21</v>
      </c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</row>
    <row r="4" spans="3:24" ht="22.5" thickBot="1" x14ac:dyDescent="0.5">
      <c r="D4" s="129" t="s">
        <v>22</v>
      </c>
      <c r="E4" s="129"/>
      <c r="F4" s="21" t="s">
        <v>45</v>
      </c>
      <c r="G4" s="28">
        <f>SUMIF(His_Operacoes_acoes[Operação],"JCP",His_Operacoes_acoes[Total])
+ SUMIF(His_Operacoes_acoes[Operação],"Divid.",His_Operacoes_acoes[Total])
+ SUMIF(His_Operacoes_acoes[Operação],"Bonif.",His_Operacoes_acoes[Total])</f>
        <v>0</v>
      </c>
      <c r="H4" s="45"/>
      <c r="I4" s="129" t="s">
        <v>62</v>
      </c>
      <c r="J4" s="129"/>
      <c r="K4" s="22"/>
      <c r="L4" s="129" t="s">
        <v>46</v>
      </c>
      <c r="M4" s="129"/>
      <c r="N4" s="22"/>
      <c r="O4" s="46" t="s">
        <v>1</v>
      </c>
      <c r="P4" s="46"/>
      <c r="Q4" s="46"/>
    </row>
    <row r="5" spans="3:24" ht="24.75" x14ac:dyDescent="0.5">
      <c r="D5" s="130">
        <f>SUM(Interesse_Acoes[[#All],[Patri. Atual]])</f>
        <v>0</v>
      </c>
      <c r="E5" s="130"/>
      <c r="F5" s="21" t="s">
        <v>28</v>
      </c>
      <c r="G5" s="47">
        <f>'Visão Geral'!J12</f>
        <v>0</v>
      </c>
      <c r="H5" s="45"/>
      <c r="I5" s="132">
        <f>SUM(Interesse_Acoes[Patri. Invest.])</f>
        <v>0</v>
      </c>
      <c r="J5" s="132"/>
      <c r="K5" s="22"/>
      <c r="L5" s="130">
        <f>'Visão Geral'!L12</f>
        <v>0</v>
      </c>
      <c r="M5" s="130"/>
      <c r="N5" s="22"/>
      <c r="O5" s="131">
        <f>'Visão Geral'!L5</f>
        <v>0</v>
      </c>
      <c r="P5" s="131"/>
      <c r="Q5" s="131"/>
    </row>
    <row r="6" spans="3:24" ht="18" customHeight="1" x14ac:dyDescent="0.4">
      <c r="D6" s="21" t="s">
        <v>51</v>
      </c>
      <c r="E6" s="26">
        <f>IFERROR((D5 - SUM(Interesse_Acoes[Patri. Invest.]))/SUM(Interesse_Acoes[Patri. Invest.]),0)</f>
        <v>0</v>
      </c>
      <c r="F6" s="21" t="s">
        <v>29</v>
      </c>
      <c r="G6" s="47">
        <f>'Visão Geral'!I12</f>
        <v>1</v>
      </c>
      <c r="H6" s="45"/>
      <c r="I6" s="48"/>
      <c r="J6" s="22"/>
      <c r="K6" s="22"/>
      <c r="L6" s="22"/>
      <c r="M6" s="22"/>
      <c r="N6" s="22"/>
      <c r="O6" s="22"/>
      <c r="P6" s="27"/>
      <c r="Q6" s="27"/>
    </row>
    <row r="7" spans="3:24" ht="19.5" x14ac:dyDescent="0.4">
      <c r="D7" s="21" t="s">
        <v>44</v>
      </c>
      <c r="E7" s="26">
        <f>IFERROR(G4/I5,0)</f>
        <v>0</v>
      </c>
      <c r="F7" s="21" t="s">
        <v>30</v>
      </c>
      <c r="G7" s="48" t="str">
        <f>'Visão Geral'!K12</f>
        <v>Abaixo</v>
      </c>
      <c r="H7" s="45"/>
      <c r="I7" s="48"/>
      <c r="J7" s="22"/>
      <c r="K7" s="22"/>
      <c r="L7" s="22"/>
      <c r="M7" s="22"/>
      <c r="N7" s="22"/>
      <c r="O7" s="22"/>
      <c r="P7" s="22"/>
      <c r="Q7" s="22"/>
    </row>
    <row r="9" spans="3:24" ht="21.75" x14ac:dyDescent="0.45">
      <c r="D9" s="125" t="s">
        <v>20</v>
      </c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</row>
    <row r="10" spans="3:24" ht="21.75" x14ac:dyDescent="0.45">
      <c r="U10" s="29"/>
      <c r="V10" s="29"/>
      <c r="W10" s="29"/>
      <c r="X10" s="29"/>
    </row>
    <row r="11" spans="3:24" ht="20.25" thickBot="1" x14ac:dyDescent="0.45">
      <c r="D11" s="45" t="s">
        <v>13</v>
      </c>
      <c r="E11" s="95" t="s">
        <v>112</v>
      </c>
      <c r="F11" s="21" t="s">
        <v>14</v>
      </c>
      <c r="G11" s="95"/>
      <c r="H11" s="21" t="str">
        <f>IF(E11 = "Registro","","Data:")</f>
        <v>Data:</v>
      </c>
      <c r="I11" s="100"/>
      <c r="J11" s="23"/>
      <c r="K11" s="23"/>
      <c r="L11" s="49"/>
      <c r="M11" s="133" t="s">
        <v>47</v>
      </c>
      <c r="N11" s="133"/>
      <c r="O11" s="133"/>
      <c r="P11" s="23"/>
      <c r="Q11" s="23"/>
    </row>
    <row r="12" spans="3:24" ht="19.5" x14ac:dyDescent="0.4">
      <c r="D12" s="23"/>
      <c r="E12" s="23" t="s">
        <v>10</v>
      </c>
      <c r="F12" s="21" t="str">
        <f>_xlfn.IFS(OR(E11 =  "JCP",E11 = "Divid.",E11 = "Bonif."),"",
OR(E11 = "Compra",E11 = "Venda"),"Qtd.:",
E11 =  "Registro", "Nota:")</f>
        <v/>
      </c>
      <c r="G12" s="95"/>
      <c r="H12" s="23"/>
      <c r="I12" s="23"/>
      <c r="J12" s="23"/>
      <c r="K12" s="23"/>
      <c r="L12" s="23"/>
      <c r="M12" s="23" t="s">
        <v>48</v>
      </c>
      <c r="N12" s="134"/>
      <c r="O12" s="134"/>
      <c r="P12" s="23"/>
      <c r="Q12" s="23"/>
      <c r="R12" s="124"/>
      <c r="S12" s="124"/>
    </row>
    <row r="13" spans="3:24" ht="17.25" customHeight="1" x14ac:dyDescent="0.4">
      <c r="D13" s="23"/>
      <c r="E13" s="23"/>
      <c r="F13" s="21" t="str">
        <f>_xlfn.IFS(OR(E11 =  "JCP",E11 = "Divid.",E11 = "Bonif."),"Valor total: ",
OR(E11 = "Compra",E11 = "Venda"),"Cotação: ",
E11 = "Registro", "")</f>
        <v xml:space="preserve">Valor total: </v>
      </c>
      <c r="G13" s="99"/>
      <c r="H13" s="23"/>
      <c r="I13" s="23"/>
      <c r="J13" s="23"/>
      <c r="K13" s="23"/>
      <c r="L13" s="23"/>
      <c r="M13" s="23" t="s">
        <v>49</v>
      </c>
      <c r="N13" s="135"/>
      <c r="O13" s="135"/>
      <c r="P13" s="23"/>
      <c r="Q13" s="23"/>
    </row>
    <row r="14" spans="3:24" ht="17.25" customHeight="1" x14ac:dyDescent="0.4">
      <c r="D14" s="23"/>
      <c r="E14" s="23"/>
      <c r="F14" s="21" t="str">
        <f>IF(E11 = "Registro","Setor:","")</f>
        <v/>
      </c>
      <c r="G14" s="95"/>
      <c r="H14" s="23"/>
      <c r="I14" s="23"/>
      <c r="J14" s="23"/>
      <c r="K14" s="23"/>
      <c r="L14" s="23"/>
      <c r="M14" s="23" t="s">
        <v>50</v>
      </c>
      <c r="N14" s="136">
        <f>IFERROR(N12/N13,0)</f>
        <v>0</v>
      </c>
      <c r="O14" s="136"/>
      <c r="P14" s="23"/>
      <c r="Q14" s="23"/>
    </row>
    <row r="15" spans="3:24" ht="21.75" customHeight="1" x14ac:dyDescent="0.35"/>
    <row r="16" spans="3:24" ht="21.75" customHeight="1" x14ac:dyDescent="0.45">
      <c r="C16" s="50"/>
      <c r="D16" s="125" t="s">
        <v>41</v>
      </c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</row>
    <row r="17" spans="1:17" ht="21.75" customHeight="1" x14ac:dyDescent="0.35">
      <c r="A17" s="15"/>
    </row>
    <row r="18" spans="1:17" ht="20.25" customHeight="1" thickBot="1" x14ac:dyDescent="0.4">
      <c r="A18" s="16"/>
      <c r="D18" s="51" t="s">
        <v>18</v>
      </c>
      <c r="E18" s="51" t="s">
        <v>24</v>
      </c>
      <c r="F18" s="52" t="s">
        <v>23</v>
      </c>
      <c r="G18" s="52" t="s">
        <v>25</v>
      </c>
      <c r="H18" s="52" t="s">
        <v>40</v>
      </c>
      <c r="I18" s="52" t="s">
        <v>39</v>
      </c>
      <c r="J18" s="52" t="s">
        <v>56</v>
      </c>
      <c r="K18" s="53" t="s">
        <v>36</v>
      </c>
      <c r="L18" s="52" t="s">
        <v>37</v>
      </c>
      <c r="M18" s="52" t="s">
        <v>43</v>
      </c>
      <c r="N18" s="52" t="s">
        <v>42</v>
      </c>
      <c r="O18" s="52" t="s">
        <v>53</v>
      </c>
      <c r="P18" s="53" t="s">
        <v>27</v>
      </c>
      <c r="Q18" s="52" t="s">
        <v>38</v>
      </c>
    </row>
    <row r="19" spans="1:17" ht="19.5" x14ac:dyDescent="0.4">
      <c r="A19" s="15"/>
      <c r="D19" s="90"/>
      <c r="E19" s="91"/>
      <c r="F19" s="54">
        <f>SUMIFS(His_Operacoes_acoes[[#All],[Qtd.]],His_Operacoes_acoes[[#All],[Título]],Interesse_Acoes[[#This Row],[Título]],His_Operacoes_acoes[[#All],[Operação]],"Compra")
- SUMIFS(His_Operacoes_acoes[[#All],[Qtd.]],His_Operacoes_acoes[[#All],[Título]],Interesse_Acoes[[#This Row],[Título]],His_Operacoes_acoes[[#All],[Operação]],"Venda")</f>
        <v>0</v>
      </c>
      <c r="G19" s="91"/>
      <c r="H19" s="55">
        <f>IFERROR(
SUMIFS(His_Operacoes_acoes[[#All],[Total]],His_Operacoes_acoes[[#All],[Operação]],"JCP",His_Operacoes_acoes[[#All],[Título]],Interesse_Acoes[[#This Row],[Título]]) / Interesse_Acoes[[#This Row],[Patri. Invest.]]
+ SUMIFS(His_Operacoes_acoes[[#All],[Total]],His_Operacoes_acoes[[#All],[Operação]],"Divid.",His_Operacoes_acoes[[#All],[Título]],Interesse_Acoes[[#This Row],[Título]]) / Interesse_Acoes[[#This Row],[Patri. Invest.]]
+ SUMIFS(His_Operacoes_acoes[[#All],[Total]],His_Operacoes_acoes[[#All],[Operação]],"Bonif.",His_Operacoes_acoes[[#All],[Título]],Interesse_Acoes[[#This Row],[Título]]) / Interesse_Acoes[[#This Row],[Patri. Invest.]],0)</f>
        <v>0</v>
      </c>
      <c r="I19" s="56">
        <f>IFERROR((Interesse_Acoes[[#This Row],[Patri. Atual]]-Interesse_Acoes[[#This Row],[Patri. Invest.]])/Interesse_Acoes[[#This Row],[Patri. Invest.]],0)</f>
        <v>0</v>
      </c>
      <c r="J19" s="57">
        <f>IFERROR(VLOOKUP(Interesse_Acoes[[#This Row],[Título]],His_Operacoes_acoes[],10,0),0)</f>
        <v>0</v>
      </c>
      <c r="K19" s="57">
        <f>IFERROR(Interesse_Acoes[[#This Row],[Patri. Invest.]]/Interesse_Acoes[[#This Row],[Qtd.]],0)</f>
        <v>0</v>
      </c>
      <c r="L19" s="57">
        <f>COTAÇÃO(Interesse_Acoes[[#This Row],[Título]])</f>
        <v>0</v>
      </c>
      <c r="M19" s="57">
        <f>Interesse_Acoes[[#This Row],[Preço A.]]*Interesse_Acoes[[#This Row],[Qtd.]]</f>
        <v>0</v>
      </c>
      <c r="N19" s="58">
        <f>IFERROR(Interesse_Acoes[[#This Row],[Nota]]/SUM(Interesse_Acoes[[#All],[Nota]]),0)</f>
        <v>0</v>
      </c>
      <c r="O19" s="58">
        <f>IFERROR(Interesse_Acoes[[#This Row],[Patri. Atual]]/($D$5 + $L$5),0)</f>
        <v>0</v>
      </c>
      <c r="P19" s="54" t="e">
        <f>_xlfn.IFS(OR(AND(Interesse_Acoes[[#This Row],[Aporte eq.]]&lt;Interesse_Acoes[[#This Row],[Preço A.]],Interesse_Acoes[[#This Row],[Aporte eq.]]&gt;0),AND(Interesse_Acoes[[#This Row],[Aporte eq.]]&lt;0,-Interesse_Acoes[[#This Row],[Aporte eq.]]&lt;Interesse_Acoes[[#This Row],[Preço A.]])),"Ideal",
Interesse_Acoes[[#This Row],[%Atual]]&gt;Interesse_Acoes[[#This Row],[%ideal]],"Acima",
Interesse_Acoes[[#This Row],[%Atual]]&lt;Interesse_Acoes[[#This Row],[%ideal]],"Abaixo")</f>
        <v>#N/A</v>
      </c>
      <c r="Q19" s="57">
        <f>($D$5+$L$5)*Interesse_Acoes[[#This Row],[%ideal]] - Interesse_Acoes[[#This Row],[Patri. Atual]]</f>
        <v>0</v>
      </c>
    </row>
    <row r="20" spans="1:17" x14ac:dyDescent="0.35">
      <c r="A20" s="16"/>
    </row>
    <row r="21" spans="1:17" ht="21.75" x14ac:dyDescent="0.45">
      <c r="A21" s="15"/>
      <c r="D21" s="125" t="s">
        <v>31</v>
      </c>
      <c r="E21" s="125"/>
      <c r="F21" s="125"/>
      <c r="G21" s="125"/>
      <c r="H21" s="125"/>
      <c r="I21" s="125"/>
      <c r="J21" s="125"/>
      <c r="K21" s="125"/>
      <c r="L21" s="125"/>
      <c r="M21" s="125"/>
      <c r="N21" s="125"/>
      <c r="O21" s="125"/>
      <c r="P21" s="125"/>
      <c r="Q21" s="125"/>
    </row>
    <row r="41" spans="4:17" ht="21.75" x14ac:dyDescent="0.45">
      <c r="D41" s="125" t="s">
        <v>75</v>
      </c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</row>
    <row r="63" spans="4:17" ht="21.75" x14ac:dyDescent="0.45">
      <c r="D63" s="125" t="s">
        <v>16</v>
      </c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</row>
    <row r="64" spans="4:17" ht="18" thickBot="1" x14ac:dyDescent="0.4">
      <c r="K64" s="137" t="s">
        <v>109</v>
      </c>
      <c r="L64" s="138"/>
      <c r="M64" s="138"/>
      <c r="N64" s="139"/>
    </row>
    <row r="65" spans="4:16" ht="20.25" thickBot="1" x14ac:dyDescent="0.45">
      <c r="D65" s="59" t="s">
        <v>18</v>
      </c>
      <c r="E65" s="60" t="s">
        <v>33</v>
      </c>
      <c r="F65" s="61" t="s">
        <v>35</v>
      </c>
      <c r="G65" s="60" t="s">
        <v>24</v>
      </c>
      <c r="H65" s="60" t="s">
        <v>23</v>
      </c>
      <c r="I65" s="60" t="s">
        <v>34</v>
      </c>
      <c r="J65" s="60" t="s">
        <v>4</v>
      </c>
      <c r="K65" s="107" t="s">
        <v>58</v>
      </c>
      <c r="L65" s="107" t="s">
        <v>59</v>
      </c>
      <c r="M65" s="107" t="s">
        <v>60</v>
      </c>
      <c r="N65" s="63" t="s">
        <v>77</v>
      </c>
      <c r="O65" s="107" t="s">
        <v>110</v>
      </c>
      <c r="P65" s="107" t="s">
        <v>111</v>
      </c>
    </row>
    <row r="66" spans="4:16" ht="20.25" thickBot="1" x14ac:dyDescent="0.45">
      <c r="D66" s="105"/>
      <c r="E66" s="105"/>
      <c r="F66" s="121"/>
      <c r="G66" s="62" t="str">
        <f>IFERROR(VLOOKUP(His_Operacoes_acoes[[#This Row],[Título]],Interesse_Acoes[],2,0),"")</f>
        <v/>
      </c>
      <c r="H66" s="105"/>
      <c r="I66" s="106"/>
      <c r="J66" s="63">
        <f>His_Operacoes_acoes[[#This Row],[Qtd.]]*His_Operacoes_acoes[[#This Row],[Preço]] +His_Operacoes_acoes[[#This Row],[corret.]]</f>
        <v>0</v>
      </c>
      <c r="K66" s="108">
        <f>SUMIFS(H66:H$1048576,D66:D$1048576,His_Operacoes_acoes[[#This Row],[Título]],E66:E$1048576,"Compra") -
SUMIFS(H66:H$1048576,D66:D$1048576,His_Operacoes_acoes[[#This Row],[Título]],E66:E$1048576,"Venda")</f>
        <v>0</v>
      </c>
      <c r="L66" s="63">
        <f>IF(His_Operacoes_acoes[[#This Row],[Operação]] = "Compra",
His_Operacoes_acoes[[#This Row],[Saldo Acum.]]/His_Operacoes_acoes[[#This Row],[Qtd acum.]],
IFERROR(VLOOKUP(His_Operacoes_acoes[[#This Row],[Título]],D67:M$1048576,9,FALSE),0))</f>
        <v>0</v>
      </c>
      <c r="M66" s="63" t="e">
        <f>_xlfn.IFS(His_Operacoes_acoes[[#This Row],[Operação]] = "Compra", IFERROR(VLOOKUP(His_Operacoes_acoes[[#This Row],[Título]],D67:M$1048576,10,FALSE),0) + His_Operacoes_acoes[[#This Row],[Total]],
His_Operacoes_acoes[[#This Row],[Operação]] = "Venda",His_Operacoes_acoes[[#This Row],[Qtd acum.]] * IFERROR(VLOOKUP(His_Operacoes_acoes[[#This Row],[Título]],D67:M$1048576,9,FALSE),0),
OR(His_Operacoes_acoes[[#This Row],[Operação]] = "JCP", His_Operacoes_acoes[[#This Row],[Operação]] = "Divid.", His_Operacoes_acoes[[#This Row],[Operação]] = "Bonif."),VLOOKUP(His_Operacoes_acoes[[#This Row],[Título]],D67:M$1048576,10,FALSE))</f>
        <v>#N/A</v>
      </c>
      <c r="N66" s="109">
        <f>EOMONTH(His_Operacoes_acoes[[#This Row],[Data]],0)</f>
        <v>31</v>
      </c>
      <c r="O66" s="123"/>
      <c r="P66" s="63" t="e">
        <f>_xlfn.IFS(His_Operacoes_acoes[[#This Row],[Operação]] = "Venda",His_Operacoes_acoes[[#This Row],[Total]]-His_Operacoes_acoes[[#This Row],[PM]]*His_Operacoes_acoes[[#This Row],[Qtd.]], OR(His_Operacoes_acoes[[#This Row],[Operação]] = "JCP", His_Operacoes_acoes[[#This Row],[Operação]] = "Divid.", His_Operacoes_acoes[[#This Row],[Operação]] = "Bonif."),His_Operacoes_acoes[[#This Row],[Total]],His_Operacoes_acoes[[#This Row],[Operação]] = "Compra", 0)</f>
        <v>#N/A</v>
      </c>
    </row>
    <row r="79" spans="4:16" x14ac:dyDescent="0.35">
      <c r="F79" s="64"/>
      <c r="I79" s="65"/>
    </row>
  </sheetData>
  <sheetProtection formatCells="0" insertColumns="0" insertRows="0" deleteColumns="0"/>
  <mergeCells count="19">
    <mergeCell ref="N13:O13"/>
    <mergeCell ref="N14:O14"/>
    <mergeCell ref="D41:Q41"/>
    <mergeCell ref="K64:N64"/>
    <mergeCell ref="D2:Q2"/>
    <mergeCell ref="D16:Q16"/>
    <mergeCell ref="D9:Q9"/>
    <mergeCell ref="D63:Q63"/>
    <mergeCell ref="D5:E5"/>
    <mergeCell ref="D21:Q21"/>
    <mergeCell ref="D4:E4"/>
    <mergeCell ref="R12:S12"/>
    <mergeCell ref="L4:M4"/>
    <mergeCell ref="L5:M5"/>
    <mergeCell ref="O5:Q5"/>
    <mergeCell ref="I4:J4"/>
    <mergeCell ref="I5:J5"/>
    <mergeCell ref="M11:O11"/>
    <mergeCell ref="N12:O12"/>
  </mergeCells>
  <phoneticPr fontId="17" type="noConversion"/>
  <conditionalFormatting sqref="E66">
    <cfRule type="expression" dxfId="120" priority="9">
      <formula>OR(E66 =  "JCP",E66 = "Divid.",E66 = "Bonif.")</formula>
    </cfRule>
    <cfRule type="containsText" dxfId="119" priority="10" operator="containsText" text="Venda">
      <formula>NOT(ISERROR(SEARCH("Venda",E66)))</formula>
    </cfRule>
    <cfRule type="containsText" dxfId="118" priority="11" operator="containsText" text="Compra">
      <formula>NOT(ISERROR(SEARCH("Compra",E66)))</formula>
    </cfRule>
  </conditionalFormatting>
  <conditionalFormatting sqref="G19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{9A1C2495-154A-4E4D-996C-E3FF5DBA8FA6}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locked="0" defaultSize="0" autoPict="0">
                <anchor moveWithCells="1" sizeWithCells="1">
                  <from>
                    <xdr:col>9</xdr:col>
                    <xdr:colOff>828675</xdr:colOff>
                    <xdr:row>41</xdr:row>
                    <xdr:rowOff>76200</xdr:rowOff>
                  </from>
                  <to>
                    <xdr:col>10</xdr:col>
                    <xdr:colOff>504825</xdr:colOff>
                    <xdr:row>43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A1C2495-154A-4E4D-996C-E3FF5DBA8F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</xm:sqref>
        </x14:conditionalFormatting>
        <x14:conditionalFormatting xmlns:xm="http://schemas.microsoft.com/office/excel/2006/main">
          <x14:cfRule type="iconSet" priority="7" id="{E9AB94D4-BF6F-47C3-BF65-97FF3F912EFF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8" id="{5C5E8941-837D-4323-9CFF-3CF779F3C351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E6</xm:sqref>
        </x14:conditionalFormatting>
        <x14:conditionalFormatting xmlns:xm="http://schemas.microsoft.com/office/excel/2006/main">
          <x14:cfRule type="iconSet" priority="5" id="{35305AC6-95AC-4B12-95CB-E14900930A2A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6" id="{CA4D1835-A010-4846-81C3-377E7195C35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E7</xm:sqref>
        </x14:conditionalFormatting>
        <x14:conditionalFormatting xmlns:xm="http://schemas.microsoft.com/office/excel/2006/main">
          <x14:cfRule type="iconSet" priority="43" id="{21F7809E-7C55-406B-8BF7-E6B000E63E11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44" id="{07AF13CA-1686-40D9-B334-43708B5CE24C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I19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BD1CD21-E04E-426C-81E6-255112E90105}">
          <x14:formula1>
            <xm:f>Auxiliar!$A$7:$A$12</xm:f>
          </x14:formula1>
          <xm:sqref>E11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D7E2D-259F-43DF-AC58-836B2149987E}">
  <sheetPr codeName="Planilha4"/>
  <dimension ref="A2:X79"/>
  <sheetViews>
    <sheetView showGridLines="0" showRowColHeaders="0" topLeftCell="A40" zoomScale="80" zoomScaleNormal="80" workbookViewId="0">
      <selection activeCell="O65" sqref="O65"/>
    </sheetView>
  </sheetViews>
  <sheetFormatPr defaultRowHeight="17.25" x14ac:dyDescent="0.35"/>
  <cols>
    <col min="1" max="2" width="11.375" style="17" customWidth="1"/>
    <col min="3" max="3" width="4.375" style="19" customWidth="1"/>
    <col min="4" max="4" width="12.375" style="20" customWidth="1"/>
    <col min="5" max="5" width="13.125" style="20" bestFit="1" customWidth="1"/>
    <col min="6" max="6" width="12.125" style="20" customWidth="1"/>
    <col min="7" max="7" width="11.875" style="20" customWidth="1"/>
    <col min="8" max="8" width="9.375" style="20" bestFit="1" customWidth="1"/>
    <col min="9" max="9" width="12.625" style="20" customWidth="1"/>
    <col min="10" max="10" width="15.375" style="20" customWidth="1"/>
    <col min="11" max="11" width="12.375" style="20" customWidth="1"/>
    <col min="12" max="12" width="13.125" style="20" customWidth="1"/>
    <col min="13" max="13" width="16.25" style="20" customWidth="1"/>
    <col min="14" max="14" width="11.375" style="20" bestFit="1" customWidth="1"/>
    <col min="15" max="16" width="10.875" style="20" customWidth="1"/>
    <col min="17" max="17" width="16.625" style="20" customWidth="1"/>
    <col min="18" max="16384" width="9" style="20"/>
  </cols>
  <sheetData>
    <row r="2" spans="4:24" ht="21.75" x14ac:dyDescent="0.45">
      <c r="D2" s="125" t="s">
        <v>21</v>
      </c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</row>
    <row r="4" spans="4:24" ht="22.5" thickBot="1" x14ac:dyDescent="0.5">
      <c r="D4" s="143" t="s">
        <v>55</v>
      </c>
      <c r="E4" s="143"/>
      <c r="F4" s="66" t="s">
        <v>45</v>
      </c>
      <c r="G4" s="67">
        <f>SUMIF(His_Operacoes_BDRs[Operação],"Provento",His_Operacoes_BDRs[Total])</f>
        <v>0</v>
      </c>
      <c r="H4" s="68"/>
      <c r="I4" s="143" t="s">
        <v>62</v>
      </c>
      <c r="J4" s="143"/>
      <c r="K4" s="48"/>
      <c r="L4" s="143" t="s">
        <v>46</v>
      </c>
      <c r="M4" s="143"/>
      <c r="N4" s="69"/>
      <c r="O4" s="70" t="s">
        <v>1</v>
      </c>
      <c r="P4" s="70"/>
      <c r="Q4" s="70"/>
    </row>
    <row r="5" spans="4:24" ht="24.75" x14ac:dyDescent="0.5">
      <c r="D5" s="144">
        <f>SUM(Interesse_BDRs[[#All],[Patri. Atual]])</f>
        <v>0</v>
      </c>
      <c r="E5" s="144"/>
      <c r="F5" s="66" t="s">
        <v>28</v>
      </c>
      <c r="G5" s="71">
        <f>'Visão Geral'!J12</f>
        <v>0</v>
      </c>
      <c r="H5" s="72"/>
      <c r="I5" s="146">
        <f>SUM(Interesse_BDRs[Patri. Invest.])</f>
        <v>0</v>
      </c>
      <c r="J5" s="146"/>
      <c r="K5" s="24"/>
      <c r="L5" s="144">
        <f>'Visão Geral'!L13</f>
        <v>0</v>
      </c>
      <c r="M5" s="144"/>
      <c r="N5" s="69"/>
      <c r="O5" s="145">
        <f>'Visão Geral'!L5</f>
        <v>0</v>
      </c>
      <c r="P5" s="145"/>
      <c r="Q5" s="145"/>
    </row>
    <row r="6" spans="4:24" ht="18" customHeight="1" x14ac:dyDescent="0.4">
      <c r="D6" s="66" t="s">
        <v>51</v>
      </c>
      <c r="E6" s="26">
        <f>IFERROR((D5 - I5)/I5,0)</f>
        <v>0</v>
      </c>
      <c r="F6" s="66" t="s">
        <v>29</v>
      </c>
      <c r="G6" s="71">
        <f>'Visão Geral'!I12</f>
        <v>1</v>
      </c>
      <c r="H6" s="73"/>
      <c r="I6" s="73"/>
      <c r="J6" s="48"/>
      <c r="K6" s="22"/>
      <c r="L6" s="69"/>
      <c r="M6" s="69"/>
      <c r="N6" s="69"/>
      <c r="O6" s="69"/>
      <c r="P6" s="74"/>
      <c r="Q6" s="74"/>
    </row>
    <row r="7" spans="4:24" ht="19.5" x14ac:dyDescent="0.4">
      <c r="D7" s="66" t="s">
        <v>44</v>
      </c>
      <c r="E7" s="26">
        <f>IFERROR(G4/I5,0)</f>
        <v>0</v>
      </c>
      <c r="F7" s="66" t="s">
        <v>30</v>
      </c>
      <c r="G7" s="73" t="str">
        <f>'Visão Geral'!K12</f>
        <v>Abaixo</v>
      </c>
      <c r="H7" s="68"/>
      <c r="I7" s="73"/>
      <c r="J7" s="48"/>
      <c r="K7" s="22"/>
      <c r="L7" s="69"/>
      <c r="M7" s="69"/>
      <c r="N7" s="69"/>
      <c r="O7" s="69"/>
      <c r="P7" s="69"/>
      <c r="Q7" s="69"/>
    </row>
    <row r="9" spans="4:24" ht="21.75" x14ac:dyDescent="0.45">
      <c r="D9" s="125" t="s">
        <v>20</v>
      </c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</row>
    <row r="10" spans="4:24" ht="21.75" x14ac:dyDescent="0.45">
      <c r="U10" s="29"/>
      <c r="V10" s="29"/>
      <c r="W10" s="29"/>
      <c r="X10" s="29"/>
    </row>
    <row r="11" spans="4:24" ht="20.25" thickBot="1" x14ac:dyDescent="0.45">
      <c r="D11" s="68" t="s">
        <v>13</v>
      </c>
      <c r="E11" s="95" t="s">
        <v>11</v>
      </c>
      <c r="F11" s="66" t="s">
        <v>14</v>
      </c>
      <c r="G11" s="92"/>
      <c r="H11" s="66" t="str">
        <f>IF(E11 = "Registro","","Data:")</f>
        <v>Data:</v>
      </c>
      <c r="I11" s="94"/>
      <c r="J11" s="75"/>
      <c r="K11" s="75"/>
      <c r="L11" s="76"/>
      <c r="M11" s="142" t="s">
        <v>47</v>
      </c>
      <c r="N11" s="142"/>
      <c r="O11" s="142"/>
      <c r="P11" s="75"/>
      <c r="Q11" s="75"/>
    </row>
    <row r="12" spans="4:24" ht="19.5" x14ac:dyDescent="0.4">
      <c r="D12" s="75"/>
      <c r="E12" s="75" t="s">
        <v>10</v>
      </c>
      <c r="F12" s="66" t="str">
        <f>_xlfn.IFS(E11 =  "Provento","",
OR(E11 = "Compra",E11 = "Venda"),"Qtd.:",
E11 =  "Registro", "Nota:")</f>
        <v>Qtd.:</v>
      </c>
      <c r="G12" s="92"/>
      <c r="H12" s="75"/>
      <c r="I12" s="75"/>
      <c r="J12" s="75"/>
      <c r="K12" s="75"/>
      <c r="L12" s="75"/>
      <c r="M12" s="75" t="s">
        <v>48</v>
      </c>
      <c r="N12" s="140"/>
      <c r="O12" s="140"/>
      <c r="P12" s="75"/>
      <c r="Q12" s="75"/>
      <c r="R12" s="124"/>
      <c r="S12" s="124"/>
    </row>
    <row r="13" spans="4:24" ht="17.25" customHeight="1" x14ac:dyDescent="0.4">
      <c r="D13" s="75"/>
      <c r="E13" s="75"/>
      <c r="F13" s="66" t="str">
        <f>_xlfn.IFS(E11 =  "Provento","Valor total: ",
OR(E11 = "Compra",E11 = "Venda"),"Cotação: ",
E11 = "Registro", "")</f>
        <v xml:space="preserve">Cotação: </v>
      </c>
      <c r="G13" s="93"/>
      <c r="H13" s="75"/>
      <c r="I13" s="75"/>
      <c r="J13" s="75"/>
      <c r="K13" s="75"/>
      <c r="L13" s="75"/>
      <c r="M13" s="75" t="s">
        <v>49</v>
      </c>
      <c r="N13" s="140"/>
      <c r="O13" s="140"/>
      <c r="P13" s="75"/>
      <c r="Q13" s="75"/>
    </row>
    <row r="14" spans="4:24" ht="17.25" customHeight="1" x14ac:dyDescent="0.4">
      <c r="D14" s="75"/>
      <c r="E14" s="75"/>
      <c r="F14" s="66" t="str">
        <f>IF(E11 = "Registro","Setor:","")</f>
        <v/>
      </c>
      <c r="G14" s="92"/>
      <c r="H14" s="75"/>
      <c r="I14" s="75"/>
      <c r="J14" s="75"/>
      <c r="K14" s="75"/>
      <c r="L14" s="75"/>
      <c r="M14" s="75" t="s">
        <v>50</v>
      </c>
      <c r="N14" s="141">
        <f>IFERROR(N12/N13,0)</f>
        <v>0</v>
      </c>
      <c r="O14" s="141"/>
      <c r="P14" s="75"/>
      <c r="Q14" s="75"/>
    </row>
    <row r="15" spans="4:24" ht="21.75" customHeight="1" x14ac:dyDescent="0.35"/>
    <row r="16" spans="4:24" ht="21.75" customHeight="1" x14ac:dyDescent="0.45">
      <c r="D16" s="125" t="s">
        <v>41</v>
      </c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</row>
    <row r="17" spans="1:17" ht="21.75" customHeight="1" x14ac:dyDescent="0.35">
      <c r="A17" s="15"/>
    </row>
    <row r="18" spans="1:17" ht="20.25" customHeight="1" thickBot="1" x14ac:dyDescent="0.4">
      <c r="A18" s="16"/>
      <c r="D18" s="77" t="s">
        <v>18</v>
      </c>
      <c r="E18" s="77" t="s">
        <v>24</v>
      </c>
      <c r="F18" s="77" t="s">
        <v>23</v>
      </c>
      <c r="G18" s="77" t="s">
        <v>25</v>
      </c>
      <c r="H18" s="77" t="s">
        <v>40</v>
      </c>
      <c r="I18" s="77" t="s">
        <v>39</v>
      </c>
      <c r="J18" s="77" t="s">
        <v>56</v>
      </c>
      <c r="K18" s="78" t="s">
        <v>36</v>
      </c>
      <c r="L18" s="77" t="s">
        <v>37</v>
      </c>
      <c r="M18" s="77" t="s">
        <v>43</v>
      </c>
      <c r="N18" s="77" t="s">
        <v>42</v>
      </c>
      <c r="O18" s="77" t="s">
        <v>53</v>
      </c>
      <c r="P18" s="78" t="s">
        <v>27</v>
      </c>
      <c r="Q18" s="77" t="s">
        <v>38</v>
      </c>
    </row>
    <row r="19" spans="1:17" ht="19.5" x14ac:dyDescent="0.4">
      <c r="A19" s="15"/>
      <c r="D19" s="90"/>
      <c r="E19" s="91"/>
      <c r="F19" s="79">
        <f>SUMIFS(His_Operacoes_BDRs[[#All],[Qtd.]],His_Operacoes_BDRs[[#All],[Título]],Interesse_BDRs[[#This Row],[Título]],His_Operacoes_BDRs[[#All],[Operação]],"Compra")
- SUMIFS(His_Operacoes_BDRs[[#All],[Qtd.]],His_Operacoes_BDRs[[#All],[Título]],Interesse_BDRs[[#This Row],[Título]],His_Operacoes_BDRs[[#All],[Operação]],"Venda")</f>
        <v>0</v>
      </c>
      <c r="G19" s="91"/>
      <c r="H19" s="80">
        <f>IFERROR(SUMIFS(His_Operacoes_BDRs[[#All],[Total]],His_Operacoes_BDRs[[#All],[Operação]],"Provento",His_Operacoes_BDRs[[#All],[Título]],Interesse_BDRs[[#This Row],[Título]]) / Interesse_BDRs[[#This Row],[Patri. Invest.]],0)</f>
        <v>0</v>
      </c>
      <c r="I19" s="118">
        <f>IFERROR((Interesse_BDRs[[#This Row],[Patri. Atual]]-Interesse_BDRs[[#This Row],[Patri. Invest.]])/Interesse_BDRs[[#This Row],[Patri. Invest.]],0)</f>
        <v>0</v>
      </c>
      <c r="J19" s="81">
        <f>Interesse_BDRs[[#This Row],[Preço M.]]*Interesse_BDRs[[#This Row],[Qtd.]]</f>
        <v>0</v>
      </c>
      <c r="K19" s="81">
        <f>IFERROR(SUMIFS(His_Operacoes_BDRs[Total],His_Operacoes_BDRs[Operação],"Compra",His_Operacoes_BDRs[Título],Interesse_BDRs[[#This Row],[Título]])/SUMIFS(His_Operacoes_BDRs[Qtd.],His_Operacoes_BDRs[Operação],"Compra",His_Operacoes_BDRs[Título],Interesse_BDRs[[#This Row],[Título]]),0)</f>
        <v>0</v>
      </c>
      <c r="L19" s="81">
        <f>COTAÇÃO(Interesse_BDRs[[#This Row],[Título]])</f>
        <v>0</v>
      </c>
      <c r="M19" s="81">
        <f>IFERROR(Interesse_BDRs[[#This Row],[Preço A.]]*Interesse_BDRs[[#This Row],[Qtd.]],0)</f>
        <v>0</v>
      </c>
      <c r="N19" s="82">
        <f>IFERROR(Interesse_BDRs[[#This Row],[Nota]]/SUM(Interesse_BDRs[[#All],[Nota]]),0)</f>
        <v>0</v>
      </c>
      <c r="O19" s="82">
        <f>IFERROR(Interesse_BDRs[[#This Row],[Patri. Atual]]/($D$5 + $L$5),0)</f>
        <v>0</v>
      </c>
      <c r="P19" s="79" t="e">
        <f>_xlfn.IFS(OR(AND(Interesse_BDRs[[#This Row],[Aporte eq.]]&lt;Interesse_BDRs[[#This Row],[Preço A.]],Interesse_BDRs[[#This Row],[Aporte eq.]]&gt;0),AND(Interesse_BDRs[[#This Row],[Aporte eq.]]&lt;0,-Interesse_BDRs[[#This Row],[Aporte eq.]]&lt;Interesse_BDRs[[#This Row],[Preço A.]])),"Ideal",
Interesse_BDRs[[#This Row],[%Atual]]&gt;Interesse_BDRs[[#This Row],[%ideal]],"Acima",
Interesse_BDRs[[#This Row],[%Atual]]&lt;Interesse_BDRs[[#This Row],[%ideal]],"Abaixo")</f>
        <v>#N/A</v>
      </c>
      <c r="Q19" s="81">
        <f>($D$5+$L$5)*Interesse_BDRs[[#This Row],[%ideal]] - Interesse_BDRs[[#This Row],[Patri. Atual]]</f>
        <v>0</v>
      </c>
    </row>
    <row r="20" spans="1:17" x14ac:dyDescent="0.35">
      <c r="A20" s="16"/>
    </row>
    <row r="21" spans="1:17" ht="21.75" x14ac:dyDescent="0.45">
      <c r="A21" s="15"/>
      <c r="D21" s="125" t="s">
        <v>31</v>
      </c>
      <c r="E21" s="125"/>
      <c r="F21" s="125"/>
      <c r="G21" s="125"/>
      <c r="H21" s="125"/>
      <c r="I21" s="125"/>
      <c r="J21" s="125"/>
      <c r="K21" s="125"/>
      <c r="L21" s="125"/>
      <c r="M21" s="125"/>
      <c r="N21" s="125"/>
      <c r="O21" s="125"/>
      <c r="P21" s="125"/>
      <c r="Q21" s="125"/>
    </row>
    <row r="41" spans="4:17" ht="21.75" x14ac:dyDescent="0.45">
      <c r="D41" s="125" t="s">
        <v>32</v>
      </c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</row>
    <row r="63" spans="4:17" ht="21.75" x14ac:dyDescent="0.45">
      <c r="D63" s="125" t="s">
        <v>16</v>
      </c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</row>
    <row r="64" spans="4:17" x14ac:dyDescent="0.35">
      <c r="K64" s="137" t="s">
        <v>109</v>
      </c>
      <c r="L64" s="138"/>
      <c r="M64" s="138"/>
      <c r="N64" s="139"/>
    </row>
    <row r="65" spans="4:14" ht="19.5" x14ac:dyDescent="0.35">
      <c r="D65" s="84" t="s">
        <v>18</v>
      </c>
      <c r="E65" s="84" t="s">
        <v>33</v>
      </c>
      <c r="F65" s="84" t="s">
        <v>35</v>
      </c>
      <c r="G65" s="84" t="s">
        <v>24</v>
      </c>
      <c r="H65" s="84" t="s">
        <v>23</v>
      </c>
      <c r="I65" s="84" t="s">
        <v>34</v>
      </c>
      <c r="J65" s="84" t="s">
        <v>4</v>
      </c>
      <c r="K65" s="84" t="s">
        <v>61</v>
      </c>
      <c r="L65" s="84" t="s">
        <v>59</v>
      </c>
      <c r="M65" s="84" t="s">
        <v>60</v>
      </c>
      <c r="N65" s="84" t="s">
        <v>78</v>
      </c>
    </row>
    <row r="66" spans="4:14" ht="19.5" x14ac:dyDescent="0.4">
      <c r="D66" s="96"/>
      <c r="E66" s="96"/>
      <c r="F66" s="119"/>
      <c r="G66" s="86" t="str">
        <f>IFERROR(VLOOKUP(His_Operacoes_BDRs[[#This Row],[Título]],Interesse_BDRs[],2,0),"")</f>
        <v/>
      </c>
      <c r="H66" s="97"/>
      <c r="I66" s="98"/>
      <c r="J66" s="87">
        <f>His_Operacoes_BDRs[[#This Row],[Qtd.]]*His_Operacoes_BDRs[[#This Row],[Preço]]</f>
        <v>0</v>
      </c>
      <c r="K66" s="86">
        <f>SUMIFS(H66:H$1048576,D66:D$1048576,His_Operacoes_BDRs[[#This Row],[Título]],E66:E$1048576,"Compra") -
SUMIFS(H66:H$1048576,D66:D$1048576,His_Operacoes_BDRs[[#This Row],[Título]],E66:E$1048576,"Venda")</f>
        <v>0</v>
      </c>
      <c r="L66" s="87">
        <f>IF(His_Operacoes_BDRs[[#This Row],[Operação]] = "Compra",
His_Operacoes_BDRs[[#This Row],[Saldo Acum.]]/His_Operacoes_BDRs[[#This Row],[Qtd Acum]],
IFERROR(VLOOKUP(His_Operacoes_BDRs[[#This Row],[Título]],D67:M$1048576,9,FALSE),0))</f>
        <v>0</v>
      </c>
      <c r="M66" s="87" t="e">
        <f>_xlfn.IFS(His_Operacoes_BDRs[[#This Row],[Operação]] = "Compra", IFERROR(VLOOKUP(His_Operacoes_BDRs[[#This Row],[Título]],D67:M$1048576,10,FALSE),0) + His_Operacoes_BDRs[[#This Row],[Total]],
His_Operacoes_BDRs[[#This Row],[Operação]] = "Venda",His_Operacoes_BDRs[[#This Row],[Qtd Acum]] * IFERROR(VLOOKUP(His_Operacoes_BDRs[[#This Row],[Título]],D67:M$1048576,9,FALSE),0),
His_Operacoes_BDRs[[#This Row],[Operação]] = "Provento",VLOOKUP(His_Operacoes_BDRs[[#This Row],[Título]],D67:M$1048576,10,FALSE))</f>
        <v>#N/A</v>
      </c>
      <c r="N66" s="110">
        <f>EOMONTH(His_Operacoes_BDRs[[#This Row],[Data]],0)</f>
        <v>31</v>
      </c>
    </row>
    <row r="79" spans="4:14" x14ac:dyDescent="0.35">
      <c r="F79" s="64"/>
      <c r="I79" s="65"/>
    </row>
  </sheetData>
  <mergeCells count="19">
    <mergeCell ref="D9:Q9"/>
    <mergeCell ref="M11:O11"/>
    <mergeCell ref="N12:O12"/>
    <mergeCell ref="D2:Q2"/>
    <mergeCell ref="D4:E4"/>
    <mergeCell ref="L4:M4"/>
    <mergeCell ref="D5:E5"/>
    <mergeCell ref="L5:M5"/>
    <mergeCell ref="O5:Q5"/>
    <mergeCell ref="I4:J4"/>
    <mergeCell ref="I5:J5"/>
    <mergeCell ref="R12:S12"/>
    <mergeCell ref="N13:O13"/>
    <mergeCell ref="K64:N64"/>
    <mergeCell ref="D16:Q16"/>
    <mergeCell ref="D21:Q21"/>
    <mergeCell ref="D41:Q41"/>
    <mergeCell ref="D63:Q63"/>
    <mergeCell ref="N14:O14"/>
  </mergeCells>
  <phoneticPr fontId="17" type="noConversion"/>
  <conditionalFormatting sqref="E66">
    <cfRule type="containsText" dxfId="82" priority="6" operator="containsText" text="Provento">
      <formula>NOT(ISERROR(SEARCH("Provento",E66)))</formula>
    </cfRule>
    <cfRule type="containsText" dxfId="81" priority="7" operator="containsText" text="Venda">
      <formula>NOT(ISERROR(SEARCH("Venda",E66)))</formula>
    </cfRule>
    <cfRule type="containsText" dxfId="80" priority="8" operator="containsText" text="Compra">
      <formula>NOT(ISERROR(SEARCH("Compra",E66)))</formula>
    </cfRule>
  </conditionalFormatting>
  <conditionalFormatting sqref="G19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{17C84A13-E120-4BD3-BCB4-B6F32EFE3DB9}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pinner 1">
              <controlPr locked="0" defaultSize="0" autoPict="0">
                <anchor moveWithCells="1" sizeWithCells="1">
                  <from>
                    <xdr:col>9</xdr:col>
                    <xdr:colOff>857250</xdr:colOff>
                    <xdr:row>41</xdr:row>
                    <xdr:rowOff>47625</xdr:rowOff>
                  </from>
                  <to>
                    <xdr:col>10</xdr:col>
                    <xdr:colOff>533400</xdr:colOff>
                    <xdr:row>43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C84A13-E120-4BD3-BCB4-B6F32EFE3D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</xm:sqref>
        </x14:conditionalFormatting>
        <x14:conditionalFormatting xmlns:xm="http://schemas.microsoft.com/office/excel/2006/main">
          <x14:cfRule type="iconSet" priority="4" id="{0B4CB7A7-CB49-4612-9A6B-C00C998480E4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5" id="{C502B423-1D87-43A8-B7A2-868C3C861995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E6:E7</xm:sqref>
        </x14:conditionalFormatting>
        <x14:conditionalFormatting xmlns:xm="http://schemas.microsoft.com/office/excel/2006/main">
          <x14:cfRule type="iconSet" priority="37" id="{F1379F72-BD6B-4978-968E-6CB61D77F86E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38" id="{C4EA8FA9-DB42-438D-B827-F0A6B5C43279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I19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FD36F7-E9F0-4076-954B-EA9B82BBB9DE}">
          <x14:formula1>
            <xm:f>Auxiliar!$A$7:$A$9</xm:f>
          </x14:formula1>
          <xm:sqref>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B7F3D-9401-4AA8-BDB8-44D0B6A58062}">
  <sheetPr codeName="Planilha7"/>
  <dimension ref="A2:X79"/>
  <sheetViews>
    <sheetView showGridLines="0" showRowColHeaders="0" tabSelected="1" topLeftCell="A61" zoomScale="80" zoomScaleNormal="80" workbookViewId="0">
      <selection activeCell="D21" sqref="D21:Q21"/>
    </sheetView>
  </sheetViews>
  <sheetFormatPr defaultRowHeight="17.25" x14ac:dyDescent="0.35"/>
  <cols>
    <col min="1" max="2" width="11.375" style="17" customWidth="1"/>
    <col min="3" max="3" width="4.375" style="19" customWidth="1"/>
    <col min="4" max="4" width="12.375" style="20" customWidth="1"/>
    <col min="5" max="5" width="13.125" style="20" bestFit="1" customWidth="1"/>
    <col min="6" max="6" width="12.125" style="20" customWidth="1"/>
    <col min="7" max="7" width="11.875" style="20" customWidth="1"/>
    <col min="8" max="8" width="9.375" style="20" bestFit="1" customWidth="1"/>
    <col min="9" max="9" width="12.625" style="20" customWidth="1"/>
    <col min="10" max="10" width="15.375" style="20" customWidth="1"/>
    <col min="11" max="11" width="12.375" style="20" customWidth="1"/>
    <col min="12" max="12" width="13.125" style="20" customWidth="1"/>
    <col min="13" max="13" width="16.25" style="20" customWidth="1"/>
    <col min="14" max="14" width="11.125" style="20" bestFit="1" customWidth="1"/>
    <col min="15" max="16" width="10.875" style="20" customWidth="1"/>
    <col min="17" max="17" width="16.625" style="20" customWidth="1"/>
    <col min="18" max="16384" width="9" style="20"/>
  </cols>
  <sheetData>
    <row r="2" spans="4:24" ht="21.75" x14ac:dyDescent="0.45">
      <c r="D2" s="125" t="s">
        <v>21</v>
      </c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</row>
    <row r="4" spans="4:24" ht="22.5" thickBot="1" x14ac:dyDescent="0.5">
      <c r="D4" s="143" t="s">
        <v>86</v>
      </c>
      <c r="E4" s="143"/>
      <c r="F4" s="66" t="s">
        <v>45</v>
      </c>
      <c r="G4" s="67">
        <f>SUMIF(His_Operacoes_FIIs[Operação],"Provento",His_Operacoes_FIIs[Total])</f>
        <v>0</v>
      </c>
      <c r="H4" s="68"/>
      <c r="I4" s="143" t="s">
        <v>62</v>
      </c>
      <c r="J4" s="143"/>
      <c r="K4" s="48"/>
      <c r="L4" s="143" t="s">
        <v>46</v>
      </c>
      <c r="M4" s="143"/>
      <c r="N4" s="69"/>
      <c r="O4" s="70" t="s">
        <v>1</v>
      </c>
      <c r="P4" s="70"/>
      <c r="Q4" s="70"/>
    </row>
    <row r="5" spans="4:24" ht="24.75" x14ac:dyDescent="0.5">
      <c r="D5" s="144">
        <f>SUM(Interesse_FIIs[[#All],[Patri. Atual]])</f>
        <v>0</v>
      </c>
      <c r="E5" s="144"/>
      <c r="F5" s="66" t="s">
        <v>28</v>
      </c>
      <c r="G5" s="71">
        <f>'Visão Geral'!J12</f>
        <v>0</v>
      </c>
      <c r="H5" s="72"/>
      <c r="I5" s="146">
        <f>SUM(Interesse_FIIs[Patri. Invest.])</f>
        <v>0</v>
      </c>
      <c r="J5" s="146"/>
      <c r="K5" s="24"/>
      <c r="L5" s="144">
        <f>'Visão Geral'!L14</f>
        <v>0</v>
      </c>
      <c r="M5" s="144"/>
      <c r="N5" s="69"/>
      <c r="O5" s="145">
        <f>'Visão Geral'!L5</f>
        <v>0</v>
      </c>
      <c r="P5" s="145"/>
      <c r="Q5" s="145"/>
    </row>
    <row r="6" spans="4:24" ht="18" customHeight="1" x14ac:dyDescent="0.4">
      <c r="D6" s="66" t="s">
        <v>51</v>
      </c>
      <c r="E6" s="26">
        <f>IFERROR((D5 - I5)/I5,0)</f>
        <v>0</v>
      </c>
      <c r="F6" s="66" t="s">
        <v>29</v>
      </c>
      <c r="G6" s="71">
        <f>'Visão Geral'!I12</f>
        <v>1</v>
      </c>
      <c r="H6" s="73"/>
      <c r="I6" s="73"/>
      <c r="J6" s="48"/>
      <c r="K6" s="22"/>
      <c r="L6" s="69"/>
      <c r="M6" s="69"/>
      <c r="N6" s="69"/>
      <c r="O6" s="69"/>
      <c r="P6" s="74"/>
      <c r="Q6" s="74"/>
    </row>
    <row r="7" spans="4:24" ht="19.5" x14ac:dyDescent="0.4">
      <c r="D7" s="66" t="s">
        <v>44</v>
      </c>
      <c r="E7" s="26">
        <f>IFERROR(G4/I5,0)</f>
        <v>0</v>
      </c>
      <c r="F7" s="66" t="s">
        <v>30</v>
      </c>
      <c r="G7" s="73" t="str">
        <f>'Visão Geral'!K12</f>
        <v>Abaixo</v>
      </c>
      <c r="H7" s="68"/>
      <c r="I7" s="73"/>
      <c r="J7" s="48"/>
      <c r="K7" s="22"/>
      <c r="L7" s="69"/>
      <c r="M7" s="69"/>
      <c r="N7" s="69"/>
      <c r="O7" s="69"/>
      <c r="P7" s="69"/>
      <c r="Q7" s="69"/>
    </row>
    <row r="9" spans="4:24" ht="21.75" x14ac:dyDescent="0.45">
      <c r="D9" s="125" t="s">
        <v>20</v>
      </c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</row>
    <row r="10" spans="4:24" ht="21.75" x14ac:dyDescent="0.45">
      <c r="U10" s="29"/>
      <c r="V10" s="29"/>
      <c r="W10" s="29"/>
      <c r="X10" s="29"/>
    </row>
    <row r="11" spans="4:24" ht="20.25" thickBot="1" x14ac:dyDescent="0.45">
      <c r="D11" s="68" t="s">
        <v>13</v>
      </c>
      <c r="E11" s="95" t="s">
        <v>17</v>
      </c>
      <c r="F11" s="66" t="s">
        <v>14</v>
      </c>
      <c r="G11" s="92"/>
      <c r="H11" s="66" t="str">
        <f>IF(E11 = "Registro","","Data:")</f>
        <v/>
      </c>
      <c r="I11" s="94"/>
      <c r="J11" s="75"/>
      <c r="K11" s="75"/>
      <c r="L11" s="76"/>
      <c r="M11" s="142" t="s">
        <v>47</v>
      </c>
      <c r="N11" s="142"/>
      <c r="O11" s="142"/>
      <c r="P11" s="75"/>
      <c r="Q11" s="75"/>
    </row>
    <row r="12" spans="4:24" ht="19.5" x14ac:dyDescent="0.4">
      <c r="D12" s="75"/>
      <c r="E12" s="75" t="s">
        <v>10</v>
      </c>
      <c r="F12" s="66" t="str">
        <f>_xlfn.IFS(E11 =  "Provento","",
OR(E11 = "Compra",E11 = "Venda"),"Qtd.:",
E11 =  "Registro", "Nota:")</f>
        <v>Nota:</v>
      </c>
      <c r="G12" s="92"/>
      <c r="H12" s="75"/>
      <c r="I12" s="75"/>
      <c r="J12" s="75"/>
      <c r="K12" s="75"/>
      <c r="L12" s="75"/>
      <c r="M12" s="75" t="s">
        <v>48</v>
      </c>
      <c r="N12" s="140"/>
      <c r="O12" s="140"/>
      <c r="P12" s="75"/>
      <c r="Q12" s="75"/>
      <c r="R12" s="124"/>
      <c r="S12" s="124"/>
    </row>
    <row r="13" spans="4:24" ht="17.25" customHeight="1" x14ac:dyDescent="0.4">
      <c r="D13" s="75"/>
      <c r="E13" s="75"/>
      <c r="F13" s="66" t="str">
        <f>_xlfn.IFS(E11 =  "Provento","Valor total: ",
OR(E11 = "Compra",E11 = "Venda"),"Cotação: ",
E11 = "Registro", "")</f>
        <v/>
      </c>
      <c r="G13" s="93"/>
      <c r="H13" s="75"/>
      <c r="I13" s="75"/>
      <c r="J13" s="75"/>
      <c r="K13" s="75"/>
      <c r="L13" s="75"/>
      <c r="M13" s="75" t="s">
        <v>49</v>
      </c>
      <c r="N13" s="140"/>
      <c r="O13" s="140"/>
      <c r="P13" s="75"/>
      <c r="Q13" s="75"/>
    </row>
    <row r="14" spans="4:24" ht="17.25" customHeight="1" x14ac:dyDescent="0.4">
      <c r="D14" s="75"/>
      <c r="E14" s="75"/>
      <c r="F14" s="66" t="str">
        <f>IF(E11 = "Registro","Tipo:","")</f>
        <v>Tipo:</v>
      </c>
      <c r="G14" s="92"/>
      <c r="H14" s="75"/>
      <c r="I14" s="75"/>
      <c r="J14" s="75"/>
      <c r="K14" s="75"/>
      <c r="L14" s="75"/>
      <c r="M14" s="75" t="s">
        <v>50</v>
      </c>
      <c r="N14" s="141">
        <f>IFERROR(N12/N13,0)</f>
        <v>0</v>
      </c>
      <c r="O14" s="141"/>
      <c r="P14" s="75"/>
      <c r="Q14" s="75"/>
    </row>
    <row r="15" spans="4:24" ht="21.75" customHeight="1" x14ac:dyDescent="0.35"/>
    <row r="16" spans="4:24" ht="21.75" customHeight="1" x14ac:dyDescent="0.45">
      <c r="D16" s="125" t="s">
        <v>41</v>
      </c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</row>
    <row r="17" spans="1:17" ht="21.75" customHeight="1" x14ac:dyDescent="0.35">
      <c r="A17" s="15"/>
    </row>
    <row r="18" spans="1:17" ht="20.25" customHeight="1" thickBot="1" x14ac:dyDescent="0.4">
      <c r="A18" s="16"/>
      <c r="D18" s="18" t="s">
        <v>18</v>
      </c>
      <c r="E18" s="18" t="s">
        <v>2</v>
      </c>
      <c r="F18" s="77" t="s">
        <v>23</v>
      </c>
      <c r="G18" s="77" t="s">
        <v>25</v>
      </c>
      <c r="H18" s="77" t="s">
        <v>40</v>
      </c>
      <c r="I18" s="77" t="s">
        <v>39</v>
      </c>
      <c r="J18" s="77" t="s">
        <v>56</v>
      </c>
      <c r="K18" s="78" t="s">
        <v>36</v>
      </c>
      <c r="L18" s="77" t="s">
        <v>37</v>
      </c>
      <c r="M18" s="77" t="s">
        <v>43</v>
      </c>
      <c r="N18" s="77" t="s">
        <v>42</v>
      </c>
      <c r="O18" s="77" t="s">
        <v>53</v>
      </c>
      <c r="P18" s="78" t="s">
        <v>27</v>
      </c>
      <c r="Q18" s="77" t="s">
        <v>38</v>
      </c>
    </row>
    <row r="19" spans="1:17" ht="19.5" x14ac:dyDescent="0.4">
      <c r="A19" s="15"/>
      <c r="D19" s="90"/>
      <c r="E19" s="91"/>
      <c r="F19" s="79">
        <f>SUMIFS(His_Operacoes_FIIs[[#All],[Qtd.]],His_Operacoes_FIIs[[#All],[Título]],Interesse_FIIs[[#This Row],[Título]],His_Operacoes_FIIs[[#All],[Operação]],"Compra")
- SUMIFS(His_Operacoes_FIIs[[#All],[Qtd.]],His_Operacoes_FIIs[[#All],[Título]],Interesse_FIIs[[#This Row],[Título]],His_Operacoes_FIIs[[#All],[Operação]],"Venda")</f>
        <v>0</v>
      </c>
      <c r="G19" s="91"/>
      <c r="H19" s="80">
        <f>IFERROR(SUMIFS(His_Operacoes_FIIs[[#All],[Total]],His_Operacoes_FIIs[[#All],[Operação]],"Provento",His_Operacoes_FIIs[[#All],[Título]],Interesse_FIIs[[#This Row],[Título]]) / Interesse_FIIs[[#This Row],[Patri. Invest.]],0)</f>
        <v>0</v>
      </c>
      <c r="I19" s="118">
        <f>IFERROR((Interesse_FIIs[[#This Row],[Patri. Atual]]-Interesse_FIIs[[#This Row],[Patri. Invest.]])/Interesse_FIIs[[#This Row],[Patri. Invest.]],0)</f>
        <v>0</v>
      </c>
      <c r="J19" s="81">
        <f>Interesse_FIIs[[#This Row],[Preço M.]]*Interesse_FIIs[[#This Row],[Qtd.]]</f>
        <v>0</v>
      </c>
      <c r="K19" s="81">
        <f>IFERROR(SUMIFS(His_Operacoes_FIIs[Total],His_Operacoes_FIIs[Operação],"Compra",His_Operacoes_FIIs[Título],Interesse_FIIs[[#This Row],[Título]])/SUMIFS(His_Operacoes_FIIs[Qtd.],His_Operacoes_FIIs[Operação],"Compra",His_Operacoes_FIIs[Título],Interesse_FIIs[[#This Row],[Título]]),0)</f>
        <v>0</v>
      </c>
      <c r="L19" s="81">
        <f>COTAÇÃO(Interesse_FIIs[[#This Row],[Título]])</f>
        <v>0</v>
      </c>
      <c r="M19" s="81">
        <f>IF(Interesse_FIIs[[#This Row],[Preço A.]]= 0,Interesse_FIIs[[#This Row],[Qtd.]]*Interesse_FIIs[[#This Row],[Preço M.]],Interesse_FIIs[[#This Row],[Preço A.]]*Interesse_FIIs[[#This Row],[Qtd.]])</f>
        <v>0</v>
      </c>
      <c r="N19" s="82">
        <f>IFERROR(Interesse_FIIs[[#This Row],[Nota]]/SUM(Interesse_FIIs[[#All],[Nota]]),0)</f>
        <v>0</v>
      </c>
      <c r="O19" s="82">
        <f>IFERROR(Interesse_FIIs[[#This Row],[Patri. Atual]]/($D$5 + $L$5),0)</f>
        <v>0</v>
      </c>
      <c r="P19" s="79" t="e">
        <f>_xlfn.IFS(OR(AND(Interesse_FIIs[[#This Row],[Aporte eq.]]&lt;Interesse_FIIs[[#This Row],[Preço A.]],Interesse_FIIs[[#This Row],[Aporte eq.]]&gt;0),AND(Interesse_FIIs[[#This Row],[Aporte eq.]]&lt;0,-Interesse_FIIs[[#This Row],[Aporte eq.]]&lt;Interesse_FIIs[[#This Row],[Preço A.]])),"Ideal",
Interesse_FIIs[[#This Row],[%Atual]]&gt;Interesse_FIIs[[#This Row],[%ideal]],"Acima",
Interesse_FIIs[[#This Row],[%Atual]]&lt;Interesse_FIIs[[#This Row],[%ideal]],"Abaixo")</f>
        <v>#N/A</v>
      </c>
      <c r="Q19" s="81">
        <f>($D$5+$L$5)*Interesse_FIIs[[#This Row],[%ideal]] - Interesse_FIIs[[#This Row],[Patri. Atual]]</f>
        <v>0</v>
      </c>
    </row>
    <row r="20" spans="1:17" x14ac:dyDescent="0.35">
      <c r="A20" s="16"/>
    </row>
    <row r="21" spans="1:17" ht="21.75" x14ac:dyDescent="0.45">
      <c r="A21" s="15"/>
      <c r="D21" s="125" t="s">
        <v>31</v>
      </c>
      <c r="E21" s="125"/>
      <c r="F21" s="125"/>
      <c r="G21" s="125"/>
      <c r="H21" s="125"/>
      <c r="I21" s="125"/>
      <c r="J21" s="125"/>
      <c r="K21" s="125"/>
      <c r="L21" s="125"/>
      <c r="M21" s="125"/>
      <c r="N21" s="125"/>
      <c r="O21" s="125"/>
      <c r="P21" s="125"/>
      <c r="Q21" s="125"/>
    </row>
    <row r="41" spans="4:17" ht="21.75" x14ac:dyDescent="0.45">
      <c r="D41" s="125" t="s">
        <v>32</v>
      </c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</row>
    <row r="63" spans="4:17" ht="21.75" x14ac:dyDescent="0.45">
      <c r="D63" s="125" t="s">
        <v>16</v>
      </c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</row>
    <row r="65" spans="4:14" ht="20.25" thickBot="1" x14ac:dyDescent="0.45">
      <c r="D65" s="83" t="s">
        <v>18</v>
      </c>
      <c r="E65" s="84" t="s">
        <v>33</v>
      </c>
      <c r="F65" s="85" t="s">
        <v>35</v>
      </c>
      <c r="G65" s="84" t="s">
        <v>2</v>
      </c>
      <c r="H65" s="84" t="s">
        <v>23</v>
      </c>
      <c r="I65" s="84" t="s">
        <v>34</v>
      </c>
      <c r="J65" s="84" t="s">
        <v>4</v>
      </c>
      <c r="K65" s="107" t="s">
        <v>61</v>
      </c>
      <c r="L65" s="107" t="s">
        <v>59</v>
      </c>
      <c r="M65" s="107" t="s">
        <v>60</v>
      </c>
      <c r="N65" s="111" t="s">
        <v>78</v>
      </c>
    </row>
    <row r="66" spans="4:14" ht="20.25" thickBot="1" x14ac:dyDescent="0.45">
      <c r="D66" s="96"/>
      <c r="E66" s="114"/>
      <c r="F66" s="115"/>
      <c r="G66" s="88" t="str">
        <f>IFERROR(VLOOKUP(His_Operacoes_FIIs[[#This Row],[Título]],Interesse_FIIs[],2,0),"")</f>
        <v/>
      </c>
      <c r="H66" s="115"/>
      <c r="I66" s="116"/>
      <c r="J66" s="89">
        <f>His_Operacoes_FIIs[[#This Row],[Qtd.]]*His_Operacoes_FIIs[[#This Row],[Preço]]</f>
        <v>0</v>
      </c>
      <c r="K66" s="112">
        <f>SUMIFS(H66:H$1048576,D66:D$1048576,His_Operacoes_FIIs[[#This Row],[Título]],E66:E$1048576,"Compra") -
SUMIFS(H66:H$1048576,D66:D$1048576,His_Operacoes_FIIs[[#This Row],[Título]],E66:E$1048576,"Venda")</f>
        <v>0</v>
      </c>
      <c r="L66" s="113">
        <f>IF(His_Operacoes_FIIs[[#This Row],[Operação]] = "Compra",
His_Operacoes_FIIs[[#This Row],[Saldo Acum.]]/His_Operacoes_FIIs[[#This Row],[Qtd Acum]],
IFERROR(VLOOKUP(His_Operacoes_FIIs[[#This Row],[Título]],D67:M$1048576,9,FALSE),0))</f>
        <v>0</v>
      </c>
      <c r="M66" s="113" t="e">
        <f>_xlfn.IFS(His_Operacoes_FIIs[[#This Row],[Operação]] = "Compra", IFERROR(VLOOKUP(His_Operacoes_FIIs[[#This Row],[Título]],D67:M$1048576,10,FALSE),0) + His_Operacoes_FIIs[[#This Row],[Total]],
His_Operacoes_FIIs[[#This Row],[Operação]] = "Venda",His_Operacoes_FIIs[[#This Row],[Qtd Acum]] * IFERROR(VLOOKUP(His_Operacoes_FIIs[[#This Row],[Título]],D67:M$1048576,9,FALSE),0),
His_Operacoes_FIIs[[#This Row],[Operação]] = "Provento",VLOOKUP(His_Operacoes_FIIs[[#This Row],[Título]],D67:M$1048576,10,FALSE))</f>
        <v>#N/A</v>
      </c>
      <c r="N66" s="117">
        <f>EOMONTH(His_Operacoes_FIIs[[#This Row],[Data]],0)</f>
        <v>31</v>
      </c>
    </row>
    <row r="79" spans="4:14" x14ac:dyDescent="0.35">
      <c r="F79" s="64"/>
      <c r="I79" s="65"/>
    </row>
  </sheetData>
  <mergeCells count="18">
    <mergeCell ref="D16:Q16"/>
    <mergeCell ref="D21:Q21"/>
    <mergeCell ref="D41:Q41"/>
    <mergeCell ref="D63:Q63"/>
    <mergeCell ref="D9:Q9"/>
    <mergeCell ref="M11:O11"/>
    <mergeCell ref="N12:O12"/>
    <mergeCell ref="R12:S12"/>
    <mergeCell ref="N13:O13"/>
    <mergeCell ref="N14:O14"/>
    <mergeCell ref="D2:Q2"/>
    <mergeCell ref="D4:E4"/>
    <mergeCell ref="I4:J4"/>
    <mergeCell ref="L4:M4"/>
    <mergeCell ref="D5:E5"/>
    <mergeCell ref="I5:J5"/>
    <mergeCell ref="L5:M5"/>
    <mergeCell ref="O5:Q5"/>
  </mergeCells>
  <conditionalFormatting sqref="E66">
    <cfRule type="containsText" dxfId="46" priority="6" operator="containsText" text="Provento">
      <formula>NOT(ISERROR(SEARCH("Provento",E66)))</formula>
    </cfRule>
    <cfRule type="containsText" dxfId="45" priority="7" operator="containsText" text="Venda">
      <formula>NOT(ISERROR(SEARCH("Venda",E66)))</formula>
    </cfRule>
    <cfRule type="containsText" dxfId="44" priority="8" operator="containsText" text="Compra">
      <formula>NOT(ISERROR(SEARCH("Compra",E66)))</formula>
    </cfRule>
  </conditionalFormatting>
  <conditionalFormatting sqref="G19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{21FBB5AC-3F43-4E2D-9E45-626853522D04}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Spinner 1">
              <controlPr locked="0" defaultSize="0" autoPict="0">
                <anchor moveWithCells="1" sizeWithCells="1">
                  <from>
                    <xdr:col>9</xdr:col>
                    <xdr:colOff>847725</xdr:colOff>
                    <xdr:row>41</xdr:row>
                    <xdr:rowOff>95250</xdr:rowOff>
                  </from>
                  <to>
                    <xdr:col>10</xdr:col>
                    <xdr:colOff>523875</xdr:colOff>
                    <xdr:row>43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1FBB5AC-3F43-4E2D-9E45-626853522D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</xm:sqref>
        </x14:conditionalFormatting>
        <x14:conditionalFormatting xmlns:xm="http://schemas.microsoft.com/office/excel/2006/main">
          <x14:cfRule type="iconSet" priority="4" id="{C349F85A-B08D-4CD5-A145-8CB483FE828B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5" id="{32E54670-C644-41A5-BED0-72ACB679206D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E6:E7</xm:sqref>
        </x14:conditionalFormatting>
        <x14:conditionalFormatting xmlns:xm="http://schemas.microsoft.com/office/excel/2006/main">
          <x14:cfRule type="iconSet" priority="31" id="{6B1DA02C-9BE9-41C8-B1A7-0C018B21D140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32" id="{1811079F-A534-4195-A04C-61DEF0A83D8D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I19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A5C71A5-71E8-437A-B920-19B794C16744}">
          <x14:formula1>
            <xm:f>Auxiliar!$A$7:$A$9</xm:f>
          </x14:formula1>
          <xm:sqref>E11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0CBF5-A040-4ACA-85A6-B18FFDC90189}">
  <sheetPr codeName="Planilha6"/>
  <dimension ref="A1:AC972"/>
  <sheetViews>
    <sheetView zoomScale="80" zoomScaleNormal="80" workbookViewId="0">
      <selection activeCell="K2" sqref="K2"/>
    </sheetView>
  </sheetViews>
  <sheetFormatPr defaultRowHeight="17.25" x14ac:dyDescent="0.35"/>
  <cols>
    <col min="1" max="1" width="11.125" customWidth="1"/>
    <col min="2" max="2" width="9.875" customWidth="1"/>
    <col min="3" max="3" width="11.25" style="8" bestFit="1" customWidth="1"/>
    <col min="4" max="4" width="12.875" style="8" customWidth="1"/>
    <col min="5" max="5" width="11.25" style="8" bestFit="1" customWidth="1"/>
    <col min="6" max="6" width="12" style="8" customWidth="1"/>
    <col min="7" max="8" width="10.25" style="8" bestFit="1" customWidth="1"/>
    <col min="9" max="10" width="11.25" style="8" bestFit="1" customWidth="1"/>
    <col min="11" max="15" width="11.25" style="8" customWidth="1"/>
    <col min="16" max="16" width="11.25" bestFit="1" customWidth="1"/>
    <col min="17" max="17" width="18.125" bestFit="1" customWidth="1"/>
    <col min="18" max="18" width="15.75" bestFit="1" customWidth="1"/>
    <col min="19" max="19" width="15.875" bestFit="1" customWidth="1"/>
    <col min="20" max="20" width="18" bestFit="1" customWidth="1"/>
    <col min="21" max="21" width="10.25" bestFit="1" customWidth="1"/>
    <col min="22" max="22" width="10.375" bestFit="1" customWidth="1"/>
    <col min="23" max="23" width="10.25" bestFit="1" customWidth="1"/>
    <col min="24" max="26" width="11.25" bestFit="1" customWidth="1"/>
    <col min="27" max="27" width="11.375" bestFit="1" customWidth="1"/>
    <col min="28" max="29" width="10.25" bestFit="1" customWidth="1"/>
  </cols>
  <sheetData>
    <row r="1" spans="1:29" x14ac:dyDescent="0.35">
      <c r="A1" t="s">
        <v>35</v>
      </c>
      <c r="B1" t="s">
        <v>35</v>
      </c>
      <c r="C1" t="s">
        <v>65</v>
      </c>
      <c r="D1" t="s">
        <v>66</v>
      </c>
      <c r="E1" t="s">
        <v>71</v>
      </c>
      <c r="F1" t="s">
        <v>74</v>
      </c>
      <c r="G1" t="s">
        <v>72</v>
      </c>
      <c r="H1" t="s">
        <v>73</v>
      </c>
      <c r="I1" t="s">
        <v>76</v>
      </c>
      <c r="J1" t="s">
        <v>87</v>
      </c>
      <c r="K1" t="s">
        <v>79</v>
      </c>
      <c r="L1" t="s">
        <v>80</v>
      </c>
      <c r="M1" t="s">
        <v>81</v>
      </c>
      <c r="N1" t="s">
        <v>88</v>
      </c>
      <c r="O1"/>
      <c r="R1" t="s">
        <v>62</v>
      </c>
      <c r="S1" t="s">
        <v>64</v>
      </c>
      <c r="T1" t="s">
        <v>62</v>
      </c>
      <c r="U1" t="s">
        <v>64</v>
      </c>
      <c r="V1" t="s">
        <v>62</v>
      </c>
      <c r="W1" t="s">
        <v>64</v>
      </c>
      <c r="X1" t="s">
        <v>62</v>
      </c>
      <c r="Y1" t="s">
        <v>64</v>
      </c>
      <c r="Z1" t="s">
        <v>82</v>
      </c>
      <c r="AA1" t="s">
        <v>83</v>
      </c>
      <c r="AB1" t="s">
        <v>84</v>
      </c>
    </row>
    <row r="2" spans="1:29" x14ac:dyDescent="0.35">
      <c r="A2" s="7">
        <v>42370</v>
      </c>
      <c r="B2" s="7">
        <f>EOMONTH(A2,-1)</f>
        <v>42369</v>
      </c>
      <c r="E2" s="120"/>
      <c r="F2" s="120"/>
      <c r="G2" s="120"/>
      <c r="H2" s="120"/>
      <c r="I2" s="8">
        <f>SUM(C2,E2,G2)</f>
        <v>0</v>
      </c>
      <c r="J2" s="8">
        <f>SUM(D2,F2,H2)</f>
        <v>0</v>
      </c>
      <c r="K2" s="8">
        <f>SUMIFS(His_Operacoes_acoes[Total],His_Operacoes_acoes[Fimmes],Patrimônio!B2,His_Operacoes_acoes[Operação],"JCP")
+ SUMIFS(His_Operacoes_acoes[Total],His_Operacoes_acoes[Fimmes],Patrimônio!B2,His_Operacoes_acoes[Operação],"Divid.")
+ SUMIFS(His_Operacoes_acoes[Total],His_Operacoes_acoes[Fimmes],Patrimônio!B2,His_Operacoes_acoes[Operação],"Bonif.")</f>
        <v>0</v>
      </c>
      <c r="L2" s="8">
        <f>SUMIFS(His_Operacoes_BDRs[Total],His_Operacoes_BDRs[Operação],"Provento",His_Operacoes_BDRs[fimmês],Patrimônio!B2)</f>
        <v>0</v>
      </c>
      <c r="M2" s="8">
        <f>SUMIFS(His_Operacoes_FIIs[Total],His_Operacoes_FIIs[Operação],"Provento",His_Operacoes_FIIs[fimmês],Patrimônio!B2)</f>
        <v>0</v>
      </c>
      <c r="N2" s="8">
        <f>SUM(K2:M2)</f>
        <v>0</v>
      </c>
      <c r="O2" s="13"/>
      <c r="P2">
        <v>75</v>
      </c>
      <c r="Q2" s="7">
        <f t="shared" ref="Q2:Q13" si="0">INDEX($B$1:$M$10232,$P2,Q$14)</f>
        <v>44592</v>
      </c>
      <c r="R2" s="8">
        <f t="shared" ref="R2:AB13" si="1">INDEX($B:$N,$P2,R$14)</f>
        <v>0</v>
      </c>
      <c r="S2" s="8">
        <f t="shared" si="1"/>
        <v>0</v>
      </c>
      <c r="T2" s="8">
        <f t="shared" si="1"/>
        <v>0</v>
      </c>
      <c r="U2" s="8">
        <f t="shared" si="1"/>
        <v>0</v>
      </c>
      <c r="V2" s="8">
        <f t="shared" si="1"/>
        <v>0</v>
      </c>
      <c r="W2" s="8">
        <f t="shared" si="1"/>
        <v>0</v>
      </c>
      <c r="X2" s="8">
        <f t="shared" si="1"/>
        <v>0</v>
      </c>
      <c r="Y2" s="8">
        <f t="shared" si="1"/>
        <v>0</v>
      </c>
      <c r="Z2" s="8">
        <f t="shared" si="1"/>
        <v>0</v>
      </c>
      <c r="AA2" s="8">
        <f t="shared" si="1"/>
        <v>0</v>
      </c>
      <c r="AB2" s="8">
        <f t="shared" si="1"/>
        <v>0</v>
      </c>
      <c r="AC2" s="8"/>
    </row>
    <row r="3" spans="1:29" x14ac:dyDescent="0.35">
      <c r="A3" s="7">
        <v>42401</v>
      </c>
      <c r="B3" s="7">
        <f t="shared" ref="B3:B66" si="2">EOMONTH(A3,-1)</f>
        <v>42400</v>
      </c>
      <c r="I3" s="8">
        <f t="shared" ref="I3:I66" si="3">SUM(C3,E3,G3)</f>
        <v>0</v>
      </c>
      <c r="J3" s="8">
        <f t="shared" ref="J3:J66" si="4">SUM(D3,F3,H3)</f>
        <v>0</v>
      </c>
      <c r="K3" s="8">
        <f>SUMIFS(His_Operacoes_acoes[Total],His_Operacoes_acoes[Fimmes],Patrimônio!B3,His_Operacoes_acoes[Operação],"JCP")
+ SUMIFS(His_Operacoes_acoes[Total],His_Operacoes_acoes[Fimmes],Patrimônio!B3,His_Operacoes_acoes[Operação],"Divid.")
+ SUMIFS(His_Operacoes_acoes[Total],His_Operacoes_acoes[Fimmes],Patrimônio!B3,His_Operacoes_acoes[Operação],"Bonif.")</f>
        <v>0</v>
      </c>
      <c r="L3" s="8">
        <f>SUMIFS(His_Operacoes_BDRs[Total],His_Operacoes_BDRs[Operação],"Provento",His_Operacoes_BDRs[fimmês],Patrimônio!B3)</f>
        <v>0</v>
      </c>
      <c r="M3" s="8">
        <f>SUMIFS(His_Operacoes_FIIs[Total],His_Operacoes_FIIs[Operação],"Provento",His_Operacoes_FIIs[fimmês],Patrimônio!B3)</f>
        <v>0</v>
      </c>
      <c r="N3" s="8">
        <f t="shared" ref="N3:N66" si="5">SUM(K3:M3)</f>
        <v>0</v>
      </c>
      <c r="O3" s="13"/>
      <c r="P3">
        <f>P2+1</f>
        <v>76</v>
      </c>
      <c r="Q3" s="7">
        <f t="shared" si="0"/>
        <v>44620</v>
      </c>
      <c r="R3" s="8">
        <f t="shared" si="1"/>
        <v>0</v>
      </c>
      <c r="S3" s="8">
        <f t="shared" si="1"/>
        <v>0</v>
      </c>
      <c r="T3" s="8">
        <f t="shared" si="1"/>
        <v>0</v>
      </c>
      <c r="U3" s="8">
        <f t="shared" si="1"/>
        <v>0</v>
      </c>
      <c r="V3" s="8">
        <f t="shared" si="1"/>
        <v>0</v>
      </c>
      <c r="W3" s="8">
        <f t="shared" si="1"/>
        <v>0</v>
      </c>
      <c r="X3" s="8">
        <f t="shared" si="1"/>
        <v>0</v>
      </c>
      <c r="Y3" s="8">
        <f t="shared" si="1"/>
        <v>0</v>
      </c>
      <c r="Z3" s="8">
        <f t="shared" si="1"/>
        <v>0</v>
      </c>
      <c r="AA3" s="8">
        <f t="shared" si="1"/>
        <v>0</v>
      </c>
      <c r="AB3" s="8">
        <f t="shared" si="1"/>
        <v>0</v>
      </c>
      <c r="AC3" s="8"/>
    </row>
    <row r="4" spans="1:29" x14ac:dyDescent="0.35">
      <c r="A4" s="7">
        <v>42430</v>
      </c>
      <c r="B4" s="7">
        <f t="shared" si="2"/>
        <v>42429</v>
      </c>
      <c r="I4" s="8">
        <f t="shared" si="3"/>
        <v>0</v>
      </c>
      <c r="J4" s="8">
        <f t="shared" si="4"/>
        <v>0</v>
      </c>
      <c r="K4" s="8">
        <f>SUMIFS(His_Operacoes_acoes[Total],His_Operacoes_acoes[Fimmes],Patrimônio!B4,His_Operacoes_acoes[Operação],"JCP")
+ SUMIFS(His_Operacoes_acoes[Total],His_Operacoes_acoes[Fimmes],Patrimônio!B4,His_Operacoes_acoes[Operação],"Divid.")
+ SUMIFS(His_Operacoes_acoes[Total],His_Operacoes_acoes[Fimmes],Patrimônio!B4,His_Operacoes_acoes[Operação],"Bonif.")</f>
        <v>0</v>
      </c>
      <c r="L4" s="8">
        <f>SUMIFS(His_Operacoes_BDRs[Total],His_Operacoes_BDRs[Operação],"Provento",His_Operacoes_BDRs[fimmês],Patrimônio!B4)</f>
        <v>0</v>
      </c>
      <c r="M4" s="8">
        <f>SUMIFS(His_Operacoes_FIIs[Total],His_Operacoes_FIIs[Operação],"Provento",His_Operacoes_FIIs[fimmês],Patrimônio!B4)</f>
        <v>0</v>
      </c>
      <c r="N4" s="8">
        <f t="shared" si="5"/>
        <v>0</v>
      </c>
      <c r="O4" s="13"/>
      <c r="P4">
        <f t="shared" ref="P4:P13" si="6">P3+1</f>
        <v>77</v>
      </c>
      <c r="Q4" s="7">
        <f t="shared" si="0"/>
        <v>44651</v>
      </c>
      <c r="R4" s="8">
        <f t="shared" si="1"/>
        <v>0</v>
      </c>
      <c r="S4" s="8">
        <f t="shared" si="1"/>
        <v>0</v>
      </c>
      <c r="T4" s="8">
        <f t="shared" si="1"/>
        <v>0</v>
      </c>
      <c r="U4" s="8">
        <f t="shared" si="1"/>
        <v>0</v>
      </c>
      <c r="V4" s="8">
        <f t="shared" si="1"/>
        <v>0</v>
      </c>
      <c r="W4" s="8">
        <f t="shared" si="1"/>
        <v>0</v>
      </c>
      <c r="X4" s="8">
        <f t="shared" si="1"/>
        <v>0</v>
      </c>
      <c r="Y4" s="8">
        <f t="shared" si="1"/>
        <v>0</v>
      </c>
      <c r="Z4" s="8">
        <f t="shared" si="1"/>
        <v>0</v>
      </c>
      <c r="AA4" s="8">
        <f t="shared" si="1"/>
        <v>0</v>
      </c>
      <c r="AB4" s="8">
        <f t="shared" si="1"/>
        <v>0</v>
      </c>
      <c r="AC4" s="8"/>
    </row>
    <row r="5" spans="1:29" x14ac:dyDescent="0.35">
      <c r="A5" s="7">
        <v>42461</v>
      </c>
      <c r="B5" s="7">
        <f t="shared" si="2"/>
        <v>42460</v>
      </c>
      <c r="I5" s="8">
        <f t="shared" si="3"/>
        <v>0</v>
      </c>
      <c r="J5" s="8">
        <f t="shared" si="4"/>
        <v>0</v>
      </c>
      <c r="K5" s="8">
        <f>SUMIFS(His_Operacoes_acoes[Total],His_Operacoes_acoes[Fimmes],Patrimônio!B5,His_Operacoes_acoes[Operação],"JCP")
+ SUMIFS(His_Operacoes_acoes[Total],His_Operacoes_acoes[Fimmes],Patrimônio!B5,His_Operacoes_acoes[Operação],"Divid.")
+ SUMIFS(His_Operacoes_acoes[Total],His_Operacoes_acoes[Fimmes],Patrimônio!B5,His_Operacoes_acoes[Operação],"Bonif.")</f>
        <v>0</v>
      </c>
      <c r="L5" s="8">
        <f>SUMIFS(His_Operacoes_BDRs[Total],His_Operacoes_BDRs[Operação],"Provento",His_Operacoes_BDRs[fimmês],Patrimônio!B5)</f>
        <v>0</v>
      </c>
      <c r="M5" s="8">
        <f>SUMIFS(His_Operacoes_FIIs[Total],His_Operacoes_FIIs[Operação],"Provento",His_Operacoes_FIIs[fimmês],Patrimônio!B5)</f>
        <v>0</v>
      </c>
      <c r="N5" s="8">
        <f t="shared" si="5"/>
        <v>0</v>
      </c>
      <c r="O5" s="13"/>
      <c r="P5">
        <f t="shared" si="6"/>
        <v>78</v>
      </c>
      <c r="Q5" s="7">
        <f t="shared" si="0"/>
        <v>44681</v>
      </c>
      <c r="R5" s="8">
        <f t="shared" si="1"/>
        <v>0</v>
      </c>
      <c r="S5" s="8">
        <f t="shared" si="1"/>
        <v>0</v>
      </c>
      <c r="T5" s="8">
        <f t="shared" si="1"/>
        <v>0</v>
      </c>
      <c r="U5" s="8">
        <f t="shared" si="1"/>
        <v>0</v>
      </c>
      <c r="V5" s="8">
        <f t="shared" si="1"/>
        <v>0</v>
      </c>
      <c r="W5" s="8">
        <f t="shared" si="1"/>
        <v>0</v>
      </c>
      <c r="X5" s="8">
        <f t="shared" si="1"/>
        <v>0</v>
      </c>
      <c r="Y5" s="8">
        <f t="shared" si="1"/>
        <v>0</v>
      </c>
      <c r="Z5" s="8">
        <f t="shared" si="1"/>
        <v>0</v>
      </c>
      <c r="AA5" s="8">
        <f t="shared" si="1"/>
        <v>0</v>
      </c>
      <c r="AB5" s="8">
        <f t="shared" si="1"/>
        <v>0</v>
      </c>
      <c r="AC5" s="8"/>
    </row>
    <row r="6" spans="1:29" x14ac:dyDescent="0.35">
      <c r="A6" s="7">
        <v>42491</v>
      </c>
      <c r="B6" s="7">
        <f t="shared" si="2"/>
        <v>42490</v>
      </c>
      <c r="I6" s="8">
        <f t="shared" si="3"/>
        <v>0</v>
      </c>
      <c r="J6" s="8">
        <f t="shared" si="4"/>
        <v>0</v>
      </c>
      <c r="K6" s="8">
        <f>SUMIFS(His_Operacoes_acoes[Total],His_Operacoes_acoes[Fimmes],Patrimônio!B6,His_Operacoes_acoes[Operação],"JCP")
+ SUMIFS(His_Operacoes_acoes[Total],His_Operacoes_acoes[Fimmes],Patrimônio!B6,His_Operacoes_acoes[Operação],"Divid.")
+ SUMIFS(His_Operacoes_acoes[Total],His_Operacoes_acoes[Fimmes],Patrimônio!B6,His_Operacoes_acoes[Operação],"Bonif.")</f>
        <v>0</v>
      </c>
      <c r="L6" s="8">
        <f>SUMIFS(His_Operacoes_BDRs[Total],His_Operacoes_BDRs[Operação],"Provento",His_Operacoes_BDRs[fimmês],Patrimônio!B6)</f>
        <v>0</v>
      </c>
      <c r="M6" s="8">
        <f>SUMIFS(His_Operacoes_FIIs[Total],His_Operacoes_FIIs[Operação],"Provento",His_Operacoes_FIIs[fimmês],Patrimônio!B6)</f>
        <v>0</v>
      </c>
      <c r="N6" s="8">
        <f t="shared" si="5"/>
        <v>0</v>
      </c>
      <c r="O6" s="13"/>
      <c r="P6">
        <f t="shared" si="6"/>
        <v>79</v>
      </c>
      <c r="Q6" s="7">
        <f t="shared" si="0"/>
        <v>44712</v>
      </c>
      <c r="R6" s="8">
        <f t="shared" si="1"/>
        <v>0</v>
      </c>
      <c r="S6" s="8">
        <f t="shared" si="1"/>
        <v>0</v>
      </c>
      <c r="T6" s="8">
        <f t="shared" si="1"/>
        <v>0</v>
      </c>
      <c r="U6" s="8">
        <f t="shared" si="1"/>
        <v>0</v>
      </c>
      <c r="V6" s="8">
        <f t="shared" si="1"/>
        <v>0</v>
      </c>
      <c r="W6" s="8">
        <f t="shared" si="1"/>
        <v>0</v>
      </c>
      <c r="X6" s="8">
        <f t="shared" si="1"/>
        <v>0</v>
      </c>
      <c r="Y6" s="8">
        <f t="shared" si="1"/>
        <v>0</v>
      </c>
      <c r="Z6" s="8">
        <f t="shared" si="1"/>
        <v>0</v>
      </c>
      <c r="AA6" s="8">
        <f t="shared" si="1"/>
        <v>0</v>
      </c>
      <c r="AB6" s="8">
        <f t="shared" si="1"/>
        <v>0</v>
      </c>
      <c r="AC6" s="8"/>
    </row>
    <row r="7" spans="1:29" x14ac:dyDescent="0.35">
      <c r="A7" s="7">
        <v>42522</v>
      </c>
      <c r="B7" s="7">
        <f t="shared" si="2"/>
        <v>42521</v>
      </c>
      <c r="I7" s="8">
        <f t="shared" si="3"/>
        <v>0</v>
      </c>
      <c r="J7" s="8">
        <f t="shared" si="4"/>
        <v>0</v>
      </c>
      <c r="K7" s="8">
        <f>SUMIFS(His_Operacoes_acoes[Total],His_Operacoes_acoes[Fimmes],Patrimônio!B7,His_Operacoes_acoes[Operação],"JCP")
+ SUMIFS(His_Operacoes_acoes[Total],His_Operacoes_acoes[Fimmes],Patrimônio!B7,His_Operacoes_acoes[Operação],"Divid.")
+ SUMIFS(His_Operacoes_acoes[Total],His_Operacoes_acoes[Fimmes],Patrimônio!B7,His_Operacoes_acoes[Operação],"Bonif.")</f>
        <v>0</v>
      </c>
      <c r="L7" s="8">
        <f>SUMIFS(His_Operacoes_BDRs[Total],His_Operacoes_BDRs[Operação],"Provento",His_Operacoes_BDRs[fimmês],Patrimônio!B7)</f>
        <v>0</v>
      </c>
      <c r="M7" s="8">
        <f>SUMIFS(His_Operacoes_FIIs[Total],His_Operacoes_FIIs[Operação],"Provento",His_Operacoes_FIIs[fimmês],Patrimônio!B7)</f>
        <v>0</v>
      </c>
      <c r="N7" s="8">
        <f t="shared" si="5"/>
        <v>0</v>
      </c>
      <c r="O7" s="13"/>
      <c r="P7">
        <f t="shared" si="6"/>
        <v>80</v>
      </c>
      <c r="Q7" s="7">
        <f t="shared" si="0"/>
        <v>44742</v>
      </c>
      <c r="R7" s="8">
        <f t="shared" si="1"/>
        <v>0</v>
      </c>
      <c r="S7" s="8">
        <f t="shared" si="1"/>
        <v>0</v>
      </c>
      <c r="T7" s="8">
        <f t="shared" si="1"/>
        <v>0</v>
      </c>
      <c r="U7" s="8">
        <f t="shared" si="1"/>
        <v>0</v>
      </c>
      <c r="V7" s="8">
        <f t="shared" si="1"/>
        <v>0</v>
      </c>
      <c r="W7" s="8">
        <f t="shared" si="1"/>
        <v>0</v>
      </c>
      <c r="X7" s="8">
        <f t="shared" si="1"/>
        <v>0</v>
      </c>
      <c r="Y7" s="8">
        <f t="shared" si="1"/>
        <v>0</v>
      </c>
      <c r="Z7" s="8">
        <f t="shared" si="1"/>
        <v>0</v>
      </c>
      <c r="AA7" s="8">
        <f t="shared" si="1"/>
        <v>0</v>
      </c>
      <c r="AB7" s="8">
        <f t="shared" si="1"/>
        <v>0</v>
      </c>
      <c r="AC7" s="8"/>
    </row>
    <row r="8" spans="1:29" x14ac:dyDescent="0.35">
      <c r="A8" s="7">
        <v>42552</v>
      </c>
      <c r="B8" s="7">
        <f t="shared" si="2"/>
        <v>42551</v>
      </c>
      <c r="I8" s="8">
        <f t="shared" si="3"/>
        <v>0</v>
      </c>
      <c r="J8" s="8">
        <f t="shared" si="4"/>
        <v>0</v>
      </c>
      <c r="K8" s="8">
        <f>SUMIFS(His_Operacoes_acoes[Total],His_Operacoes_acoes[Fimmes],Patrimônio!B8,His_Operacoes_acoes[Operação],"JCP")
+ SUMIFS(His_Operacoes_acoes[Total],His_Operacoes_acoes[Fimmes],Patrimônio!B8,His_Operacoes_acoes[Operação],"Divid.")
+ SUMIFS(His_Operacoes_acoes[Total],His_Operacoes_acoes[Fimmes],Patrimônio!B8,His_Operacoes_acoes[Operação],"Bonif.")</f>
        <v>0</v>
      </c>
      <c r="L8" s="8">
        <f>SUMIFS(His_Operacoes_BDRs[Total],His_Operacoes_BDRs[Operação],"Provento",His_Operacoes_BDRs[fimmês],Patrimônio!B8)</f>
        <v>0</v>
      </c>
      <c r="M8" s="8">
        <f>SUMIFS(His_Operacoes_FIIs[Total],His_Operacoes_FIIs[Operação],"Provento",His_Operacoes_FIIs[fimmês],Patrimônio!B8)</f>
        <v>0</v>
      </c>
      <c r="N8" s="8">
        <f t="shared" si="5"/>
        <v>0</v>
      </c>
      <c r="P8">
        <f t="shared" si="6"/>
        <v>81</v>
      </c>
      <c r="Q8" s="7">
        <f t="shared" si="0"/>
        <v>44773</v>
      </c>
      <c r="R8" s="8">
        <f t="shared" si="1"/>
        <v>0</v>
      </c>
      <c r="S8" s="8">
        <f t="shared" si="1"/>
        <v>0</v>
      </c>
      <c r="T8" s="8">
        <f t="shared" si="1"/>
        <v>0</v>
      </c>
      <c r="U8" s="8">
        <f t="shared" si="1"/>
        <v>0</v>
      </c>
      <c r="V8" s="8">
        <f t="shared" si="1"/>
        <v>0</v>
      </c>
      <c r="W8" s="8">
        <f t="shared" si="1"/>
        <v>0</v>
      </c>
      <c r="X8" s="8">
        <f t="shared" si="1"/>
        <v>0</v>
      </c>
      <c r="Y8" s="8">
        <f t="shared" si="1"/>
        <v>0</v>
      </c>
      <c r="Z8" s="8">
        <f t="shared" si="1"/>
        <v>0</v>
      </c>
      <c r="AA8" s="8">
        <f t="shared" si="1"/>
        <v>0</v>
      </c>
      <c r="AB8" s="8">
        <f t="shared" si="1"/>
        <v>0</v>
      </c>
      <c r="AC8" s="8"/>
    </row>
    <row r="9" spans="1:29" x14ac:dyDescent="0.35">
      <c r="A9" s="7">
        <v>42583</v>
      </c>
      <c r="B9" s="7">
        <f t="shared" si="2"/>
        <v>42582</v>
      </c>
      <c r="I9" s="8">
        <f t="shared" si="3"/>
        <v>0</v>
      </c>
      <c r="J9" s="8">
        <f t="shared" si="4"/>
        <v>0</v>
      </c>
      <c r="K9" s="8">
        <f>SUMIFS(His_Operacoes_acoes[Total],His_Operacoes_acoes[Fimmes],Patrimônio!B9,His_Operacoes_acoes[Operação],"JCP")
+ SUMIFS(His_Operacoes_acoes[Total],His_Operacoes_acoes[Fimmes],Patrimônio!B9,His_Operacoes_acoes[Operação],"Divid.")
+ SUMIFS(His_Operacoes_acoes[Total],His_Operacoes_acoes[Fimmes],Patrimônio!B9,His_Operacoes_acoes[Operação],"Bonif.")</f>
        <v>0</v>
      </c>
      <c r="L9" s="8">
        <f>SUMIFS(His_Operacoes_BDRs[Total],His_Operacoes_BDRs[Operação],"Provento",His_Operacoes_BDRs[fimmês],Patrimônio!B9)</f>
        <v>0</v>
      </c>
      <c r="M9" s="8">
        <f>SUMIFS(His_Operacoes_FIIs[Total],His_Operacoes_FIIs[Operação],"Provento",His_Operacoes_FIIs[fimmês],Patrimônio!B9)</f>
        <v>0</v>
      </c>
      <c r="N9" s="8">
        <f t="shared" si="5"/>
        <v>0</v>
      </c>
      <c r="P9">
        <f t="shared" si="6"/>
        <v>82</v>
      </c>
      <c r="Q9" s="7">
        <f t="shared" si="0"/>
        <v>44804</v>
      </c>
      <c r="R9" s="8">
        <f t="shared" si="1"/>
        <v>0</v>
      </c>
      <c r="S9" s="8">
        <f t="shared" si="1"/>
        <v>0</v>
      </c>
      <c r="T9" s="8">
        <f t="shared" si="1"/>
        <v>0</v>
      </c>
      <c r="U9" s="8">
        <f t="shared" si="1"/>
        <v>0</v>
      </c>
      <c r="V9" s="8">
        <f t="shared" si="1"/>
        <v>0</v>
      </c>
      <c r="W9" s="8">
        <f t="shared" si="1"/>
        <v>0</v>
      </c>
      <c r="X9" s="8">
        <f t="shared" si="1"/>
        <v>0</v>
      </c>
      <c r="Y9" s="8">
        <f t="shared" si="1"/>
        <v>0</v>
      </c>
      <c r="Z9" s="8">
        <f t="shared" si="1"/>
        <v>0</v>
      </c>
      <c r="AA9" s="8">
        <f t="shared" si="1"/>
        <v>0</v>
      </c>
      <c r="AB9" s="8">
        <f t="shared" si="1"/>
        <v>0</v>
      </c>
      <c r="AC9" s="8"/>
    </row>
    <row r="10" spans="1:29" x14ac:dyDescent="0.35">
      <c r="A10" s="7">
        <v>42614</v>
      </c>
      <c r="B10" s="7">
        <f t="shared" si="2"/>
        <v>42613</v>
      </c>
      <c r="I10" s="8">
        <f t="shared" si="3"/>
        <v>0</v>
      </c>
      <c r="J10" s="8">
        <f t="shared" si="4"/>
        <v>0</v>
      </c>
      <c r="K10" s="8">
        <f>SUMIFS(His_Operacoes_acoes[Total],His_Operacoes_acoes[Fimmes],Patrimônio!B10,His_Operacoes_acoes[Operação],"JCP")
+ SUMIFS(His_Operacoes_acoes[Total],His_Operacoes_acoes[Fimmes],Patrimônio!B10,His_Operacoes_acoes[Operação],"Divid.")
+ SUMIFS(His_Operacoes_acoes[Total],His_Operacoes_acoes[Fimmes],Patrimônio!B10,His_Operacoes_acoes[Operação],"Bonif.")</f>
        <v>0</v>
      </c>
      <c r="L10" s="8">
        <f>SUMIFS(His_Operacoes_BDRs[Total],His_Operacoes_BDRs[Operação],"Provento",His_Operacoes_BDRs[fimmês],Patrimônio!B10)</f>
        <v>0</v>
      </c>
      <c r="M10" s="8">
        <f>SUMIFS(His_Operacoes_FIIs[Total],His_Operacoes_FIIs[Operação],"Provento",His_Operacoes_FIIs[fimmês],Patrimônio!B10)</f>
        <v>0</v>
      </c>
      <c r="N10" s="8">
        <f t="shared" si="5"/>
        <v>0</v>
      </c>
      <c r="P10">
        <f t="shared" si="6"/>
        <v>83</v>
      </c>
      <c r="Q10" s="7">
        <f t="shared" si="0"/>
        <v>44834</v>
      </c>
      <c r="R10" s="8">
        <f t="shared" si="1"/>
        <v>0</v>
      </c>
      <c r="S10" s="8">
        <f t="shared" si="1"/>
        <v>0</v>
      </c>
      <c r="T10" s="8">
        <f t="shared" si="1"/>
        <v>0</v>
      </c>
      <c r="U10" s="8">
        <f t="shared" si="1"/>
        <v>0</v>
      </c>
      <c r="V10" s="8">
        <f t="shared" si="1"/>
        <v>0</v>
      </c>
      <c r="W10" s="8">
        <f t="shared" si="1"/>
        <v>0</v>
      </c>
      <c r="X10" s="8">
        <f t="shared" si="1"/>
        <v>0</v>
      </c>
      <c r="Y10" s="8">
        <f t="shared" si="1"/>
        <v>0</v>
      </c>
      <c r="Z10" s="8">
        <f t="shared" si="1"/>
        <v>0</v>
      </c>
      <c r="AA10" s="8">
        <f t="shared" si="1"/>
        <v>0</v>
      </c>
      <c r="AB10" s="8">
        <f t="shared" si="1"/>
        <v>0</v>
      </c>
      <c r="AC10" s="8"/>
    </row>
    <row r="11" spans="1:29" x14ac:dyDescent="0.35">
      <c r="A11" s="7">
        <v>42644</v>
      </c>
      <c r="B11" s="7">
        <f t="shared" si="2"/>
        <v>42643</v>
      </c>
      <c r="I11" s="8">
        <f t="shared" si="3"/>
        <v>0</v>
      </c>
      <c r="J11" s="8">
        <f t="shared" si="4"/>
        <v>0</v>
      </c>
      <c r="K11" s="8">
        <f>SUMIFS(His_Operacoes_acoes[Total],His_Operacoes_acoes[Fimmes],Patrimônio!B11,His_Operacoes_acoes[Operação],"JCP")
+ SUMIFS(His_Operacoes_acoes[Total],His_Operacoes_acoes[Fimmes],Patrimônio!B11,His_Operacoes_acoes[Operação],"Divid.")
+ SUMIFS(His_Operacoes_acoes[Total],His_Operacoes_acoes[Fimmes],Patrimônio!B11,His_Operacoes_acoes[Operação],"Bonif.")</f>
        <v>0</v>
      </c>
      <c r="L11" s="8">
        <f>SUMIFS(His_Operacoes_BDRs[Total],His_Operacoes_BDRs[Operação],"Provento",His_Operacoes_BDRs[fimmês],Patrimônio!B11)</f>
        <v>0</v>
      </c>
      <c r="M11" s="8">
        <f>SUMIFS(His_Operacoes_FIIs[Total],His_Operacoes_FIIs[Operação],"Provento",His_Operacoes_FIIs[fimmês],Patrimônio!B11)</f>
        <v>0</v>
      </c>
      <c r="N11" s="8">
        <f t="shared" si="5"/>
        <v>0</v>
      </c>
      <c r="P11">
        <f t="shared" si="6"/>
        <v>84</v>
      </c>
      <c r="Q11" s="7">
        <f t="shared" si="0"/>
        <v>44865</v>
      </c>
      <c r="R11" s="8">
        <f t="shared" si="1"/>
        <v>0</v>
      </c>
      <c r="S11" s="8">
        <f t="shared" si="1"/>
        <v>0</v>
      </c>
      <c r="T11" s="8">
        <f t="shared" si="1"/>
        <v>0</v>
      </c>
      <c r="U11" s="8">
        <f t="shared" si="1"/>
        <v>0</v>
      </c>
      <c r="V11" s="8">
        <f t="shared" si="1"/>
        <v>0</v>
      </c>
      <c r="W11" s="8">
        <f t="shared" si="1"/>
        <v>0</v>
      </c>
      <c r="X11" s="8">
        <f t="shared" si="1"/>
        <v>0</v>
      </c>
      <c r="Y11" s="8">
        <f t="shared" si="1"/>
        <v>0</v>
      </c>
      <c r="Z11" s="8">
        <f t="shared" si="1"/>
        <v>0</v>
      </c>
      <c r="AA11" s="8">
        <f t="shared" si="1"/>
        <v>0</v>
      </c>
      <c r="AB11" s="8">
        <f t="shared" si="1"/>
        <v>0</v>
      </c>
      <c r="AC11" s="8"/>
    </row>
    <row r="12" spans="1:29" x14ac:dyDescent="0.35">
      <c r="A12" s="7">
        <v>42675</v>
      </c>
      <c r="B12" s="7">
        <f t="shared" si="2"/>
        <v>42674</v>
      </c>
      <c r="I12" s="8">
        <f t="shared" si="3"/>
        <v>0</v>
      </c>
      <c r="J12" s="8">
        <f t="shared" si="4"/>
        <v>0</v>
      </c>
      <c r="K12" s="8">
        <f>SUMIFS(His_Operacoes_acoes[Total],His_Operacoes_acoes[Fimmes],Patrimônio!B12,His_Operacoes_acoes[Operação],"JCP")
+ SUMIFS(His_Operacoes_acoes[Total],His_Operacoes_acoes[Fimmes],Patrimônio!B12,His_Operacoes_acoes[Operação],"Divid.")
+ SUMIFS(His_Operacoes_acoes[Total],His_Operacoes_acoes[Fimmes],Patrimônio!B12,His_Operacoes_acoes[Operação],"Bonif.")</f>
        <v>0</v>
      </c>
      <c r="L12" s="8">
        <f>SUMIFS(His_Operacoes_BDRs[Total],His_Operacoes_BDRs[Operação],"Provento",His_Operacoes_BDRs[fimmês],Patrimônio!B12)</f>
        <v>0</v>
      </c>
      <c r="M12" s="8">
        <f>SUMIFS(His_Operacoes_FIIs[Total],His_Operacoes_FIIs[Operação],"Provento",His_Operacoes_FIIs[fimmês],Patrimônio!B12)</f>
        <v>0</v>
      </c>
      <c r="N12" s="8">
        <f t="shared" si="5"/>
        <v>0</v>
      </c>
      <c r="P12">
        <f t="shared" si="6"/>
        <v>85</v>
      </c>
      <c r="Q12" s="7">
        <f t="shared" si="0"/>
        <v>44895</v>
      </c>
      <c r="R12" s="8">
        <f t="shared" si="1"/>
        <v>0</v>
      </c>
      <c r="S12" s="8">
        <f t="shared" si="1"/>
        <v>0</v>
      </c>
      <c r="T12" s="8">
        <f t="shared" si="1"/>
        <v>0</v>
      </c>
      <c r="U12" s="8">
        <f t="shared" si="1"/>
        <v>0</v>
      </c>
      <c r="V12" s="8">
        <f t="shared" si="1"/>
        <v>0</v>
      </c>
      <c r="W12" s="8">
        <f t="shared" si="1"/>
        <v>0</v>
      </c>
      <c r="X12" s="8">
        <f t="shared" si="1"/>
        <v>0</v>
      </c>
      <c r="Y12" s="8">
        <f t="shared" si="1"/>
        <v>0</v>
      </c>
      <c r="Z12" s="8">
        <f t="shared" si="1"/>
        <v>0</v>
      </c>
      <c r="AA12" s="8">
        <f t="shared" si="1"/>
        <v>0</v>
      </c>
      <c r="AB12" s="8">
        <f t="shared" si="1"/>
        <v>0</v>
      </c>
      <c r="AC12" s="8"/>
    </row>
    <row r="13" spans="1:29" x14ac:dyDescent="0.35">
      <c r="A13" s="7">
        <v>42705</v>
      </c>
      <c r="B13" s="7">
        <f t="shared" si="2"/>
        <v>42704</v>
      </c>
      <c r="I13" s="8">
        <f t="shared" si="3"/>
        <v>0</v>
      </c>
      <c r="J13" s="8">
        <f t="shared" si="4"/>
        <v>0</v>
      </c>
      <c r="K13" s="8">
        <f>SUMIFS(His_Operacoes_acoes[Total],His_Operacoes_acoes[Fimmes],Patrimônio!B13,His_Operacoes_acoes[Operação],"JCP")
+ SUMIFS(His_Operacoes_acoes[Total],His_Operacoes_acoes[Fimmes],Patrimônio!B13,His_Operacoes_acoes[Operação],"Divid.")
+ SUMIFS(His_Operacoes_acoes[Total],His_Operacoes_acoes[Fimmes],Patrimônio!B13,His_Operacoes_acoes[Operação],"Bonif.")</f>
        <v>0</v>
      </c>
      <c r="L13" s="8">
        <f>SUMIFS(His_Operacoes_BDRs[Total],His_Operacoes_BDRs[Operação],"Provento",His_Operacoes_BDRs[fimmês],Patrimônio!B13)</f>
        <v>0</v>
      </c>
      <c r="M13" s="8">
        <f>SUMIFS(His_Operacoes_FIIs[Total],His_Operacoes_FIIs[Operação],"Provento",His_Operacoes_FIIs[fimmês],Patrimônio!B13)</f>
        <v>0</v>
      </c>
      <c r="N13" s="8">
        <f t="shared" si="5"/>
        <v>0</v>
      </c>
      <c r="P13">
        <f t="shared" si="6"/>
        <v>86</v>
      </c>
      <c r="Q13" s="7">
        <f t="shared" si="0"/>
        <v>44926</v>
      </c>
      <c r="R13" s="8">
        <f t="shared" si="1"/>
        <v>0</v>
      </c>
      <c r="S13" s="8">
        <f t="shared" si="1"/>
        <v>0</v>
      </c>
      <c r="T13" s="8">
        <f t="shared" si="1"/>
        <v>0</v>
      </c>
      <c r="U13" s="8">
        <f t="shared" si="1"/>
        <v>0</v>
      </c>
      <c r="V13" s="8">
        <f t="shared" si="1"/>
        <v>0</v>
      </c>
      <c r="W13" s="8">
        <f t="shared" si="1"/>
        <v>0</v>
      </c>
      <c r="X13" s="8">
        <f t="shared" si="1"/>
        <v>0</v>
      </c>
      <c r="Y13" s="8">
        <f t="shared" si="1"/>
        <v>0</v>
      </c>
      <c r="Z13" s="8">
        <f t="shared" si="1"/>
        <v>0</v>
      </c>
      <c r="AA13" s="8">
        <f t="shared" si="1"/>
        <v>0</v>
      </c>
      <c r="AB13" s="8">
        <f t="shared" si="1"/>
        <v>0</v>
      </c>
      <c r="AC13" s="8"/>
    </row>
    <row r="14" spans="1:29" x14ac:dyDescent="0.35">
      <c r="A14" s="7">
        <v>42736</v>
      </c>
      <c r="B14" s="7">
        <f t="shared" si="2"/>
        <v>42735</v>
      </c>
      <c r="I14" s="8">
        <f t="shared" si="3"/>
        <v>0</v>
      </c>
      <c r="J14" s="8">
        <f t="shared" si="4"/>
        <v>0</v>
      </c>
      <c r="K14" s="8">
        <f>SUMIFS(His_Operacoes_acoes[Total],His_Operacoes_acoes[Fimmes],Patrimônio!B14,His_Operacoes_acoes[Operação],"JCP")
+ SUMIFS(His_Operacoes_acoes[Total],His_Operacoes_acoes[Fimmes],Patrimônio!B14,His_Operacoes_acoes[Operação],"Divid.")
+ SUMIFS(His_Operacoes_acoes[Total],His_Operacoes_acoes[Fimmes],Patrimônio!B14,His_Operacoes_acoes[Operação],"Bonif.")</f>
        <v>0</v>
      </c>
      <c r="L14" s="8">
        <f>SUMIFS(His_Operacoes_BDRs[Total],His_Operacoes_BDRs[Operação],"Provento",His_Operacoes_BDRs[fimmês],Patrimônio!B14)</f>
        <v>0</v>
      </c>
      <c r="M14" s="8">
        <f>SUMIFS(His_Operacoes_FIIs[Total],His_Operacoes_FIIs[Operação],"Provento",His_Operacoes_FIIs[fimmês],Patrimônio!B14)</f>
        <v>0</v>
      </c>
      <c r="N14" s="8">
        <f t="shared" si="5"/>
        <v>0</v>
      </c>
      <c r="Q14">
        <v>1</v>
      </c>
      <c r="R14">
        <v>2</v>
      </c>
      <c r="S14">
        <v>3</v>
      </c>
      <c r="T14">
        <v>4</v>
      </c>
      <c r="U14">
        <v>5</v>
      </c>
      <c r="V14">
        <v>6</v>
      </c>
      <c r="W14">
        <v>7</v>
      </c>
      <c r="X14">
        <v>8</v>
      </c>
      <c r="Y14">
        <v>9</v>
      </c>
      <c r="Z14">
        <v>10</v>
      </c>
      <c r="AA14">
        <v>11</v>
      </c>
      <c r="AB14">
        <v>12</v>
      </c>
    </row>
    <row r="15" spans="1:29" x14ac:dyDescent="0.35">
      <c r="A15" s="7">
        <v>42767</v>
      </c>
      <c r="B15" s="7">
        <f t="shared" si="2"/>
        <v>42766</v>
      </c>
      <c r="I15" s="8">
        <f t="shared" si="3"/>
        <v>0</v>
      </c>
      <c r="J15" s="8">
        <f t="shared" si="4"/>
        <v>0</v>
      </c>
      <c r="K15" s="8">
        <f>SUMIFS(His_Operacoes_acoes[Total],His_Operacoes_acoes[Fimmes],Patrimônio!B15,His_Operacoes_acoes[Operação],"JCP")
+ SUMIFS(His_Operacoes_acoes[Total],His_Operacoes_acoes[Fimmes],Patrimônio!B15,His_Operacoes_acoes[Operação],"Divid.")
+ SUMIFS(His_Operacoes_acoes[Total],His_Operacoes_acoes[Fimmes],Patrimônio!B15,His_Operacoes_acoes[Operação],"Bonif.")</f>
        <v>0</v>
      </c>
      <c r="L15" s="8">
        <f>SUMIFS(His_Operacoes_BDRs[Total],His_Operacoes_BDRs[Operação],"Provento",His_Operacoes_BDRs[fimmês],Patrimônio!B15)</f>
        <v>0</v>
      </c>
      <c r="M15" s="8">
        <f>SUMIFS(His_Operacoes_FIIs[Total],His_Operacoes_FIIs[Operação],"Provento",His_Operacoes_FIIs[fimmês],Patrimônio!B15)</f>
        <v>0</v>
      </c>
      <c r="N15" s="8">
        <f t="shared" si="5"/>
        <v>0</v>
      </c>
    </row>
    <row r="16" spans="1:29" x14ac:dyDescent="0.35">
      <c r="A16" s="7">
        <v>42795</v>
      </c>
      <c r="B16" s="7">
        <f t="shared" si="2"/>
        <v>42794</v>
      </c>
      <c r="I16" s="8">
        <f t="shared" si="3"/>
        <v>0</v>
      </c>
      <c r="J16" s="8">
        <f t="shared" si="4"/>
        <v>0</v>
      </c>
      <c r="K16" s="8">
        <f>SUMIFS(His_Operacoes_acoes[Total],His_Operacoes_acoes[Fimmes],Patrimônio!B16,His_Operacoes_acoes[Operação],"JCP")
+ SUMIFS(His_Operacoes_acoes[Total],His_Operacoes_acoes[Fimmes],Patrimônio!B16,His_Operacoes_acoes[Operação],"Divid.")
+ SUMIFS(His_Operacoes_acoes[Total],His_Operacoes_acoes[Fimmes],Patrimônio!B16,His_Operacoes_acoes[Operação],"Bonif.")</f>
        <v>0</v>
      </c>
      <c r="L16" s="8">
        <f>SUMIFS(His_Operacoes_BDRs[Total],His_Operacoes_BDRs[Operação],"Provento",His_Operacoes_BDRs[fimmês],Patrimônio!B16)</f>
        <v>0</v>
      </c>
      <c r="M16" s="8">
        <f>SUMIFS(His_Operacoes_FIIs[Total],His_Operacoes_FIIs[Operação],"Provento",His_Operacoes_FIIs[fimmês],Patrimônio!B16)</f>
        <v>0</v>
      </c>
      <c r="N16" s="8">
        <f t="shared" si="5"/>
        <v>0</v>
      </c>
    </row>
    <row r="17" spans="1:25" x14ac:dyDescent="0.35">
      <c r="A17" s="7">
        <v>42826</v>
      </c>
      <c r="B17" s="7">
        <f t="shared" si="2"/>
        <v>42825</v>
      </c>
      <c r="I17" s="8">
        <f t="shared" si="3"/>
        <v>0</v>
      </c>
      <c r="J17" s="8">
        <f t="shared" si="4"/>
        <v>0</v>
      </c>
      <c r="K17" s="8">
        <f>SUMIFS(His_Operacoes_acoes[Total],His_Operacoes_acoes[Fimmes],Patrimônio!B17,His_Operacoes_acoes[Operação],"JCP")
+ SUMIFS(His_Operacoes_acoes[Total],His_Operacoes_acoes[Fimmes],Patrimônio!B17,His_Operacoes_acoes[Operação],"Divid.")
+ SUMIFS(His_Operacoes_acoes[Total],His_Operacoes_acoes[Fimmes],Patrimônio!B17,His_Operacoes_acoes[Operação],"Bonif.")</f>
        <v>0</v>
      </c>
      <c r="L17" s="8">
        <f>SUMIFS(His_Operacoes_BDRs[Total],His_Operacoes_BDRs[Operação],"Provento",His_Operacoes_BDRs[fimmês],Patrimônio!B17)</f>
        <v>0</v>
      </c>
      <c r="M17" s="8">
        <f>SUMIFS(His_Operacoes_FIIs[Total],His_Operacoes_FIIs[Operação],"Provento",His_Operacoes_FIIs[fimmês],Patrimônio!B17)</f>
        <v>0</v>
      </c>
      <c r="N17" s="8">
        <f t="shared" si="5"/>
        <v>0</v>
      </c>
      <c r="Y17">
        <v>0</v>
      </c>
    </row>
    <row r="18" spans="1:25" x14ac:dyDescent="0.35">
      <c r="A18" s="7">
        <v>42856</v>
      </c>
      <c r="B18" s="7">
        <f t="shared" si="2"/>
        <v>42855</v>
      </c>
      <c r="I18" s="8">
        <f t="shared" si="3"/>
        <v>0</v>
      </c>
      <c r="J18" s="8">
        <f t="shared" si="4"/>
        <v>0</v>
      </c>
      <c r="K18" s="8">
        <f>SUMIFS(His_Operacoes_acoes[Total],His_Operacoes_acoes[Fimmes],Patrimônio!B18,His_Operacoes_acoes[Operação],"JCP")
+ SUMIFS(His_Operacoes_acoes[Total],His_Operacoes_acoes[Fimmes],Patrimônio!B18,His_Operacoes_acoes[Operação],"Divid.")
+ SUMIFS(His_Operacoes_acoes[Total],His_Operacoes_acoes[Fimmes],Patrimônio!B18,His_Operacoes_acoes[Operação],"Bonif.")</f>
        <v>0</v>
      </c>
      <c r="L18" s="8">
        <f>SUMIFS(His_Operacoes_BDRs[Total],His_Operacoes_BDRs[Operação],"Provento",His_Operacoes_BDRs[fimmês],Patrimônio!B18)</f>
        <v>0</v>
      </c>
      <c r="M18" s="8">
        <f>SUMIFS(His_Operacoes_FIIs[Total],His_Operacoes_FIIs[Operação],"Provento",His_Operacoes_FIIs[fimmês],Patrimônio!B18)</f>
        <v>0</v>
      </c>
      <c r="N18" s="8">
        <f t="shared" si="5"/>
        <v>0</v>
      </c>
    </row>
    <row r="19" spans="1:25" x14ac:dyDescent="0.35">
      <c r="A19" s="7">
        <v>42887</v>
      </c>
      <c r="B19" s="7">
        <f t="shared" si="2"/>
        <v>42886</v>
      </c>
      <c r="I19" s="8">
        <f t="shared" si="3"/>
        <v>0</v>
      </c>
      <c r="J19" s="8">
        <f t="shared" si="4"/>
        <v>0</v>
      </c>
      <c r="K19" s="8">
        <f>SUMIFS(His_Operacoes_acoes[Total],His_Operacoes_acoes[Fimmes],Patrimônio!B19,His_Operacoes_acoes[Operação],"JCP")
+ SUMIFS(His_Operacoes_acoes[Total],His_Operacoes_acoes[Fimmes],Patrimônio!B19,His_Operacoes_acoes[Operação],"Divid.")
+ SUMIFS(His_Operacoes_acoes[Total],His_Operacoes_acoes[Fimmes],Patrimônio!B19,His_Operacoes_acoes[Operação],"Bonif.")</f>
        <v>0</v>
      </c>
      <c r="L19" s="8">
        <f>SUMIFS(His_Operacoes_BDRs[Total],His_Operacoes_BDRs[Operação],"Provento",His_Operacoes_BDRs[fimmês],Patrimônio!B19)</f>
        <v>0</v>
      </c>
      <c r="M19" s="8">
        <f>SUMIFS(His_Operacoes_FIIs[Total],His_Operacoes_FIIs[Operação],"Provento",His_Operacoes_FIIs[fimmês],Patrimônio!B19)</f>
        <v>0</v>
      </c>
      <c r="N19" s="8">
        <f t="shared" si="5"/>
        <v>0</v>
      </c>
    </row>
    <row r="20" spans="1:25" x14ac:dyDescent="0.35">
      <c r="A20" s="7">
        <v>42917</v>
      </c>
      <c r="B20" s="7">
        <f t="shared" si="2"/>
        <v>42916</v>
      </c>
      <c r="I20" s="8">
        <f t="shared" si="3"/>
        <v>0</v>
      </c>
      <c r="J20" s="8">
        <f t="shared" si="4"/>
        <v>0</v>
      </c>
      <c r="K20" s="8">
        <f>SUMIFS(His_Operacoes_acoes[Total],His_Operacoes_acoes[Fimmes],Patrimônio!B20,His_Operacoes_acoes[Operação],"JCP")
+ SUMIFS(His_Operacoes_acoes[Total],His_Operacoes_acoes[Fimmes],Patrimônio!B20,His_Operacoes_acoes[Operação],"Divid.")
+ SUMIFS(His_Operacoes_acoes[Total],His_Operacoes_acoes[Fimmes],Patrimônio!B20,His_Operacoes_acoes[Operação],"Bonif.")</f>
        <v>0</v>
      </c>
      <c r="L20" s="8">
        <f>SUMIFS(His_Operacoes_BDRs[Total],His_Operacoes_BDRs[Operação],"Provento",His_Operacoes_BDRs[fimmês],Patrimônio!B20)</f>
        <v>0</v>
      </c>
      <c r="M20" s="8">
        <f>SUMIFS(His_Operacoes_FIIs[Total],His_Operacoes_FIIs[Operação],"Provento",His_Operacoes_FIIs[fimmês],Patrimônio!B20)</f>
        <v>0</v>
      </c>
      <c r="N20" s="8">
        <f t="shared" si="5"/>
        <v>0</v>
      </c>
    </row>
    <row r="21" spans="1:25" x14ac:dyDescent="0.35">
      <c r="A21" s="7">
        <v>42948</v>
      </c>
      <c r="B21" s="7">
        <f t="shared" si="2"/>
        <v>42947</v>
      </c>
      <c r="I21" s="8">
        <f t="shared" si="3"/>
        <v>0</v>
      </c>
      <c r="J21" s="8">
        <f t="shared" si="4"/>
        <v>0</v>
      </c>
      <c r="K21" s="8">
        <f>SUMIFS(His_Operacoes_acoes[Total],His_Operacoes_acoes[Fimmes],Patrimônio!B21,His_Operacoes_acoes[Operação],"JCP")
+ SUMIFS(His_Operacoes_acoes[Total],His_Operacoes_acoes[Fimmes],Patrimônio!B21,His_Operacoes_acoes[Operação],"Divid.")
+ SUMIFS(His_Operacoes_acoes[Total],His_Operacoes_acoes[Fimmes],Patrimônio!B21,His_Operacoes_acoes[Operação],"Bonif.")</f>
        <v>0</v>
      </c>
      <c r="L21" s="8">
        <f>SUMIFS(His_Operacoes_BDRs[Total],His_Operacoes_BDRs[Operação],"Provento",His_Operacoes_BDRs[fimmês],Patrimônio!B21)</f>
        <v>0</v>
      </c>
      <c r="M21" s="8">
        <f>SUMIFS(His_Operacoes_FIIs[Total],His_Operacoes_FIIs[Operação],"Provento",His_Operacoes_FIIs[fimmês],Patrimônio!B21)</f>
        <v>0</v>
      </c>
      <c r="N21" s="8">
        <f t="shared" si="5"/>
        <v>0</v>
      </c>
    </row>
    <row r="22" spans="1:25" x14ac:dyDescent="0.35">
      <c r="A22" s="7">
        <v>42979</v>
      </c>
      <c r="B22" s="7">
        <f t="shared" si="2"/>
        <v>42978</v>
      </c>
      <c r="I22" s="8">
        <f t="shared" si="3"/>
        <v>0</v>
      </c>
      <c r="J22" s="8">
        <f t="shared" si="4"/>
        <v>0</v>
      </c>
      <c r="K22" s="8">
        <f>SUMIFS(His_Operacoes_acoes[Total],His_Operacoes_acoes[Fimmes],Patrimônio!B22,His_Operacoes_acoes[Operação],"JCP")
+ SUMIFS(His_Operacoes_acoes[Total],His_Operacoes_acoes[Fimmes],Patrimônio!B22,His_Operacoes_acoes[Operação],"Divid.")
+ SUMIFS(His_Operacoes_acoes[Total],His_Operacoes_acoes[Fimmes],Patrimônio!B22,His_Operacoes_acoes[Operação],"Bonif.")</f>
        <v>0</v>
      </c>
      <c r="L22" s="8">
        <f>SUMIFS(His_Operacoes_BDRs[Total],His_Operacoes_BDRs[Operação],"Provento",His_Operacoes_BDRs[fimmês],Patrimônio!B22)</f>
        <v>0</v>
      </c>
      <c r="M22" s="8">
        <f>SUMIFS(His_Operacoes_FIIs[Total],His_Operacoes_FIIs[Operação],"Provento",His_Operacoes_FIIs[fimmês],Patrimônio!B22)</f>
        <v>0</v>
      </c>
      <c r="N22" s="8">
        <f t="shared" si="5"/>
        <v>0</v>
      </c>
      <c r="Q22" s="11" t="s">
        <v>52</v>
      </c>
      <c r="R22" t="s">
        <v>93</v>
      </c>
    </row>
    <row r="23" spans="1:25" x14ac:dyDescent="0.35">
      <c r="A23" s="7">
        <v>43009</v>
      </c>
      <c r="B23" s="7">
        <f t="shared" si="2"/>
        <v>43008</v>
      </c>
      <c r="I23" s="8">
        <f t="shared" si="3"/>
        <v>0</v>
      </c>
      <c r="J23" s="8">
        <f t="shared" si="4"/>
        <v>0</v>
      </c>
      <c r="K23" s="8">
        <f>SUMIFS(His_Operacoes_acoes[Total],His_Operacoes_acoes[Fimmes],Patrimônio!B23,His_Operacoes_acoes[Operação],"JCP")
+ SUMIFS(His_Operacoes_acoes[Total],His_Operacoes_acoes[Fimmes],Patrimônio!B23,His_Operacoes_acoes[Operação],"Divid.")
+ SUMIFS(His_Operacoes_acoes[Total],His_Operacoes_acoes[Fimmes],Patrimônio!B23,His_Operacoes_acoes[Operação],"Bonif.")</f>
        <v>0</v>
      </c>
      <c r="L23" s="8">
        <f>SUMIFS(His_Operacoes_BDRs[Total],His_Operacoes_BDRs[Operação],"Provento",His_Operacoes_BDRs[fimmês],Patrimônio!B23)</f>
        <v>0</v>
      </c>
      <c r="M23" s="8">
        <f>SUMIFS(His_Operacoes_FIIs[Total],His_Operacoes_FIIs[Operação],"Provento",His_Operacoes_FIIs[fimmês],Patrimônio!B23)</f>
        <v>0</v>
      </c>
      <c r="N23" s="8">
        <f t="shared" si="5"/>
        <v>0</v>
      </c>
      <c r="Q23" s="12" t="s">
        <v>94</v>
      </c>
      <c r="R23" s="8">
        <v>0</v>
      </c>
    </row>
    <row r="24" spans="1:25" x14ac:dyDescent="0.35">
      <c r="A24" s="7">
        <v>43040</v>
      </c>
      <c r="B24" s="7">
        <f t="shared" si="2"/>
        <v>43039</v>
      </c>
      <c r="I24" s="8">
        <f t="shared" si="3"/>
        <v>0</v>
      </c>
      <c r="J24" s="8">
        <f t="shared" si="4"/>
        <v>0</v>
      </c>
      <c r="K24" s="8">
        <f>SUMIFS(His_Operacoes_acoes[Total],His_Operacoes_acoes[Fimmes],Patrimônio!B24,His_Operacoes_acoes[Operação],"JCP")
+ SUMIFS(His_Operacoes_acoes[Total],His_Operacoes_acoes[Fimmes],Patrimônio!B24,His_Operacoes_acoes[Operação],"Divid.")
+ SUMIFS(His_Operacoes_acoes[Total],His_Operacoes_acoes[Fimmes],Patrimônio!B24,His_Operacoes_acoes[Operação],"Bonif.")</f>
        <v>0</v>
      </c>
      <c r="L24" s="8">
        <f>SUMIFS(His_Operacoes_BDRs[Total],His_Operacoes_BDRs[Operação],"Provento",His_Operacoes_BDRs[fimmês],Patrimônio!B24)</f>
        <v>0</v>
      </c>
      <c r="M24" s="8">
        <f>SUMIFS(His_Operacoes_FIIs[Total],His_Operacoes_FIIs[Operação],"Provento",His_Operacoes_FIIs[fimmês],Patrimônio!B24)</f>
        <v>0</v>
      </c>
      <c r="N24" s="8">
        <f t="shared" si="5"/>
        <v>0</v>
      </c>
      <c r="Q24" s="14" t="s">
        <v>95</v>
      </c>
      <c r="R24" s="8">
        <v>0</v>
      </c>
    </row>
    <row r="25" spans="1:25" x14ac:dyDescent="0.35">
      <c r="A25" s="7">
        <v>43070</v>
      </c>
      <c r="B25" s="7">
        <f t="shared" si="2"/>
        <v>43069</v>
      </c>
      <c r="I25" s="8">
        <f t="shared" si="3"/>
        <v>0</v>
      </c>
      <c r="J25" s="8">
        <f t="shared" si="4"/>
        <v>0</v>
      </c>
      <c r="K25" s="8">
        <f>SUMIFS(His_Operacoes_acoes[Total],His_Operacoes_acoes[Fimmes],Patrimônio!B25,His_Operacoes_acoes[Operação],"JCP")
+ SUMIFS(His_Operacoes_acoes[Total],His_Operacoes_acoes[Fimmes],Patrimônio!B25,His_Operacoes_acoes[Operação],"Divid.")
+ SUMIFS(His_Operacoes_acoes[Total],His_Operacoes_acoes[Fimmes],Patrimônio!B25,His_Operacoes_acoes[Operação],"Bonif.")</f>
        <v>0</v>
      </c>
      <c r="L25" s="8">
        <f>SUMIFS(His_Operacoes_BDRs[Total],His_Operacoes_BDRs[Operação],"Provento",His_Operacoes_BDRs[fimmês],Patrimônio!B25)</f>
        <v>0</v>
      </c>
      <c r="M25" s="8">
        <f>SUMIFS(His_Operacoes_FIIs[Total],His_Operacoes_FIIs[Operação],"Provento",His_Operacoes_FIIs[fimmês],Patrimônio!B25)</f>
        <v>0</v>
      </c>
      <c r="N25" s="8">
        <f t="shared" si="5"/>
        <v>0</v>
      </c>
      <c r="Q25" s="14" t="s">
        <v>96</v>
      </c>
      <c r="R25" s="8">
        <v>0</v>
      </c>
    </row>
    <row r="26" spans="1:25" x14ac:dyDescent="0.35">
      <c r="A26" s="7">
        <v>43101</v>
      </c>
      <c r="B26" s="7">
        <f t="shared" si="2"/>
        <v>43100</v>
      </c>
      <c r="I26" s="8">
        <f t="shared" si="3"/>
        <v>0</v>
      </c>
      <c r="J26" s="8">
        <f t="shared" si="4"/>
        <v>0</v>
      </c>
      <c r="K26" s="8">
        <f>SUMIFS(His_Operacoes_acoes[Total],His_Operacoes_acoes[Fimmes],Patrimônio!B26,His_Operacoes_acoes[Operação],"JCP")
+ SUMIFS(His_Operacoes_acoes[Total],His_Operacoes_acoes[Fimmes],Patrimônio!B26,His_Operacoes_acoes[Operação],"Divid.")
+ SUMIFS(His_Operacoes_acoes[Total],His_Operacoes_acoes[Fimmes],Patrimônio!B26,His_Operacoes_acoes[Operação],"Bonif.")</f>
        <v>0</v>
      </c>
      <c r="L26" s="8">
        <f>SUMIFS(His_Operacoes_BDRs[Total],His_Operacoes_BDRs[Operação],"Provento",His_Operacoes_BDRs[fimmês],Patrimônio!B26)</f>
        <v>0</v>
      </c>
      <c r="M26" s="8">
        <f>SUMIFS(His_Operacoes_FIIs[Total],His_Operacoes_FIIs[Operação],"Provento",His_Operacoes_FIIs[fimmês],Patrimônio!B26)</f>
        <v>0</v>
      </c>
      <c r="N26" s="8">
        <f t="shared" si="5"/>
        <v>0</v>
      </c>
      <c r="Q26" s="14" t="s">
        <v>97</v>
      </c>
      <c r="R26" s="8">
        <v>0</v>
      </c>
    </row>
    <row r="27" spans="1:25" x14ac:dyDescent="0.35">
      <c r="A27" s="7">
        <v>43132</v>
      </c>
      <c r="B27" s="7">
        <f t="shared" si="2"/>
        <v>43131</v>
      </c>
      <c r="I27" s="8">
        <f t="shared" si="3"/>
        <v>0</v>
      </c>
      <c r="J27" s="8">
        <f t="shared" si="4"/>
        <v>0</v>
      </c>
      <c r="K27" s="8">
        <f>SUMIFS(His_Operacoes_acoes[Total],His_Operacoes_acoes[Fimmes],Patrimônio!B27,His_Operacoes_acoes[Operação],"JCP")
+ SUMIFS(His_Operacoes_acoes[Total],His_Operacoes_acoes[Fimmes],Patrimônio!B27,His_Operacoes_acoes[Operação],"Divid.")
+ SUMIFS(His_Operacoes_acoes[Total],His_Operacoes_acoes[Fimmes],Patrimônio!B27,His_Operacoes_acoes[Operação],"Bonif.")</f>
        <v>0</v>
      </c>
      <c r="L27" s="8">
        <f>SUMIFS(His_Operacoes_BDRs[Total],His_Operacoes_BDRs[Operação],"Provento",His_Operacoes_BDRs[fimmês],Patrimônio!B27)</f>
        <v>0</v>
      </c>
      <c r="M27" s="8">
        <f>SUMIFS(His_Operacoes_FIIs[Total],His_Operacoes_FIIs[Operação],"Provento",His_Operacoes_FIIs[fimmês],Patrimônio!B27)</f>
        <v>0</v>
      </c>
      <c r="N27" s="8">
        <f t="shared" si="5"/>
        <v>0</v>
      </c>
      <c r="Q27" s="14" t="s">
        <v>98</v>
      </c>
      <c r="R27" s="8">
        <v>0</v>
      </c>
    </row>
    <row r="28" spans="1:25" x14ac:dyDescent="0.35">
      <c r="A28" s="7">
        <v>43160</v>
      </c>
      <c r="B28" s="7">
        <f t="shared" si="2"/>
        <v>43159</v>
      </c>
      <c r="I28" s="8">
        <f t="shared" si="3"/>
        <v>0</v>
      </c>
      <c r="J28" s="8">
        <f t="shared" si="4"/>
        <v>0</v>
      </c>
      <c r="K28" s="8">
        <f>SUMIFS(His_Operacoes_acoes[Total],His_Operacoes_acoes[Fimmes],Patrimônio!B28,His_Operacoes_acoes[Operação],"JCP")
+ SUMIFS(His_Operacoes_acoes[Total],His_Operacoes_acoes[Fimmes],Patrimônio!B28,His_Operacoes_acoes[Operação],"Divid.")
+ SUMIFS(His_Operacoes_acoes[Total],His_Operacoes_acoes[Fimmes],Patrimônio!B28,His_Operacoes_acoes[Operação],"Bonif.")</f>
        <v>0</v>
      </c>
      <c r="L28" s="8">
        <f>SUMIFS(His_Operacoes_BDRs[Total],His_Operacoes_BDRs[Operação],"Provento",His_Operacoes_BDRs[fimmês],Patrimônio!B28)</f>
        <v>0</v>
      </c>
      <c r="M28" s="8">
        <f>SUMIFS(His_Operacoes_FIIs[Total],His_Operacoes_FIIs[Operação],"Provento",His_Operacoes_FIIs[fimmês],Patrimônio!B28)</f>
        <v>0</v>
      </c>
      <c r="N28" s="8">
        <f t="shared" si="5"/>
        <v>0</v>
      </c>
      <c r="Q28" s="14" t="s">
        <v>99</v>
      </c>
      <c r="R28" s="8">
        <v>0</v>
      </c>
    </row>
    <row r="29" spans="1:25" x14ac:dyDescent="0.35">
      <c r="A29" s="7">
        <v>43191</v>
      </c>
      <c r="B29" s="7">
        <f t="shared" si="2"/>
        <v>43190</v>
      </c>
      <c r="I29" s="8">
        <f t="shared" si="3"/>
        <v>0</v>
      </c>
      <c r="J29" s="8">
        <f t="shared" si="4"/>
        <v>0</v>
      </c>
      <c r="K29" s="8">
        <f>SUMIFS(His_Operacoes_acoes[Total],His_Operacoes_acoes[Fimmes],Patrimônio!B29,His_Operacoes_acoes[Operação],"JCP")
+ SUMIFS(His_Operacoes_acoes[Total],His_Operacoes_acoes[Fimmes],Patrimônio!B29,His_Operacoes_acoes[Operação],"Divid.")
+ SUMIFS(His_Operacoes_acoes[Total],His_Operacoes_acoes[Fimmes],Patrimônio!B29,His_Operacoes_acoes[Operação],"Bonif.")</f>
        <v>0</v>
      </c>
      <c r="L29" s="8">
        <f>SUMIFS(His_Operacoes_BDRs[Total],His_Operacoes_BDRs[Operação],"Provento",His_Operacoes_BDRs[fimmês],Patrimônio!B29)</f>
        <v>0</v>
      </c>
      <c r="M29" s="8">
        <f>SUMIFS(His_Operacoes_FIIs[Total],His_Operacoes_FIIs[Operação],"Provento",His_Operacoes_FIIs[fimmês],Patrimônio!B29)</f>
        <v>0</v>
      </c>
      <c r="N29" s="8">
        <f t="shared" si="5"/>
        <v>0</v>
      </c>
      <c r="Q29" s="14" t="s">
        <v>100</v>
      </c>
      <c r="R29" s="8">
        <v>0</v>
      </c>
    </row>
    <row r="30" spans="1:25" x14ac:dyDescent="0.35">
      <c r="A30" s="7">
        <v>43221</v>
      </c>
      <c r="B30" s="7">
        <f t="shared" si="2"/>
        <v>43220</v>
      </c>
      <c r="I30" s="8">
        <f t="shared" si="3"/>
        <v>0</v>
      </c>
      <c r="J30" s="8">
        <f t="shared" si="4"/>
        <v>0</v>
      </c>
      <c r="K30" s="8">
        <f>SUMIFS(His_Operacoes_acoes[Total],His_Operacoes_acoes[Fimmes],Patrimônio!B30,His_Operacoes_acoes[Operação],"JCP")
+ SUMIFS(His_Operacoes_acoes[Total],His_Operacoes_acoes[Fimmes],Patrimônio!B30,His_Operacoes_acoes[Operação],"Divid.")
+ SUMIFS(His_Operacoes_acoes[Total],His_Operacoes_acoes[Fimmes],Patrimônio!B30,His_Operacoes_acoes[Operação],"Bonif.")</f>
        <v>0</v>
      </c>
      <c r="L30" s="8">
        <f>SUMIFS(His_Operacoes_BDRs[Total],His_Operacoes_BDRs[Operação],"Provento",His_Operacoes_BDRs[fimmês],Patrimônio!B30)</f>
        <v>0</v>
      </c>
      <c r="M30" s="8">
        <f>SUMIFS(His_Operacoes_FIIs[Total],His_Operacoes_FIIs[Operação],"Provento",His_Operacoes_FIIs[fimmês],Patrimônio!B30)</f>
        <v>0</v>
      </c>
      <c r="N30" s="8">
        <f t="shared" si="5"/>
        <v>0</v>
      </c>
      <c r="Q30" s="14" t="s">
        <v>101</v>
      </c>
      <c r="R30" s="8">
        <v>0</v>
      </c>
    </row>
    <row r="31" spans="1:25" x14ac:dyDescent="0.35">
      <c r="A31" s="7">
        <v>43252</v>
      </c>
      <c r="B31" s="7">
        <f t="shared" si="2"/>
        <v>43251</v>
      </c>
      <c r="I31" s="8">
        <f t="shared" si="3"/>
        <v>0</v>
      </c>
      <c r="J31" s="8">
        <f t="shared" si="4"/>
        <v>0</v>
      </c>
      <c r="K31" s="8">
        <f>SUMIFS(His_Operacoes_acoes[Total],His_Operacoes_acoes[Fimmes],Patrimônio!B31,His_Operacoes_acoes[Operação],"JCP")
+ SUMIFS(His_Operacoes_acoes[Total],His_Operacoes_acoes[Fimmes],Patrimônio!B31,His_Operacoes_acoes[Operação],"Divid.")
+ SUMIFS(His_Operacoes_acoes[Total],His_Operacoes_acoes[Fimmes],Patrimônio!B31,His_Operacoes_acoes[Operação],"Bonif.")</f>
        <v>0</v>
      </c>
      <c r="L31" s="8">
        <f>SUMIFS(His_Operacoes_BDRs[Total],His_Operacoes_BDRs[Operação],"Provento",His_Operacoes_BDRs[fimmês],Patrimônio!B31)</f>
        <v>0</v>
      </c>
      <c r="M31" s="8">
        <f>SUMIFS(His_Operacoes_FIIs[Total],His_Operacoes_FIIs[Operação],"Provento",His_Operacoes_FIIs[fimmês],Patrimônio!B31)</f>
        <v>0</v>
      </c>
      <c r="N31" s="8">
        <f t="shared" si="5"/>
        <v>0</v>
      </c>
      <c r="Q31" s="14" t="s">
        <v>102</v>
      </c>
      <c r="R31" s="8">
        <v>0</v>
      </c>
    </row>
    <row r="32" spans="1:25" x14ac:dyDescent="0.35">
      <c r="A32" s="7">
        <v>43282</v>
      </c>
      <c r="B32" s="7">
        <f t="shared" si="2"/>
        <v>43281</v>
      </c>
      <c r="I32" s="8">
        <f t="shared" si="3"/>
        <v>0</v>
      </c>
      <c r="J32" s="8">
        <f t="shared" si="4"/>
        <v>0</v>
      </c>
      <c r="K32" s="8">
        <f>SUMIFS(His_Operacoes_acoes[Total],His_Operacoes_acoes[Fimmes],Patrimônio!B32,His_Operacoes_acoes[Operação],"JCP")
+ SUMIFS(His_Operacoes_acoes[Total],His_Operacoes_acoes[Fimmes],Patrimônio!B32,His_Operacoes_acoes[Operação],"Divid.")
+ SUMIFS(His_Operacoes_acoes[Total],His_Operacoes_acoes[Fimmes],Patrimônio!B32,His_Operacoes_acoes[Operação],"Bonif.")</f>
        <v>0</v>
      </c>
      <c r="L32" s="8">
        <f>SUMIFS(His_Operacoes_BDRs[Total],His_Operacoes_BDRs[Operação],"Provento",His_Operacoes_BDRs[fimmês],Patrimônio!B32)</f>
        <v>0</v>
      </c>
      <c r="M32" s="8">
        <f>SUMIFS(His_Operacoes_FIIs[Total],His_Operacoes_FIIs[Operação],"Provento",His_Operacoes_FIIs[fimmês],Patrimônio!B32)</f>
        <v>0</v>
      </c>
      <c r="N32" s="8">
        <f t="shared" si="5"/>
        <v>0</v>
      </c>
      <c r="Q32" s="14" t="s">
        <v>103</v>
      </c>
      <c r="R32" s="8">
        <v>0</v>
      </c>
    </row>
    <row r="33" spans="1:18" x14ac:dyDescent="0.35">
      <c r="A33" s="7">
        <v>43313</v>
      </c>
      <c r="B33" s="7">
        <f t="shared" si="2"/>
        <v>43312</v>
      </c>
      <c r="I33" s="8">
        <f t="shared" si="3"/>
        <v>0</v>
      </c>
      <c r="J33" s="8">
        <f t="shared" si="4"/>
        <v>0</v>
      </c>
      <c r="K33" s="8">
        <f>SUMIFS(His_Operacoes_acoes[Total],His_Operacoes_acoes[Fimmes],Patrimônio!B33,His_Operacoes_acoes[Operação],"JCP")
+ SUMIFS(His_Operacoes_acoes[Total],His_Operacoes_acoes[Fimmes],Patrimônio!B33,His_Operacoes_acoes[Operação],"Divid.")
+ SUMIFS(His_Operacoes_acoes[Total],His_Operacoes_acoes[Fimmes],Patrimônio!B33,His_Operacoes_acoes[Operação],"Bonif.")</f>
        <v>0</v>
      </c>
      <c r="L33" s="8">
        <f>SUMIFS(His_Operacoes_BDRs[Total],His_Operacoes_BDRs[Operação],"Provento",His_Operacoes_BDRs[fimmês],Patrimônio!B33)</f>
        <v>0</v>
      </c>
      <c r="M33" s="8">
        <f>SUMIFS(His_Operacoes_FIIs[Total],His_Operacoes_FIIs[Operação],"Provento",His_Operacoes_FIIs[fimmês],Patrimônio!B33)</f>
        <v>0</v>
      </c>
      <c r="N33" s="8">
        <f t="shared" si="5"/>
        <v>0</v>
      </c>
      <c r="Q33" s="14" t="s">
        <v>104</v>
      </c>
      <c r="R33" s="8">
        <v>0</v>
      </c>
    </row>
    <row r="34" spans="1:18" x14ac:dyDescent="0.35">
      <c r="A34" s="7">
        <v>43344</v>
      </c>
      <c r="B34" s="7">
        <f t="shared" si="2"/>
        <v>43343</v>
      </c>
      <c r="I34" s="8">
        <f t="shared" si="3"/>
        <v>0</v>
      </c>
      <c r="J34" s="8">
        <f t="shared" si="4"/>
        <v>0</v>
      </c>
      <c r="K34" s="8">
        <f>SUMIFS(His_Operacoes_acoes[Total],His_Operacoes_acoes[Fimmes],Patrimônio!B34,His_Operacoes_acoes[Operação],"JCP")
+ SUMIFS(His_Operacoes_acoes[Total],His_Operacoes_acoes[Fimmes],Patrimônio!B34,His_Operacoes_acoes[Operação],"Divid.")
+ SUMIFS(His_Operacoes_acoes[Total],His_Operacoes_acoes[Fimmes],Patrimônio!B34,His_Operacoes_acoes[Operação],"Bonif.")</f>
        <v>0</v>
      </c>
      <c r="L34" s="8">
        <f>SUMIFS(His_Operacoes_BDRs[Total],His_Operacoes_BDRs[Operação],"Provento",His_Operacoes_BDRs[fimmês],Patrimônio!B34)</f>
        <v>0</v>
      </c>
      <c r="M34" s="8">
        <f>SUMIFS(His_Operacoes_FIIs[Total],His_Operacoes_FIIs[Operação],"Provento",His_Operacoes_FIIs[fimmês],Patrimônio!B34)</f>
        <v>0</v>
      </c>
      <c r="N34" s="8">
        <f t="shared" si="5"/>
        <v>0</v>
      </c>
      <c r="Q34" s="14" t="s">
        <v>105</v>
      </c>
      <c r="R34" s="8">
        <v>0</v>
      </c>
    </row>
    <row r="35" spans="1:18" x14ac:dyDescent="0.35">
      <c r="A35" s="7">
        <v>43374</v>
      </c>
      <c r="B35" s="7">
        <f t="shared" si="2"/>
        <v>43373</v>
      </c>
      <c r="I35" s="8">
        <f t="shared" si="3"/>
        <v>0</v>
      </c>
      <c r="J35" s="8">
        <f t="shared" si="4"/>
        <v>0</v>
      </c>
      <c r="K35" s="8">
        <f>SUMIFS(His_Operacoes_acoes[Total],His_Operacoes_acoes[Fimmes],Patrimônio!B35,His_Operacoes_acoes[Operação],"JCP")
+ SUMIFS(His_Operacoes_acoes[Total],His_Operacoes_acoes[Fimmes],Patrimônio!B35,His_Operacoes_acoes[Operação],"Divid.")
+ SUMIFS(His_Operacoes_acoes[Total],His_Operacoes_acoes[Fimmes],Patrimônio!B35,His_Operacoes_acoes[Operação],"Bonif.")</f>
        <v>0</v>
      </c>
      <c r="L35" s="8">
        <f>SUMIFS(His_Operacoes_BDRs[Total],His_Operacoes_BDRs[Operação],"Provento",His_Operacoes_BDRs[fimmês],Patrimônio!B35)</f>
        <v>0</v>
      </c>
      <c r="M35" s="8">
        <f>SUMIFS(His_Operacoes_FIIs[Total],His_Operacoes_FIIs[Operação],"Provento",His_Operacoes_FIIs[fimmês],Patrimônio!B35)</f>
        <v>0</v>
      </c>
      <c r="N35" s="8">
        <f t="shared" si="5"/>
        <v>0</v>
      </c>
      <c r="Q35" s="14" t="s">
        <v>106</v>
      </c>
      <c r="R35" s="8">
        <v>0</v>
      </c>
    </row>
    <row r="36" spans="1:18" x14ac:dyDescent="0.35">
      <c r="A36" s="7">
        <v>43405</v>
      </c>
      <c r="B36" s="7">
        <f t="shared" si="2"/>
        <v>43404</v>
      </c>
      <c r="I36" s="8">
        <f t="shared" si="3"/>
        <v>0</v>
      </c>
      <c r="J36" s="8">
        <f t="shared" si="4"/>
        <v>0</v>
      </c>
      <c r="K36" s="8">
        <f>SUMIFS(His_Operacoes_acoes[Total],His_Operacoes_acoes[Fimmes],Patrimônio!B36,His_Operacoes_acoes[Operação],"JCP")
+ SUMIFS(His_Operacoes_acoes[Total],His_Operacoes_acoes[Fimmes],Patrimônio!B36,His_Operacoes_acoes[Operação],"Divid.")
+ SUMIFS(His_Operacoes_acoes[Total],His_Operacoes_acoes[Fimmes],Patrimônio!B36,His_Operacoes_acoes[Operação],"Bonif.")</f>
        <v>0</v>
      </c>
      <c r="L36" s="8">
        <f>SUMIFS(His_Operacoes_BDRs[Total],His_Operacoes_BDRs[Operação],"Provento",His_Operacoes_BDRs[fimmês],Patrimônio!B36)</f>
        <v>0</v>
      </c>
      <c r="M36" s="8">
        <f>SUMIFS(His_Operacoes_FIIs[Total],His_Operacoes_FIIs[Operação],"Provento",His_Operacoes_FIIs[fimmês],Patrimônio!B36)</f>
        <v>0</v>
      </c>
      <c r="N36" s="8">
        <f t="shared" si="5"/>
        <v>0</v>
      </c>
      <c r="Q36" s="12" t="s">
        <v>85</v>
      </c>
      <c r="R36" s="8">
        <v>0</v>
      </c>
    </row>
    <row r="37" spans="1:18" x14ac:dyDescent="0.35">
      <c r="A37" s="7">
        <v>43435</v>
      </c>
      <c r="B37" s="7">
        <f t="shared" si="2"/>
        <v>43434</v>
      </c>
      <c r="I37" s="8">
        <f t="shared" si="3"/>
        <v>0</v>
      </c>
      <c r="J37" s="8">
        <f t="shared" si="4"/>
        <v>0</v>
      </c>
      <c r="K37" s="8">
        <f>SUMIFS(His_Operacoes_acoes[Total],His_Operacoes_acoes[Fimmes],Patrimônio!B37,His_Operacoes_acoes[Operação],"JCP")
+ SUMIFS(His_Operacoes_acoes[Total],His_Operacoes_acoes[Fimmes],Patrimônio!B37,His_Operacoes_acoes[Operação],"Divid.")
+ SUMIFS(His_Operacoes_acoes[Total],His_Operacoes_acoes[Fimmes],Patrimônio!B37,His_Operacoes_acoes[Operação],"Bonif.")</f>
        <v>0</v>
      </c>
      <c r="L37" s="8">
        <f>SUMIFS(His_Operacoes_BDRs[Total],His_Operacoes_BDRs[Operação],"Provento",His_Operacoes_BDRs[fimmês],Patrimônio!B37)</f>
        <v>0</v>
      </c>
      <c r="M37" s="8">
        <f>SUMIFS(His_Operacoes_FIIs[Total],His_Operacoes_FIIs[Operação],"Provento",His_Operacoes_FIIs[fimmês],Patrimônio!B37)</f>
        <v>0</v>
      </c>
      <c r="N37" s="8">
        <f t="shared" si="5"/>
        <v>0</v>
      </c>
    </row>
    <row r="38" spans="1:18" x14ac:dyDescent="0.35">
      <c r="A38" s="7">
        <v>43466</v>
      </c>
      <c r="B38" s="7">
        <f t="shared" si="2"/>
        <v>43465</v>
      </c>
      <c r="I38" s="8">
        <f t="shared" si="3"/>
        <v>0</v>
      </c>
      <c r="J38" s="8">
        <f t="shared" si="4"/>
        <v>0</v>
      </c>
      <c r="K38" s="8">
        <f>SUMIFS(His_Operacoes_acoes[Total],His_Operacoes_acoes[Fimmes],Patrimônio!B38,His_Operacoes_acoes[Operação],"JCP")
+ SUMIFS(His_Operacoes_acoes[Total],His_Operacoes_acoes[Fimmes],Patrimônio!B38,His_Operacoes_acoes[Operação],"Divid.")
+ SUMIFS(His_Operacoes_acoes[Total],His_Operacoes_acoes[Fimmes],Patrimônio!B38,His_Operacoes_acoes[Operação],"Bonif.")</f>
        <v>0</v>
      </c>
      <c r="L38" s="8">
        <f>SUMIFS(His_Operacoes_BDRs[Total],His_Operacoes_BDRs[Operação],"Provento",His_Operacoes_BDRs[fimmês],Patrimônio!B38)</f>
        <v>0</v>
      </c>
      <c r="M38" s="8">
        <f>SUMIFS(His_Operacoes_FIIs[Total],His_Operacoes_FIIs[Operação],"Provento",His_Operacoes_FIIs[fimmês],Patrimônio!B38)</f>
        <v>0</v>
      </c>
      <c r="N38" s="8">
        <f t="shared" si="5"/>
        <v>0</v>
      </c>
    </row>
    <row r="39" spans="1:18" x14ac:dyDescent="0.35">
      <c r="A39" s="7">
        <v>43497</v>
      </c>
      <c r="B39" s="7">
        <f t="shared" si="2"/>
        <v>43496</v>
      </c>
      <c r="I39" s="8">
        <f t="shared" si="3"/>
        <v>0</v>
      </c>
      <c r="J39" s="8">
        <f t="shared" si="4"/>
        <v>0</v>
      </c>
      <c r="K39" s="8">
        <f>SUMIFS(His_Operacoes_acoes[Total],His_Operacoes_acoes[Fimmes],Patrimônio!B39,His_Operacoes_acoes[Operação],"JCP")
+ SUMIFS(His_Operacoes_acoes[Total],His_Operacoes_acoes[Fimmes],Patrimônio!B39,His_Operacoes_acoes[Operação],"Divid.")
+ SUMIFS(His_Operacoes_acoes[Total],His_Operacoes_acoes[Fimmes],Patrimônio!B39,His_Operacoes_acoes[Operação],"Bonif.")</f>
        <v>0</v>
      </c>
      <c r="L39" s="8">
        <f>SUMIFS(His_Operacoes_BDRs[Total],His_Operacoes_BDRs[Operação],"Provento",His_Operacoes_BDRs[fimmês],Patrimônio!B39)</f>
        <v>0</v>
      </c>
      <c r="M39" s="8">
        <f>SUMIFS(His_Operacoes_FIIs[Total],His_Operacoes_FIIs[Operação],"Provento",His_Operacoes_FIIs[fimmês],Patrimônio!B39)</f>
        <v>0</v>
      </c>
      <c r="N39" s="8">
        <f t="shared" si="5"/>
        <v>0</v>
      </c>
    </row>
    <row r="40" spans="1:18" x14ac:dyDescent="0.35">
      <c r="A40" s="7">
        <v>43525</v>
      </c>
      <c r="B40" s="7">
        <f t="shared" si="2"/>
        <v>43524</v>
      </c>
      <c r="I40" s="8">
        <f t="shared" si="3"/>
        <v>0</v>
      </c>
      <c r="J40" s="8">
        <f t="shared" si="4"/>
        <v>0</v>
      </c>
      <c r="K40" s="8">
        <f>SUMIFS(His_Operacoes_acoes[Total],His_Operacoes_acoes[Fimmes],Patrimônio!B40,His_Operacoes_acoes[Operação],"JCP")
+ SUMIFS(His_Operacoes_acoes[Total],His_Operacoes_acoes[Fimmes],Patrimônio!B40,His_Operacoes_acoes[Operação],"Divid.")
+ SUMIFS(His_Operacoes_acoes[Total],His_Operacoes_acoes[Fimmes],Patrimônio!B40,His_Operacoes_acoes[Operação],"Bonif.")</f>
        <v>0</v>
      </c>
      <c r="L40" s="8">
        <f>SUMIFS(His_Operacoes_BDRs[Total],His_Operacoes_BDRs[Operação],"Provento",His_Operacoes_BDRs[fimmês],Patrimônio!B40)</f>
        <v>0</v>
      </c>
      <c r="M40" s="8">
        <f>SUMIFS(His_Operacoes_FIIs[Total],His_Operacoes_FIIs[Operação],"Provento",His_Operacoes_FIIs[fimmês],Patrimônio!B40)</f>
        <v>0</v>
      </c>
      <c r="N40" s="8">
        <f t="shared" si="5"/>
        <v>0</v>
      </c>
    </row>
    <row r="41" spans="1:18" x14ac:dyDescent="0.35">
      <c r="A41" s="7">
        <v>43556</v>
      </c>
      <c r="B41" s="7">
        <f t="shared" si="2"/>
        <v>43555</v>
      </c>
      <c r="I41" s="8">
        <f t="shared" si="3"/>
        <v>0</v>
      </c>
      <c r="J41" s="8">
        <f t="shared" si="4"/>
        <v>0</v>
      </c>
      <c r="K41" s="8">
        <f>SUMIFS(His_Operacoes_acoes[Total],His_Operacoes_acoes[Fimmes],Patrimônio!B41,His_Operacoes_acoes[Operação],"JCP")
+ SUMIFS(His_Operacoes_acoes[Total],His_Operacoes_acoes[Fimmes],Patrimônio!B41,His_Operacoes_acoes[Operação],"Divid.")
+ SUMIFS(His_Operacoes_acoes[Total],His_Operacoes_acoes[Fimmes],Patrimônio!B41,His_Operacoes_acoes[Operação],"Bonif.")</f>
        <v>0</v>
      </c>
      <c r="L41" s="8">
        <f>SUMIFS(His_Operacoes_BDRs[Total],His_Operacoes_BDRs[Operação],"Provento",His_Operacoes_BDRs[fimmês],Patrimônio!B41)</f>
        <v>0</v>
      </c>
      <c r="M41" s="8">
        <f>SUMIFS(His_Operacoes_FIIs[Total],His_Operacoes_FIIs[Operação],"Provento",His_Operacoes_FIIs[fimmês],Patrimônio!B41)</f>
        <v>0</v>
      </c>
      <c r="N41" s="8">
        <f t="shared" si="5"/>
        <v>0</v>
      </c>
    </row>
    <row r="42" spans="1:18" x14ac:dyDescent="0.35">
      <c r="A42" s="7">
        <v>43586</v>
      </c>
      <c r="B42" s="7">
        <f t="shared" si="2"/>
        <v>43585</v>
      </c>
      <c r="I42" s="8">
        <f t="shared" si="3"/>
        <v>0</v>
      </c>
      <c r="J42" s="8">
        <f t="shared" si="4"/>
        <v>0</v>
      </c>
      <c r="K42" s="8">
        <f>SUMIFS(His_Operacoes_acoes[Total],His_Operacoes_acoes[Fimmes],Patrimônio!B42,His_Operacoes_acoes[Operação],"JCP")
+ SUMIFS(His_Operacoes_acoes[Total],His_Operacoes_acoes[Fimmes],Patrimônio!B42,His_Operacoes_acoes[Operação],"Divid.")
+ SUMIFS(His_Operacoes_acoes[Total],His_Operacoes_acoes[Fimmes],Patrimônio!B42,His_Operacoes_acoes[Operação],"Bonif.")</f>
        <v>0</v>
      </c>
      <c r="L42" s="8">
        <f>SUMIFS(His_Operacoes_BDRs[Total],His_Operacoes_BDRs[Operação],"Provento",His_Operacoes_BDRs[fimmês],Patrimônio!B42)</f>
        <v>0</v>
      </c>
      <c r="M42" s="8">
        <f>SUMIFS(His_Operacoes_FIIs[Total],His_Operacoes_FIIs[Operação],"Provento",His_Operacoes_FIIs[fimmês],Patrimônio!B42)</f>
        <v>0</v>
      </c>
      <c r="N42" s="8">
        <f t="shared" si="5"/>
        <v>0</v>
      </c>
    </row>
    <row r="43" spans="1:18" x14ac:dyDescent="0.35">
      <c r="A43" s="7">
        <v>43617</v>
      </c>
      <c r="B43" s="7">
        <f t="shared" si="2"/>
        <v>43616</v>
      </c>
      <c r="I43" s="8">
        <f t="shared" si="3"/>
        <v>0</v>
      </c>
      <c r="J43" s="8">
        <f t="shared" si="4"/>
        <v>0</v>
      </c>
      <c r="K43" s="8">
        <f>SUMIFS(His_Operacoes_acoes[Total],His_Operacoes_acoes[Fimmes],Patrimônio!B43,His_Operacoes_acoes[Operação],"JCP")
+ SUMIFS(His_Operacoes_acoes[Total],His_Operacoes_acoes[Fimmes],Patrimônio!B43,His_Operacoes_acoes[Operação],"Divid.")
+ SUMIFS(His_Operacoes_acoes[Total],His_Operacoes_acoes[Fimmes],Patrimônio!B43,His_Operacoes_acoes[Operação],"Bonif.")</f>
        <v>0</v>
      </c>
      <c r="L43" s="8">
        <f>SUMIFS(His_Operacoes_BDRs[Total],His_Operacoes_BDRs[Operação],"Provento",His_Operacoes_BDRs[fimmês],Patrimônio!B43)</f>
        <v>0</v>
      </c>
      <c r="M43" s="8">
        <f>SUMIFS(His_Operacoes_FIIs[Total],His_Operacoes_FIIs[Operação],"Provento",His_Operacoes_FIIs[fimmês],Patrimônio!B43)</f>
        <v>0</v>
      </c>
      <c r="N43" s="8">
        <f t="shared" si="5"/>
        <v>0</v>
      </c>
    </row>
    <row r="44" spans="1:18" x14ac:dyDescent="0.35">
      <c r="A44" s="7">
        <v>43647</v>
      </c>
      <c r="B44" s="7">
        <f t="shared" si="2"/>
        <v>43646</v>
      </c>
      <c r="I44" s="8">
        <f t="shared" si="3"/>
        <v>0</v>
      </c>
      <c r="J44" s="8">
        <f t="shared" si="4"/>
        <v>0</v>
      </c>
      <c r="K44" s="8">
        <f>SUMIFS(His_Operacoes_acoes[Total],His_Operacoes_acoes[Fimmes],Patrimônio!B44,His_Operacoes_acoes[Operação],"JCP")
+ SUMIFS(His_Operacoes_acoes[Total],His_Operacoes_acoes[Fimmes],Patrimônio!B44,His_Operacoes_acoes[Operação],"Divid.")
+ SUMIFS(His_Operacoes_acoes[Total],His_Operacoes_acoes[Fimmes],Patrimônio!B44,His_Operacoes_acoes[Operação],"Bonif.")</f>
        <v>0</v>
      </c>
      <c r="L44" s="8">
        <f>SUMIFS(His_Operacoes_BDRs[Total],His_Operacoes_BDRs[Operação],"Provento",His_Operacoes_BDRs[fimmês],Patrimônio!B44)</f>
        <v>0</v>
      </c>
      <c r="M44" s="8">
        <f>SUMIFS(His_Operacoes_FIIs[Total],His_Operacoes_FIIs[Operação],"Provento",His_Operacoes_FIIs[fimmês],Patrimônio!B44)</f>
        <v>0</v>
      </c>
      <c r="N44" s="8">
        <f t="shared" si="5"/>
        <v>0</v>
      </c>
    </row>
    <row r="45" spans="1:18" x14ac:dyDescent="0.35">
      <c r="A45" s="7">
        <v>43678</v>
      </c>
      <c r="B45" s="7">
        <f t="shared" si="2"/>
        <v>43677</v>
      </c>
      <c r="I45" s="8">
        <f t="shared" si="3"/>
        <v>0</v>
      </c>
      <c r="J45" s="8">
        <f t="shared" si="4"/>
        <v>0</v>
      </c>
      <c r="K45" s="8">
        <f>SUMIFS(His_Operacoes_acoes[Total],His_Operacoes_acoes[Fimmes],Patrimônio!B45,His_Operacoes_acoes[Operação],"JCP")
+ SUMIFS(His_Operacoes_acoes[Total],His_Operacoes_acoes[Fimmes],Patrimônio!B45,His_Operacoes_acoes[Operação],"Divid.")
+ SUMIFS(His_Operacoes_acoes[Total],His_Operacoes_acoes[Fimmes],Patrimônio!B45,His_Operacoes_acoes[Operação],"Bonif.")</f>
        <v>0</v>
      </c>
      <c r="L45" s="8">
        <f>SUMIFS(His_Operacoes_BDRs[Total],His_Operacoes_BDRs[Operação],"Provento",His_Operacoes_BDRs[fimmês],Patrimônio!B45)</f>
        <v>0</v>
      </c>
      <c r="M45" s="8">
        <f>SUMIFS(His_Operacoes_FIIs[Total],His_Operacoes_FIIs[Operação],"Provento",His_Operacoes_FIIs[fimmês],Patrimônio!B45)</f>
        <v>0</v>
      </c>
      <c r="N45" s="8">
        <f t="shared" si="5"/>
        <v>0</v>
      </c>
    </row>
    <row r="46" spans="1:18" x14ac:dyDescent="0.35">
      <c r="A46" s="7">
        <v>43709</v>
      </c>
      <c r="B46" s="7">
        <f t="shared" si="2"/>
        <v>43708</v>
      </c>
      <c r="I46" s="8">
        <f t="shared" si="3"/>
        <v>0</v>
      </c>
      <c r="J46" s="8">
        <f t="shared" si="4"/>
        <v>0</v>
      </c>
      <c r="K46" s="8">
        <f>SUMIFS(His_Operacoes_acoes[Total],His_Operacoes_acoes[Fimmes],Patrimônio!B46,His_Operacoes_acoes[Operação],"JCP")
+ SUMIFS(His_Operacoes_acoes[Total],His_Operacoes_acoes[Fimmes],Patrimônio!B46,His_Operacoes_acoes[Operação],"Divid.")
+ SUMIFS(His_Operacoes_acoes[Total],His_Operacoes_acoes[Fimmes],Patrimônio!B46,His_Operacoes_acoes[Operação],"Bonif.")</f>
        <v>0</v>
      </c>
      <c r="L46" s="8">
        <f>SUMIFS(His_Operacoes_BDRs[Total],His_Operacoes_BDRs[Operação],"Provento",His_Operacoes_BDRs[fimmês],Patrimônio!B46)</f>
        <v>0</v>
      </c>
      <c r="M46" s="8">
        <f>SUMIFS(His_Operacoes_FIIs[Total],His_Operacoes_FIIs[Operação],"Provento",His_Operacoes_FIIs[fimmês],Patrimônio!B46)</f>
        <v>0</v>
      </c>
      <c r="N46" s="8">
        <f t="shared" si="5"/>
        <v>0</v>
      </c>
    </row>
    <row r="47" spans="1:18" x14ac:dyDescent="0.35">
      <c r="A47" s="7">
        <v>43739</v>
      </c>
      <c r="B47" s="7">
        <f t="shared" si="2"/>
        <v>43738</v>
      </c>
      <c r="I47" s="8">
        <f t="shared" si="3"/>
        <v>0</v>
      </c>
      <c r="J47" s="8">
        <f t="shared" si="4"/>
        <v>0</v>
      </c>
      <c r="K47" s="8">
        <f>SUMIFS(His_Operacoes_acoes[Total],His_Operacoes_acoes[Fimmes],Patrimônio!B47,His_Operacoes_acoes[Operação],"JCP")
+ SUMIFS(His_Operacoes_acoes[Total],His_Operacoes_acoes[Fimmes],Patrimônio!B47,His_Operacoes_acoes[Operação],"Divid.")
+ SUMIFS(His_Operacoes_acoes[Total],His_Operacoes_acoes[Fimmes],Patrimônio!B47,His_Operacoes_acoes[Operação],"Bonif.")</f>
        <v>0</v>
      </c>
      <c r="L47" s="8">
        <f>SUMIFS(His_Operacoes_BDRs[Total],His_Operacoes_BDRs[Operação],"Provento",His_Operacoes_BDRs[fimmês],Patrimônio!B47)</f>
        <v>0</v>
      </c>
      <c r="M47" s="8">
        <f>SUMIFS(His_Operacoes_FIIs[Total],His_Operacoes_FIIs[Operação],"Provento",His_Operacoes_FIIs[fimmês],Patrimônio!B47)</f>
        <v>0</v>
      </c>
      <c r="N47" s="8">
        <f t="shared" si="5"/>
        <v>0</v>
      </c>
    </row>
    <row r="48" spans="1:18" x14ac:dyDescent="0.35">
      <c r="A48" s="7">
        <v>43770</v>
      </c>
      <c r="B48" s="7">
        <f t="shared" si="2"/>
        <v>43769</v>
      </c>
      <c r="I48" s="8">
        <f t="shared" si="3"/>
        <v>0</v>
      </c>
      <c r="J48" s="8">
        <f t="shared" si="4"/>
        <v>0</v>
      </c>
      <c r="K48" s="8">
        <f>SUMIFS(His_Operacoes_acoes[Total],His_Operacoes_acoes[Fimmes],Patrimônio!B48,His_Operacoes_acoes[Operação],"JCP")
+ SUMIFS(His_Operacoes_acoes[Total],His_Operacoes_acoes[Fimmes],Patrimônio!B48,His_Operacoes_acoes[Operação],"Divid.")
+ SUMIFS(His_Operacoes_acoes[Total],His_Operacoes_acoes[Fimmes],Patrimônio!B48,His_Operacoes_acoes[Operação],"Bonif.")</f>
        <v>0</v>
      </c>
      <c r="L48" s="8">
        <f>SUMIFS(His_Operacoes_BDRs[Total],His_Operacoes_BDRs[Operação],"Provento",His_Operacoes_BDRs[fimmês],Patrimônio!B48)</f>
        <v>0</v>
      </c>
      <c r="M48" s="8">
        <f>SUMIFS(His_Operacoes_FIIs[Total],His_Operacoes_FIIs[Operação],"Provento",His_Operacoes_FIIs[fimmês],Patrimônio!B48)</f>
        <v>0</v>
      </c>
      <c r="N48" s="8">
        <f t="shared" si="5"/>
        <v>0</v>
      </c>
    </row>
    <row r="49" spans="1:14" x14ac:dyDescent="0.35">
      <c r="A49" s="7">
        <v>43800</v>
      </c>
      <c r="B49" s="7">
        <f t="shared" si="2"/>
        <v>43799</v>
      </c>
      <c r="I49" s="8">
        <f t="shared" si="3"/>
        <v>0</v>
      </c>
      <c r="J49" s="8">
        <f t="shared" si="4"/>
        <v>0</v>
      </c>
      <c r="K49" s="8">
        <f>SUMIFS(His_Operacoes_acoes[Total],His_Operacoes_acoes[Fimmes],Patrimônio!B49,His_Operacoes_acoes[Operação],"JCP")
+ SUMIFS(His_Operacoes_acoes[Total],His_Operacoes_acoes[Fimmes],Patrimônio!B49,His_Operacoes_acoes[Operação],"Divid.")
+ SUMIFS(His_Operacoes_acoes[Total],His_Operacoes_acoes[Fimmes],Patrimônio!B49,His_Operacoes_acoes[Operação],"Bonif.")</f>
        <v>0</v>
      </c>
      <c r="L49" s="8">
        <f>SUMIFS(His_Operacoes_BDRs[Total],His_Operacoes_BDRs[Operação],"Provento",His_Operacoes_BDRs[fimmês],Patrimônio!B49)</f>
        <v>0</v>
      </c>
      <c r="M49" s="8">
        <f>SUMIFS(His_Operacoes_FIIs[Total],His_Operacoes_FIIs[Operação],"Provento",His_Operacoes_FIIs[fimmês],Patrimônio!B49)</f>
        <v>0</v>
      </c>
      <c r="N49" s="8">
        <f t="shared" si="5"/>
        <v>0</v>
      </c>
    </row>
    <row r="50" spans="1:14" x14ac:dyDescent="0.35">
      <c r="A50" s="7">
        <v>43831</v>
      </c>
      <c r="B50" s="7">
        <f t="shared" si="2"/>
        <v>43830</v>
      </c>
      <c r="I50" s="8">
        <f t="shared" si="3"/>
        <v>0</v>
      </c>
      <c r="J50" s="8">
        <f t="shared" si="4"/>
        <v>0</v>
      </c>
      <c r="K50" s="8">
        <f>SUMIFS(His_Operacoes_acoes[Total],His_Operacoes_acoes[Fimmes],Patrimônio!B50,His_Operacoes_acoes[Operação],"JCP")
+ SUMIFS(His_Operacoes_acoes[Total],His_Operacoes_acoes[Fimmes],Patrimônio!B50,His_Operacoes_acoes[Operação],"Divid.")
+ SUMIFS(His_Operacoes_acoes[Total],His_Operacoes_acoes[Fimmes],Patrimônio!B50,His_Operacoes_acoes[Operação],"Bonif.")</f>
        <v>0</v>
      </c>
      <c r="L50" s="8">
        <f>SUMIFS(His_Operacoes_BDRs[Total],His_Operacoes_BDRs[Operação],"Provento",His_Operacoes_BDRs[fimmês],Patrimônio!B50)</f>
        <v>0</v>
      </c>
      <c r="M50" s="8">
        <f>SUMIFS(His_Operacoes_FIIs[Total],His_Operacoes_FIIs[Operação],"Provento",His_Operacoes_FIIs[fimmês],Patrimônio!B50)</f>
        <v>0</v>
      </c>
      <c r="N50" s="8">
        <f t="shared" si="5"/>
        <v>0</v>
      </c>
    </row>
    <row r="51" spans="1:14" x14ac:dyDescent="0.35">
      <c r="A51" s="7">
        <v>43862</v>
      </c>
      <c r="B51" s="7">
        <f t="shared" si="2"/>
        <v>43861</v>
      </c>
      <c r="I51" s="8">
        <f t="shared" si="3"/>
        <v>0</v>
      </c>
      <c r="J51" s="8">
        <f t="shared" si="4"/>
        <v>0</v>
      </c>
      <c r="K51" s="8">
        <f>SUMIFS(His_Operacoes_acoes[Total],His_Operacoes_acoes[Fimmes],Patrimônio!B51,His_Operacoes_acoes[Operação],"JCP")
+ SUMIFS(His_Operacoes_acoes[Total],His_Operacoes_acoes[Fimmes],Patrimônio!B51,His_Operacoes_acoes[Operação],"Divid.")
+ SUMIFS(His_Operacoes_acoes[Total],His_Operacoes_acoes[Fimmes],Patrimônio!B51,His_Operacoes_acoes[Operação],"Bonif.")</f>
        <v>0</v>
      </c>
      <c r="L51" s="8">
        <f>SUMIFS(His_Operacoes_BDRs[Total],His_Operacoes_BDRs[Operação],"Provento",His_Operacoes_BDRs[fimmês],Patrimônio!B51)</f>
        <v>0</v>
      </c>
      <c r="M51" s="8">
        <f>SUMIFS(His_Operacoes_FIIs[Total],His_Operacoes_FIIs[Operação],"Provento",His_Operacoes_FIIs[fimmês],Patrimônio!B51)</f>
        <v>0</v>
      </c>
      <c r="N51" s="8">
        <f t="shared" si="5"/>
        <v>0</v>
      </c>
    </row>
    <row r="52" spans="1:14" x14ac:dyDescent="0.35">
      <c r="A52" s="7">
        <v>43891</v>
      </c>
      <c r="B52" s="7">
        <f t="shared" si="2"/>
        <v>43890</v>
      </c>
      <c r="I52" s="8">
        <f t="shared" si="3"/>
        <v>0</v>
      </c>
      <c r="J52" s="8">
        <f t="shared" si="4"/>
        <v>0</v>
      </c>
      <c r="K52" s="8">
        <f>SUMIFS(His_Operacoes_acoes[Total],His_Operacoes_acoes[Fimmes],Patrimônio!B52,His_Operacoes_acoes[Operação],"JCP")
+ SUMIFS(His_Operacoes_acoes[Total],His_Operacoes_acoes[Fimmes],Patrimônio!B52,His_Operacoes_acoes[Operação],"Divid.")
+ SUMIFS(His_Operacoes_acoes[Total],His_Operacoes_acoes[Fimmes],Patrimônio!B52,His_Operacoes_acoes[Operação],"Bonif.")</f>
        <v>0</v>
      </c>
      <c r="L52" s="8">
        <f>SUMIFS(His_Operacoes_BDRs[Total],His_Operacoes_BDRs[Operação],"Provento",His_Operacoes_BDRs[fimmês],Patrimônio!B52)</f>
        <v>0</v>
      </c>
      <c r="M52" s="8">
        <f>SUMIFS(His_Operacoes_FIIs[Total],His_Operacoes_FIIs[Operação],"Provento",His_Operacoes_FIIs[fimmês],Patrimônio!B52)</f>
        <v>0</v>
      </c>
      <c r="N52" s="8">
        <f t="shared" si="5"/>
        <v>0</v>
      </c>
    </row>
    <row r="53" spans="1:14" x14ac:dyDescent="0.35">
      <c r="A53" s="7">
        <v>43922</v>
      </c>
      <c r="B53" s="7">
        <f t="shared" si="2"/>
        <v>43921</v>
      </c>
      <c r="I53" s="8">
        <f t="shared" si="3"/>
        <v>0</v>
      </c>
      <c r="J53" s="8">
        <f t="shared" si="4"/>
        <v>0</v>
      </c>
      <c r="K53" s="8">
        <f>SUMIFS(His_Operacoes_acoes[Total],His_Operacoes_acoes[Fimmes],Patrimônio!B53,His_Operacoes_acoes[Operação],"JCP")
+ SUMIFS(His_Operacoes_acoes[Total],His_Operacoes_acoes[Fimmes],Patrimônio!B53,His_Operacoes_acoes[Operação],"Divid.")
+ SUMIFS(His_Operacoes_acoes[Total],His_Operacoes_acoes[Fimmes],Patrimônio!B53,His_Operacoes_acoes[Operação],"Bonif.")</f>
        <v>0</v>
      </c>
      <c r="L53" s="8">
        <f>SUMIFS(His_Operacoes_BDRs[Total],His_Operacoes_BDRs[Operação],"Provento",His_Operacoes_BDRs[fimmês],Patrimônio!B53)</f>
        <v>0</v>
      </c>
      <c r="M53" s="8">
        <f>SUMIFS(His_Operacoes_FIIs[Total],His_Operacoes_FIIs[Operação],"Provento",His_Operacoes_FIIs[fimmês],Patrimônio!B53)</f>
        <v>0</v>
      </c>
      <c r="N53" s="8">
        <f t="shared" si="5"/>
        <v>0</v>
      </c>
    </row>
    <row r="54" spans="1:14" x14ac:dyDescent="0.35">
      <c r="A54" s="7">
        <v>43952</v>
      </c>
      <c r="B54" s="7">
        <f t="shared" si="2"/>
        <v>43951</v>
      </c>
      <c r="I54" s="8">
        <f t="shared" si="3"/>
        <v>0</v>
      </c>
      <c r="J54" s="8">
        <f t="shared" si="4"/>
        <v>0</v>
      </c>
      <c r="K54" s="8">
        <f>SUMIFS(His_Operacoes_acoes[Total],His_Operacoes_acoes[Fimmes],Patrimônio!B54,His_Operacoes_acoes[Operação],"JCP")
+ SUMIFS(His_Operacoes_acoes[Total],His_Operacoes_acoes[Fimmes],Patrimônio!B54,His_Operacoes_acoes[Operação],"Divid.")
+ SUMIFS(His_Operacoes_acoes[Total],His_Operacoes_acoes[Fimmes],Patrimônio!B54,His_Operacoes_acoes[Operação],"Bonif.")</f>
        <v>0</v>
      </c>
      <c r="L54" s="8">
        <f>SUMIFS(His_Operacoes_BDRs[Total],His_Operacoes_BDRs[Operação],"Provento",His_Operacoes_BDRs[fimmês],Patrimônio!B54)</f>
        <v>0</v>
      </c>
      <c r="M54" s="8">
        <f>SUMIFS(His_Operacoes_FIIs[Total],His_Operacoes_FIIs[Operação],"Provento",His_Operacoes_FIIs[fimmês],Patrimônio!B54)</f>
        <v>0</v>
      </c>
      <c r="N54" s="8">
        <f t="shared" si="5"/>
        <v>0</v>
      </c>
    </row>
    <row r="55" spans="1:14" x14ac:dyDescent="0.35">
      <c r="A55" s="7">
        <v>43983</v>
      </c>
      <c r="B55" s="7">
        <f t="shared" si="2"/>
        <v>43982</v>
      </c>
      <c r="I55" s="8">
        <f t="shared" si="3"/>
        <v>0</v>
      </c>
      <c r="J55" s="8">
        <f t="shared" si="4"/>
        <v>0</v>
      </c>
      <c r="K55" s="8">
        <f>SUMIFS(His_Operacoes_acoes[Total],His_Operacoes_acoes[Fimmes],Patrimônio!B55,His_Operacoes_acoes[Operação],"JCP")
+ SUMIFS(His_Operacoes_acoes[Total],His_Operacoes_acoes[Fimmes],Patrimônio!B55,His_Operacoes_acoes[Operação],"Divid.")
+ SUMIFS(His_Operacoes_acoes[Total],His_Operacoes_acoes[Fimmes],Patrimônio!B55,His_Operacoes_acoes[Operação],"Bonif.")</f>
        <v>0</v>
      </c>
      <c r="L55" s="8">
        <f>SUMIFS(His_Operacoes_BDRs[Total],His_Operacoes_BDRs[Operação],"Provento",His_Operacoes_BDRs[fimmês],Patrimônio!B55)</f>
        <v>0</v>
      </c>
      <c r="M55" s="8">
        <f>SUMIFS(His_Operacoes_FIIs[Total],His_Operacoes_FIIs[Operação],"Provento",His_Operacoes_FIIs[fimmês],Patrimônio!B55)</f>
        <v>0</v>
      </c>
      <c r="N55" s="8">
        <f t="shared" si="5"/>
        <v>0</v>
      </c>
    </row>
    <row r="56" spans="1:14" x14ac:dyDescent="0.35">
      <c r="A56" s="7">
        <v>44013</v>
      </c>
      <c r="B56" s="7">
        <f t="shared" si="2"/>
        <v>44012</v>
      </c>
      <c r="I56" s="8">
        <f t="shared" si="3"/>
        <v>0</v>
      </c>
      <c r="J56" s="8">
        <f t="shared" si="4"/>
        <v>0</v>
      </c>
      <c r="K56" s="8">
        <f>SUMIFS(His_Operacoes_acoes[Total],His_Operacoes_acoes[Fimmes],Patrimônio!B56,His_Operacoes_acoes[Operação],"JCP")
+ SUMIFS(His_Operacoes_acoes[Total],His_Operacoes_acoes[Fimmes],Patrimônio!B56,His_Operacoes_acoes[Operação],"Divid.")
+ SUMIFS(His_Operacoes_acoes[Total],His_Operacoes_acoes[Fimmes],Patrimônio!B56,His_Operacoes_acoes[Operação],"Bonif.")</f>
        <v>0</v>
      </c>
      <c r="L56" s="8">
        <f>SUMIFS(His_Operacoes_BDRs[Total],His_Operacoes_BDRs[Operação],"Provento",His_Operacoes_BDRs[fimmês],Patrimônio!B56)</f>
        <v>0</v>
      </c>
      <c r="M56" s="8">
        <f>SUMIFS(His_Operacoes_FIIs[Total],His_Operacoes_FIIs[Operação],"Provento",His_Operacoes_FIIs[fimmês],Patrimônio!B56)</f>
        <v>0</v>
      </c>
      <c r="N56" s="8">
        <f t="shared" si="5"/>
        <v>0</v>
      </c>
    </row>
    <row r="57" spans="1:14" x14ac:dyDescent="0.35">
      <c r="A57" s="7">
        <v>44044</v>
      </c>
      <c r="B57" s="7">
        <f t="shared" si="2"/>
        <v>44043</v>
      </c>
      <c r="I57" s="8">
        <f t="shared" si="3"/>
        <v>0</v>
      </c>
      <c r="J57" s="8">
        <f t="shared" si="4"/>
        <v>0</v>
      </c>
      <c r="K57" s="8">
        <f>SUMIFS(His_Operacoes_acoes[Total],His_Operacoes_acoes[Fimmes],Patrimônio!B57,His_Operacoes_acoes[Operação],"JCP")
+ SUMIFS(His_Operacoes_acoes[Total],His_Operacoes_acoes[Fimmes],Patrimônio!B57,His_Operacoes_acoes[Operação],"Divid.")
+ SUMIFS(His_Operacoes_acoes[Total],His_Operacoes_acoes[Fimmes],Patrimônio!B57,His_Operacoes_acoes[Operação],"Bonif.")</f>
        <v>0</v>
      </c>
      <c r="L57" s="8">
        <f>SUMIFS(His_Operacoes_BDRs[Total],His_Operacoes_BDRs[Operação],"Provento",His_Operacoes_BDRs[fimmês],Patrimônio!B57)</f>
        <v>0</v>
      </c>
      <c r="M57" s="8">
        <f>SUMIFS(His_Operacoes_FIIs[Total],His_Operacoes_FIIs[Operação],"Provento",His_Operacoes_FIIs[fimmês],Patrimônio!B57)</f>
        <v>0</v>
      </c>
      <c r="N57" s="8">
        <f t="shared" si="5"/>
        <v>0</v>
      </c>
    </row>
    <row r="58" spans="1:14" x14ac:dyDescent="0.35">
      <c r="A58" s="7">
        <v>44075</v>
      </c>
      <c r="B58" s="7">
        <f t="shared" si="2"/>
        <v>44074</v>
      </c>
      <c r="I58" s="8">
        <f t="shared" si="3"/>
        <v>0</v>
      </c>
      <c r="J58" s="8">
        <f t="shared" si="4"/>
        <v>0</v>
      </c>
      <c r="K58" s="8">
        <f>SUMIFS(His_Operacoes_acoes[Total],His_Operacoes_acoes[Fimmes],Patrimônio!B58,His_Operacoes_acoes[Operação],"JCP")
+ SUMIFS(His_Operacoes_acoes[Total],His_Operacoes_acoes[Fimmes],Patrimônio!B58,His_Operacoes_acoes[Operação],"Divid.")
+ SUMIFS(His_Operacoes_acoes[Total],His_Operacoes_acoes[Fimmes],Patrimônio!B58,His_Operacoes_acoes[Operação],"Bonif.")</f>
        <v>0</v>
      </c>
      <c r="L58" s="8">
        <f>SUMIFS(His_Operacoes_BDRs[Total],His_Operacoes_BDRs[Operação],"Provento",His_Operacoes_BDRs[fimmês],Patrimônio!B58)</f>
        <v>0</v>
      </c>
      <c r="M58" s="8">
        <f>SUMIFS(His_Operacoes_FIIs[Total],His_Operacoes_FIIs[Operação],"Provento",His_Operacoes_FIIs[fimmês],Patrimônio!B58)</f>
        <v>0</v>
      </c>
      <c r="N58" s="8">
        <f t="shared" si="5"/>
        <v>0</v>
      </c>
    </row>
    <row r="59" spans="1:14" x14ac:dyDescent="0.35">
      <c r="A59" s="7">
        <v>44105</v>
      </c>
      <c r="B59" s="7">
        <f t="shared" si="2"/>
        <v>44104</v>
      </c>
      <c r="I59" s="8">
        <f t="shared" si="3"/>
        <v>0</v>
      </c>
      <c r="J59" s="8">
        <f t="shared" si="4"/>
        <v>0</v>
      </c>
      <c r="K59" s="8">
        <f>SUMIFS(His_Operacoes_acoes[Total],His_Operacoes_acoes[Fimmes],Patrimônio!B59,His_Operacoes_acoes[Operação],"JCP")
+ SUMIFS(His_Operacoes_acoes[Total],His_Operacoes_acoes[Fimmes],Patrimônio!B59,His_Operacoes_acoes[Operação],"Divid.")
+ SUMIFS(His_Operacoes_acoes[Total],His_Operacoes_acoes[Fimmes],Patrimônio!B59,His_Operacoes_acoes[Operação],"Bonif.")</f>
        <v>0</v>
      </c>
      <c r="L59" s="8">
        <f>SUMIFS(His_Operacoes_BDRs[Total],His_Operacoes_BDRs[Operação],"Provento",His_Operacoes_BDRs[fimmês],Patrimônio!B59)</f>
        <v>0</v>
      </c>
      <c r="M59" s="8">
        <f>SUMIFS(His_Operacoes_FIIs[Total],His_Operacoes_FIIs[Operação],"Provento",His_Operacoes_FIIs[fimmês],Patrimônio!B59)</f>
        <v>0</v>
      </c>
      <c r="N59" s="8">
        <f t="shared" si="5"/>
        <v>0</v>
      </c>
    </row>
    <row r="60" spans="1:14" x14ac:dyDescent="0.35">
      <c r="A60" s="7">
        <v>44136</v>
      </c>
      <c r="B60" s="7">
        <f t="shared" si="2"/>
        <v>44135</v>
      </c>
      <c r="I60" s="8">
        <f t="shared" si="3"/>
        <v>0</v>
      </c>
      <c r="J60" s="8">
        <f t="shared" si="4"/>
        <v>0</v>
      </c>
      <c r="K60" s="8">
        <f>SUMIFS(His_Operacoes_acoes[Total],His_Operacoes_acoes[Fimmes],Patrimônio!B60,His_Operacoes_acoes[Operação],"JCP")
+ SUMIFS(His_Operacoes_acoes[Total],His_Operacoes_acoes[Fimmes],Patrimônio!B60,His_Operacoes_acoes[Operação],"Divid.")
+ SUMIFS(His_Operacoes_acoes[Total],His_Operacoes_acoes[Fimmes],Patrimônio!B60,His_Operacoes_acoes[Operação],"Bonif.")</f>
        <v>0</v>
      </c>
      <c r="L60" s="8">
        <f>SUMIFS(His_Operacoes_BDRs[Total],His_Operacoes_BDRs[Operação],"Provento",His_Operacoes_BDRs[fimmês],Patrimônio!B60)</f>
        <v>0</v>
      </c>
      <c r="M60" s="8">
        <f>SUMIFS(His_Operacoes_FIIs[Total],His_Operacoes_FIIs[Operação],"Provento",His_Operacoes_FIIs[fimmês],Patrimônio!B60)</f>
        <v>0</v>
      </c>
      <c r="N60" s="8">
        <f t="shared" si="5"/>
        <v>0</v>
      </c>
    </row>
    <row r="61" spans="1:14" x14ac:dyDescent="0.35">
      <c r="A61" s="7">
        <v>44166</v>
      </c>
      <c r="B61" s="7">
        <f t="shared" si="2"/>
        <v>44165</v>
      </c>
      <c r="I61" s="8">
        <f t="shared" si="3"/>
        <v>0</v>
      </c>
      <c r="J61" s="8">
        <f t="shared" si="4"/>
        <v>0</v>
      </c>
      <c r="K61" s="8">
        <f>SUMIFS(His_Operacoes_acoes[Total],His_Operacoes_acoes[Fimmes],Patrimônio!B61,His_Operacoes_acoes[Operação],"JCP")
+ SUMIFS(His_Operacoes_acoes[Total],His_Operacoes_acoes[Fimmes],Patrimônio!B61,His_Operacoes_acoes[Operação],"Divid.")
+ SUMIFS(His_Operacoes_acoes[Total],His_Operacoes_acoes[Fimmes],Patrimônio!B61,His_Operacoes_acoes[Operação],"Bonif.")</f>
        <v>0</v>
      </c>
      <c r="L61" s="8">
        <f>SUMIFS(His_Operacoes_BDRs[Total],His_Operacoes_BDRs[Operação],"Provento",His_Operacoes_BDRs[fimmês],Patrimônio!B61)</f>
        <v>0</v>
      </c>
      <c r="M61" s="8">
        <f>SUMIFS(His_Operacoes_FIIs[Total],His_Operacoes_FIIs[Operação],"Provento",His_Operacoes_FIIs[fimmês],Patrimônio!B61)</f>
        <v>0</v>
      </c>
      <c r="N61" s="8">
        <f t="shared" si="5"/>
        <v>0</v>
      </c>
    </row>
    <row r="62" spans="1:14" x14ac:dyDescent="0.35">
      <c r="A62" s="7">
        <v>44197</v>
      </c>
      <c r="B62" s="7">
        <f t="shared" si="2"/>
        <v>44196</v>
      </c>
      <c r="I62" s="8">
        <f t="shared" si="3"/>
        <v>0</v>
      </c>
      <c r="J62" s="8">
        <f t="shared" si="4"/>
        <v>0</v>
      </c>
      <c r="K62" s="8">
        <f>SUMIFS(His_Operacoes_acoes[Total],His_Operacoes_acoes[Fimmes],Patrimônio!B62,His_Operacoes_acoes[Operação],"JCP")
+ SUMIFS(His_Operacoes_acoes[Total],His_Operacoes_acoes[Fimmes],Patrimônio!B62,His_Operacoes_acoes[Operação],"Divid.")
+ SUMIFS(His_Operacoes_acoes[Total],His_Operacoes_acoes[Fimmes],Patrimônio!B62,His_Operacoes_acoes[Operação],"Bonif.")</f>
        <v>0</v>
      </c>
      <c r="L62" s="8">
        <f>SUMIFS(His_Operacoes_BDRs[Total],His_Operacoes_BDRs[Operação],"Provento",His_Operacoes_BDRs[fimmês],Patrimônio!B62)</f>
        <v>0</v>
      </c>
      <c r="M62" s="8">
        <f>SUMIFS(His_Operacoes_FIIs[Total],His_Operacoes_FIIs[Operação],"Provento",His_Operacoes_FIIs[fimmês],Patrimônio!B62)</f>
        <v>0</v>
      </c>
      <c r="N62" s="8">
        <f t="shared" si="5"/>
        <v>0</v>
      </c>
    </row>
    <row r="63" spans="1:14" x14ac:dyDescent="0.35">
      <c r="A63" s="7">
        <v>44228</v>
      </c>
      <c r="B63" s="7">
        <f t="shared" si="2"/>
        <v>44227</v>
      </c>
      <c r="I63" s="8">
        <f t="shared" si="3"/>
        <v>0</v>
      </c>
      <c r="J63" s="8">
        <f t="shared" si="4"/>
        <v>0</v>
      </c>
      <c r="K63" s="8">
        <f>SUMIFS(His_Operacoes_acoes[Total],His_Operacoes_acoes[Fimmes],Patrimônio!B63,His_Operacoes_acoes[Operação],"JCP")
+ SUMIFS(His_Operacoes_acoes[Total],His_Operacoes_acoes[Fimmes],Patrimônio!B63,His_Operacoes_acoes[Operação],"Divid.")
+ SUMIFS(His_Operacoes_acoes[Total],His_Operacoes_acoes[Fimmes],Patrimônio!B63,His_Operacoes_acoes[Operação],"Bonif.")</f>
        <v>0</v>
      </c>
      <c r="L63" s="8">
        <f>SUMIFS(His_Operacoes_BDRs[Total],His_Operacoes_BDRs[Operação],"Provento",His_Operacoes_BDRs[fimmês],Patrimônio!B63)</f>
        <v>0</v>
      </c>
      <c r="M63" s="8">
        <f>SUMIFS(His_Operacoes_FIIs[Total],His_Operacoes_FIIs[Operação],"Provento",His_Operacoes_FIIs[fimmês],Patrimônio!B63)</f>
        <v>0</v>
      </c>
      <c r="N63" s="8">
        <f t="shared" si="5"/>
        <v>0</v>
      </c>
    </row>
    <row r="64" spans="1:14" x14ac:dyDescent="0.35">
      <c r="A64" s="7">
        <v>44256</v>
      </c>
      <c r="B64" s="7">
        <f t="shared" si="2"/>
        <v>44255</v>
      </c>
      <c r="I64" s="8">
        <f t="shared" si="3"/>
        <v>0</v>
      </c>
      <c r="J64" s="8">
        <f t="shared" si="4"/>
        <v>0</v>
      </c>
      <c r="K64" s="8">
        <f>SUMIFS(His_Operacoes_acoes[Total],His_Operacoes_acoes[Fimmes],Patrimônio!B64,His_Operacoes_acoes[Operação],"JCP")
+ SUMIFS(His_Operacoes_acoes[Total],His_Operacoes_acoes[Fimmes],Patrimônio!B64,His_Operacoes_acoes[Operação],"Divid.")
+ SUMIFS(His_Operacoes_acoes[Total],His_Operacoes_acoes[Fimmes],Patrimônio!B64,His_Operacoes_acoes[Operação],"Bonif.")</f>
        <v>0</v>
      </c>
      <c r="L64" s="8">
        <f>SUMIFS(His_Operacoes_BDRs[Total],His_Operacoes_BDRs[Operação],"Provento",His_Operacoes_BDRs[fimmês],Patrimônio!B64)</f>
        <v>0</v>
      </c>
      <c r="M64" s="8">
        <f>SUMIFS(His_Operacoes_FIIs[Total],His_Operacoes_FIIs[Operação],"Provento",His_Operacoes_FIIs[fimmês],Patrimônio!B64)</f>
        <v>0</v>
      </c>
      <c r="N64" s="8">
        <f t="shared" si="5"/>
        <v>0</v>
      </c>
    </row>
    <row r="65" spans="1:14" x14ac:dyDescent="0.35">
      <c r="A65" s="7">
        <v>44287</v>
      </c>
      <c r="B65" s="7">
        <f t="shared" si="2"/>
        <v>44286</v>
      </c>
      <c r="I65" s="8">
        <f t="shared" si="3"/>
        <v>0</v>
      </c>
      <c r="J65" s="8">
        <f t="shared" si="4"/>
        <v>0</v>
      </c>
      <c r="K65" s="8">
        <f>SUMIFS(His_Operacoes_acoes[Total],His_Operacoes_acoes[Fimmes],Patrimônio!B65,His_Operacoes_acoes[Operação],"JCP")
+ SUMIFS(His_Operacoes_acoes[Total],His_Operacoes_acoes[Fimmes],Patrimônio!B65,His_Operacoes_acoes[Operação],"Divid.")
+ SUMIFS(His_Operacoes_acoes[Total],His_Operacoes_acoes[Fimmes],Patrimônio!B65,His_Operacoes_acoes[Operação],"Bonif.")</f>
        <v>0</v>
      </c>
      <c r="L65" s="8">
        <f>SUMIFS(His_Operacoes_BDRs[Total],His_Operacoes_BDRs[Operação],"Provento",His_Operacoes_BDRs[fimmês],Patrimônio!B65)</f>
        <v>0</v>
      </c>
      <c r="M65" s="8">
        <f>SUMIFS(His_Operacoes_FIIs[Total],His_Operacoes_FIIs[Operação],"Provento",His_Operacoes_FIIs[fimmês],Patrimônio!B65)</f>
        <v>0</v>
      </c>
      <c r="N65" s="8">
        <f t="shared" si="5"/>
        <v>0</v>
      </c>
    </row>
    <row r="66" spans="1:14" x14ac:dyDescent="0.35">
      <c r="A66" s="7">
        <v>44317</v>
      </c>
      <c r="B66" s="7">
        <f t="shared" si="2"/>
        <v>44316</v>
      </c>
      <c r="I66" s="8">
        <f t="shared" si="3"/>
        <v>0</v>
      </c>
      <c r="J66" s="8">
        <f t="shared" si="4"/>
        <v>0</v>
      </c>
      <c r="K66" s="8">
        <f>SUMIFS(His_Operacoes_acoes[Total],His_Operacoes_acoes[Fimmes],Patrimônio!B66,His_Operacoes_acoes[Operação],"JCP")
+ SUMIFS(His_Operacoes_acoes[Total],His_Operacoes_acoes[Fimmes],Patrimônio!B66,His_Operacoes_acoes[Operação],"Divid.")
+ SUMIFS(His_Operacoes_acoes[Total],His_Operacoes_acoes[Fimmes],Patrimônio!B66,His_Operacoes_acoes[Operação],"Bonif.")</f>
        <v>0</v>
      </c>
      <c r="L66" s="8">
        <f>SUMIFS(His_Operacoes_BDRs[Total],His_Operacoes_BDRs[Operação],"Provento",His_Operacoes_BDRs[fimmês],Patrimônio!B66)</f>
        <v>0</v>
      </c>
      <c r="M66" s="8">
        <f>SUMIFS(His_Operacoes_FIIs[Total],His_Operacoes_FIIs[Operação],"Provento",His_Operacoes_FIIs[fimmês],Patrimônio!B66)</f>
        <v>0</v>
      </c>
      <c r="N66" s="8">
        <f t="shared" si="5"/>
        <v>0</v>
      </c>
    </row>
    <row r="67" spans="1:14" x14ac:dyDescent="0.35">
      <c r="A67" s="7">
        <v>44348</v>
      </c>
      <c r="B67" s="7">
        <f t="shared" ref="B67:B130" si="7">EOMONTH(A67,-1)</f>
        <v>44347</v>
      </c>
      <c r="I67" s="8">
        <f t="shared" ref="I67:I130" si="8">SUM(C67,E67,G67)</f>
        <v>0</v>
      </c>
      <c r="J67" s="8">
        <f t="shared" ref="J67:J130" si="9">SUM(D67,F67,H67)</f>
        <v>0</v>
      </c>
      <c r="K67" s="8">
        <f>SUMIFS(His_Operacoes_acoes[Total],His_Operacoes_acoes[Fimmes],Patrimônio!B67,His_Operacoes_acoes[Operação],"JCP")
+ SUMIFS(His_Operacoes_acoes[Total],His_Operacoes_acoes[Fimmes],Patrimônio!B67,His_Operacoes_acoes[Operação],"Divid.")
+ SUMIFS(His_Operacoes_acoes[Total],His_Operacoes_acoes[Fimmes],Patrimônio!B67,His_Operacoes_acoes[Operação],"Bonif.")</f>
        <v>0</v>
      </c>
      <c r="L67" s="8">
        <f>SUMIFS(His_Operacoes_BDRs[Total],His_Operacoes_BDRs[Operação],"Provento",His_Operacoes_BDRs[fimmês],Patrimônio!B67)</f>
        <v>0</v>
      </c>
      <c r="M67" s="8">
        <f>SUMIFS(His_Operacoes_FIIs[Total],His_Operacoes_FIIs[Operação],"Provento",His_Operacoes_FIIs[fimmês],Patrimônio!B67)</f>
        <v>0</v>
      </c>
      <c r="N67" s="8">
        <f t="shared" ref="N67:N130" si="10">SUM(K67:M67)</f>
        <v>0</v>
      </c>
    </row>
    <row r="68" spans="1:14" x14ac:dyDescent="0.35">
      <c r="A68" s="7">
        <v>44378</v>
      </c>
      <c r="B68" s="7">
        <f t="shared" si="7"/>
        <v>44377</v>
      </c>
      <c r="I68" s="8">
        <f t="shared" si="8"/>
        <v>0</v>
      </c>
      <c r="J68" s="8">
        <f t="shared" si="9"/>
        <v>0</v>
      </c>
      <c r="K68" s="8">
        <f>SUMIFS(His_Operacoes_acoes[Total],His_Operacoes_acoes[Fimmes],Patrimônio!B68,His_Operacoes_acoes[Operação],"JCP")
+ SUMIFS(His_Operacoes_acoes[Total],His_Operacoes_acoes[Fimmes],Patrimônio!B68,His_Operacoes_acoes[Operação],"Divid.")
+ SUMIFS(His_Operacoes_acoes[Total],His_Operacoes_acoes[Fimmes],Patrimônio!B68,His_Operacoes_acoes[Operação],"Bonif.")</f>
        <v>0</v>
      </c>
      <c r="L68" s="8">
        <f>SUMIFS(His_Operacoes_BDRs[Total],His_Operacoes_BDRs[Operação],"Provento",His_Operacoes_BDRs[fimmês],Patrimônio!B68)</f>
        <v>0</v>
      </c>
      <c r="M68" s="8">
        <f>SUMIFS(His_Operacoes_FIIs[Total],His_Operacoes_FIIs[Operação],"Provento",His_Operacoes_FIIs[fimmês],Patrimônio!B68)</f>
        <v>0</v>
      </c>
      <c r="N68" s="8">
        <f t="shared" si="10"/>
        <v>0</v>
      </c>
    </row>
    <row r="69" spans="1:14" x14ac:dyDescent="0.35">
      <c r="A69" s="7">
        <v>44409</v>
      </c>
      <c r="B69" s="7">
        <f t="shared" si="7"/>
        <v>44408</v>
      </c>
      <c r="I69" s="8">
        <f t="shared" si="8"/>
        <v>0</v>
      </c>
      <c r="J69" s="8">
        <f t="shared" si="9"/>
        <v>0</v>
      </c>
      <c r="K69" s="8">
        <f>SUMIFS(His_Operacoes_acoes[Total],His_Operacoes_acoes[Fimmes],Patrimônio!B69,His_Operacoes_acoes[Operação],"JCP")
+ SUMIFS(His_Operacoes_acoes[Total],His_Operacoes_acoes[Fimmes],Patrimônio!B69,His_Operacoes_acoes[Operação],"Divid.")
+ SUMIFS(His_Operacoes_acoes[Total],His_Operacoes_acoes[Fimmes],Patrimônio!B69,His_Operacoes_acoes[Operação],"Bonif.")</f>
        <v>0</v>
      </c>
      <c r="L69" s="8">
        <f>SUMIFS(His_Operacoes_BDRs[Total],His_Operacoes_BDRs[Operação],"Provento",His_Operacoes_BDRs[fimmês],Patrimônio!B69)</f>
        <v>0</v>
      </c>
      <c r="M69" s="8">
        <f>SUMIFS(His_Operacoes_FIIs[Total],His_Operacoes_FIIs[Operação],"Provento",His_Operacoes_FIIs[fimmês],Patrimônio!B69)</f>
        <v>0</v>
      </c>
      <c r="N69" s="8">
        <f t="shared" si="10"/>
        <v>0</v>
      </c>
    </row>
    <row r="70" spans="1:14" x14ac:dyDescent="0.35">
      <c r="A70" s="7">
        <v>44440</v>
      </c>
      <c r="B70" s="7">
        <f t="shared" si="7"/>
        <v>44439</v>
      </c>
      <c r="I70" s="8">
        <f t="shared" si="8"/>
        <v>0</v>
      </c>
      <c r="J70" s="8">
        <f t="shared" si="9"/>
        <v>0</v>
      </c>
      <c r="K70" s="8">
        <f>SUMIFS(His_Operacoes_acoes[Total],His_Operacoes_acoes[Fimmes],Patrimônio!B70,His_Operacoes_acoes[Operação],"JCP")
+ SUMIFS(His_Operacoes_acoes[Total],His_Operacoes_acoes[Fimmes],Patrimônio!B70,His_Operacoes_acoes[Operação],"Divid.")
+ SUMIFS(His_Operacoes_acoes[Total],His_Operacoes_acoes[Fimmes],Patrimônio!B70,His_Operacoes_acoes[Operação],"Bonif.")</f>
        <v>0</v>
      </c>
      <c r="L70" s="8">
        <f>SUMIFS(His_Operacoes_BDRs[Total],His_Operacoes_BDRs[Operação],"Provento",His_Operacoes_BDRs[fimmês],Patrimônio!B70)</f>
        <v>0</v>
      </c>
      <c r="M70" s="8">
        <f>SUMIFS(His_Operacoes_FIIs[Total],His_Operacoes_FIIs[Operação],"Provento",His_Operacoes_FIIs[fimmês],Patrimônio!B70)</f>
        <v>0</v>
      </c>
      <c r="N70" s="8">
        <f t="shared" si="10"/>
        <v>0</v>
      </c>
    </row>
    <row r="71" spans="1:14" x14ac:dyDescent="0.35">
      <c r="A71" s="7">
        <v>44470</v>
      </c>
      <c r="B71" s="7">
        <f t="shared" si="7"/>
        <v>44469</v>
      </c>
      <c r="I71" s="8">
        <f t="shared" si="8"/>
        <v>0</v>
      </c>
      <c r="J71" s="8">
        <f t="shared" si="9"/>
        <v>0</v>
      </c>
      <c r="K71" s="8">
        <f>SUMIFS(His_Operacoes_acoes[Total],His_Operacoes_acoes[Fimmes],Patrimônio!B71,His_Operacoes_acoes[Operação],"JCP")
+ SUMIFS(His_Operacoes_acoes[Total],His_Operacoes_acoes[Fimmes],Patrimônio!B71,His_Operacoes_acoes[Operação],"Divid.")
+ SUMIFS(His_Operacoes_acoes[Total],His_Operacoes_acoes[Fimmes],Patrimônio!B71,His_Operacoes_acoes[Operação],"Bonif.")</f>
        <v>0</v>
      </c>
      <c r="L71" s="8">
        <f>SUMIFS(His_Operacoes_BDRs[Total],His_Operacoes_BDRs[Operação],"Provento",His_Operacoes_BDRs[fimmês],Patrimônio!B71)</f>
        <v>0</v>
      </c>
      <c r="M71" s="8">
        <f>SUMIFS(His_Operacoes_FIIs[Total],His_Operacoes_FIIs[Operação],"Provento",His_Operacoes_FIIs[fimmês],Patrimônio!B71)</f>
        <v>0</v>
      </c>
      <c r="N71" s="8">
        <f t="shared" si="10"/>
        <v>0</v>
      </c>
    </row>
    <row r="72" spans="1:14" x14ac:dyDescent="0.35">
      <c r="A72" s="7">
        <v>44501</v>
      </c>
      <c r="B72" s="7">
        <f t="shared" si="7"/>
        <v>44500</v>
      </c>
      <c r="I72" s="8">
        <f t="shared" si="8"/>
        <v>0</v>
      </c>
      <c r="J72" s="8">
        <f t="shared" si="9"/>
        <v>0</v>
      </c>
      <c r="K72" s="8">
        <f>SUMIFS(His_Operacoes_acoes[Total],His_Operacoes_acoes[Fimmes],Patrimônio!B72,His_Operacoes_acoes[Operação],"JCP")
+ SUMIFS(His_Operacoes_acoes[Total],His_Operacoes_acoes[Fimmes],Patrimônio!B72,His_Operacoes_acoes[Operação],"Divid.")
+ SUMIFS(His_Operacoes_acoes[Total],His_Operacoes_acoes[Fimmes],Patrimônio!B72,His_Operacoes_acoes[Operação],"Bonif.")</f>
        <v>0</v>
      </c>
      <c r="L72" s="8">
        <f>SUMIFS(His_Operacoes_BDRs[Total],His_Operacoes_BDRs[Operação],"Provento",His_Operacoes_BDRs[fimmês],Patrimônio!B72)</f>
        <v>0</v>
      </c>
      <c r="M72" s="8">
        <f>SUMIFS(His_Operacoes_FIIs[Total],His_Operacoes_FIIs[Operação],"Provento",His_Operacoes_FIIs[fimmês],Patrimônio!B72)</f>
        <v>0</v>
      </c>
      <c r="N72" s="8">
        <f t="shared" si="10"/>
        <v>0</v>
      </c>
    </row>
    <row r="73" spans="1:14" x14ac:dyDescent="0.35">
      <c r="A73" s="7">
        <v>44531</v>
      </c>
      <c r="B73" s="7">
        <f t="shared" si="7"/>
        <v>44530</v>
      </c>
      <c r="I73" s="8">
        <f t="shared" si="8"/>
        <v>0</v>
      </c>
      <c r="J73" s="8">
        <f t="shared" si="9"/>
        <v>0</v>
      </c>
      <c r="K73" s="8">
        <f>SUMIFS(His_Operacoes_acoes[Total],His_Operacoes_acoes[Fimmes],Patrimônio!B73,His_Operacoes_acoes[Operação],"JCP")
+ SUMIFS(His_Operacoes_acoes[Total],His_Operacoes_acoes[Fimmes],Patrimônio!B73,His_Operacoes_acoes[Operação],"Divid.")
+ SUMIFS(His_Operacoes_acoes[Total],His_Operacoes_acoes[Fimmes],Patrimônio!B73,His_Operacoes_acoes[Operação],"Bonif.")</f>
        <v>0</v>
      </c>
      <c r="L73" s="8">
        <f>SUMIFS(His_Operacoes_BDRs[Total],His_Operacoes_BDRs[Operação],"Provento",His_Operacoes_BDRs[fimmês],Patrimônio!B73)</f>
        <v>0</v>
      </c>
      <c r="M73" s="8">
        <f>SUMIFS(His_Operacoes_FIIs[Total],His_Operacoes_FIIs[Operação],"Provento",His_Operacoes_FIIs[fimmês],Patrimônio!B73)</f>
        <v>0</v>
      </c>
      <c r="N73" s="8">
        <f t="shared" si="10"/>
        <v>0</v>
      </c>
    </row>
    <row r="74" spans="1:14" x14ac:dyDescent="0.35">
      <c r="A74" s="7">
        <v>44562</v>
      </c>
      <c r="B74" s="7">
        <f t="shared" si="7"/>
        <v>44561</v>
      </c>
      <c r="I74" s="8">
        <f t="shared" si="8"/>
        <v>0</v>
      </c>
      <c r="J74" s="8">
        <f t="shared" si="9"/>
        <v>0</v>
      </c>
      <c r="K74" s="8">
        <f>SUMIFS(His_Operacoes_acoes[Total],His_Operacoes_acoes[Fimmes],Patrimônio!B74,His_Operacoes_acoes[Operação],"JCP")
+ SUMIFS(His_Operacoes_acoes[Total],His_Operacoes_acoes[Fimmes],Patrimônio!B74,His_Operacoes_acoes[Operação],"Divid.")
+ SUMIFS(His_Operacoes_acoes[Total],His_Operacoes_acoes[Fimmes],Patrimônio!B74,His_Operacoes_acoes[Operação],"Bonif.")</f>
        <v>0</v>
      </c>
      <c r="L74" s="8">
        <f>SUMIFS(His_Operacoes_BDRs[Total],His_Operacoes_BDRs[Operação],"Provento",His_Operacoes_BDRs[fimmês],Patrimônio!B74)</f>
        <v>0</v>
      </c>
      <c r="M74" s="8">
        <f>SUMIFS(His_Operacoes_FIIs[Total],His_Operacoes_FIIs[Operação],"Provento",His_Operacoes_FIIs[fimmês],Patrimônio!B74)</f>
        <v>0</v>
      </c>
      <c r="N74" s="8">
        <f t="shared" si="10"/>
        <v>0</v>
      </c>
    </row>
    <row r="75" spans="1:14" x14ac:dyDescent="0.35">
      <c r="A75" s="7">
        <v>44593</v>
      </c>
      <c r="B75" s="7">
        <f t="shared" si="7"/>
        <v>44592</v>
      </c>
      <c r="I75" s="8">
        <f t="shared" si="8"/>
        <v>0</v>
      </c>
      <c r="J75" s="8">
        <f t="shared" si="9"/>
        <v>0</v>
      </c>
      <c r="K75" s="8">
        <f>SUMIFS(His_Operacoes_acoes[Total],His_Operacoes_acoes[Fimmes],Patrimônio!B75,His_Operacoes_acoes[Operação],"JCP")
+ SUMIFS(His_Operacoes_acoes[Total],His_Operacoes_acoes[Fimmes],Patrimônio!B75,His_Operacoes_acoes[Operação],"Divid.")
+ SUMIFS(His_Operacoes_acoes[Total],His_Operacoes_acoes[Fimmes],Patrimônio!B75,His_Operacoes_acoes[Operação],"Bonif.")</f>
        <v>0</v>
      </c>
      <c r="L75" s="8">
        <f>SUMIFS(His_Operacoes_BDRs[Total],His_Operacoes_BDRs[Operação],"Provento",His_Operacoes_BDRs[fimmês],Patrimônio!B75)</f>
        <v>0</v>
      </c>
      <c r="M75" s="8">
        <f>SUMIFS(His_Operacoes_FIIs[Total],His_Operacoes_FIIs[Operação],"Provento",His_Operacoes_FIIs[fimmês],Patrimônio!B75)</f>
        <v>0</v>
      </c>
      <c r="N75" s="8">
        <f t="shared" si="10"/>
        <v>0</v>
      </c>
    </row>
    <row r="76" spans="1:14" x14ac:dyDescent="0.35">
      <c r="A76" s="7">
        <v>44621</v>
      </c>
      <c r="B76" s="7">
        <f t="shared" si="7"/>
        <v>44620</v>
      </c>
      <c r="I76" s="8">
        <f t="shared" si="8"/>
        <v>0</v>
      </c>
      <c r="J76" s="8">
        <f t="shared" si="9"/>
        <v>0</v>
      </c>
      <c r="K76" s="8">
        <f>SUMIFS(His_Operacoes_acoes[Total],His_Operacoes_acoes[Fimmes],Patrimônio!B76,His_Operacoes_acoes[Operação],"JCP")
+ SUMIFS(His_Operacoes_acoes[Total],His_Operacoes_acoes[Fimmes],Patrimônio!B76,His_Operacoes_acoes[Operação],"Divid.")
+ SUMIFS(His_Operacoes_acoes[Total],His_Operacoes_acoes[Fimmes],Patrimônio!B76,His_Operacoes_acoes[Operação],"Bonif.")</f>
        <v>0</v>
      </c>
      <c r="L76" s="8">
        <f>SUMIFS(His_Operacoes_BDRs[Total],His_Operacoes_BDRs[Operação],"Provento",His_Operacoes_BDRs[fimmês],Patrimônio!B76)</f>
        <v>0</v>
      </c>
      <c r="M76" s="8">
        <f>SUMIFS(His_Operacoes_FIIs[Total],His_Operacoes_FIIs[Operação],"Provento",His_Operacoes_FIIs[fimmês],Patrimônio!B76)</f>
        <v>0</v>
      </c>
      <c r="N76" s="8">
        <f t="shared" si="10"/>
        <v>0</v>
      </c>
    </row>
    <row r="77" spans="1:14" x14ac:dyDescent="0.35">
      <c r="A77" s="7">
        <v>44652</v>
      </c>
      <c r="B77" s="7">
        <f t="shared" si="7"/>
        <v>44651</v>
      </c>
      <c r="I77" s="8">
        <f t="shared" si="8"/>
        <v>0</v>
      </c>
      <c r="J77" s="8">
        <f t="shared" si="9"/>
        <v>0</v>
      </c>
      <c r="K77" s="8">
        <f>SUMIFS(His_Operacoes_acoes[Total],His_Operacoes_acoes[Fimmes],Patrimônio!B77,His_Operacoes_acoes[Operação],"JCP")
+ SUMIFS(His_Operacoes_acoes[Total],His_Operacoes_acoes[Fimmes],Patrimônio!B77,His_Operacoes_acoes[Operação],"Divid.")
+ SUMIFS(His_Operacoes_acoes[Total],His_Operacoes_acoes[Fimmes],Patrimônio!B77,His_Operacoes_acoes[Operação],"Bonif.")</f>
        <v>0</v>
      </c>
      <c r="L77" s="8">
        <f>SUMIFS(His_Operacoes_BDRs[Total],His_Operacoes_BDRs[Operação],"Provento",His_Operacoes_BDRs[fimmês],Patrimônio!B77)</f>
        <v>0</v>
      </c>
      <c r="M77" s="8">
        <f>SUMIFS(His_Operacoes_FIIs[Total],His_Operacoes_FIIs[Operação],"Provento",His_Operacoes_FIIs[fimmês],Patrimônio!B77)</f>
        <v>0</v>
      </c>
      <c r="N77" s="8">
        <f t="shared" si="10"/>
        <v>0</v>
      </c>
    </row>
    <row r="78" spans="1:14" x14ac:dyDescent="0.35">
      <c r="A78" s="7">
        <v>44682</v>
      </c>
      <c r="B78" s="7">
        <f t="shared" si="7"/>
        <v>44681</v>
      </c>
      <c r="I78" s="8">
        <f t="shared" si="8"/>
        <v>0</v>
      </c>
      <c r="J78" s="8">
        <f t="shared" si="9"/>
        <v>0</v>
      </c>
      <c r="K78" s="8">
        <f>SUMIFS(His_Operacoes_acoes[Total],His_Operacoes_acoes[Fimmes],Patrimônio!B78,His_Operacoes_acoes[Operação],"JCP")
+ SUMIFS(His_Operacoes_acoes[Total],His_Operacoes_acoes[Fimmes],Patrimônio!B78,His_Operacoes_acoes[Operação],"Divid.")
+ SUMIFS(His_Operacoes_acoes[Total],His_Operacoes_acoes[Fimmes],Patrimônio!B78,His_Operacoes_acoes[Operação],"Bonif.")</f>
        <v>0</v>
      </c>
      <c r="L78" s="8">
        <f>SUMIFS(His_Operacoes_BDRs[Total],His_Operacoes_BDRs[Operação],"Provento",His_Operacoes_BDRs[fimmês],Patrimônio!B78)</f>
        <v>0</v>
      </c>
      <c r="M78" s="8">
        <f>SUMIFS(His_Operacoes_FIIs[Total],His_Operacoes_FIIs[Operação],"Provento",His_Operacoes_FIIs[fimmês],Patrimônio!B78)</f>
        <v>0</v>
      </c>
      <c r="N78" s="8">
        <f t="shared" si="10"/>
        <v>0</v>
      </c>
    </row>
    <row r="79" spans="1:14" x14ac:dyDescent="0.35">
      <c r="A79" s="7">
        <v>44713</v>
      </c>
      <c r="B79" s="7">
        <f t="shared" si="7"/>
        <v>44712</v>
      </c>
      <c r="I79" s="8">
        <f t="shared" si="8"/>
        <v>0</v>
      </c>
      <c r="J79" s="8">
        <f t="shared" si="9"/>
        <v>0</v>
      </c>
      <c r="K79" s="8">
        <f>SUMIFS(His_Operacoes_acoes[Total],His_Operacoes_acoes[Fimmes],Patrimônio!B79,His_Operacoes_acoes[Operação],"JCP")
+ SUMIFS(His_Operacoes_acoes[Total],His_Operacoes_acoes[Fimmes],Patrimônio!B79,His_Operacoes_acoes[Operação],"Divid.")
+ SUMIFS(His_Operacoes_acoes[Total],His_Operacoes_acoes[Fimmes],Patrimônio!B79,His_Operacoes_acoes[Operação],"Bonif.")</f>
        <v>0</v>
      </c>
      <c r="L79" s="8">
        <f>SUMIFS(His_Operacoes_BDRs[Total],His_Operacoes_BDRs[Operação],"Provento",His_Operacoes_BDRs[fimmês],Patrimônio!B79)</f>
        <v>0</v>
      </c>
      <c r="M79" s="8">
        <f>SUMIFS(His_Operacoes_FIIs[Total],His_Operacoes_FIIs[Operação],"Provento",His_Operacoes_FIIs[fimmês],Patrimônio!B79)</f>
        <v>0</v>
      </c>
      <c r="N79" s="8">
        <f t="shared" si="10"/>
        <v>0</v>
      </c>
    </row>
    <row r="80" spans="1:14" x14ac:dyDescent="0.35">
      <c r="A80" s="7">
        <v>44743</v>
      </c>
      <c r="B80" s="7">
        <f t="shared" si="7"/>
        <v>44742</v>
      </c>
      <c r="I80" s="8">
        <f t="shared" si="8"/>
        <v>0</v>
      </c>
      <c r="J80" s="8">
        <f t="shared" si="9"/>
        <v>0</v>
      </c>
      <c r="K80" s="8">
        <f>SUMIFS(His_Operacoes_acoes[Total],His_Operacoes_acoes[Fimmes],Patrimônio!B80,His_Operacoes_acoes[Operação],"JCP")
+ SUMIFS(His_Operacoes_acoes[Total],His_Operacoes_acoes[Fimmes],Patrimônio!B80,His_Operacoes_acoes[Operação],"Divid.")
+ SUMIFS(His_Operacoes_acoes[Total],His_Operacoes_acoes[Fimmes],Patrimônio!B80,His_Operacoes_acoes[Operação],"Bonif.")</f>
        <v>0</v>
      </c>
      <c r="L80" s="8">
        <f>SUMIFS(His_Operacoes_BDRs[Total],His_Operacoes_BDRs[Operação],"Provento",His_Operacoes_BDRs[fimmês],Patrimônio!B80)</f>
        <v>0</v>
      </c>
      <c r="M80" s="8">
        <f>SUMIFS(His_Operacoes_FIIs[Total],His_Operacoes_FIIs[Operação],"Provento",His_Operacoes_FIIs[fimmês],Patrimônio!B80)</f>
        <v>0</v>
      </c>
      <c r="N80" s="8">
        <f t="shared" si="10"/>
        <v>0</v>
      </c>
    </row>
    <row r="81" spans="1:14" x14ac:dyDescent="0.35">
      <c r="A81" s="7">
        <v>44774</v>
      </c>
      <c r="B81" s="7">
        <f t="shared" si="7"/>
        <v>44773</v>
      </c>
      <c r="I81" s="8">
        <f t="shared" si="8"/>
        <v>0</v>
      </c>
      <c r="J81" s="8">
        <f t="shared" si="9"/>
        <v>0</v>
      </c>
      <c r="K81" s="8">
        <f>SUMIFS(His_Operacoes_acoes[Total],His_Operacoes_acoes[Fimmes],Patrimônio!B81,His_Operacoes_acoes[Operação],"JCP")
+ SUMIFS(His_Operacoes_acoes[Total],His_Operacoes_acoes[Fimmes],Patrimônio!B81,His_Operacoes_acoes[Operação],"Divid.")
+ SUMIFS(His_Operacoes_acoes[Total],His_Operacoes_acoes[Fimmes],Patrimônio!B81,His_Operacoes_acoes[Operação],"Bonif.")</f>
        <v>0</v>
      </c>
      <c r="L81" s="8">
        <f>SUMIFS(His_Operacoes_BDRs[Total],His_Operacoes_BDRs[Operação],"Provento",His_Operacoes_BDRs[fimmês],Patrimônio!B81)</f>
        <v>0</v>
      </c>
      <c r="M81" s="8">
        <f>SUMIFS(His_Operacoes_FIIs[Total],His_Operacoes_FIIs[Operação],"Provento",His_Operacoes_FIIs[fimmês],Patrimônio!B81)</f>
        <v>0</v>
      </c>
      <c r="N81" s="8">
        <f t="shared" si="10"/>
        <v>0</v>
      </c>
    </row>
    <row r="82" spans="1:14" x14ac:dyDescent="0.35">
      <c r="A82" s="7">
        <v>44805</v>
      </c>
      <c r="B82" s="7">
        <f t="shared" si="7"/>
        <v>44804</v>
      </c>
      <c r="I82" s="8">
        <f t="shared" si="8"/>
        <v>0</v>
      </c>
      <c r="J82" s="8">
        <f t="shared" si="9"/>
        <v>0</v>
      </c>
      <c r="K82" s="8">
        <f>SUMIFS(His_Operacoes_acoes[Total],His_Operacoes_acoes[Fimmes],Patrimônio!B82,His_Operacoes_acoes[Operação],"JCP")
+ SUMIFS(His_Operacoes_acoes[Total],His_Operacoes_acoes[Fimmes],Patrimônio!B82,His_Operacoes_acoes[Operação],"Divid.")
+ SUMIFS(His_Operacoes_acoes[Total],His_Operacoes_acoes[Fimmes],Patrimônio!B82,His_Operacoes_acoes[Operação],"Bonif.")</f>
        <v>0</v>
      </c>
      <c r="L82" s="8">
        <f>SUMIFS(His_Operacoes_BDRs[Total],His_Operacoes_BDRs[Operação],"Provento",His_Operacoes_BDRs[fimmês],Patrimônio!B82)</f>
        <v>0</v>
      </c>
      <c r="M82" s="8">
        <f>SUMIFS(His_Operacoes_FIIs[Total],His_Operacoes_FIIs[Operação],"Provento",His_Operacoes_FIIs[fimmês],Patrimônio!B82)</f>
        <v>0</v>
      </c>
      <c r="N82" s="8">
        <f t="shared" si="10"/>
        <v>0</v>
      </c>
    </row>
    <row r="83" spans="1:14" x14ac:dyDescent="0.35">
      <c r="A83" s="7">
        <v>44835</v>
      </c>
      <c r="B83" s="7">
        <f t="shared" si="7"/>
        <v>44834</v>
      </c>
      <c r="I83" s="8">
        <f t="shared" si="8"/>
        <v>0</v>
      </c>
      <c r="J83" s="8">
        <f t="shared" si="9"/>
        <v>0</v>
      </c>
      <c r="K83" s="8">
        <f>SUMIFS(His_Operacoes_acoes[Total],His_Operacoes_acoes[Fimmes],Patrimônio!B83,His_Operacoes_acoes[Operação],"JCP")
+ SUMIFS(His_Operacoes_acoes[Total],His_Operacoes_acoes[Fimmes],Patrimônio!B83,His_Operacoes_acoes[Operação],"Divid.")
+ SUMIFS(His_Operacoes_acoes[Total],His_Operacoes_acoes[Fimmes],Patrimônio!B83,His_Operacoes_acoes[Operação],"Bonif.")</f>
        <v>0</v>
      </c>
      <c r="L83" s="8">
        <f>SUMIFS(His_Operacoes_BDRs[Total],His_Operacoes_BDRs[Operação],"Provento",His_Operacoes_BDRs[fimmês],Patrimônio!B83)</f>
        <v>0</v>
      </c>
      <c r="M83" s="8">
        <f>SUMIFS(His_Operacoes_FIIs[Total],His_Operacoes_FIIs[Operação],"Provento",His_Operacoes_FIIs[fimmês],Patrimônio!B83)</f>
        <v>0</v>
      </c>
      <c r="N83" s="8">
        <f t="shared" si="10"/>
        <v>0</v>
      </c>
    </row>
    <row r="84" spans="1:14" x14ac:dyDescent="0.35">
      <c r="A84" s="7">
        <v>44866</v>
      </c>
      <c r="B84" s="7">
        <f t="shared" si="7"/>
        <v>44865</v>
      </c>
      <c r="I84" s="8">
        <f t="shared" si="8"/>
        <v>0</v>
      </c>
      <c r="J84" s="8">
        <f t="shared" si="9"/>
        <v>0</v>
      </c>
      <c r="K84" s="8">
        <f>SUMIFS(His_Operacoes_acoes[Total],His_Operacoes_acoes[Fimmes],Patrimônio!B84,His_Operacoes_acoes[Operação],"JCP")
+ SUMIFS(His_Operacoes_acoes[Total],His_Operacoes_acoes[Fimmes],Patrimônio!B84,His_Operacoes_acoes[Operação],"Divid.")
+ SUMIFS(His_Operacoes_acoes[Total],His_Operacoes_acoes[Fimmes],Patrimônio!B84,His_Operacoes_acoes[Operação],"Bonif.")</f>
        <v>0</v>
      </c>
      <c r="L84" s="8">
        <f>SUMIFS(His_Operacoes_BDRs[Total],His_Operacoes_BDRs[Operação],"Provento",His_Operacoes_BDRs[fimmês],Patrimônio!B84)</f>
        <v>0</v>
      </c>
      <c r="M84" s="8">
        <f>SUMIFS(His_Operacoes_FIIs[Total],His_Operacoes_FIIs[Operação],"Provento",His_Operacoes_FIIs[fimmês],Patrimônio!B84)</f>
        <v>0</v>
      </c>
      <c r="N84" s="8">
        <f t="shared" si="10"/>
        <v>0</v>
      </c>
    </row>
    <row r="85" spans="1:14" x14ac:dyDescent="0.35">
      <c r="A85" s="7">
        <v>44896</v>
      </c>
      <c r="B85" s="7">
        <f t="shared" si="7"/>
        <v>44895</v>
      </c>
      <c r="I85" s="8">
        <f t="shared" si="8"/>
        <v>0</v>
      </c>
      <c r="J85" s="8">
        <f t="shared" si="9"/>
        <v>0</v>
      </c>
      <c r="K85" s="8">
        <f>SUMIFS(His_Operacoes_acoes[Total],His_Operacoes_acoes[Fimmes],Patrimônio!B85,His_Operacoes_acoes[Operação],"JCP")
+ SUMIFS(His_Operacoes_acoes[Total],His_Operacoes_acoes[Fimmes],Patrimônio!B85,His_Operacoes_acoes[Operação],"Divid.")
+ SUMIFS(His_Operacoes_acoes[Total],His_Operacoes_acoes[Fimmes],Patrimônio!B85,His_Operacoes_acoes[Operação],"Bonif.")</f>
        <v>0</v>
      </c>
      <c r="L85" s="8">
        <f>SUMIFS(His_Operacoes_BDRs[Total],His_Operacoes_BDRs[Operação],"Provento",His_Operacoes_BDRs[fimmês],Patrimônio!B85)</f>
        <v>0</v>
      </c>
      <c r="M85" s="8">
        <f>SUMIFS(His_Operacoes_FIIs[Total],His_Operacoes_FIIs[Operação],"Provento",His_Operacoes_FIIs[fimmês],Patrimônio!B85)</f>
        <v>0</v>
      </c>
      <c r="N85" s="8">
        <f t="shared" si="10"/>
        <v>0</v>
      </c>
    </row>
    <row r="86" spans="1:14" x14ac:dyDescent="0.35">
      <c r="A86" s="7">
        <v>44927</v>
      </c>
      <c r="B86" s="7">
        <f t="shared" si="7"/>
        <v>44926</v>
      </c>
      <c r="I86" s="8">
        <f t="shared" si="8"/>
        <v>0</v>
      </c>
      <c r="J86" s="8">
        <f t="shared" si="9"/>
        <v>0</v>
      </c>
      <c r="K86" s="8">
        <f>SUMIFS(His_Operacoes_acoes[Total],His_Operacoes_acoes[Fimmes],Patrimônio!B86,His_Operacoes_acoes[Operação],"JCP")
+ SUMIFS(His_Operacoes_acoes[Total],His_Operacoes_acoes[Fimmes],Patrimônio!B86,His_Operacoes_acoes[Operação],"Divid.")
+ SUMIFS(His_Operacoes_acoes[Total],His_Operacoes_acoes[Fimmes],Patrimônio!B86,His_Operacoes_acoes[Operação],"Bonif.")</f>
        <v>0</v>
      </c>
      <c r="L86" s="8">
        <f>SUMIFS(His_Operacoes_BDRs[Total],His_Operacoes_BDRs[Operação],"Provento",His_Operacoes_BDRs[fimmês],Patrimônio!B86)</f>
        <v>0</v>
      </c>
      <c r="M86" s="8">
        <f>SUMIFS(His_Operacoes_FIIs[Total],His_Operacoes_FIIs[Operação],"Provento",His_Operacoes_FIIs[fimmês],Patrimônio!B86)</f>
        <v>0</v>
      </c>
      <c r="N86" s="8">
        <f t="shared" si="10"/>
        <v>0</v>
      </c>
    </row>
    <row r="87" spans="1:14" x14ac:dyDescent="0.35">
      <c r="A87" s="7">
        <v>44958</v>
      </c>
      <c r="B87" s="7">
        <f t="shared" si="7"/>
        <v>44957</v>
      </c>
      <c r="I87" s="8">
        <f t="shared" si="8"/>
        <v>0</v>
      </c>
      <c r="J87" s="8">
        <f t="shared" si="9"/>
        <v>0</v>
      </c>
      <c r="K87" s="8">
        <f>SUMIFS(His_Operacoes_acoes[Total],His_Operacoes_acoes[Fimmes],Patrimônio!B87,His_Operacoes_acoes[Operação],"JCP")
+ SUMIFS(His_Operacoes_acoes[Total],His_Operacoes_acoes[Fimmes],Patrimônio!B87,His_Operacoes_acoes[Operação],"Divid.")
+ SUMIFS(His_Operacoes_acoes[Total],His_Operacoes_acoes[Fimmes],Patrimônio!B87,His_Operacoes_acoes[Operação],"Bonif.")</f>
        <v>0</v>
      </c>
      <c r="L87" s="8">
        <f>SUMIFS(His_Operacoes_BDRs[Total],His_Operacoes_BDRs[Operação],"Provento",His_Operacoes_BDRs[fimmês],Patrimônio!B87)</f>
        <v>0</v>
      </c>
      <c r="M87" s="8">
        <f>SUMIFS(His_Operacoes_FIIs[Total],His_Operacoes_FIIs[Operação],"Provento",His_Operacoes_FIIs[fimmês],Patrimônio!B87)</f>
        <v>0</v>
      </c>
      <c r="N87" s="8">
        <f t="shared" si="10"/>
        <v>0</v>
      </c>
    </row>
    <row r="88" spans="1:14" x14ac:dyDescent="0.35">
      <c r="A88" s="7">
        <v>44986</v>
      </c>
      <c r="B88" s="7">
        <f t="shared" si="7"/>
        <v>44985</v>
      </c>
      <c r="I88" s="8">
        <f t="shared" si="8"/>
        <v>0</v>
      </c>
      <c r="J88" s="8">
        <f t="shared" si="9"/>
        <v>0</v>
      </c>
      <c r="K88" s="8">
        <f>SUMIFS(His_Operacoes_acoes[Total],His_Operacoes_acoes[Fimmes],Patrimônio!B88,His_Operacoes_acoes[Operação],"JCP")
+ SUMIFS(His_Operacoes_acoes[Total],His_Operacoes_acoes[Fimmes],Patrimônio!B88,His_Operacoes_acoes[Operação],"Divid.")
+ SUMIFS(His_Operacoes_acoes[Total],His_Operacoes_acoes[Fimmes],Patrimônio!B88,His_Operacoes_acoes[Operação],"Bonif.")</f>
        <v>0</v>
      </c>
      <c r="L88" s="8">
        <f>SUMIFS(His_Operacoes_BDRs[Total],His_Operacoes_BDRs[Operação],"Provento",His_Operacoes_BDRs[fimmês],Patrimônio!B88)</f>
        <v>0</v>
      </c>
      <c r="M88" s="8">
        <f>SUMIFS(His_Operacoes_FIIs[Total],His_Operacoes_FIIs[Operação],"Provento",His_Operacoes_FIIs[fimmês],Patrimônio!B88)</f>
        <v>0</v>
      </c>
      <c r="N88" s="8">
        <f t="shared" si="10"/>
        <v>0</v>
      </c>
    </row>
    <row r="89" spans="1:14" x14ac:dyDescent="0.35">
      <c r="A89" s="7">
        <v>45017</v>
      </c>
      <c r="B89" s="7">
        <f t="shared" si="7"/>
        <v>45016</v>
      </c>
      <c r="I89" s="8">
        <f t="shared" si="8"/>
        <v>0</v>
      </c>
      <c r="J89" s="8">
        <f t="shared" si="9"/>
        <v>0</v>
      </c>
      <c r="K89" s="8">
        <f>SUMIFS(His_Operacoes_acoes[Total],His_Operacoes_acoes[Fimmes],Patrimônio!B89,His_Operacoes_acoes[Operação],"JCP")
+ SUMIFS(His_Operacoes_acoes[Total],His_Operacoes_acoes[Fimmes],Patrimônio!B89,His_Operacoes_acoes[Operação],"Divid.")
+ SUMIFS(His_Operacoes_acoes[Total],His_Operacoes_acoes[Fimmes],Patrimônio!B89,His_Operacoes_acoes[Operação],"Bonif.")</f>
        <v>0</v>
      </c>
      <c r="L89" s="8">
        <f>SUMIFS(His_Operacoes_BDRs[Total],His_Operacoes_BDRs[Operação],"Provento",His_Operacoes_BDRs[fimmês],Patrimônio!B89)</f>
        <v>0</v>
      </c>
      <c r="M89" s="8">
        <f>SUMIFS(His_Operacoes_FIIs[Total],His_Operacoes_FIIs[Operação],"Provento",His_Operacoes_FIIs[fimmês],Patrimônio!B89)</f>
        <v>0</v>
      </c>
      <c r="N89" s="8">
        <f t="shared" si="10"/>
        <v>0</v>
      </c>
    </row>
    <row r="90" spans="1:14" x14ac:dyDescent="0.35">
      <c r="A90" s="7">
        <v>45047</v>
      </c>
      <c r="B90" s="7">
        <f t="shared" si="7"/>
        <v>45046</v>
      </c>
      <c r="I90" s="8">
        <f t="shared" si="8"/>
        <v>0</v>
      </c>
      <c r="J90" s="8">
        <f t="shared" si="9"/>
        <v>0</v>
      </c>
      <c r="K90" s="8">
        <f>SUMIFS(His_Operacoes_acoes[Total],His_Operacoes_acoes[Fimmes],Patrimônio!B90,His_Operacoes_acoes[Operação],"JCP")
+ SUMIFS(His_Operacoes_acoes[Total],His_Operacoes_acoes[Fimmes],Patrimônio!B90,His_Operacoes_acoes[Operação],"Divid.")
+ SUMIFS(His_Operacoes_acoes[Total],His_Operacoes_acoes[Fimmes],Patrimônio!B90,His_Operacoes_acoes[Operação],"Bonif.")</f>
        <v>0</v>
      </c>
      <c r="L90" s="8">
        <f>SUMIFS(His_Operacoes_BDRs[Total],His_Operacoes_BDRs[Operação],"Provento",His_Operacoes_BDRs[fimmês],Patrimônio!B90)</f>
        <v>0</v>
      </c>
      <c r="M90" s="8">
        <f>SUMIFS(His_Operacoes_FIIs[Total],His_Operacoes_FIIs[Operação],"Provento",His_Operacoes_FIIs[fimmês],Patrimônio!B90)</f>
        <v>0</v>
      </c>
      <c r="N90" s="8">
        <f t="shared" si="10"/>
        <v>0</v>
      </c>
    </row>
    <row r="91" spans="1:14" x14ac:dyDescent="0.35">
      <c r="A91" s="7">
        <v>45078</v>
      </c>
      <c r="B91" s="7">
        <f t="shared" si="7"/>
        <v>45077</v>
      </c>
      <c r="I91" s="8">
        <f t="shared" si="8"/>
        <v>0</v>
      </c>
      <c r="J91" s="8">
        <f t="shared" si="9"/>
        <v>0</v>
      </c>
      <c r="K91" s="8">
        <f>SUMIFS(His_Operacoes_acoes[Total],His_Operacoes_acoes[Fimmes],Patrimônio!B91,His_Operacoes_acoes[Operação],"JCP")
+ SUMIFS(His_Operacoes_acoes[Total],His_Operacoes_acoes[Fimmes],Patrimônio!B91,His_Operacoes_acoes[Operação],"Divid.")
+ SUMIFS(His_Operacoes_acoes[Total],His_Operacoes_acoes[Fimmes],Patrimônio!B91,His_Operacoes_acoes[Operação],"Bonif.")</f>
        <v>0</v>
      </c>
      <c r="L91" s="8">
        <f>SUMIFS(His_Operacoes_BDRs[Total],His_Operacoes_BDRs[Operação],"Provento",His_Operacoes_BDRs[fimmês],Patrimônio!B91)</f>
        <v>0</v>
      </c>
      <c r="M91" s="8">
        <f>SUMIFS(His_Operacoes_FIIs[Total],His_Operacoes_FIIs[Operação],"Provento",His_Operacoes_FIIs[fimmês],Patrimônio!B91)</f>
        <v>0</v>
      </c>
      <c r="N91" s="8">
        <f t="shared" si="10"/>
        <v>0</v>
      </c>
    </row>
    <row r="92" spans="1:14" x14ac:dyDescent="0.35">
      <c r="A92" s="7">
        <v>45108</v>
      </c>
      <c r="B92" s="7">
        <f t="shared" si="7"/>
        <v>45107</v>
      </c>
      <c r="I92" s="8">
        <f t="shared" si="8"/>
        <v>0</v>
      </c>
      <c r="J92" s="8">
        <f t="shared" si="9"/>
        <v>0</v>
      </c>
      <c r="K92" s="8">
        <f>SUMIFS(His_Operacoes_acoes[Total],His_Operacoes_acoes[Fimmes],Patrimônio!B92,His_Operacoes_acoes[Operação],"JCP")
+ SUMIFS(His_Operacoes_acoes[Total],His_Operacoes_acoes[Fimmes],Patrimônio!B92,His_Operacoes_acoes[Operação],"Divid.")
+ SUMIFS(His_Operacoes_acoes[Total],His_Operacoes_acoes[Fimmes],Patrimônio!B92,His_Operacoes_acoes[Operação],"Bonif.")</f>
        <v>0</v>
      </c>
      <c r="L92" s="8">
        <f>SUMIFS(His_Operacoes_BDRs[Total],His_Operacoes_BDRs[Operação],"Provento",His_Operacoes_BDRs[fimmês],Patrimônio!B92)</f>
        <v>0</v>
      </c>
      <c r="M92" s="8">
        <f>SUMIFS(His_Operacoes_FIIs[Total],His_Operacoes_FIIs[Operação],"Provento",His_Operacoes_FIIs[fimmês],Patrimônio!B92)</f>
        <v>0</v>
      </c>
      <c r="N92" s="8">
        <f t="shared" si="10"/>
        <v>0</v>
      </c>
    </row>
    <row r="93" spans="1:14" x14ac:dyDescent="0.35">
      <c r="A93" s="7">
        <v>45139</v>
      </c>
      <c r="B93" s="7">
        <f t="shared" si="7"/>
        <v>45138</v>
      </c>
      <c r="I93" s="8">
        <f t="shared" si="8"/>
        <v>0</v>
      </c>
      <c r="J93" s="8">
        <f t="shared" si="9"/>
        <v>0</v>
      </c>
      <c r="K93" s="8">
        <f>SUMIFS(His_Operacoes_acoes[Total],His_Operacoes_acoes[Fimmes],Patrimônio!B93,His_Operacoes_acoes[Operação],"JCP")
+ SUMIFS(His_Operacoes_acoes[Total],His_Operacoes_acoes[Fimmes],Patrimônio!B93,His_Operacoes_acoes[Operação],"Divid.")
+ SUMIFS(His_Operacoes_acoes[Total],His_Operacoes_acoes[Fimmes],Patrimônio!B93,His_Operacoes_acoes[Operação],"Bonif.")</f>
        <v>0</v>
      </c>
      <c r="L93" s="8">
        <f>SUMIFS(His_Operacoes_BDRs[Total],His_Operacoes_BDRs[Operação],"Provento",His_Operacoes_BDRs[fimmês],Patrimônio!B93)</f>
        <v>0</v>
      </c>
      <c r="M93" s="8">
        <f>SUMIFS(His_Operacoes_FIIs[Total],His_Operacoes_FIIs[Operação],"Provento",His_Operacoes_FIIs[fimmês],Patrimônio!B93)</f>
        <v>0</v>
      </c>
      <c r="N93" s="8">
        <f t="shared" si="10"/>
        <v>0</v>
      </c>
    </row>
    <row r="94" spans="1:14" x14ac:dyDescent="0.35">
      <c r="A94" s="7">
        <v>45170</v>
      </c>
      <c r="B94" s="7">
        <f t="shared" si="7"/>
        <v>45169</v>
      </c>
      <c r="I94" s="8">
        <f t="shared" si="8"/>
        <v>0</v>
      </c>
      <c r="J94" s="8">
        <f t="shared" si="9"/>
        <v>0</v>
      </c>
      <c r="K94" s="8">
        <f>SUMIFS(His_Operacoes_acoes[Total],His_Operacoes_acoes[Fimmes],Patrimônio!B94,His_Operacoes_acoes[Operação],"JCP")
+ SUMIFS(His_Operacoes_acoes[Total],His_Operacoes_acoes[Fimmes],Patrimônio!B94,His_Operacoes_acoes[Operação],"Divid.")
+ SUMIFS(His_Operacoes_acoes[Total],His_Operacoes_acoes[Fimmes],Patrimônio!B94,His_Operacoes_acoes[Operação],"Bonif.")</f>
        <v>0</v>
      </c>
      <c r="L94" s="8">
        <f>SUMIFS(His_Operacoes_BDRs[Total],His_Operacoes_BDRs[Operação],"Provento",His_Operacoes_BDRs[fimmês],Patrimônio!B94)</f>
        <v>0</v>
      </c>
      <c r="M94" s="8">
        <f>SUMIFS(His_Operacoes_FIIs[Total],His_Operacoes_FIIs[Operação],"Provento",His_Operacoes_FIIs[fimmês],Patrimônio!B94)</f>
        <v>0</v>
      </c>
      <c r="N94" s="8">
        <f t="shared" si="10"/>
        <v>0</v>
      </c>
    </row>
    <row r="95" spans="1:14" x14ac:dyDescent="0.35">
      <c r="A95" s="7">
        <v>45200</v>
      </c>
      <c r="B95" s="7">
        <f t="shared" si="7"/>
        <v>45199</v>
      </c>
      <c r="I95" s="8">
        <f t="shared" si="8"/>
        <v>0</v>
      </c>
      <c r="J95" s="8">
        <f t="shared" si="9"/>
        <v>0</v>
      </c>
      <c r="K95" s="8">
        <f>SUMIFS(His_Operacoes_acoes[Total],His_Operacoes_acoes[Fimmes],Patrimônio!B95,His_Operacoes_acoes[Operação],"JCP")
+ SUMIFS(His_Operacoes_acoes[Total],His_Operacoes_acoes[Fimmes],Patrimônio!B95,His_Operacoes_acoes[Operação],"Divid.")
+ SUMIFS(His_Operacoes_acoes[Total],His_Operacoes_acoes[Fimmes],Patrimônio!B95,His_Operacoes_acoes[Operação],"Bonif.")</f>
        <v>0</v>
      </c>
      <c r="L95" s="8">
        <f>SUMIFS(His_Operacoes_BDRs[Total],His_Operacoes_BDRs[Operação],"Provento",His_Operacoes_BDRs[fimmês],Patrimônio!B95)</f>
        <v>0</v>
      </c>
      <c r="M95" s="8">
        <f>SUMIFS(His_Operacoes_FIIs[Total],His_Operacoes_FIIs[Operação],"Provento",His_Operacoes_FIIs[fimmês],Patrimônio!B95)</f>
        <v>0</v>
      </c>
      <c r="N95" s="8">
        <f t="shared" si="10"/>
        <v>0</v>
      </c>
    </row>
    <row r="96" spans="1:14" x14ac:dyDescent="0.35">
      <c r="A96" s="7">
        <v>45231</v>
      </c>
      <c r="B96" s="7">
        <f t="shared" si="7"/>
        <v>45230</v>
      </c>
      <c r="I96" s="8">
        <f t="shared" si="8"/>
        <v>0</v>
      </c>
      <c r="J96" s="8">
        <f t="shared" si="9"/>
        <v>0</v>
      </c>
      <c r="K96" s="8">
        <f>SUMIFS(His_Operacoes_acoes[Total],His_Operacoes_acoes[Fimmes],Patrimônio!B96,His_Operacoes_acoes[Operação],"JCP")
+ SUMIFS(His_Operacoes_acoes[Total],His_Operacoes_acoes[Fimmes],Patrimônio!B96,His_Operacoes_acoes[Operação],"Divid.")
+ SUMIFS(His_Operacoes_acoes[Total],His_Operacoes_acoes[Fimmes],Patrimônio!B96,His_Operacoes_acoes[Operação],"Bonif.")</f>
        <v>0</v>
      </c>
      <c r="L96" s="8">
        <f>SUMIFS(His_Operacoes_BDRs[Total],His_Operacoes_BDRs[Operação],"Provento",His_Operacoes_BDRs[fimmês],Patrimônio!B96)</f>
        <v>0</v>
      </c>
      <c r="M96" s="8">
        <f>SUMIFS(His_Operacoes_FIIs[Total],His_Operacoes_FIIs[Operação],"Provento",His_Operacoes_FIIs[fimmês],Patrimônio!B96)</f>
        <v>0</v>
      </c>
      <c r="N96" s="8">
        <f t="shared" si="10"/>
        <v>0</v>
      </c>
    </row>
    <row r="97" spans="1:14" x14ac:dyDescent="0.35">
      <c r="A97" s="7">
        <v>45261</v>
      </c>
      <c r="B97" s="7">
        <f t="shared" si="7"/>
        <v>45260</v>
      </c>
      <c r="I97" s="8">
        <f t="shared" si="8"/>
        <v>0</v>
      </c>
      <c r="J97" s="8">
        <f t="shared" si="9"/>
        <v>0</v>
      </c>
      <c r="K97" s="8">
        <f>SUMIFS(His_Operacoes_acoes[Total],His_Operacoes_acoes[Fimmes],Patrimônio!B97,His_Operacoes_acoes[Operação],"JCP")
+ SUMIFS(His_Operacoes_acoes[Total],His_Operacoes_acoes[Fimmes],Patrimônio!B97,His_Operacoes_acoes[Operação],"Divid.")
+ SUMIFS(His_Operacoes_acoes[Total],His_Operacoes_acoes[Fimmes],Patrimônio!B97,His_Operacoes_acoes[Operação],"Bonif.")</f>
        <v>0</v>
      </c>
      <c r="L97" s="8">
        <f>SUMIFS(His_Operacoes_BDRs[Total],His_Operacoes_BDRs[Operação],"Provento",His_Operacoes_BDRs[fimmês],Patrimônio!B97)</f>
        <v>0</v>
      </c>
      <c r="M97" s="8">
        <f>SUMIFS(His_Operacoes_FIIs[Total],His_Operacoes_FIIs[Operação],"Provento",His_Operacoes_FIIs[fimmês],Patrimônio!B97)</f>
        <v>0</v>
      </c>
      <c r="N97" s="8">
        <f t="shared" si="10"/>
        <v>0</v>
      </c>
    </row>
    <row r="98" spans="1:14" x14ac:dyDescent="0.35">
      <c r="A98" s="7">
        <v>45292</v>
      </c>
      <c r="B98" s="7">
        <f t="shared" si="7"/>
        <v>45291</v>
      </c>
      <c r="I98" s="8">
        <f t="shared" si="8"/>
        <v>0</v>
      </c>
      <c r="J98" s="8">
        <f t="shared" si="9"/>
        <v>0</v>
      </c>
      <c r="K98" s="8">
        <f>SUMIFS(His_Operacoes_acoes[Total],His_Operacoes_acoes[Fimmes],Patrimônio!B98,His_Operacoes_acoes[Operação],"JCP")
+ SUMIFS(His_Operacoes_acoes[Total],His_Operacoes_acoes[Fimmes],Patrimônio!B98,His_Operacoes_acoes[Operação],"Divid.")
+ SUMIFS(His_Operacoes_acoes[Total],His_Operacoes_acoes[Fimmes],Patrimônio!B98,His_Operacoes_acoes[Operação],"Bonif.")</f>
        <v>0</v>
      </c>
      <c r="L98" s="8">
        <f>SUMIFS(His_Operacoes_BDRs[Total],His_Operacoes_BDRs[Operação],"Provento",His_Operacoes_BDRs[fimmês],Patrimônio!B98)</f>
        <v>0</v>
      </c>
      <c r="M98" s="8">
        <f>SUMIFS(His_Operacoes_FIIs[Total],His_Operacoes_FIIs[Operação],"Provento",His_Operacoes_FIIs[fimmês],Patrimônio!B98)</f>
        <v>0</v>
      </c>
      <c r="N98" s="8">
        <f t="shared" si="10"/>
        <v>0</v>
      </c>
    </row>
    <row r="99" spans="1:14" x14ac:dyDescent="0.35">
      <c r="A99" s="7">
        <v>45323</v>
      </c>
      <c r="B99" s="7">
        <f t="shared" si="7"/>
        <v>45322</v>
      </c>
      <c r="I99" s="8">
        <f t="shared" si="8"/>
        <v>0</v>
      </c>
      <c r="J99" s="8">
        <f t="shared" si="9"/>
        <v>0</v>
      </c>
      <c r="K99" s="8">
        <f>SUMIFS(His_Operacoes_acoes[Total],His_Operacoes_acoes[Fimmes],Patrimônio!B99,His_Operacoes_acoes[Operação],"JCP")
+ SUMIFS(His_Operacoes_acoes[Total],His_Operacoes_acoes[Fimmes],Patrimônio!B99,His_Operacoes_acoes[Operação],"Divid.")
+ SUMIFS(His_Operacoes_acoes[Total],His_Operacoes_acoes[Fimmes],Patrimônio!B99,His_Operacoes_acoes[Operação],"Bonif.")</f>
        <v>0</v>
      </c>
      <c r="L99" s="8">
        <f>SUMIFS(His_Operacoes_BDRs[Total],His_Operacoes_BDRs[Operação],"Provento",His_Operacoes_BDRs[fimmês],Patrimônio!B99)</f>
        <v>0</v>
      </c>
      <c r="M99" s="8">
        <f>SUMIFS(His_Operacoes_FIIs[Total],His_Operacoes_FIIs[Operação],"Provento",His_Operacoes_FIIs[fimmês],Patrimônio!B99)</f>
        <v>0</v>
      </c>
      <c r="N99" s="8">
        <f t="shared" si="10"/>
        <v>0</v>
      </c>
    </row>
    <row r="100" spans="1:14" x14ac:dyDescent="0.35">
      <c r="A100" s="7">
        <v>45352</v>
      </c>
      <c r="B100" s="7">
        <f t="shared" si="7"/>
        <v>45351</v>
      </c>
      <c r="I100" s="8">
        <f t="shared" si="8"/>
        <v>0</v>
      </c>
      <c r="J100" s="8">
        <f t="shared" si="9"/>
        <v>0</v>
      </c>
      <c r="K100" s="8">
        <f>SUMIFS(His_Operacoes_acoes[Total],His_Operacoes_acoes[Fimmes],Patrimônio!B100,His_Operacoes_acoes[Operação],"JCP")
+ SUMIFS(His_Operacoes_acoes[Total],His_Operacoes_acoes[Fimmes],Patrimônio!B100,His_Operacoes_acoes[Operação],"Divid.")
+ SUMIFS(His_Operacoes_acoes[Total],His_Operacoes_acoes[Fimmes],Patrimônio!B100,His_Operacoes_acoes[Operação],"Bonif.")</f>
        <v>0</v>
      </c>
      <c r="L100" s="8">
        <f>SUMIFS(His_Operacoes_BDRs[Total],His_Operacoes_BDRs[Operação],"Provento",His_Operacoes_BDRs[fimmês],Patrimônio!B100)</f>
        <v>0</v>
      </c>
      <c r="M100" s="8">
        <f>SUMIFS(His_Operacoes_FIIs[Total],His_Operacoes_FIIs[Operação],"Provento",His_Operacoes_FIIs[fimmês],Patrimônio!B100)</f>
        <v>0</v>
      </c>
      <c r="N100" s="8">
        <f t="shared" si="10"/>
        <v>0</v>
      </c>
    </row>
    <row r="101" spans="1:14" x14ac:dyDescent="0.35">
      <c r="A101" s="7">
        <v>45383</v>
      </c>
      <c r="B101" s="7">
        <f t="shared" si="7"/>
        <v>45382</v>
      </c>
      <c r="I101" s="8">
        <f t="shared" si="8"/>
        <v>0</v>
      </c>
      <c r="J101" s="8">
        <f t="shared" si="9"/>
        <v>0</v>
      </c>
      <c r="K101" s="8">
        <f>SUMIFS(His_Operacoes_acoes[Total],His_Operacoes_acoes[Fimmes],Patrimônio!B101,His_Operacoes_acoes[Operação],"JCP")
+ SUMIFS(His_Operacoes_acoes[Total],His_Operacoes_acoes[Fimmes],Patrimônio!B101,His_Operacoes_acoes[Operação],"Divid.")
+ SUMIFS(His_Operacoes_acoes[Total],His_Operacoes_acoes[Fimmes],Patrimônio!B101,His_Operacoes_acoes[Operação],"Bonif.")</f>
        <v>0</v>
      </c>
      <c r="L101" s="8">
        <f>SUMIFS(His_Operacoes_BDRs[Total],His_Operacoes_BDRs[Operação],"Provento",His_Operacoes_BDRs[fimmês],Patrimônio!B101)</f>
        <v>0</v>
      </c>
      <c r="M101" s="8">
        <f>SUMIFS(His_Operacoes_FIIs[Total],His_Operacoes_FIIs[Operação],"Provento",His_Operacoes_FIIs[fimmês],Patrimônio!B101)</f>
        <v>0</v>
      </c>
      <c r="N101" s="8">
        <f t="shared" si="10"/>
        <v>0</v>
      </c>
    </row>
    <row r="102" spans="1:14" x14ac:dyDescent="0.35">
      <c r="A102" s="7">
        <v>45413</v>
      </c>
      <c r="B102" s="7">
        <f t="shared" si="7"/>
        <v>45412</v>
      </c>
      <c r="I102" s="8">
        <f t="shared" si="8"/>
        <v>0</v>
      </c>
      <c r="J102" s="8">
        <f t="shared" si="9"/>
        <v>0</v>
      </c>
      <c r="K102" s="8">
        <f>SUMIFS(His_Operacoes_acoes[Total],His_Operacoes_acoes[Fimmes],Patrimônio!B102,His_Operacoes_acoes[Operação],"JCP")
+ SUMIFS(His_Operacoes_acoes[Total],His_Operacoes_acoes[Fimmes],Patrimônio!B102,His_Operacoes_acoes[Operação],"Divid.")
+ SUMIFS(His_Operacoes_acoes[Total],His_Operacoes_acoes[Fimmes],Patrimônio!B102,His_Operacoes_acoes[Operação],"Bonif.")</f>
        <v>0</v>
      </c>
      <c r="L102" s="8">
        <f>SUMIFS(His_Operacoes_BDRs[Total],His_Operacoes_BDRs[Operação],"Provento",His_Operacoes_BDRs[fimmês],Patrimônio!B102)</f>
        <v>0</v>
      </c>
      <c r="M102" s="8">
        <f>SUMIFS(His_Operacoes_FIIs[Total],His_Operacoes_FIIs[Operação],"Provento",His_Operacoes_FIIs[fimmês],Patrimônio!B102)</f>
        <v>0</v>
      </c>
      <c r="N102" s="8">
        <f t="shared" si="10"/>
        <v>0</v>
      </c>
    </row>
    <row r="103" spans="1:14" x14ac:dyDescent="0.35">
      <c r="A103" s="7">
        <v>45444</v>
      </c>
      <c r="B103" s="7">
        <f t="shared" si="7"/>
        <v>45443</v>
      </c>
      <c r="I103" s="8">
        <f t="shared" si="8"/>
        <v>0</v>
      </c>
      <c r="J103" s="8">
        <f t="shared" si="9"/>
        <v>0</v>
      </c>
      <c r="K103" s="8">
        <f>SUMIFS(His_Operacoes_acoes[Total],His_Operacoes_acoes[Fimmes],Patrimônio!B103,His_Operacoes_acoes[Operação],"JCP")
+ SUMIFS(His_Operacoes_acoes[Total],His_Operacoes_acoes[Fimmes],Patrimônio!B103,His_Operacoes_acoes[Operação],"Divid.")
+ SUMIFS(His_Operacoes_acoes[Total],His_Operacoes_acoes[Fimmes],Patrimônio!B103,His_Operacoes_acoes[Operação],"Bonif.")</f>
        <v>0</v>
      </c>
      <c r="L103" s="8">
        <f>SUMIFS(His_Operacoes_BDRs[Total],His_Operacoes_BDRs[Operação],"Provento",His_Operacoes_BDRs[fimmês],Patrimônio!B103)</f>
        <v>0</v>
      </c>
      <c r="M103" s="8">
        <f>SUMIFS(His_Operacoes_FIIs[Total],His_Operacoes_FIIs[Operação],"Provento",His_Operacoes_FIIs[fimmês],Patrimônio!B103)</f>
        <v>0</v>
      </c>
      <c r="N103" s="8">
        <f t="shared" si="10"/>
        <v>0</v>
      </c>
    </row>
    <row r="104" spans="1:14" x14ac:dyDescent="0.35">
      <c r="A104" s="7">
        <v>45474</v>
      </c>
      <c r="B104" s="7">
        <f t="shared" si="7"/>
        <v>45473</v>
      </c>
      <c r="I104" s="8">
        <f t="shared" si="8"/>
        <v>0</v>
      </c>
      <c r="J104" s="8">
        <f t="shared" si="9"/>
        <v>0</v>
      </c>
      <c r="K104" s="8">
        <f>SUMIFS(His_Operacoes_acoes[Total],His_Operacoes_acoes[Fimmes],Patrimônio!B104,His_Operacoes_acoes[Operação],"JCP")
+ SUMIFS(His_Operacoes_acoes[Total],His_Operacoes_acoes[Fimmes],Patrimônio!B104,His_Operacoes_acoes[Operação],"Divid.")
+ SUMIFS(His_Operacoes_acoes[Total],His_Operacoes_acoes[Fimmes],Patrimônio!B104,His_Operacoes_acoes[Operação],"Bonif.")</f>
        <v>0</v>
      </c>
      <c r="L104" s="8">
        <f>SUMIFS(His_Operacoes_BDRs[Total],His_Operacoes_BDRs[Operação],"Provento",His_Operacoes_BDRs[fimmês],Patrimônio!B104)</f>
        <v>0</v>
      </c>
      <c r="M104" s="8">
        <f>SUMIFS(His_Operacoes_FIIs[Total],His_Operacoes_FIIs[Operação],"Provento",His_Operacoes_FIIs[fimmês],Patrimônio!B104)</f>
        <v>0</v>
      </c>
      <c r="N104" s="8">
        <f t="shared" si="10"/>
        <v>0</v>
      </c>
    </row>
    <row r="105" spans="1:14" x14ac:dyDescent="0.35">
      <c r="A105" s="7">
        <v>45505</v>
      </c>
      <c r="B105" s="7">
        <f t="shared" si="7"/>
        <v>45504</v>
      </c>
      <c r="I105" s="8">
        <f t="shared" si="8"/>
        <v>0</v>
      </c>
      <c r="J105" s="8">
        <f t="shared" si="9"/>
        <v>0</v>
      </c>
      <c r="K105" s="8">
        <f>SUMIFS(His_Operacoes_acoes[Total],His_Operacoes_acoes[Fimmes],Patrimônio!B105,His_Operacoes_acoes[Operação],"JCP")
+ SUMIFS(His_Operacoes_acoes[Total],His_Operacoes_acoes[Fimmes],Patrimônio!B105,His_Operacoes_acoes[Operação],"Divid.")
+ SUMIFS(His_Operacoes_acoes[Total],His_Operacoes_acoes[Fimmes],Patrimônio!B105,His_Operacoes_acoes[Operação],"Bonif.")</f>
        <v>0</v>
      </c>
      <c r="L105" s="8">
        <f>SUMIFS(His_Operacoes_BDRs[Total],His_Operacoes_BDRs[Operação],"Provento",His_Operacoes_BDRs[fimmês],Patrimônio!B105)</f>
        <v>0</v>
      </c>
      <c r="M105" s="8">
        <f>SUMIFS(His_Operacoes_FIIs[Total],His_Operacoes_FIIs[Operação],"Provento",His_Operacoes_FIIs[fimmês],Patrimônio!B105)</f>
        <v>0</v>
      </c>
      <c r="N105" s="8">
        <f t="shared" si="10"/>
        <v>0</v>
      </c>
    </row>
    <row r="106" spans="1:14" x14ac:dyDescent="0.35">
      <c r="A106" s="7">
        <v>45536</v>
      </c>
      <c r="B106" s="7">
        <f t="shared" si="7"/>
        <v>45535</v>
      </c>
      <c r="I106" s="8">
        <f t="shared" si="8"/>
        <v>0</v>
      </c>
      <c r="J106" s="8">
        <f t="shared" si="9"/>
        <v>0</v>
      </c>
      <c r="K106" s="8">
        <f>SUMIFS(His_Operacoes_acoes[Total],His_Operacoes_acoes[Fimmes],Patrimônio!B106,His_Operacoes_acoes[Operação],"JCP")
+ SUMIFS(His_Operacoes_acoes[Total],His_Operacoes_acoes[Fimmes],Patrimônio!B106,His_Operacoes_acoes[Operação],"Divid.")
+ SUMIFS(His_Operacoes_acoes[Total],His_Operacoes_acoes[Fimmes],Patrimônio!B106,His_Operacoes_acoes[Operação],"Bonif.")</f>
        <v>0</v>
      </c>
      <c r="L106" s="8">
        <f>SUMIFS(His_Operacoes_BDRs[Total],His_Operacoes_BDRs[Operação],"Provento",His_Operacoes_BDRs[fimmês],Patrimônio!B106)</f>
        <v>0</v>
      </c>
      <c r="M106" s="8">
        <f>SUMIFS(His_Operacoes_FIIs[Total],His_Operacoes_FIIs[Operação],"Provento",His_Operacoes_FIIs[fimmês],Patrimônio!B106)</f>
        <v>0</v>
      </c>
      <c r="N106" s="8">
        <f t="shared" si="10"/>
        <v>0</v>
      </c>
    </row>
    <row r="107" spans="1:14" x14ac:dyDescent="0.35">
      <c r="A107" s="7">
        <v>45566</v>
      </c>
      <c r="B107" s="7">
        <f t="shared" si="7"/>
        <v>45565</v>
      </c>
      <c r="I107" s="8">
        <f t="shared" si="8"/>
        <v>0</v>
      </c>
      <c r="J107" s="8">
        <f t="shared" si="9"/>
        <v>0</v>
      </c>
      <c r="K107" s="8">
        <f>SUMIFS(His_Operacoes_acoes[Total],His_Operacoes_acoes[Fimmes],Patrimônio!B107,His_Operacoes_acoes[Operação],"JCP")
+ SUMIFS(His_Operacoes_acoes[Total],His_Operacoes_acoes[Fimmes],Patrimônio!B107,His_Operacoes_acoes[Operação],"Divid.")
+ SUMIFS(His_Operacoes_acoes[Total],His_Operacoes_acoes[Fimmes],Patrimônio!B107,His_Operacoes_acoes[Operação],"Bonif.")</f>
        <v>0</v>
      </c>
      <c r="L107" s="8">
        <f>SUMIFS(His_Operacoes_BDRs[Total],His_Operacoes_BDRs[Operação],"Provento",His_Operacoes_BDRs[fimmês],Patrimônio!B107)</f>
        <v>0</v>
      </c>
      <c r="M107" s="8">
        <f>SUMIFS(His_Operacoes_FIIs[Total],His_Operacoes_FIIs[Operação],"Provento",His_Operacoes_FIIs[fimmês],Patrimônio!B107)</f>
        <v>0</v>
      </c>
      <c r="N107" s="8">
        <f t="shared" si="10"/>
        <v>0</v>
      </c>
    </row>
    <row r="108" spans="1:14" x14ac:dyDescent="0.35">
      <c r="A108" s="7">
        <v>45597</v>
      </c>
      <c r="B108" s="7">
        <f t="shared" si="7"/>
        <v>45596</v>
      </c>
      <c r="I108" s="8">
        <f t="shared" si="8"/>
        <v>0</v>
      </c>
      <c r="J108" s="8">
        <f t="shared" si="9"/>
        <v>0</v>
      </c>
      <c r="K108" s="8">
        <f>SUMIFS(His_Operacoes_acoes[Total],His_Operacoes_acoes[Fimmes],Patrimônio!B108,His_Operacoes_acoes[Operação],"JCP")
+ SUMIFS(His_Operacoes_acoes[Total],His_Operacoes_acoes[Fimmes],Patrimônio!B108,His_Operacoes_acoes[Operação],"Divid.")
+ SUMIFS(His_Operacoes_acoes[Total],His_Operacoes_acoes[Fimmes],Patrimônio!B108,His_Operacoes_acoes[Operação],"Bonif.")</f>
        <v>0</v>
      </c>
      <c r="L108" s="8">
        <f>SUMIFS(His_Operacoes_BDRs[Total],His_Operacoes_BDRs[Operação],"Provento",His_Operacoes_BDRs[fimmês],Patrimônio!B108)</f>
        <v>0</v>
      </c>
      <c r="M108" s="8">
        <f>SUMIFS(His_Operacoes_FIIs[Total],His_Operacoes_FIIs[Operação],"Provento",His_Operacoes_FIIs[fimmês],Patrimônio!B108)</f>
        <v>0</v>
      </c>
      <c r="N108" s="8">
        <f t="shared" si="10"/>
        <v>0</v>
      </c>
    </row>
    <row r="109" spans="1:14" x14ac:dyDescent="0.35">
      <c r="A109" s="7">
        <v>45627</v>
      </c>
      <c r="B109" s="7">
        <f t="shared" si="7"/>
        <v>45626</v>
      </c>
      <c r="I109" s="8">
        <f t="shared" si="8"/>
        <v>0</v>
      </c>
      <c r="J109" s="8">
        <f t="shared" si="9"/>
        <v>0</v>
      </c>
      <c r="K109" s="8">
        <f>SUMIFS(His_Operacoes_acoes[Total],His_Operacoes_acoes[Fimmes],Patrimônio!B109,His_Operacoes_acoes[Operação],"JCP")
+ SUMIFS(His_Operacoes_acoes[Total],His_Operacoes_acoes[Fimmes],Patrimônio!B109,His_Operacoes_acoes[Operação],"Divid.")
+ SUMIFS(His_Operacoes_acoes[Total],His_Operacoes_acoes[Fimmes],Patrimônio!B109,His_Operacoes_acoes[Operação],"Bonif.")</f>
        <v>0</v>
      </c>
      <c r="L109" s="8">
        <f>SUMIFS(His_Operacoes_BDRs[Total],His_Operacoes_BDRs[Operação],"Provento",His_Operacoes_BDRs[fimmês],Patrimônio!B109)</f>
        <v>0</v>
      </c>
      <c r="M109" s="8">
        <f>SUMIFS(His_Operacoes_FIIs[Total],His_Operacoes_FIIs[Operação],"Provento",His_Operacoes_FIIs[fimmês],Patrimônio!B109)</f>
        <v>0</v>
      </c>
      <c r="N109" s="8">
        <f t="shared" si="10"/>
        <v>0</v>
      </c>
    </row>
    <row r="110" spans="1:14" x14ac:dyDescent="0.35">
      <c r="A110" s="7">
        <v>45658</v>
      </c>
      <c r="B110" s="7">
        <f t="shared" si="7"/>
        <v>45657</v>
      </c>
      <c r="I110" s="8">
        <f t="shared" si="8"/>
        <v>0</v>
      </c>
      <c r="J110" s="8">
        <f t="shared" si="9"/>
        <v>0</v>
      </c>
      <c r="K110" s="8">
        <f>SUMIFS(His_Operacoes_acoes[Total],His_Operacoes_acoes[Fimmes],Patrimônio!B110,His_Operacoes_acoes[Operação],"JCP")
+ SUMIFS(His_Operacoes_acoes[Total],His_Operacoes_acoes[Fimmes],Patrimônio!B110,His_Operacoes_acoes[Operação],"Divid.")
+ SUMIFS(His_Operacoes_acoes[Total],His_Operacoes_acoes[Fimmes],Patrimônio!B110,His_Operacoes_acoes[Operação],"Bonif.")</f>
        <v>0</v>
      </c>
      <c r="L110" s="8">
        <f>SUMIFS(His_Operacoes_BDRs[Total],His_Operacoes_BDRs[Operação],"Provento",His_Operacoes_BDRs[fimmês],Patrimônio!B110)</f>
        <v>0</v>
      </c>
      <c r="M110" s="8">
        <f>SUMIFS(His_Operacoes_FIIs[Total],His_Operacoes_FIIs[Operação],"Provento",His_Operacoes_FIIs[fimmês],Patrimônio!B110)</f>
        <v>0</v>
      </c>
      <c r="N110" s="8">
        <f t="shared" si="10"/>
        <v>0</v>
      </c>
    </row>
    <row r="111" spans="1:14" x14ac:dyDescent="0.35">
      <c r="A111" s="7">
        <v>45689</v>
      </c>
      <c r="B111" s="7">
        <f t="shared" si="7"/>
        <v>45688</v>
      </c>
      <c r="I111" s="8">
        <f t="shared" si="8"/>
        <v>0</v>
      </c>
      <c r="J111" s="8">
        <f t="shared" si="9"/>
        <v>0</v>
      </c>
      <c r="K111" s="8">
        <f>SUMIFS(His_Operacoes_acoes[Total],His_Operacoes_acoes[Fimmes],Patrimônio!B111,His_Operacoes_acoes[Operação],"JCP")
+ SUMIFS(His_Operacoes_acoes[Total],His_Operacoes_acoes[Fimmes],Patrimônio!B111,His_Operacoes_acoes[Operação],"Divid.")
+ SUMIFS(His_Operacoes_acoes[Total],His_Operacoes_acoes[Fimmes],Patrimônio!B111,His_Operacoes_acoes[Operação],"Bonif.")</f>
        <v>0</v>
      </c>
      <c r="L111" s="8">
        <f>SUMIFS(His_Operacoes_BDRs[Total],His_Operacoes_BDRs[Operação],"Provento",His_Operacoes_BDRs[fimmês],Patrimônio!B111)</f>
        <v>0</v>
      </c>
      <c r="M111" s="8">
        <f>SUMIFS(His_Operacoes_FIIs[Total],His_Operacoes_FIIs[Operação],"Provento",His_Operacoes_FIIs[fimmês],Patrimônio!B111)</f>
        <v>0</v>
      </c>
      <c r="N111" s="8">
        <f t="shared" si="10"/>
        <v>0</v>
      </c>
    </row>
    <row r="112" spans="1:14" x14ac:dyDescent="0.35">
      <c r="A112" s="7">
        <v>45717</v>
      </c>
      <c r="B112" s="7">
        <f t="shared" si="7"/>
        <v>45716</v>
      </c>
      <c r="I112" s="8">
        <f t="shared" si="8"/>
        <v>0</v>
      </c>
      <c r="J112" s="8">
        <f t="shared" si="9"/>
        <v>0</v>
      </c>
      <c r="K112" s="8">
        <f>SUMIFS(His_Operacoes_acoes[Total],His_Operacoes_acoes[Fimmes],Patrimônio!B112,His_Operacoes_acoes[Operação],"JCP")
+ SUMIFS(His_Operacoes_acoes[Total],His_Operacoes_acoes[Fimmes],Patrimônio!B112,His_Operacoes_acoes[Operação],"Divid.")
+ SUMIFS(His_Operacoes_acoes[Total],His_Operacoes_acoes[Fimmes],Patrimônio!B112,His_Operacoes_acoes[Operação],"Bonif.")</f>
        <v>0</v>
      </c>
      <c r="L112" s="8">
        <f>SUMIFS(His_Operacoes_BDRs[Total],His_Operacoes_BDRs[Operação],"Provento",His_Operacoes_BDRs[fimmês],Patrimônio!B112)</f>
        <v>0</v>
      </c>
      <c r="M112" s="8">
        <f>SUMIFS(His_Operacoes_FIIs[Total],His_Operacoes_FIIs[Operação],"Provento",His_Operacoes_FIIs[fimmês],Patrimônio!B112)</f>
        <v>0</v>
      </c>
      <c r="N112" s="8">
        <f t="shared" si="10"/>
        <v>0</v>
      </c>
    </row>
    <row r="113" spans="1:14" x14ac:dyDescent="0.35">
      <c r="A113" s="7">
        <v>45748</v>
      </c>
      <c r="B113" s="7">
        <f t="shared" si="7"/>
        <v>45747</v>
      </c>
      <c r="I113" s="8">
        <f t="shared" si="8"/>
        <v>0</v>
      </c>
      <c r="J113" s="8">
        <f t="shared" si="9"/>
        <v>0</v>
      </c>
      <c r="K113" s="8">
        <f>SUMIFS(His_Operacoes_acoes[Total],His_Operacoes_acoes[Fimmes],Patrimônio!B113,His_Operacoes_acoes[Operação],"JCP")
+ SUMIFS(His_Operacoes_acoes[Total],His_Operacoes_acoes[Fimmes],Patrimônio!B113,His_Operacoes_acoes[Operação],"Divid.")
+ SUMIFS(His_Operacoes_acoes[Total],His_Operacoes_acoes[Fimmes],Patrimônio!B113,His_Operacoes_acoes[Operação],"Bonif.")</f>
        <v>0</v>
      </c>
      <c r="L113" s="8">
        <f>SUMIFS(His_Operacoes_BDRs[Total],His_Operacoes_BDRs[Operação],"Provento",His_Operacoes_BDRs[fimmês],Patrimônio!B113)</f>
        <v>0</v>
      </c>
      <c r="M113" s="8">
        <f>SUMIFS(His_Operacoes_FIIs[Total],His_Operacoes_FIIs[Operação],"Provento",His_Operacoes_FIIs[fimmês],Patrimônio!B113)</f>
        <v>0</v>
      </c>
      <c r="N113" s="8">
        <f t="shared" si="10"/>
        <v>0</v>
      </c>
    </row>
    <row r="114" spans="1:14" x14ac:dyDescent="0.35">
      <c r="A114" s="7">
        <v>45778</v>
      </c>
      <c r="B114" s="7">
        <f t="shared" si="7"/>
        <v>45777</v>
      </c>
      <c r="I114" s="8">
        <f t="shared" si="8"/>
        <v>0</v>
      </c>
      <c r="J114" s="8">
        <f t="shared" si="9"/>
        <v>0</v>
      </c>
      <c r="K114" s="8">
        <f>SUMIFS(His_Operacoes_acoes[Total],His_Operacoes_acoes[Fimmes],Patrimônio!B114,His_Operacoes_acoes[Operação],"JCP")
+ SUMIFS(His_Operacoes_acoes[Total],His_Operacoes_acoes[Fimmes],Patrimônio!B114,His_Operacoes_acoes[Operação],"Divid.")
+ SUMIFS(His_Operacoes_acoes[Total],His_Operacoes_acoes[Fimmes],Patrimônio!B114,His_Operacoes_acoes[Operação],"Bonif.")</f>
        <v>0</v>
      </c>
      <c r="L114" s="8">
        <f>SUMIFS(His_Operacoes_BDRs[Total],His_Operacoes_BDRs[Operação],"Provento",His_Operacoes_BDRs[fimmês],Patrimônio!B114)</f>
        <v>0</v>
      </c>
      <c r="M114" s="8">
        <f>SUMIFS(His_Operacoes_FIIs[Total],His_Operacoes_FIIs[Operação],"Provento",His_Operacoes_FIIs[fimmês],Patrimônio!B114)</f>
        <v>0</v>
      </c>
      <c r="N114" s="8">
        <f t="shared" si="10"/>
        <v>0</v>
      </c>
    </row>
    <row r="115" spans="1:14" x14ac:dyDescent="0.35">
      <c r="A115" s="7">
        <v>45809</v>
      </c>
      <c r="B115" s="7">
        <f t="shared" si="7"/>
        <v>45808</v>
      </c>
      <c r="I115" s="8">
        <f t="shared" si="8"/>
        <v>0</v>
      </c>
      <c r="J115" s="8">
        <f t="shared" si="9"/>
        <v>0</v>
      </c>
      <c r="K115" s="8">
        <f>SUMIFS(His_Operacoes_acoes[Total],His_Operacoes_acoes[Fimmes],Patrimônio!B115,His_Operacoes_acoes[Operação],"JCP")
+ SUMIFS(His_Operacoes_acoes[Total],His_Operacoes_acoes[Fimmes],Patrimônio!B115,His_Operacoes_acoes[Operação],"Divid.")
+ SUMIFS(His_Operacoes_acoes[Total],His_Operacoes_acoes[Fimmes],Patrimônio!B115,His_Operacoes_acoes[Operação],"Bonif.")</f>
        <v>0</v>
      </c>
      <c r="L115" s="8">
        <f>SUMIFS(His_Operacoes_BDRs[Total],His_Operacoes_BDRs[Operação],"Provento",His_Operacoes_BDRs[fimmês],Patrimônio!B115)</f>
        <v>0</v>
      </c>
      <c r="M115" s="8">
        <f>SUMIFS(His_Operacoes_FIIs[Total],His_Operacoes_FIIs[Operação],"Provento",His_Operacoes_FIIs[fimmês],Patrimônio!B115)</f>
        <v>0</v>
      </c>
      <c r="N115" s="8">
        <f t="shared" si="10"/>
        <v>0</v>
      </c>
    </row>
    <row r="116" spans="1:14" x14ac:dyDescent="0.35">
      <c r="A116" s="7">
        <v>45839</v>
      </c>
      <c r="B116" s="7">
        <f t="shared" si="7"/>
        <v>45838</v>
      </c>
      <c r="I116" s="8">
        <f t="shared" si="8"/>
        <v>0</v>
      </c>
      <c r="J116" s="8">
        <f t="shared" si="9"/>
        <v>0</v>
      </c>
      <c r="K116" s="8">
        <f>SUMIFS(His_Operacoes_acoes[Total],His_Operacoes_acoes[Fimmes],Patrimônio!B116,His_Operacoes_acoes[Operação],"JCP")
+ SUMIFS(His_Operacoes_acoes[Total],His_Operacoes_acoes[Fimmes],Patrimônio!B116,His_Operacoes_acoes[Operação],"Divid.")
+ SUMIFS(His_Operacoes_acoes[Total],His_Operacoes_acoes[Fimmes],Patrimônio!B116,His_Operacoes_acoes[Operação],"Bonif.")</f>
        <v>0</v>
      </c>
      <c r="L116" s="8">
        <f>SUMIFS(His_Operacoes_BDRs[Total],His_Operacoes_BDRs[Operação],"Provento",His_Operacoes_BDRs[fimmês],Patrimônio!B116)</f>
        <v>0</v>
      </c>
      <c r="M116" s="8">
        <f>SUMIFS(His_Operacoes_FIIs[Total],His_Operacoes_FIIs[Operação],"Provento",His_Operacoes_FIIs[fimmês],Patrimônio!B116)</f>
        <v>0</v>
      </c>
      <c r="N116" s="8">
        <f t="shared" si="10"/>
        <v>0</v>
      </c>
    </row>
    <row r="117" spans="1:14" x14ac:dyDescent="0.35">
      <c r="A117" s="7">
        <v>45870</v>
      </c>
      <c r="B117" s="7">
        <f t="shared" si="7"/>
        <v>45869</v>
      </c>
      <c r="I117" s="8">
        <f t="shared" si="8"/>
        <v>0</v>
      </c>
      <c r="J117" s="8">
        <f t="shared" si="9"/>
        <v>0</v>
      </c>
      <c r="K117" s="8">
        <f>SUMIFS(His_Operacoes_acoes[Total],His_Operacoes_acoes[Fimmes],Patrimônio!B117,His_Operacoes_acoes[Operação],"JCP")
+ SUMIFS(His_Operacoes_acoes[Total],His_Operacoes_acoes[Fimmes],Patrimônio!B117,His_Operacoes_acoes[Operação],"Divid.")
+ SUMIFS(His_Operacoes_acoes[Total],His_Operacoes_acoes[Fimmes],Patrimônio!B117,His_Operacoes_acoes[Operação],"Bonif.")</f>
        <v>0</v>
      </c>
      <c r="L117" s="8">
        <f>SUMIFS(His_Operacoes_BDRs[Total],His_Operacoes_BDRs[Operação],"Provento",His_Operacoes_BDRs[fimmês],Patrimônio!B117)</f>
        <v>0</v>
      </c>
      <c r="M117" s="8">
        <f>SUMIFS(His_Operacoes_FIIs[Total],His_Operacoes_FIIs[Operação],"Provento",His_Operacoes_FIIs[fimmês],Patrimônio!B117)</f>
        <v>0</v>
      </c>
      <c r="N117" s="8">
        <f t="shared" si="10"/>
        <v>0</v>
      </c>
    </row>
    <row r="118" spans="1:14" x14ac:dyDescent="0.35">
      <c r="A118" s="7">
        <v>45901</v>
      </c>
      <c r="B118" s="7">
        <f t="shared" si="7"/>
        <v>45900</v>
      </c>
      <c r="I118" s="8">
        <f t="shared" si="8"/>
        <v>0</v>
      </c>
      <c r="J118" s="8">
        <f t="shared" si="9"/>
        <v>0</v>
      </c>
      <c r="K118" s="8">
        <f>SUMIFS(His_Operacoes_acoes[Total],His_Operacoes_acoes[Fimmes],Patrimônio!B118,His_Operacoes_acoes[Operação],"JCP")
+ SUMIFS(His_Operacoes_acoes[Total],His_Operacoes_acoes[Fimmes],Patrimônio!B118,His_Operacoes_acoes[Operação],"Divid.")
+ SUMIFS(His_Operacoes_acoes[Total],His_Operacoes_acoes[Fimmes],Patrimônio!B118,His_Operacoes_acoes[Operação],"Bonif.")</f>
        <v>0</v>
      </c>
      <c r="L118" s="8">
        <f>SUMIFS(His_Operacoes_BDRs[Total],His_Operacoes_BDRs[Operação],"Provento",His_Operacoes_BDRs[fimmês],Patrimônio!B118)</f>
        <v>0</v>
      </c>
      <c r="M118" s="8">
        <f>SUMIFS(His_Operacoes_FIIs[Total],His_Operacoes_FIIs[Operação],"Provento",His_Operacoes_FIIs[fimmês],Patrimônio!B118)</f>
        <v>0</v>
      </c>
      <c r="N118" s="8">
        <f t="shared" si="10"/>
        <v>0</v>
      </c>
    </row>
    <row r="119" spans="1:14" x14ac:dyDescent="0.35">
      <c r="A119" s="7">
        <v>45931</v>
      </c>
      <c r="B119" s="7">
        <f t="shared" si="7"/>
        <v>45930</v>
      </c>
      <c r="I119" s="8">
        <f t="shared" si="8"/>
        <v>0</v>
      </c>
      <c r="J119" s="8">
        <f t="shared" si="9"/>
        <v>0</v>
      </c>
      <c r="K119" s="8">
        <f>SUMIFS(His_Operacoes_acoes[Total],His_Operacoes_acoes[Fimmes],Patrimônio!B119,His_Operacoes_acoes[Operação],"JCP")
+ SUMIFS(His_Operacoes_acoes[Total],His_Operacoes_acoes[Fimmes],Patrimônio!B119,His_Operacoes_acoes[Operação],"Divid.")
+ SUMIFS(His_Operacoes_acoes[Total],His_Operacoes_acoes[Fimmes],Patrimônio!B119,His_Operacoes_acoes[Operação],"Bonif.")</f>
        <v>0</v>
      </c>
      <c r="L119" s="8">
        <f>SUMIFS(His_Operacoes_BDRs[Total],His_Operacoes_BDRs[Operação],"Provento",His_Operacoes_BDRs[fimmês],Patrimônio!B119)</f>
        <v>0</v>
      </c>
      <c r="M119" s="8">
        <f>SUMIFS(His_Operacoes_FIIs[Total],His_Operacoes_FIIs[Operação],"Provento",His_Operacoes_FIIs[fimmês],Patrimônio!B119)</f>
        <v>0</v>
      </c>
      <c r="N119" s="8">
        <f t="shared" si="10"/>
        <v>0</v>
      </c>
    </row>
    <row r="120" spans="1:14" x14ac:dyDescent="0.35">
      <c r="A120" s="7">
        <v>45962</v>
      </c>
      <c r="B120" s="7">
        <f t="shared" si="7"/>
        <v>45961</v>
      </c>
      <c r="I120" s="8">
        <f t="shared" si="8"/>
        <v>0</v>
      </c>
      <c r="J120" s="8">
        <f t="shared" si="9"/>
        <v>0</v>
      </c>
      <c r="K120" s="8">
        <f>SUMIFS(His_Operacoes_acoes[Total],His_Operacoes_acoes[Fimmes],Patrimônio!B120,His_Operacoes_acoes[Operação],"JCP")
+ SUMIFS(His_Operacoes_acoes[Total],His_Operacoes_acoes[Fimmes],Patrimônio!B120,His_Operacoes_acoes[Operação],"Divid.")
+ SUMIFS(His_Operacoes_acoes[Total],His_Operacoes_acoes[Fimmes],Patrimônio!B120,His_Operacoes_acoes[Operação],"Bonif.")</f>
        <v>0</v>
      </c>
      <c r="L120" s="8">
        <f>SUMIFS(His_Operacoes_BDRs[Total],His_Operacoes_BDRs[Operação],"Provento",His_Operacoes_BDRs[fimmês],Patrimônio!B120)</f>
        <v>0</v>
      </c>
      <c r="M120" s="8">
        <f>SUMIFS(His_Operacoes_FIIs[Total],His_Operacoes_FIIs[Operação],"Provento",His_Operacoes_FIIs[fimmês],Patrimônio!B120)</f>
        <v>0</v>
      </c>
      <c r="N120" s="8">
        <f t="shared" si="10"/>
        <v>0</v>
      </c>
    </row>
    <row r="121" spans="1:14" x14ac:dyDescent="0.35">
      <c r="A121" s="7">
        <v>45992</v>
      </c>
      <c r="B121" s="7">
        <f t="shared" si="7"/>
        <v>45991</v>
      </c>
      <c r="I121" s="8">
        <f t="shared" si="8"/>
        <v>0</v>
      </c>
      <c r="J121" s="8">
        <f t="shared" si="9"/>
        <v>0</v>
      </c>
      <c r="K121" s="8">
        <f>SUMIFS(His_Operacoes_acoes[Total],His_Operacoes_acoes[Fimmes],Patrimônio!B121,His_Operacoes_acoes[Operação],"JCP")
+ SUMIFS(His_Operacoes_acoes[Total],His_Operacoes_acoes[Fimmes],Patrimônio!B121,His_Operacoes_acoes[Operação],"Divid.")
+ SUMIFS(His_Operacoes_acoes[Total],His_Operacoes_acoes[Fimmes],Patrimônio!B121,His_Operacoes_acoes[Operação],"Bonif.")</f>
        <v>0</v>
      </c>
      <c r="L121" s="8">
        <f>SUMIFS(His_Operacoes_BDRs[Total],His_Operacoes_BDRs[Operação],"Provento",His_Operacoes_BDRs[fimmês],Patrimônio!B121)</f>
        <v>0</v>
      </c>
      <c r="M121" s="8">
        <f>SUMIFS(His_Operacoes_FIIs[Total],His_Operacoes_FIIs[Operação],"Provento",His_Operacoes_FIIs[fimmês],Patrimônio!B121)</f>
        <v>0</v>
      </c>
      <c r="N121" s="8">
        <f t="shared" si="10"/>
        <v>0</v>
      </c>
    </row>
    <row r="122" spans="1:14" x14ac:dyDescent="0.35">
      <c r="A122" s="7">
        <v>46023</v>
      </c>
      <c r="B122" s="7">
        <f t="shared" si="7"/>
        <v>46022</v>
      </c>
      <c r="I122" s="8">
        <f t="shared" si="8"/>
        <v>0</v>
      </c>
      <c r="J122" s="8">
        <f t="shared" si="9"/>
        <v>0</v>
      </c>
      <c r="K122" s="8">
        <f>SUMIFS(His_Operacoes_acoes[Total],His_Operacoes_acoes[Fimmes],Patrimônio!B122,His_Operacoes_acoes[Operação],"JCP")
+ SUMIFS(His_Operacoes_acoes[Total],His_Operacoes_acoes[Fimmes],Patrimônio!B122,His_Operacoes_acoes[Operação],"Divid.")
+ SUMIFS(His_Operacoes_acoes[Total],His_Operacoes_acoes[Fimmes],Patrimônio!B122,His_Operacoes_acoes[Operação],"Bonif.")</f>
        <v>0</v>
      </c>
      <c r="L122" s="8">
        <f>SUMIFS(His_Operacoes_BDRs[Total],His_Operacoes_BDRs[Operação],"Provento",His_Operacoes_BDRs[fimmês],Patrimônio!B122)</f>
        <v>0</v>
      </c>
      <c r="M122" s="8">
        <f>SUMIFS(His_Operacoes_FIIs[Total],His_Operacoes_FIIs[Operação],"Provento",His_Operacoes_FIIs[fimmês],Patrimônio!B122)</f>
        <v>0</v>
      </c>
      <c r="N122" s="8">
        <f t="shared" si="10"/>
        <v>0</v>
      </c>
    </row>
    <row r="123" spans="1:14" x14ac:dyDescent="0.35">
      <c r="A123" s="7">
        <v>46054</v>
      </c>
      <c r="B123" s="7">
        <f t="shared" si="7"/>
        <v>46053</v>
      </c>
      <c r="I123" s="8">
        <f t="shared" si="8"/>
        <v>0</v>
      </c>
      <c r="J123" s="8">
        <f t="shared" si="9"/>
        <v>0</v>
      </c>
      <c r="K123" s="8">
        <f>SUMIFS(His_Operacoes_acoes[Total],His_Operacoes_acoes[Fimmes],Patrimônio!B123,His_Operacoes_acoes[Operação],"JCP")
+ SUMIFS(His_Operacoes_acoes[Total],His_Operacoes_acoes[Fimmes],Patrimônio!B123,His_Operacoes_acoes[Operação],"Divid.")
+ SUMIFS(His_Operacoes_acoes[Total],His_Operacoes_acoes[Fimmes],Patrimônio!B123,His_Operacoes_acoes[Operação],"Bonif.")</f>
        <v>0</v>
      </c>
      <c r="L123" s="8">
        <f>SUMIFS(His_Operacoes_BDRs[Total],His_Operacoes_BDRs[Operação],"Provento",His_Operacoes_BDRs[fimmês],Patrimônio!B123)</f>
        <v>0</v>
      </c>
      <c r="M123" s="8">
        <f>SUMIFS(His_Operacoes_FIIs[Total],His_Operacoes_FIIs[Operação],"Provento",His_Operacoes_FIIs[fimmês],Patrimônio!B123)</f>
        <v>0</v>
      </c>
      <c r="N123" s="8">
        <f t="shared" si="10"/>
        <v>0</v>
      </c>
    </row>
    <row r="124" spans="1:14" x14ac:dyDescent="0.35">
      <c r="A124" s="7">
        <v>46082</v>
      </c>
      <c r="B124" s="7">
        <f t="shared" si="7"/>
        <v>46081</v>
      </c>
      <c r="I124" s="8">
        <f t="shared" si="8"/>
        <v>0</v>
      </c>
      <c r="J124" s="8">
        <f t="shared" si="9"/>
        <v>0</v>
      </c>
      <c r="K124" s="8">
        <f>SUMIFS(His_Operacoes_acoes[Total],His_Operacoes_acoes[Fimmes],Patrimônio!B124,His_Operacoes_acoes[Operação],"JCP")
+ SUMIFS(His_Operacoes_acoes[Total],His_Operacoes_acoes[Fimmes],Patrimônio!B124,His_Operacoes_acoes[Operação],"Divid.")
+ SUMIFS(His_Operacoes_acoes[Total],His_Operacoes_acoes[Fimmes],Patrimônio!B124,His_Operacoes_acoes[Operação],"Bonif.")</f>
        <v>0</v>
      </c>
      <c r="L124" s="8">
        <f>SUMIFS(His_Operacoes_BDRs[Total],His_Operacoes_BDRs[Operação],"Provento",His_Operacoes_BDRs[fimmês],Patrimônio!B124)</f>
        <v>0</v>
      </c>
      <c r="M124" s="8">
        <f>SUMIFS(His_Operacoes_FIIs[Total],His_Operacoes_FIIs[Operação],"Provento",His_Operacoes_FIIs[fimmês],Patrimônio!B124)</f>
        <v>0</v>
      </c>
      <c r="N124" s="8">
        <f t="shared" si="10"/>
        <v>0</v>
      </c>
    </row>
    <row r="125" spans="1:14" x14ac:dyDescent="0.35">
      <c r="A125" s="7">
        <v>46113</v>
      </c>
      <c r="B125" s="7">
        <f t="shared" si="7"/>
        <v>46112</v>
      </c>
      <c r="I125" s="8">
        <f t="shared" si="8"/>
        <v>0</v>
      </c>
      <c r="J125" s="8">
        <f t="shared" si="9"/>
        <v>0</v>
      </c>
      <c r="K125" s="8">
        <f>SUMIFS(His_Operacoes_acoes[Total],His_Operacoes_acoes[Fimmes],Patrimônio!B125,His_Operacoes_acoes[Operação],"JCP")
+ SUMIFS(His_Operacoes_acoes[Total],His_Operacoes_acoes[Fimmes],Patrimônio!B125,His_Operacoes_acoes[Operação],"Divid.")
+ SUMIFS(His_Operacoes_acoes[Total],His_Operacoes_acoes[Fimmes],Patrimônio!B125,His_Operacoes_acoes[Operação],"Bonif.")</f>
        <v>0</v>
      </c>
      <c r="L125" s="8">
        <f>SUMIFS(His_Operacoes_BDRs[Total],His_Operacoes_BDRs[Operação],"Provento",His_Operacoes_BDRs[fimmês],Patrimônio!B125)</f>
        <v>0</v>
      </c>
      <c r="M125" s="8">
        <f>SUMIFS(His_Operacoes_FIIs[Total],His_Operacoes_FIIs[Operação],"Provento",His_Operacoes_FIIs[fimmês],Patrimônio!B125)</f>
        <v>0</v>
      </c>
      <c r="N125" s="8">
        <f t="shared" si="10"/>
        <v>0</v>
      </c>
    </row>
    <row r="126" spans="1:14" x14ac:dyDescent="0.35">
      <c r="A126" s="7">
        <v>46143</v>
      </c>
      <c r="B126" s="7">
        <f t="shared" si="7"/>
        <v>46142</v>
      </c>
      <c r="I126" s="8">
        <f t="shared" si="8"/>
        <v>0</v>
      </c>
      <c r="J126" s="8">
        <f t="shared" si="9"/>
        <v>0</v>
      </c>
      <c r="K126" s="8">
        <f>SUMIFS(His_Operacoes_acoes[Total],His_Operacoes_acoes[Fimmes],Patrimônio!B126,His_Operacoes_acoes[Operação],"JCP")
+ SUMIFS(His_Operacoes_acoes[Total],His_Operacoes_acoes[Fimmes],Patrimônio!B126,His_Operacoes_acoes[Operação],"Divid.")
+ SUMIFS(His_Operacoes_acoes[Total],His_Operacoes_acoes[Fimmes],Patrimônio!B126,His_Operacoes_acoes[Operação],"Bonif.")</f>
        <v>0</v>
      </c>
      <c r="L126" s="8">
        <f>SUMIFS(His_Operacoes_BDRs[Total],His_Operacoes_BDRs[Operação],"Provento",His_Operacoes_BDRs[fimmês],Patrimônio!B126)</f>
        <v>0</v>
      </c>
      <c r="M126" s="8">
        <f>SUMIFS(His_Operacoes_FIIs[Total],His_Operacoes_FIIs[Operação],"Provento",His_Operacoes_FIIs[fimmês],Patrimônio!B126)</f>
        <v>0</v>
      </c>
      <c r="N126" s="8">
        <f t="shared" si="10"/>
        <v>0</v>
      </c>
    </row>
    <row r="127" spans="1:14" x14ac:dyDescent="0.35">
      <c r="A127" s="7">
        <v>46174</v>
      </c>
      <c r="B127" s="7">
        <f t="shared" si="7"/>
        <v>46173</v>
      </c>
      <c r="I127" s="8">
        <f t="shared" si="8"/>
        <v>0</v>
      </c>
      <c r="J127" s="8">
        <f t="shared" si="9"/>
        <v>0</v>
      </c>
      <c r="K127" s="8">
        <f>SUMIFS(His_Operacoes_acoes[Total],His_Operacoes_acoes[Fimmes],Patrimônio!B127,His_Operacoes_acoes[Operação],"JCP")
+ SUMIFS(His_Operacoes_acoes[Total],His_Operacoes_acoes[Fimmes],Patrimônio!B127,His_Operacoes_acoes[Operação],"Divid.")
+ SUMIFS(His_Operacoes_acoes[Total],His_Operacoes_acoes[Fimmes],Patrimônio!B127,His_Operacoes_acoes[Operação],"Bonif.")</f>
        <v>0</v>
      </c>
      <c r="L127" s="8">
        <f>SUMIFS(His_Operacoes_BDRs[Total],His_Operacoes_BDRs[Operação],"Provento",His_Operacoes_BDRs[fimmês],Patrimônio!B127)</f>
        <v>0</v>
      </c>
      <c r="M127" s="8">
        <f>SUMIFS(His_Operacoes_FIIs[Total],His_Operacoes_FIIs[Operação],"Provento",His_Operacoes_FIIs[fimmês],Patrimônio!B127)</f>
        <v>0</v>
      </c>
      <c r="N127" s="8">
        <f t="shared" si="10"/>
        <v>0</v>
      </c>
    </row>
    <row r="128" spans="1:14" x14ac:dyDescent="0.35">
      <c r="A128" s="7">
        <v>46204</v>
      </c>
      <c r="B128" s="7">
        <f t="shared" si="7"/>
        <v>46203</v>
      </c>
      <c r="I128" s="8">
        <f t="shared" si="8"/>
        <v>0</v>
      </c>
      <c r="J128" s="8">
        <f t="shared" si="9"/>
        <v>0</v>
      </c>
      <c r="K128" s="8">
        <f>SUMIFS(His_Operacoes_acoes[Total],His_Operacoes_acoes[Fimmes],Patrimônio!B128,His_Operacoes_acoes[Operação],"JCP")
+ SUMIFS(His_Operacoes_acoes[Total],His_Operacoes_acoes[Fimmes],Patrimônio!B128,His_Operacoes_acoes[Operação],"Divid.")
+ SUMIFS(His_Operacoes_acoes[Total],His_Operacoes_acoes[Fimmes],Patrimônio!B128,His_Operacoes_acoes[Operação],"Bonif.")</f>
        <v>0</v>
      </c>
      <c r="L128" s="8">
        <f>SUMIFS(His_Operacoes_BDRs[Total],His_Operacoes_BDRs[Operação],"Provento",His_Operacoes_BDRs[fimmês],Patrimônio!B128)</f>
        <v>0</v>
      </c>
      <c r="M128" s="8">
        <f>SUMIFS(His_Operacoes_FIIs[Total],His_Operacoes_FIIs[Operação],"Provento",His_Operacoes_FIIs[fimmês],Patrimônio!B128)</f>
        <v>0</v>
      </c>
      <c r="N128" s="8">
        <f t="shared" si="10"/>
        <v>0</v>
      </c>
    </row>
    <row r="129" spans="1:14" x14ac:dyDescent="0.35">
      <c r="A129" s="7">
        <v>46235</v>
      </c>
      <c r="B129" s="7">
        <f t="shared" si="7"/>
        <v>46234</v>
      </c>
      <c r="I129" s="8">
        <f t="shared" si="8"/>
        <v>0</v>
      </c>
      <c r="J129" s="8">
        <f t="shared" si="9"/>
        <v>0</v>
      </c>
      <c r="K129" s="8">
        <f>SUMIFS(His_Operacoes_acoes[Total],His_Operacoes_acoes[Fimmes],Patrimônio!B129,His_Operacoes_acoes[Operação],"JCP")
+ SUMIFS(His_Operacoes_acoes[Total],His_Operacoes_acoes[Fimmes],Patrimônio!B129,His_Operacoes_acoes[Operação],"Divid.")
+ SUMIFS(His_Operacoes_acoes[Total],His_Operacoes_acoes[Fimmes],Patrimônio!B129,His_Operacoes_acoes[Operação],"Bonif.")</f>
        <v>0</v>
      </c>
      <c r="L129" s="8">
        <f>SUMIFS(His_Operacoes_BDRs[Total],His_Operacoes_BDRs[Operação],"Provento",His_Operacoes_BDRs[fimmês],Patrimônio!B129)</f>
        <v>0</v>
      </c>
      <c r="M129" s="8">
        <f>SUMIFS(His_Operacoes_FIIs[Total],His_Operacoes_FIIs[Operação],"Provento",His_Operacoes_FIIs[fimmês],Patrimônio!B129)</f>
        <v>0</v>
      </c>
      <c r="N129" s="8">
        <f t="shared" si="10"/>
        <v>0</v>
      </c>
    </row>
    <row r="130" spans="1:14" x14ac:dyDescent="0.35">
      <c r="A130" s="7">
        <v>46266</v>
      </c>
      <c r="B130" s="7">
        <f t="shared" si="7"/>
        <v>46265</v>
      </c>
      <c r="I130" s="8">
        <f t="shared" si="8"/>
        <v>0</v>
      </c>
      <c r="J130" s="8">
        <f t="shared" si="9"/>
        <v>0</v>
      </c>
      <c r="K130" s="8">
        <f>SUMIFS(His_Operacoes_acoes[Total],His_Operacoes_acoes[Fimmes],Patrimônio!B130,His_Operacoes_acoes[Operação],"JCP")
+ SUMIFS(His_Operacoes_acoes[Total],His_Operacoes_acoes[Fimmes],Patrimônio!B130,His_Operacoes_acoes[Operação],"Divid.")
+ SUMIFS(His_Operacoes_acoes[Total],His_Operacoes_acoes[Fimmes],Patrimônio!B130,His_Operacoes_acoes[Operação],"Bonif.")</f>
        <v>0</v>
      </c>
      <c r="L130" s="8">
        <f>SUMIFS(His_Operacoes_BDRs[Total],His_Operacoes_BDRs[Operação],"Provento",His_Operacoes_BDRs[fimmês],Patrimônio!B130)</f>
        <v>0</v>
      </c>
      <c r="M130" s="8">
        <f>SUMIFS(His_Operacoes_FIIs[Total],His_Operacoes_FIIs[Operação],"Provento",His_Operacoes_FIIs[fimmês],Patrimônio!B130)</f>
        <v>0</v>
      </c>
      <c r="N130" s="8">
        <f t="shared" si="10"/>
        <v>0</v>
      </c>
    </row>
    <row r="131" spans="1:14" x14ac:dyDescent="0.35">
      <c r="A131" s="7">
        <v>46296</v>
      </c>
      <c r="B131" s="7">
        <f t="shared" ref="B131:B194" si="11">EOMONTH(A131,-1)</f>
        <v>46295</v>
      </c>
      <c r="I131" s="8">
        <f t="shared" ref="I131:I194" si="12">SUM(C131,E131,G131)</f>
        <v>0</v>
      </c>
      <c r="J131" s="8">
        <f t="shared" ref="J131:J194" si="13">SUM(D131,F131,H131)</f>
        <v>0</v>
      </c>
      <c r="K131" s="8">
        <f>SUMIFS(His_Operacoes_acoes[Total],His_Operacoes_acoes[Fimmes],Patrimônio!B131,His_Operacoes_acoes[Operação],"JCP")
+ SUMIFS(His_Operacoes_acoes[Total],His_Operacoes_acoes[Fimmes],Patrimônio!B131,His_Operacoes_acoes[Operação],"Divid.")
+ SUMIFS(His_Operacoes_acoes[Total],His_Operacoes_acoes[Fimmes],Patrimônio!B131,His_Operacoes_acoes[Operação],"Bonif.")</f>
        <v>0</v>
      </c>
      <c r="L131" s="8">
        <f>SUMIFS(His_Operacoes_BDRs[Total],His_Operacoes_BDRs[Operação],"Provento",His_Operacoes_BDRs[fimmês],Patrimônio!B131)</f>
        <v>0</v>
      </c>
      <c r="M131" s="8">
        <f>SUMIFS(His_Operacoes_FIIs[Total],His_Operacoes_FIIs[Operação],"Provento",His_Operacoes_FIIs[fimmês],Patrimônio!B131)</f>
        <v>0</v>
      </c>
      <c r="N131" s="8">
        <f t="shared" ref="N131:N194" si="14">SUM(K131:M131)</f>
        <v>0</v>
      </c>
    </row>
    <row r="132" spans="1:14" x14ac:dyDescent="0.35">
      <c r="A132" s="7">
        <v>46327</v>
      </c>
      <c r="B132" s="7">
        <f t="shared" si="11"/>
        <v>46326</v>
      </c>
      <c r="I132" s="8">
        <f t="shared" si="12"/>
        <v>0</v>
      </c>
      <c r="J132" s="8">
        <f t="shared" si="13"/>
        <v>0</v>
      </c>
      <c r="K132" s="8">
        <f>SUMIFS(His_Operacoes_acoes[Total],His_Operacoes_acoes[Fimmes],Patrimônio!B132,His_Operacoes_acoes[Operação],"JCP")
+ SUMIFS(His_Operacoes_acoes[Total],His_Operacoes_acoes[Fimmes],Patrimônio!B132,His_Operacoes_acoes[Operação],"Divid.")
+ SUMIFS(His_Operacoes_acoes[Total],His_Operacoes_acoes[Fimmes],Patrimônio!B132,His_Operacoes_acoes[Operação],"Bonif.")</f>
        <v>0</v>
      </c>
      <c r="L132" s="8">
        <f>SUMIFS(His_Operacoes_BDRs[Total],His_Operacoes_BDRs[Operação],"Provento",His_Operacoes_BDRs[fimmês],Patrimônio!B132)</f>
        <v>0</v>
      </c>
      <c r="M132" s="8">
        <f>SUMIFS(His_Operacoes_FIIs[Total],His_Operacoes_FIIs[Operação],"Provento",His_Operacoes_FIIs[fimmês],Patrimônio!B132)</f>
        <v>0</v>
      </c>
      <c r="N132" s="8">
        <f t="shared" si="14"/>
        <v>0</v>
      </c>
    </row>
    <row r="133" spans="1:14" x14ac:dyDescent="0.35">
      <c r="A133" s="7">
        <v>46357</v>
      </c>
      <c r="B133" s="7">
        <f t="shared" si="11"/>
        <v>46356</v>
      </c>
      <c r="I133" s="8">
        <f t="shared" si="12"/>
        <v>0</v>
      </c>
      <c r="J133" s="8">
        <f t="shared" si="13"/>
        <v>0</v>
      </c>
      <c r="K133" s="8">
        <f>SUMIFS(His_Operacoes_acoes[Total],His_Operacoes_acoes[Fimmes],Patrimônio!B133,His_Operacoes_acoes[Operação],"JCP")
+ SUMIFS(His_Operacoes_acoes[Total],His_Operacoes_acoes[Fimmes],Patrimônio!B133,His_Operacoes_acoes[Operação],"Divid.")
+ SUMIFS(His_Operacoes_acoes[Total],His_Operacoes_acoes[Fimmes],Patrimônio!B133,His_Operacoes_acoes[Operação],"Bonif.")</f>
        <v>0</v>
      </c>
      <c r="L133" s="8">
        <f>SUMIFS(His_Operacoes_BDRs[Total],His_Operacoes_BDRs[Operação],"Provento",His_Operacoes_BDRs[fimmês],Patrimônio!B133)</f>
        <v>0</v>
      </c>
      <c r="M133" s="8">
        <f>SUMIFS(His_Operacoes_FIIs[Total],His_Operacoes_FIIs[Operação],"Provento",His_Operacoes_FIIs[fimmês],Patrimônio!B133)</f>
        <v>0</v>
      </c>
      <c r="N133" s="8">
        <f t="shared" si="14"/>
        <v>0</v>
      </c>
    </row>
    <row r="134" spans="1:14" x14ac:dyDescent="0.35">
      <c r="A134" s="7">
        <v>46388</v>
      </c>
      <c r="B134" s="7">
        <f t="shared" si="11"/>
        <v>46387</v>
      </c>
      <c r="I134" s="8">
        <f t="shared" si="12"/>
        <v>0</v>
      </c>
      <c r="J134" s="8">
        <f t="shared" si="13"/>
        <v>0</v>
      </c>
      <c r="K134" s="8">
        <f>SUMIFS(His_Operacoes_acoes[Total],His_Operacoes_acoes[Fimmes],Patrimônio!B134,His_Operacoes_acoes[Operação],"JCP")
+ SUMIFS(His_Operacoes_acoes[Total],His_Operacoes_acoes[Fimmes],Patrimônio!B134,His_Operacoes_acoes[Operação],"Divid.")
+ SUMIFS(His_Operacoes_acoes[Total],His_Operacoes_acoes[Fimmes],Patrimônio!B134,His_Operacoes_acoes[Operação],"Bonif.")</f>
        <v>0</v>
      </c>
      <c r="L134" s="8">
        <f>SUMIFS(His_Operacoes_BDRs[Total],His_Operacoes_BDRs[Operação],"Provento",His_Operacoes_BDRs[fimmês],Patrimônio!B134)</f>
        <v>0</v>
      </c>
      <c r="M134" s="8">
        <f>SUMIFS(His_Operacoes_FIIs[Total],His_Operacoes_FIIs[Operação],"Provento",His_Operacoes_FIIs[fimmês],Patrimônio!B134)</f>
        <v>0</v>
      </c>
      <c r="N134" s="8">
        <f t="shared" si="14"/>
        <v>0</v>
      </c>
    </row>
    <row r="135" spans="1:14" x14ac:dyDescent="0.35">
      <c r="A135" s="7">
        <v>46419</v>
      </c>
      <c r="B135" s="7">
        <f t="shared" si="11"/>
        <v>46418</v>
      </c>
      <c r="I135" s="8">
        <f t="shared" si="12"/>
        <v>0</v>
      </c>
      <c r="J135" s="8">
        <f t="shared" si="13"/>
        <v>0</v>
      </c>
      <c r="K135" s="8">
        <f>SUMIFS(His_Operacoes_acoes[Total],His_Operacoes_acoes[Fimmes],Patrimônio!B135,His_Operacoes_acoes[Operação],"JCP")
+ SUMIFS(His_Operacoes_acoes[Total],His_Operacoes_acoes[Fimmes],Patrimônio!B135,His_Operacoes_acoes[Operação],"Divid.")
+ SUMIFS(His_Operacoes_acoes[Total],His_Operacoes_acoes[Fimmes],Patrimônio!B135,His_Operacoes_acoes[Operação],"Bonif.")</f>
        <v>0</v>
      </c>
      <c r="L135" s="8">
        <f>SUMIFS(His_Operacoes_BDRs[Total],His_Operacoes_BDRs[Operação],"Provento",His_Operacoes_BDRs[fimmês],Patrimônio!B135)</f>
        <v>0</v>
      </c>
      <c r="M135" s="8">
        <f>SUMIFS(His_Operacoes_FIIs[Total],His_Operacoes_FIIs[Operação],"Provento",His_Operacoes_FIIs[fimmês],Patrimônio!B135)</f>
        <v>0</v>
      </c>
      <c r="N135" s="8">
        <f t="shared" si="14"/>
        <v>0</v>
      </c>
    </row>
    <row r="136" spans="1:14" x14ac:dyDescent="0.35">
      <c r="A136" s="7">
        <v>46447</v>
      </c>
      <c r="B136" s="7">
        <f t="shared" si="11"/>
        <v>46446</v>
      </c>
      <c r="I136" s="8">
        <f t="shared" si="12"/>
        <v>0</v>
      </c>
      <c r="J136" s="8">
        <f t="shared" si="13"/>
        <v>0</v>
      </c>
      <c r="K136" s="8">
        <f>SUMIFS(His_Operacoes_acoes[Total],His_Operacoes_acoes[Fimmes],Patrimônio!B136,His_Operacoes_acoes[Operação],"JCP")
+ SUMIFS(His_Operacoes_acoes[Total],His_Operacoes_acoes[Fimmes],Patrimônio!B136,His_Operacoes_acoes[Operação],"Divid.")
+ SUMIFS(His_Operacoes_acoes[Total],His_Operacoes_acoes[Fimmes],Patrimônio!B136,His_Operacoes_acoes[Operação],"Bonif.")</f>
        <v>0</v>
      </c>
      <c r="L136" s="8">
        <f>SUMIFS(His_Operacoes_BDRs[Total],His_Operacoes_BDRs[Operação],"Provento",His_Operacoes_BDRs[fimmês],Patrimônio!B136)</f>
        <v>0</v>
      </c>
      <c r="M136" s="8">
        <f>SUMIFS(His_Operacoes_FIIs[Total],His_Operacoes_FIIs[Operação],"Provento",His_Operacoes_FIIs[fimmês],Patrimônio!B136)</f>
        <v>0</v>
      </c>
      <c r="N136" s="8">
        <f t="shared" si="14"/>
        <v>0</v>
      </c>
    </row>
    <row r="137" spans="1:14" x14ac:dyDescent="0.35">
      <c r="A137" s="7">
        <v>46478</v>
      </c>
      <c r="B137" s="7">
        <f t="shared" si="11"/>
        <v>46477</v>
      </c>
      <c r="I137" s="8">
        <f t="shared" si="12"/>
        <v>0</v>
      </c>
      <c r="J137" s="8">
        <f t="shared" si="13"/>
        <v>0</v>
      </c>
      <c r="K137" s="8">
        <f>SUMIFS(His_Operacoes_acoes[Total],His_Operacoes_acoes[Fimmes],Patrimônio!B137,His_Operacoes_acoes[Operação],"JCP")
+ SUMIFS(His_Operacoes_acoes[Total],His_Operacoes_acoes[Fimmes],Patrimônio!B137,His_Operacoes_acoes[Operação],"Divid.")
+ SUMIFS(His_Operacoes_acoes[Total],His_Operacoes_acoes[Fimmes],Patrimônio!B137,His_Operacoes_acoes[Operação],"Bonif.")</f>
        <v>0</v>
      </c>
      <c r="L137" s="8">
        <f>SUMIFS(His_Operacoes_BDRs[Total],His_Operacoes_BDRs[Operação],"Provento",His_Operacoes_BDRs[fimmês],Patrimônio!B137)</f>
        <v>0</v>
      </c>
      <c r="M137" s="8">
        <f>SUMIFS(His_Operacoes_FIIs[Total],His_Operacoes_FIIs[Operação],"Provento",His_Operacoes_FIIs[fimmês],Patrimônio!B137)</f>
        <v>0</v>
      </c>
      <c r="N137" s="8">
        <f t="shared" si="14"/>
        <v>0</v>
      </c>
    </row>
    <row r="138" spans="1:14" x14ac:dyDescent="0.35">
      <c r="A138" s="7">
        <v>46508</v>
      </c>
      <c r="B138" s="7">
        <f t="shared" si="11"/>
        <v>46507</v>
      </c>
      <c r="I138" s="8">
        <f t="shared" si="12"/>
        <v>0</v>
      </c>
      <c r="J138" s="8">
        <f t="shared" si="13"/>
        <v>0</v>
      </c>
      <c r="K138" s="8">
        <f>SUMIFS(His_Operacoes_acoes[Total],His_Operacoes_acoes[Fimmes],Patrimônio!B138,His_Operacoes_acoes[Operação],"JCP")
+ SUMIFS(His_Operacoes_acoes[Total],His_Operacoes_acoes[Fimmes],Patrimônio!B138,His_Operacoes_acoes[Operação],"Divid.")
+ SUMIFS(His_Operacoes_acoes[Total],His_Operacoes_acoes[Fimmes],Patrimônio!B138,His_Operacoes_acoes[Operação],"Bonif.")</f>
        <v>0</v>
      </c>
      <c r="L138" s="8">
        <f>SUMIFS(His_Operacoes_BDRs[Total],His_Operacoes_BDRs[Operação],"Provento",His_Operacoes_BDRs[fimmês],Patrimônio!B138)</f>
        <v>0</v>
      </c>
      <c r="M138" s="8">
        <f>SUMIFS(His_Operacoes_FIIs[Total],His_Operacoes_FIIs[Operação],"Provento",His_Operacoes_FIIs[fimmês],Patrimônio!B138)</f>
        <v>0</v>
      </c>
      <c r="N138" s="8">
        <f t="shared" si="14"/>
        <v>0</v>
      </c>
    </row>
    <row r="139" spans="1:14" x14ac:dyDescent="0.35">
      <c r="A139" s="7">
        <v>46539</v>
      </c>
      <c r="B139" s="7">
        <f t="shared" si="11"/>
        <v>46538</v>
      </c>
      <c r="I139" s="8">
        <f t="shared" si="12"/>
        <v>0</v>
      </c>
      <c r="J139" s="8">
        <f t="shared" si="13"/>
        <v>0</v>
      </c>
      <c r="K139" s="8">
        <f>SUMIFS(His_Operacoes_acoes[Total],His_Operacoes_acoes[Fimmes],Patrimônio!B139,His_Operacoes_acoes[Operação],"JCP")
+ SUMIFS(His_Operacoes_acoes[Total],His_Operacoes_acoes[Fimmes],Patrimônio!B139,His_Operacoes_acoes[Operação],"Divid.")
+ SUMIFS(His_Operacoes_acoes[Total],His_Operacoes_acoes[Fimmes],Patrimônio!B139,His_Operacoes_acoes[Operação],"Bonif.")</f>
        <v>0</v>
      </c>
      <c r="L139" s="8">
        <f>SUMIFS(His_Operacoes_BDRs[Total],His_Operacoes_BDRs[Operação],"Provento",His_Operacoes_BDRs[fimmês],Patrimônio!B139)</f>
        <v>0</v>
      </c>
      <c r="M139" s="8">
        <f>SUMIFS(His_Operacoes_FIIs[Total],His_Operacoes_FIIs[Operação],"Provento",His_Operacoes_FIIs[fimmês],Patrimônio!B139)</f>
        <v>0</v>
      </c>
      <c r="N139" s="8">
        <f t="shared" si="14"/>
        <v>0</v>
      </c>
    </row>
    <row r="140" spans="1:14" x14ac:dyDescent="0.35">
      <c r="A140" s="7">
        <v>46569</v>
      </c>
      <c r="B140" s="7">
        <f t="shared" si="11"/>
        <v>46568</v>
      </c>
      <c r="I140" s="8">
        <f t="shared" si="12"/>
        <v>0</v>
      </c>
      <c r="J140" s="8">
        <f t="shared" si="13"/>
        <v>0</v>
      </c>
      <c r="K140" s="8">
        <f>SUMIFS(His_Operacoes_acoes[Total],His_Operacoes_acoes[Fimmes],Patrimônio!B140,His_Operacoes_acoes[Operação],"JCP")
+ SUMIFS(His_Operacoes_acoes[Total],His_Operacoes_acoes[Fimmes],Patrimônio!B140,His_Operacoes_acoes[Operação],"Divid.")
+ SUMIFS(His_Operacoes_acoes[Total],His_Operacoes_acoes[Fimmes],Patrimônio!B140,His_Operacoes_acoes[Operação],"Bonif.")</f>
        <v>0</v>
      </c>
      <c r="L140" s="8">
        <f>SUMIFS(His_Operacoes_BDRs[Total],His_Operacoes_BDRs[Operação],"Provento",His_Operacoes_BDRs[fimmês],Patrimônio!B140)</f>
        <v>0</v>
      </c>
      <c r="M140" s="8">
        <f>SUMIFS(His_Operacoes_FIIs[Total],His_Operacoes_FIIs[Operação],"Provento",His_Operacoes_FIIs[fimmês],Patrimônio!B140)</f>
        <v>0</v>
      </c>
      <c r="N140" s="8">
        <f t="shared" si="14"/>
        <v>0</v>
      </c>
    </row>
    <row r="141" spans="1:14" x14ac:dyDescent="0.35">
      <c r="A141" s="7">
        <v>46600</v>
      </c>
      <c r="B141" s="7">
        <f t="shared" si="11"/>
        <v>46599</v>
      </c>
      <c r="I141" s="8">
        <f t="shared" si="12"/>
        <v>0</v>
      </c>
      <c r="J141" s="8">
        <f t="shared" si="13"/>
        <v>0</v>
      </c>
      <c r="K141" s="8">
        <f>SUMIFS(His_Operacoes_acoes[Total],His_Operacoes_acoes[Fimmes],Patrimônio!B141,His_Operacoes_acoes[Operação],"JCP")
+ SUMIFS(His_Operacoes_acoes[Total],His_Operacoes_acoes[Fimmes],Patrimônio!B141,His_Operacoes_acoes[Operação],"Divid.")
+ SUMIFS(His_Operacoes_acoes[Total],His_Operacoes_acoes[Fimmes],Patrimônio!B141,His_Operacoes_acoes[Operação],"Bonif.")</f>
        <v>0</v>
      </c>
      <c r="L141" s="8">
        <f>SUMIFS(His_Operacoes_BDRs[Total],His_Operacoes_BDRs[Operação],"Provento",His_Operacoes_BDRs[fimmês],Patrimônio!B141)</f>
        <v>0</v>
      </c>
      <c r="M141" s="8">
        <f>SUMIFS(His_Operacoes_FIIs[Total],His_Operacoes_FIIs[Operação],"Provento",His_Operacoes_FIIs[fimmês],Patrimônio!B141)</f>
        <v>0</v>
      </c>
      <c r="N141" s="8">
        <f t="shared" si="14"/>
        <v>0</v>
      </c>
    </row>
    <row r="142" spans="1:14" x14ac:dyDescent="0.35">
      <c r="A142" s="7">
        <v>46631</v>
      </c>
      <c r="B142" s="7">
        <f t="shared" si="11"/>
        <v>46630</v>
      </c>
      <c r="I142" s="8">
        <f t="shared" si="12"/>
        <v>0</v>
      </c>
      <c r="J142" s="8">
        <f t="shared" si="13"/>
        <v>0</v>
      </c>
      <c r="K142" s="8">
        <f>SUMIFS(His_Operacoes_acoes[Total],His_Operacoes_acoes[Fimmes],Patrimônio!B142,His_Operacoes_acoes[Operação],"JCP")
+ SUMIFS(His_Operacoes_acoes[Total],His_Operacoes_acoes[Fimmes],Patrimônio!B142,His_Operacoes_acoes[Operação],"Divid.")
+ SUMIFS(His_Operacoes_acoes[Total],His_Operacoes_acoes[Fimmes],Patrimônio!B142,His_Operacoes_acoes[Operação],"Bonif.")</f>
        <v>0</v>
      </c>
      <c r="L142" s="8">
        <f>SUMIFS(His_Operacoes_BDRs[Total],His_Operacoes_BDRs[Operação],"Provento",His_Operacoes_BDRs[fimmês],Patrimônio!B142)</f>
        <v>0</v>
      </c>
      <c r="M142" s="8">
        <f>SUMIFS(His_Operacoes_FIIs[Total],His_Operacoes_FIIs[Operação],"Provento",His_Operacoes_FIIs[fimmês],Patrimônio!B142)</f>
        <v>0</v>
      </c>
      <c r="N142" s="8">
        <f t="shared" si="14"/>
        <v>0</v>
      </c>
    </row>
    <row r="143" spans="1:14" x14ac:dyDescent="0.35">
      <c r="A143" s="7">
        <v>46661</v>
      </c>
      <c r="B143" s="7">
        <f t="shared" si="11"/>
        <v>46660</v>
      </c>
      <c r="I143" s="8">
        <f t="shared" si="12"/>
        <v>0</v>
      </c>
      <c r="J143" s="8">
        <f t="shared" si="13"/>
        <v>0</v>
      </c>
      <c r="K143" s="8">
        <f>SUMIFS(His_Operacoes_acoes[Total],His_Operacoes_acoes[Fimmes],Patrimônio!B143,His_Operacoes_acoes[Operação],"JCP")
+ SUMIFS(His_Operacoes_acoes[Total],His_Operacoes_acoes[Fimmes],Patrimônio!B143,His_Operacoes_acoes[Operação],"Divid.")
+ SUMIFS(His_Operacoes_acoes[Total],His_Operacoes_acoes[Fimmes],Patrimônio!B143,His_Operacoes_acoes[Operação],"Bonif.")</f>
        <v>0</v>
      </c>
      <c r="L143" s="8">
        <f>SUMIFS(His_Operacoes_BDRs[Total],His_Operacoes_BDRs[Operação],"Provento",His_Operacoes_BDRs[fimmês],Patrimônio!B143)</f>
        <v>0</v>
      </c>
      <c r="M143" s="8">
        <f>SUMIFS(His_Operacoes_FIIs[Total],His_Operacoes_FIIs[Operação],"Provento",His_Operacoes_FIIs[fimmês],Patrimônio!B143)</f>
        <v>0</v>
      </c>
      <c r="N143" s="8">
        <f t="shared" si="14"/>
        <v>0</v>
      </c>
    </row>
    <row r="144" spans="1:14" x14ac:dyDescent="0.35">
      <c r="A144" s="7">
        <v>46692</v>
      </c>
      <c r="B144" s="7">
        <f t="shared" si="11"/>
        <v>46691</v>
      </c>
      <c r="I144" s="8">
        <f t="shared" si="12"/>
        <v>0</v>
      </c>
      <c r="J144" s="8">
        <f t="shared" si="13"/>
        <v>0</v>
      </c>
      <c r="K144" s="8">
        <f>SUMIFS(His_Operacoes_acoes[Total],His_Operacoes_acoes[Fimmes],Patrimônio!B144,His_Operacoes_acoes[Operação],"JCP")
+ SUMIFS(His_Operacoes_acoes[Total],His_Operacoes_acoes[Fimmes],Patrimônio!B144,His_Operacoes_acoes[Operação],"Divid.")
+ SUMIFS(His_Operacoes_acoes[Total],His_Operacoes_acoes[Fimmes],Patrimônio!B144,His_Operacoes_acoes[Operação],"Bonif.")</f>
        <v>0</v>
      </c>
      <c r="L144" s="8">
        <f>SUMIFS(His_Operacoes_BDRs[Total],His_Operacoes_BDRs[Operação],"Provento",His_Operacoes_BDRs[fimmês],Patrimônio!B144)</f>
        <v>0</v>
      </c>
      <c r="M144" s="8">
        <f>SUMIFS(His_Operacoes_FIIs[Total],His_Operacoes_FIIs[Operação],"Provento",His_Operacoes_FIIs[fimmês],Patrimônio!B144)</f>
        <v>0</v>
      </c>
      <c r="N144" s="8">
        <f t="shared" si="14"/>
        <v>0</v>
      </c>
    </row>
    <row r="145" spans="1:14" x14ac:dyDescent="0.35">
      <c r="A145" s="7">
        <v>46722</v>
      </c>
      <c r="B145" s="7">
        <f t="shared" si="11"/>
        <v>46721</v>
      </c>
      <c r="I145" s="8">
        <f t="shared" si="12"/>
        <v>0</v>
      </c>
      <c r="J145" s="8">
        <f t="shared" si="13"/>
        <v>0</v>
      </c>
      <c r="K145" s="8">
        <f>SUMIFS(His_Operacoes_acoes[Total],His_Operacoes_acoes[Fimmes],Patrimônio!B145,His_Operacoes_acoes[Operação],"JCP")
+ SUMIFS(His_Operacoes_acoes[Total],His_Operacoes_acoes[Fimmes],Patrimônio!B145,His_Operacoes_acoes[Operação],"Divid.")
+ SUMIFS(His_Operacoes_acoes[Total],His_Operacoes_acoes[Fimmes],Patrimônio!B145,His_Operacoes_acoes[Operação],"Bonif.")</f>
        <v>0</v>
      </c>
      <c r="L145" s="8">
        <f>SUMIFS(His_Operacoes_BDRs[Total],His_Operacoes_BDRs[Operação],"Provento",His_Operacoes_BDRs[fimmês],Patrimônio!B145)</f>
        <v>0</v>
      </c>
      <c r="M145" s="8">
        <f>SUMIFS(His_Operacoes_FIIs[Total],His_Operacoes_FIIs[Operação],"Provento",His_Operacoes_FIIs[fimmês],Patrimônio!B145)</f>
        <v>0</v>
      </c>
      <c r="N145" s="8">
        <f t="shared" si="14"/>
        <v>0</v>
      </c>
    </row>
    <row r="146" spans="1:14" x14ac:dyDescent="0.35">
      <c r="A146" s="7">
        <v>46753</v>
      </c>
      <c r="B146" s="7">
        <f t="shared" si="11"/>
        <v>46752</v>
      </c>
      <c r="I146" s="8">
        <f t="shared" si="12"/>
        <v>0</v>
      </c>
      <c r="J146" s="8">
        <f t="shared" si="13"/>
        <v>0</v>
      </c>
      <c r="K146" s="8">
        <f>SUMIFS(His_Operacoes_acoes[Total],His_Operacoes_acoes[Fimmes],Patrimônio!B146,His_Operacoes_acoes[Operação],"JCP")
+ SUMIFS(His_Operacoes_acoes[Total],His_Operacoes_acoes[Fimmes],Patrimônio!B146,His_Operacoes_acoes[Operação],"Divid.")
+ SUMIFS(His_Operacoes_acoes[Total],His_Operacoes_acoes[Fimmes],Patrimônio!B146,His_Operacoes_acoes[Operação],"Bonif.")</f>
        <v>0</v>
      </c>
      <c r="L146" s="8">
        <f>SUMIFS(His_Operacoes_BDRs[Total],His_Operacoes_BDRs[Operação],"Provento",His_Operacoes_BDRs[fimmês],Patrimônio!B146)</f>
        <v>0</v>
      </c>
      <c r="M146" s="8">
        <f>SUMIFS(His_Operacoes_FIIs[Total],His_Operacoes_FIIs[Operação],"Provento",His_Operacoes_FIIs[fimmês],Patrimônio!B146)</f>
        <v>0</v>
      </c>
      <c r="N146" s="8">
        <f t="shared" si="14"/>
        <v>0</v>
      </c>
    </row>
    <row r="147" spans="1:14" x14ac:dyDescent="0.35">
      <c r="A147" s="7">
        <v>46784</v>
      </c>
      <c r="B147" s="7">
        <f t="shared" si="11"/>
        <v>46783</v>
      </c>
      <c r="I147" s="8">
        <f t="shared" si="12"/>
        <v>0</v>
      </c>
      <c r="J147" s="8">
        <f t="shared" si="13"/>
        <v>0</v>
      </c>
      <c r="K147" s="8">
        <f>SUMIFS(His_Operacoes_acoes[Total],His_Operacoes_acoes[Fimmes],Patrimônio!B147,His_Operacoes_acoes[Operação],"JCP")
+ SUMIFS(His_Operacoes_acoes[Total],His_Operacoes_acoes[Fimmes],Patrimônio!B147,His_Operacoes_acoes[Operação],"Divid.")
+ SUMIFS(His_Operacoes_acoes[Total],His_Operacoes_acoes[Fimmes],Patrimônio!B147,His_Operacoes_acoes[Operação],"Bonif.")</f>
        <v>0</v>
      </c>
      <c r="L147" s="8">
        <f>SUMIFS(His_Operacoes_BDRs[Total],His_Operacoes_BDRs[Operação],"Provento",His_Operacoes_BDRs[fimmês],Patrimônio!B147)</f>
        <v>0</v>
      </c>
      <c r="M147" s="8">
        <f>SUMIFS(His_Operacoes_FIIs[Total],His_Operacoes_FIIs[Operação],"Provento",His_Operacoes_FIIs[fimmês],Patrimônio!B147)</f>
        <v>0</v>
      </c>
      <c r="N147" s="8">
        <f t="shared" si="14"/>
        <v>0</v>
      </c>
    </row>
    <row r="148" spans="1:14" x14ac:dyDescent="0.35">
      <c r="A148" s="7">
        <v>46813</v>
      </c>
      <c r="B148" s="7">
        <f t="shared" si="11"/>
        <v>46812</v>
      </c>
      <c r="I148" s="8">
        <f t="shared" si="12"/>
        <v>0</v>
      </c>
      <c r="J148" s="8">
        <f t="shared" si="13"/>
        <v>0</v>
      </c>
      <c r="K148" s="8">
        <f>SUMIFS(His_Operacoes_acoes[Total],His_Operacoes_acoes[Fimmes],Patrimônio!B148,His_Operacoes_acoes[Operação],"JCP")
+ SUMIFS(His_Operacoes_acoes[Total],His_Operacoes_acoes[Fimmes],Patrimônio!B148,His_Operacoes_acoes[Operação],"Divid.")
+ SUMIFS(His_Operacoes_acoes[Total],His_Operacoes_acoes[Fimmes],Patrimônio!B148,His_Operacoes_acoes[Operação],"Bonif.")</f>
        <v>0</v>
      </c>
      <c r="L148" s="8">
        <f>SUMIFS(His_Operacoes_BDRs[Total],His_Operacoes_BDRs[Operação],"Provento",His_Operacoes_BDRs[fimmês],Patrimônio!B148)</f>
        <v>0</v>
      </c>
      <c r="M148" s="8">
        <f>SUMIFS(His_Operacoes_FIIs[Total],His_Operacoes_FIIs[Operação],"Provento",His_Operacoes_FIIs[fimmês],Patrimônio!B148)</f>
        <v>0</v>
      </c>
      <c r="N148" s="8">
        <f t="shared" si="14"/>
        <v>0</v>
      </c>
    </row>
    <row r="149" spans="1:14" x14ac:dyDescent="0.35">
      <c r="A149" s="7">
        <v>46844</v>
      </c>
      <c r="B149" s="7">
        <f t="shared" si="11"/>
        <v>46843</v>
      </c>
      <c r="I149" s="8">
        <f t="shared" si="12"/>
        <v>0</v>
      </c>
      <c r="J149" s="8">
        <f t="shared" si="13"/>
        <v>0</v>
      </c>
      <c r="K149" s="8">
        <f>SUMIFS(His_Operacoes_acoes[Total],His_Operacoes_acoes[Fimmes],Patrimônio!B149,His_Operacoes_acoes[Operação],"JCP")
+ SUMIFS(His_Operacoes_acoes[Total],His_Operacoes_acoes[Fimmes],Patrimônio!B149,His_Operacoes_acoes[Operação],"Divid.")
+ SUMIFS(His_Operacoes_acoes[Total],His_Operacoes_acoes[Fimmes],Patrimônio!B149,His_Operacoes_acoes[Operação],"Bonif.")</f>
        <v>0</v>
      </c>
      <c r="L149" s="8">
        <f>SUMIFS(His_Operacoes_BDRs[Total],His_Operacoes_BDRs[Operação],"Provento",His_Operacoes_BDRs[fimmês],Patrimônio!B149)</f>
        <v>0</v>
      </c>
      <c r="M149" s="8">
        <f>SUMIFS(His_Operacoes_FIIs[Total],His_Operacoes_FIIs[Operação],"Provento",His_Operacoes_FIIs[fimmês],Patrimônio!B149)</f>
        <v>0</v>
      </c>
      <c r="N149" s="8">
        <f t="shared" si="14"/>
        <v>0</v>
      </c>
    </row>
    <row r="150" spans="1:14" x14ac:dyDescent="0.35">
      <c r="A150" s="7">
        <v>46874</v>
      </c>
      <c r="B150" s="7">
        <f t="shared" si="11"/>
        <v>46873</v>
      </c>
      <c r="I150" s="8">
        <f t="shared" si="12"/>
        <v>0</v>
      </c>
      <c r="J150" s="8">
        <f t="shared" si="13"/>
        <v>0</v>
      </c>
      <c r="K150" s="8">
        <f>SUMIFS(His_Operacoes_acoes[Total],His_Operacoes_acoes[Fimmes],Patrimônio!B150,His_Operacoes_acoes[Operação],"JCP")
+ SUMIFS(His_Operacoes_acoes[Total],His_Operacoes_acoes[Fimmes],Patrimônio!B150,His_Operacoes_acoes[Operação],"Divid.")
+ SUMIFS(His_Operacoes_acoes[Total],His_Operacoes_acoes[Fimmes],Patrimônio!B150,His_Operacoes_acoes[Operação],"Bonif.")</f>
        <v>0</v>
      </c>
      <c r="L150" s="8">
        <f>SUMIFS(His_Operacoes_BDRs[Total],His_Operacoes_BDRs[Operação],"Provento",His_Operacoes_BDRs[fimmês],Patrimônio!B150)</f>
        <v>0</v>
      </c>
      <c r="M150" s="8">
        <f>SUMIFS(His_Operacoes_FIIs[Total],His_Operacoes_FIIs[Operação],"Provento",His_Operacoes_FIIs[fimmês],Patrimônio!B150)</f>
        <v>0</v>
      </c>
      <c r="N150" s="8">
        <f t="shared" si="14"/>
        <v>0</v>
      </c>
    </row>
    <row r="151" spans="1:14" x14ac:dyDescent="0.35">
      <c r="A151" s="7">
        <v>46905</v>
      </c>
      <c r="B151" s="7">
        <f t="shared" si="11"/>
        <v>46904</v>
      </c>
      <c r="I151" s="8">
        <f t="shared" si="12"/>
        <v>0</v>
      </c>
      <c r="J151" s="8">
        <f t="shared" si="13"/>
        <v>0</v>
      </c>
      <c r="K151" s="8">
        <f>SUMIFS(His_Operacoes_acoes[Total],His_Operacoes_acoes[Fimmes],Patrimônio!B151,His_Operacoes_acoes[Operação],"JCP")
+ SUMIFS(His_Operacoes_acoes[Total],His_Operacoes_acoes[Fimmes],Patrimônio!B151,His_Operacoes_acoes[Operação],"Divid.")
+ SUMIFS(His_Operacoes_acoes[Total],His_Operacoes_acoes[Fimmes],Patrimônio!B151,His_Operacoes_acoes[Operação],"Bonif.")</f>
        <v>0</v>
      </c>
      <c r="L151" s="8">
        <f>SUMIFS(His_Operacoes_BDRs[Total],His_Operacoes_BDRs[Operação],"Provento",His_Operacoes_BDRs[fimmês],Patrimônio!B151)</f>
        <v>0</v>
      </c>
      <c r="M151" s="8">
        <f>SUMIFS(His_Operacoes_FIIs[Total],His_Operacoes_FIIs[Operação],"Provento",His_Operacoes_FIIs[fimmês],Patrimônio!B151)</f>
        <v>0</v>
      </c>
      <c r="N151" s="8">
        <f t="shared" si="14"/>
        <v>0</v>
      </c>
    </row>
    <row r="152" spans="1:14" x14ac:dyDescent="0.35">
      <c r="A152" s="7">
        <v>46935</v>
      </c>
      <c r="B152" s="7">
        <f t="shared" si="11"/>
        <v>46934</v>
      </c>
      <c r="I152" s="8">
        <f t="shared" si="12"/>
        <v>0</v>
      </c>
      <c r="J152" s="8">
        <f t="shared" si="13"/>
        <v>0</v>
      </c>
      <c r="K152" s="8">
        <f>SUMIFS(His_Operacoes_acoes[Total],His_Operacoes_acoes[Fimmes],Patrimônio!B152,His_Operacoes_acoes[Operação],"JCP")
+ SUMIFS(His_Operacoes_acoes[Total],His_Operacoes_acoes[Fimmes],Patrimônio!B152,His_Operacoes_acoes[Operação],"Divid.")
+ SUMIFS(His_Operacoes_acoes[Total],His_Operacoes_acoes[Fimmes],Patrimônio!B152,His_Operacoes_acoes[Operação],"Bonif.")</f>
        <v>0</v>
      </c>
      <c r="L152" s="8">
        <f>SUMIFS(His_Operacoes_BDRs[Total],His_Operacoes_BDRs[Operação],"Provento",His_Operacoes_BDRs[fimmês],Patrimônio!B152)</f>
        <v>0</v>
      </c>
      <c r="M152" s="8">
        <f>SUMIFS(His_Operacoes_FIIs[Total],His_Operacoes_FIIs[Operação],"Provento",His_Operacoes_FIIs[fimmês],Patrimônio!B152)</f>
        <v>0</v>
      </c>
      <c r="N152" s="8">
        <f t="shared" si="14"/>
        <v>0</v>
      </c>
    </row>
    <row r="153" spans="1:14" x14ac:dyDescent="0.35">
      <c r="A153" s="7">
        <v>46966</v>
      </c>
      <c r="B153" s="7">
        <f t="shared" si="11"/>
        <v>46965</v>
      </c>
      <c r="I153" s="8">
        <f t="shared" si="12"/>
        <v>0</v>
      </c>
      <c r="J153" s="8">
        <f t="shared" si="13"/>
        <v>0</v>
      </c>
      <c r="K153" s="8">
        <f>SUMIFS(His_Operacoes_acoes[Total],His_Operacoes_acoes[Fimmes],Patrimônio!B153,His_Operacoes_acoes[Operação],"JCP")
+ SUMIFS(His_Operacoes_acoes[Total],His_Operacoes_acoes[Fimmes],Patrimônio!B153,His_Operacoes_acoes[Operação],"Divid.")
+ SUMIFS(His_Operacoes_acoes[Total],His_Operacoes_acoes[Fimmes],Patrimônio!B153,His_Operacoes_acoes[Operação],"Bonif.")</f>
        <v>0</v>
      </c>
      <c r="L153" s="8">
        <f>SUMIFS(His_Operacoes_BDRs[Total],His_Operacoes_BDRs[Operação],"Provento",His_Operacoes_BDRs[fimmês],Patrimônio!B153)</f>
        <v>0</v>
      </c>
      <c r="M153" s="8">
        <f>SUMIFS(His_Operacoes_FIIs[Total],His_Operacoes_FIIs[Operação],"Provento",His_Operacoes_FIIs[fimmês],Patrimônio!B153)</f>
        <v>0</v>
      </c>
      <c r="N153" s="8">
        <f t="shared" si="14"/>
        <v>0</v>
      </c>
    </row>
    <row r="154" spans="1:14" x14ac:dyDescent="0.35">
      <c r="A154" s="7">
        <v>46997</v>
      </c>
      <c r="B154" s="7">
        <f t="shared" si="11"/>
        <v>46996</v>
      </c>
      <c r="I154" s="8">
        <f t="shared" si="12"/>
        <v>0</v>
      </c>
      <c r="J154" s="8">
        <f t="shared" si="13"/>
        <v>0</v>
      </c>
      <c r="K154" s="8">
        <f>SUMIFS(His_Operacoes_acoes[Total],His_Operacoes_acoes[Fimmes],Patrimônio!B154,His_Operacoes_acoes[Operação],"JCP")
+ SUMIFS(His_Operacoes_acoes[Total],His_Operacoes_acoes[Fimmes],Patrimônio!B154,His_Operacoes_acoes[Operação],"Divid.")
+ SUMIFS(His_Operacoes_acoes[Total],His_Operacoes_acoes[Fimmes],Patrimônio!B154,His_Operacoes_acoes[Operação],"Bonif.")</f>
        <v>0</v>
      </c>
      <c r="L154" s="8">
        <f>SUMIFS(His_Operacoes_BDRs[Total],His_Operacoes_BDRs[Operação],"Provento",His_Operacoes_BDRs[fimmês],Patrimônio!B154)</f>
        <v>0</v>
      </c>
      <c r="M154" s="8">
        <f>SUMIFS(His_Operacoes_FIIs[Total],His_Operacoes_FIIs[Operação],"Provento",His_Operacoes_FIIs[fimmês],Patrimônio!B154)</f>
        <v>0</v>
      </c>
      <c r="N154" s="8">
        <f t="shared" si="14"/>
        <v>0</v>
      </c>
    </row>
    <row r="155" spans="1:14" x14ac:dyDescent="0.35">
      <c r="A155" s="7">
        <v>47027</v>
      </c>
      <c r="B155" s="7">
        <f t="shared" si="11"/>
        <v>47026</v>
      </c>
      <c r="I155" s="8">
        <f t="shared" si="12"/>
        <v>0</v>
      </c>
      <c r="J155" s="8">
        <f t="shared" si="13"/>
        <v>0</v>
      </c>
      <c r="K155" s="8">
        <f>SUMIFS(His_Operacoes_acoes[Total],His_Operacoes_acoes[Fimmes],Patrimônio!B155,His_Operacoes_acoes[Operação],"JCP")
+ SUMIFS(His_Operacoes_acoes[Total],His_Operacoes_acoes[Fimmes],Patrimônio!B155,His_Operacoes_acoes[Operação],"Divid.")
+ SUMIFS(His_Operacoes_acoes[Total],His_Operacoes_acoes[Fimmes],Patrimônio!B155,His_Operacoes_acoes[Operação],"Bonif.")</f>
        <v>0</v>
      </c>
      <c r="L155" s="8">
        <f>SUMIFS(His_Operacoes_BDRs[Total],His_Operacoes_BDRs[Operação],"Provento",His_Operacoes_BDRs[fimmês],Patrimônio!B155)</f>
        <v>0</v>
      </c>
      <c r="M155" s="8">
        <f>SUMIFS(His_Operacoes_FIIs[Total],His_Operacoes_FIIs[Operação],"Provento",His_Operacoes_FIIs[fimmês],Patrimônio!B155)</f>
        <v>0</v>
      </c>
      <c r="N155" s="8">
        <f t="shared" si="14"/>
        <v>0</v>
      </c>
    </row>
    <row r="156" spans="1:14" x14ac:dyDescent="0.35">
      <c r="A156" s="7">
        <v>47058</v>
      </c>
      <c r="B156" s="7">
        <f t="shared" si="11"/>
        <v>47057</v>
      </c>
      <c r="I156" s="8">
        <f t="shared" si="12"/>
        <v>0</v>
      </c>
      <c r="J156" s="8">
        <f t="shared" si="13"/>
        <v>0</v>
      </c>
      <c r="K156" s="8">
        <f>SUMIFS(His_Operacoes_acoes[Total],His_Operacoes_acoes[Fimmes],Patrimônio!B156,His_Operacoes_acoes[Operação],"JCP")
+ SUMIFS(His_Operacoes_acoes[Total],His_Operacoes_acoes[Fimmes],Patrimônio!B156,His_Operacoes_acoes[Operação],"Divid.")
+ SUMIFS(His_Operacoes_acoes[Total],His_Operacoes_acoes[Fimmes],Patrimônio!B156,His_Operacoes_acoes[Operação],"Bonif.")</f>
        <v>0</v>
      </c>
      <c r="L156" s="8">
        <f>SUMIFS(His_Operacoes_BDRs[Total],His_Operacoes_BDRs[Operação],"Provento",His_Operacoes_BDRs[fimmês],Patrimônio!B156)</f>
        <v>0</v>
      </c>
      <c r="M156" s="8">
        <f>SUMIFS(His_Operacoes_FIIs[Total],His_Operacoes_FIIs[Operação],"Provento",His_Operacoes_FIIs[fimmês],Patrimônio!B156)</f>
        <v>0</v>
      </c>
      <c r="N156" s="8">
        <f t="shared" si="14"/>
        <v>0</v>
      </c>
    </row>
    <row r="157" spans="1:14" x14ac:dyDescent="0.35">
      <c r="A157" s="7">
        <v>47088</v>
      </c>
      <c r="B157" s="7">
        <f t="shared" si="11"/>
        <v>47087</v>
      </c>
      <c r="I157" s="8">
        <f t="shared" si="12"/>
        <v>0</v>
      </c>
      <c r="J157" s="8">
        <f t="shared" si="13"/>
        <v>0</v>
      </c>
      <c r="K157" s="8">
        <f>SUMIFS(His_Operacoes_acoes[Total],His_Operacoes_acoes[Fimmes],Patrimônio!B157,His_Operacoes_acoes[Operação],"JCP")
+ SUMIFS(His_Operacoes_acoes[Total],His_Operacoes_acoes[Fimmes],Patrimônio!B157,His_Operacoes_acoes[Operação],"Divid.")
+ SUMIFS(His_Operacoes_acoes[Total],His_Operacoes_acoes[Fimmes],Patrimônio!B157,His_Operacoes_acoes[Operação],"Bonif.")</f>
        <v>0</v>
      </c>
      <c r="L157" s="8">
        <f>SUMIFS(His_Operacoes_BDRs[Total],His_Operacoes_BDRs[Operação],"Provento",His_Operacoes_BDRs[fimmês],Patrimônio!B157)</f>
        <v>0</v>
      </c>
      <c r="M157" s="8">
        <f>SUMIFS(His_Operacoes_FIIs[Total],His_Operacoes_FIIs[Operação],"Provento",His_Operacoes_FIIs[fimmês],Patrimônio!B157)</f>
        <v>0</v>
      </c>
      <c r="N157" s="8">
        <f t="shared" si="14"/>
        <v>0</v>
      </c>
    </row>
    <row r="158" spans="1:14" x14ac:dyDescent="0.35">
      <c r="A158" s="7">
        <v>47119</v>
      </c>
      <c r="B158" s="7">
        <f t="shared" si="11"/>
        <v>47118</v>
      </c>
      <c r="I158" s="8">
        <f t="shared" si="12"/>
        <v>0</v>
      </c>
      <c r="J158" s="8">
        <f t="shared" si="13"/>
        <v>0</v>
      </c>
      <c r="K158" s="8">
        <f>SUMIFS(His_Operacoes_acoes[Total],His_Operacoes_acoes[Fimmes],Patrimônio!B158,His_Operacoes_acoes[Operação],"JCP")
+ SUMIFS(His_Operacoes_acoes[Total],His_Operacoes_acoes[Fimmes],Patrimônio!B158,His_Operacoes_acoes[Operação],"Divid.")
+ SUMIFS(His_Operacoes_acoes[Total],His_Operacoes_acoes[Fimmes],Patrimônio!B158,His_Operacoes_acoes[Operação],"Bonif.")</f>
        <v>0</v>
      </c>
      <c r="L158" s="8">
        <f>SUMIFS(His_Operacoes_BDRs[Total],His_Operacoes_BDRs[Operação],"Provento",His_Operacoes_BDRs[fimmês],Patrimônio!B158)</f>
        <v>0</v>
      </c>
      <c r="M158" s="8">
        <f>SUMIFS(His_Operacoes_FIIs[Total],His_Operacoes_FIIs[Operação],"Provento",His_Operacoes_FIIs[fimmês],Patrimônio!B158)</f>
        <v>0</v>
      </c>
      <c r="N158" s="8">
        <f t="shared" si="14"/>
        <v>0</v>
      </c>
    </row>
    <row r="159" spans="1:14" x14ac:dyDescent="0.35">
      <c r="A159" s="7">
        <v>47150</v>
      </c>
      <c r="B159" s="7">
        <f t="shared" si="11"/>
        <v>47149</v>
      </c>
      <c r="I159" s="8">
        <f t="shared" si="12"/>
        <v>0</v>
      </c>
      <c r="J159" s="8">
        <f t="shared" si="13"/>
        <v>0</v>
      </c>
      <c r="K159" s="8">
        <f>SUMIFS(His_Operacoes_acoes[Total],His_Operacoes_acoes[Fimmes],Patrimônio!B159,His_Operacoes_acoes[Operação],"JCP")
+ SUMIFS(His_Operacoes_acoes[Total],His_Operacoes_acoes[Fimmes],Patrimônio!B159,His_Operacoes_acoes[Operação],"Divid.")
+ SUMIFS(His_Operacoes_acoes[Total],His_Operacoes_acoes[Fimmes],Patrimônio!B159,His_Operacoes_acoes[Operação],"Bonif.")</f>
        <v>0</v>
      </c>
      <c r="L159" s="8">
        <f>SUMIFS(His_Operacoes_BDRs[Total],His_Operacoes_BDRs[Operação],"Provento",His_Operacoes_BDRs[fimmês],Patrimônio!B159)</f>
        <v>0</v>
      </c>
      <c r="M159" s="8">
        <f>SUMIFS(His_Operacoes_FIIs[Total],His_Operacoes_FIIs[Operação],"Provento",His_Operacoes_FIIs[fimmês],Patrimônio!B159)</f>
        <v>0</v>
      </c>
      <c r="N159" s="8">
        <f t="shared" si="14"/>
        <v>0</v>
      </c>
    </row>
    <row r="160" spans="1:14" x14ac:dyDescent="0.35">
      <c r="A160" s="7">
        <v>47178</v>
      </c>
      <c r="B160" s="7">
        <f t="shared" si="11"/>
        <v>47177</v>
      </c>
      <c r="I160" s="8">
        <f t="shared" si="12"/>
        <v>0</v>
      </c>
      <c r="J160" s="8">
        <f t="shared" si="13"/>
        <v>0</v>
      </c>
      <c r="K160" s="8">
        <f>SUMIFS(His_Operacoes_acoes[Total],His_Operacoes_acoes[Fimmes],Patrimônio!B160,His_Operacoes_acoes[Operação],"JCP")
+ SUMIFS(His_Operacoes_acoes[Total],His_Operacoes_acoes[Fimmes],Patrimônio!B160,His_Operacoes_acoes[Operação],"Divid.")
+ SUMIFS(His_Operacoes_acoes[Total],His_Operacoes_acoes[Fimmes],Patrimônio!B160,His_Operacoes_acoes[Operação],"Bonif.")</f>
        <v>0</v>
      </c>
      <c r="L160" s="8">
        <f>SUMIFS(His_Operacoes_BDRs[Total],His_Operacoes_BDRs[Operação],"Provento",His_Operacoes_BDRs[fimmês],Patrimônio!B160)</f>
        <v>0</v>
      </c>
      <c r="M160" s="8">
        <f>SUMIFS(His_Operacoes_FIIs[Total],His_Operacoes_FIIs[Operação],"Provento",His_Operacoes_FIIs[fimmês],Patrimônio!B160)</f>
        <v>0</v>
      </c>
      <c r="N160" s="8">
        <f t="shared" si="14"/>
        <v>0</v>
      </c>
    </row>
    <row r="161" spans="1:14" x14ac:dyDescent="0.35">
      <c r="A161" s="7">
        <v>47209</v>
      </c>
      <c r="B161" s="7">
        <f t="shared" si="11"/>
        <v>47208</v>
      </c>
      <c r="I161" s="8">
        <f t="shared" si="12"/>
        <v>0</v>
      </c>
      <c r="J161" s="8">
        <f t="shared" si="13"/>
        <v>0</v>
      </c>
      <c r="K161" s="8">
        <f>SUMIFS(His_Operacoes_acoes[Total],His_Operacoes_acoes[Fimmes],Patrimônio!B161,His_Operacoes_acoes[Operação],"JCP")
+ SUMIFS(His_Operacoes_acoes[Total],His_Operacoes_acoes[Fimmes],Patrimônio!B161,His_Operacoes_acoes[Operação],"Divid.")
+ SUMIFS(His_Operacoes_acoes[Total],His_Operacoes_acoes[Fimmes],Patrimônio!B161,His_Operacoes_acoes[Operação],"Bonif.")</f>
        <v>0</v>
      </c>
      <c r="L161" s="8">
        <f>SUMIFS(His_Operacoes_BDRs[Total],His_Operacoes_BDRs[Operação],"Provento",His_Operacoes_BDRs[fimmês],Patrimônio!B161)</f>
        <v>0</v>
      </c>
      <c r="M161" s="8">
        <f>SUMIFS(His_Operacoes_FIIs[Total],His_Operacoes_FIIs[Operação],"Provento",His_Operacoes_FIIs[fimmês],Patrimônio!B161)</f>
        <v>0</v>
      </c>
      <c r="N161" s="8">
        <f t="shared" si="14"/>
        <v>0</v>
      </c>
    </row>
    <row r="162" spans="1:14" x14ac:dyDescent="0.35">
      <c r="A162" s="7">
        <v>47239</v>
      </c>
      <c r="B162" s="7">
        <f t="shared" si="11"/>
        <v>47238</v>
      </c>
      <c r="I162" s="8">
        <f t="shared" si="12"/>
        <v>0</v>
      </c>
      <c r="J162" s="8">
        <f t="shared" si="13"/>
        <v>0</v>
      </c>
      <c r="K162" s="8">
        <f>SUMIFS(His_Operacoes_acoes[Total],His_Operacoes_acoes[Fimmes],Patrimônio!B162,His_Operacoes_acoes[Operação],"JCP")
+ SUMIFS(His_Operacoes_acoes[Total],His_Operacoes_acoes[Fimmes],Patrimônio!B162,His_Operacoes_acoes[Operação],"Divid.")
+ SUMIFS(His_Operacoes_acoes[Total],His_Operacoes_acoes[Fimmes],Patrimônio!B162,His_Operacoes_acoes[Operação],"Bonif.")</f>
        <v>0</v>
      </c>
      <c r="L162" s="8">
        <f>SUMIFS(His_Operacoes_BDRs[Total],His_Operacoes_BDRs[Operação],"Provento",His_Operacoes_BDRs[fimmês],Patrimônio!B162)</f>
        <v>0</v>
      </c>
      <c r="M162" s="8">
        <f>SUMIFS(His_Operacoes_FIIs[Total],His_Operacoes_FIIs[Operação],"Provento",His_Operacoes_FIIs[fimmês],Patrimônio!B162)</f>
        <v>0</v>
      </c>
      <c r="N162" s="8">
        <f t="shared" si="14"/>
        <v>0</v>
      </c>
    </row>
    <row r="163" spans="1:14" x14ac:dyDescent="0.35">
      <c r="A163" s="7">
        <v>47270</v>
      </c>
      <c r="B163" s="7">
        <f t="shared" si="11"/>
        <v>47269</v>
      </c>
      <c r="I163" s="8">
        <f t="shared" si="12"/>
        <v>0</v>
      </c>
      <c r="J163" s="8">
        <f t="shared" si="13"/>
        <v>0</v>
      </c>
      <c r="K163" s="8">
        <f>SUMIFS(His_Operacoes_acoes[Total],His_Operacoes_acoes[Fimmes],Patrimônio!B163,His_Operacoes_acoes[Operação],"JCP")
+ SUMIFS(His_Operacoes_acoes[Total],His_Operacoes_acoes[Fimmes],Patrimônio!B163,His_Operacoes_acoes[Operação],"Divid.")
+ SUMIFS(His_Operacoes_acoes[Total],His_Operacoes_acoes[Fimmes],Patrimônio!B163,His_Operacoes_acoes[Operação],"Bonif.")</f>
        <v>0</v>
      </c>
      <c r="L163" s="8">
        <f>SUMIFS(His_Operacoes_BDRs[Total],His_Operacoes_BDRs[Operação],"Provento",His_Operacoes_BDRs[fimmês],Patrimônio!B163)</f>
        <v>0</v>
      </c>
      <c r="M163" s="8">
        <f>SUMIFS(His_Operacoes_FIIs[Total],His_Operacoes_FIIs[Operação],"Provento",His_Operacoes_FIIs[fimmês],Patrimônio!B163)</f>
        <v>0</v>
      </c>
      <c r="N163" s="8">
        <f t="shared" si="14"/>
        <v>0</v>
      </c>
    </row>
    <row r="164" spans="1:14" x14ac:dyDescent="0.35">
      <c r="A164" s="7">
        <v>47300</v>
      </c>
      <c r="B164" s="7">
        <f t="shared" si="11"/>
        <v>47299</v>
      </c>
      <c r="I164" s="8">
        <f t="shared" si="12"/>
        <v>0</v>
      </c>
      <c r="J164" s="8">
        <f t="shared" si="13"/>
        <v>0</v>
      </c>
      <c r="K164" s="8">
        <f>SUMIFS(His_Operacoes_acoes[Total],His_Operacoes_acoes[Fimmes],Patrimônio!B164,His_Operacoes_acoes[Operação],"JCP")
+ SUMIFS(His_Operacoes_acoes[Total],His_Operacoes_acoes[Fimmes],Patrimônio!B164,His_Operacoes_acoes[Operação],"Divid.")
+ SUMIFS(His_Operacoes_acoes[Total],His_Operacoes_acoes[Fimmes],Patrimônio!B164,His_Operacoes_acoes[Operação],"Bonif.")</f>
        <v>0</v>
      </c>
      <c r="L164" s="8">
        <f>SUMIFS(His_Operacoes_BDRs[Total],His_Operacoes_BDRs[Operação],"Provento",His_Operacoes_BDRs[fimmês],Patrimônio!B164)</f>
        <v>0</v>
      </c>
      <c r="M164" s="8">
        <f>SUMIFS(His_Operacoes_FIIs[Total],His_Operacoes_FIIs[Operação],"Provento",His_Operacoes_FIIs[fimmês],Patrimônio!B164)</f>
        <v>0</v>
      </c>
      <c r="N164" s="8">
        <f t="shared" si="14"/>
        <v>0</v>
      </c>
    </row>
    <row r="165" spans="1:14" x14ac:dyDescent="0.35">
      <c r="A165" s="7">
        <v>47331</v>
      </c>
      <c r="B165" s="7">
        <f t="shared" si="11"/>
        <v>47330</v>
      </c>
      <c r="I165" s="8">
        <f t="shared" si="12"/>
        <v>0</v>
      </c>
      <c r="J165" s="8">
        <f t="shared" si="13"/>
        <v>0</v>
      </c>
      <c r="K165" s="8">
        <f>SUMIFS(His_Operacoes_acoes[Total],His_Operacoes_acoes[Fimmes],Patrimônio!B165,His_Operacoes_acoes[Operação],"JCP")
+ SUMIFS(His_Operacoes_acoes[Total],His_Operacoes_acoes[Fimmes],Patrimônio!B165,His_Operacoes_acoes[Operação],"Divid.")
+ SUMIFS(His_Operacoes_acoes[Total],His_Operacoes_acoes[Fimmes],Patrimônio!B165,His_Operacoes_acoes[Operação],"Bonif.")</f>
        <v>0</v>
      </c>
      <c r="L165" s="8">
        <f>SUMIFS(His_Operacoes_BDRs[Total],His_Operacoes_BDRs[Operação],"Provento",His_Operacoes_BDRs[fimmês],Patrimônio!B165)</f>
        <v>0</v>
      </c>
      <c r="M165" s="8">
        <f>SUMIFS(His_Operacoes_FIIs[Total],His_Operacoes_FIIs[Operação],"Provento",His_Operacoes_FIIs[fimmês],Patrimônio!B165)</f>
        <v>0</v>
      </c>
      <c r="N165" s="8">
        <f t="shared" si="14"/>
        <v>0</v>
      </c>
    </row>
    <row r="166" spans="1:14" x14ac:dyDescent="0.35">
      <c r="A166" s="7">
        <v>47362</v>
      </c>
      <c r="B166" s="7">
        <f t="shared" si="11"/>
        <v>47361</v>
      </c>
      <c r="I166" s="8">
        <f t="shared" si="12"/>
        <v>0</v>
      </c>
      <c r="J166" s="8">
        <f t="shared" si="13"/>
        <v>0</v>
      </c>
      <c r="K166" s="8">
        <f>SUMIFS(His_Operacoes_acoes[Total],His_Operacoes_acoes[Fimmes],Patrimônio!B166,His_Operacoes_acoes[Operação],"JCP")
+ SUMIFS(His_Operacoes_acoes[Total],His_Operacoes_acoes[Fimmes],Patrimônio!B166,His_Operacoes_acoes[Operação],"Divid.")
+ SUMIFS(His_Operacoes_acoes[Total],His_Operacoes_acoes[Fimmes],Patrimônio!B166,His_Operacoes_acoes[Operação],"Bonif.")</f>
        <v>0</v>
      </c>
      <c r="L166" s="8">
        <f>SUMIFS(His_Operacoes_BDRs[Total],His_Operacoes_BDRs[Operação],"Provento",His_Operacoes_BDRs[fimmês],Patrimônio!B166)</f>
        <v>0</v>
      </c>
      <c r="M166" s="8">
        <f>SUMIFS(His_Operacoes_FIIs[Total],His_Operacoes_FIIs[Operação],"Provento",His_Operacoes_FIIs[fimmês],Patrimônio!B166)</f>
        <v>0</v>
      </c>
      <c r="N166" s="8">
        <f t="shared" si="14"/>
        <v>0</v>
      </c>
    </row>
    <row r="167" spans="1:14" x14ac:dyDescent="0.35">
      <c r="A167" s="7">
        <v>47392</v>
      </c>
      <c r="B167" s="7">
        <f t="shared" si="11"/>
        <v>47391</v>
      </c>
      <c r="I167" s="8">
        <f t="shared" si="12"/>
        <v>0</v>
      </c>
      <c r="J167" s="8">
        <f t="shared" si="13"/>
        <v>0</v>
      </c>
      <c r="K167" s="8">
        <f>SUMIFS(His_Operacoes_acoes[Total],His_Operacoes_acoes[Fimmes],Patrimônio!B167,His_Operacoes_acoes[Operação],"JCP")
+ SUMIFS(His_Operacoes_acoes[Total],His_Operacoes_acoes[Fimmes],Patrimônio!B167,His_Operacoes_acoes[Operação],"Divid.")
+ SUMIFS(His_Operacoes_acoes[Total],His_Operacoes_acoes[Fimmes],Patrimônio!B167,His_Operacoes_acoes[Operação],"Bonif.")</f>
        <v>0</v>
      </c>
      <c r="L167" s="8">
        <f>SUMIFS(His_Operacoes_BDRs[Total],His_Operacoes_BDRs[Operação],"Provento",His_Operacoes_BDRs[fimmês],Patrimônio!B167)</f>
        <v>0</v>
      </c>
      <c r="M167" s="8">
        <f>SUMIFS(His_Operacoes_FIIs[Total],His_Operacoes_FIIs[Operação],"Provento",His_Operacoes_FIIs[fimmês],Patrimônio!B167)</f>
        <v>0</v>
      </c>
      <c r="N167" s="8">
        <f t="shared" si="14"/>
        <v>0</v>
      </c>
    </row>
    <row r="168" spans="1:14" x14ac:dyDescent="0.35">
      <c r="A168" s="7">
        <v>47423</v>
      </c>
      <c r="B168" s="7">
        <f t="shared" si="11"/>
        <v>47422</v>
      </c>
      <c r="I168" s="8">
        <f t="shared" si="12"/>
        <v>0</v>
      </c>
      <c r="J168" s="8">
        <f t="shared" si="13"/>
        <v>0</v>
      </c>
      <c r="K168" s="8">
        <f>SUMIFS(His_Operacoes_acoes[Total],His_Operacoes_acoes[Fimmes],Patrimônio!B168,His_Operacoes_acoes[Operação],"JCP")
+ SUMIFS(His_Operacoes_acoes[Total],His_Operacoes_acoes[Fimmes],Patrimônio!B168,His_Operacoes_acoes[Operação],"Divid.")
+ SUMIFS(His_Operacoes_acoes[Total],His_Operacoes_acoes[Fimmes],Patrimônio!B168,His_Operacoes_acoes[Operação],"Bonif.")</f>
        <v>0</v>
      </c>
      <c r="L168" s="8">
        <f>SUMIFS(His_Operacoes_BDRs[Total],His_Operacoes_BDRs[Operação],"Provento",His_Operacoes_BDRs[fimmês],Patrimônio!B168)</f>
        <v>0</v>
      </c>
      <c r="M168" s="8">
        <f>SUMIFS(His_Operacoes_FIIs[Total],His_Operacoes_FIIs[Operação],"Provento",His_Operacoes_FIIs[fimmês],Patrimônio!B168)</f>
        <v>0</v>
      </c>
      <c r="N168" s="8">
        <f t="shared" si="14"/>
        <v>0</v>
      </c>
    </row>
    <row r="169" spans="1:14" x14ac:dyDescent="0.35">
      <c r="A169" s="7">
        <v>47453</v>
      </c>
      <c r="B169" s="7">
        <f t="shared" si="11"/>
        <v>47452</v>
      </c>
      <c r="I169" s="8">
        <f t="shared" si="12"/>
        <v>0</v>
      </c>
      <c r="J169" s="8">
        <f t="shared" si="13"/>
        <v>0</v>
      </c>
      <c r="K169" s="8">
        <f>SUMIFS(His_Operacoes_acoes[Total],His_Operacoes_acoes[Fimmes],Patrimônio!B169,His_Operacoes_acoes[Operação],"JCP")
+ SUMIFS(His_Operacoes_acoes[Total],His_Operacoes_acoes[Fimmes],Patrimônio!B169,His_Operacoes_acoes[Operação],"Divid.")
+ SUMIFS(His_Operacoes_acoes[Total],His_Operacoes_acoes[Fimmes],Patrimônio!B169,His_Operacoes_acoes[Operação],"Bonif.")</f>
        <v>0</v>
      </c>
      <c r="L169" s="8">
        <f>SUMIFS(His_Operacoes_BDRs[Total],His_Operacoes_BDRs[Operação],"Provento",His_Operacoes_BDRs[fimmês],Patrimônio!B169)</f>
        <v>0</v>
      </c>
      <c r="M169" s="8">
        <f>SUMIFS(His_Operacoes_FIIs[Total],His_Operacoes_FIIs[Operação],"Provento",His_Operacoes_FIIs[fimmês],Patrimônio!B169)</f>
        <v>0</v>
      </c>
      <c r="N169" s="8">
        <f t="shared" si="14"/>
        <v>0</v>
      </c>
    </row>
    <row r="170" spans="1:14" x14ac:dyDescent="0.35">
      <c r="A170" s="7">
        <v>47484</v>
      </c>
      <c r="B170" s="7">
        <f t="shared" si="11"/>
        <v>47483</v>
      </c>
      <c r="I170" s="8">
        <f t="shared" si="12"/>
        <v>0</v>
      </c>
      <c r="J170" s="8">
        <f t="shared" si="13"/>
        <v>0</v>
      </c>
      <c r="K170" s="8">
        <f>SUMIFS(His_Operacoes_acoes[Total],His_Operacoes_acoes[Fimmes],Patrimônio!B170,His_Operacoes_acoes[Operação],"JCP")
+ SUMIFS(His_Operacoes_acoes[Total],His_Operacoes_acoes[Fimmes],Patrimônio!B170,His_Operacoes_acoes[Operação],"Divid.")
+ SUMIFS(His_Operacoes_acoes[Total],His_Operacoes_acoes[Fimmes],Patrimônio!B170,His_Operacoes_acoes[Operação],"Bonif.")</f>
        <v>0</v>
      </c>
      <c r="L170" s="8">
        <f>SUMIFS(His_Operacoes_BDRs[Total],His_Operacoes_BDRs[Operação],"Provento",His_Operacoes_BDRs[fimmês],Patrimônio!B170)</f>
        <v>0</v>
      </c>
      <c r="M170" s="8">
        <f>SUMIFS(His_Operacoes_FIIs[Total],His_Operacoes_FIIs[Operação],"Provento",His_Operacoes_FIIs[fimmês],Patrimônio!B170)</f>
        <v>0</v>
      </c>
      <c r="N170" s="8">
        <f t="shared" si="14"/>
        <v>0</v>
      </c>
    </row>
    <row r="171" spans="1:14" x14ac:dyDescent="0.35">
      <c r="A171" s="7">
        <v>47515</v>
      </c>
      <c r="B171" s="7">
        <f t="shared" si="11"/>
        <v>47514</v>
      </c>
      <c r="I171" s="8">
        <f t="shared" si="12"/>
        <v>0</v>
      </c>
      <c r="J171" s="8">
        <f t="shared" si="13"/>
        <v>0</v>
      </c>
      <c r="K171" s="8">
        <f>SUMIFS(His_Operacoes_acoes[Total],His_Operacoes_acoes[Fimmes],Patrimônio!B171,His_Operacoes_acoes[Operação],"JCP")
+ SUMIFS(His_Operacoes_acoes[Total],His_Operacoes_acoes[Fimmes],Patrimônio!B171,His_Operacoes_acoes[Operação],"Divid.")
+ SUMIFS(His_Operacoes_acoes[Total],His_Operacoes_acoes[Fimmes],Patrimônio!B171,His_Operacoes_acoes[Operação],"Bonif.")</f>
        <v>0</v>
      </c>
      <c r="L171" s="8">
        <f>SUMIFS(His_Operacoes_BDRs[Total],His_Operacoes_BDRs[Operação],"Provento",His_Operacoes_BDRs[fimmês],Patrimônio!B171)</f>
        <v>0</v>
      </c>
      <c r="M171" s="8">
        <f>SUMIFS(His_Operacoes_FIIs[Total],His_Operacoes_FIIs[Operação],"Provento",His_Operacoes_FIIs[fimmês],Patrimônio!B171)</f>
        <v>0</v>
      </c>
      <c r="N171" s="8">
        <f t="shared" si="14"/>
        <v>0</v>
      </c>
    </row>
    <row r="172" spans="1:14" x14ac:dyDescent="0.35">
      <c r="A172" s="7">
        <v>47543</v>
      </c>
      <c r="B172" s="7">
        <f t="shared" si="11"/>
        <v>47542</v>
      </c>
      <c r="I172" s="8">
        <f t="shared" si="12"/>
        <v>0</v>
      </c>
      <c r="J172" s="8">
        <f t="shared" si="13"/>
        <v>0</v>
      </c>
      <c r="K172" s="8">
        <f>SUMIFS(His_Operacoes_acoes[Total],His_Operacoes_acoes[Fimmes],Patrimônio!B172,His_Operacoes_acoes[Operação],"JCP")
+ SUMIFS(His_Operacoes_acoes[Total],His_Operacoes_acoes[Fimmes],Patrimônio!B172,His_Operacoes_acoes[Operação],"Divid.")
+ SUMIFS(His_Operacoes_acoes[Total],His_Operacoes_acoes[Fimmes],Patrimônio!B172,His_Operacoes_acoes[Operação],"Bonif.")</f>
        <v>0</v>
      </c>
      <c r="L172" s="8">
        <f>SUMIFS(His_Operacoes_BDRs[Total],His_Operacoes_BDRs[Operação],"Provento",His_Operacoes_BDRs[fimmês],Patrimônio!B172)</f>
        <v>0</v>
      </c>
      <c r="M172" s="8">
        <f>SUMIFS(His_Operacoes_FIIs[Total],His_Operacoes_FIIs[Operação],"Provento",His_Operacoes_FIIs[fimmês],Patrimônio!B172)</f>
        <v>0</v>
      </c>
      <c r="N172" s="8">
        <f t="shared" si="14"/>
        <v>0</v>
      </c>
    </row>
    <row r="173" spans="1:14" x14ac:dyDescent="0.35">
      <c r="A173" s="7">
        <v>47574</v>
      </c>
      <c r="B173" s="7">
        <f t="shared" si="11"/>
        <v>47573</v>
      </c>
      <c r="I173" s="8">
        <f t="shared" si="12"/>
        <v>0</v>
      </c>
      <c r="J173" s="8">
        <f t="shared" si="13"/>
        <v>0</v>
      </c>
      <c r="K173" s="8">
        <f>SUMIFS(His_Operacoes_acoes[Total],His_Operacoes_acoes[Fimmes],Patrimônio!B173,His_Operacoes_acoes[Operação],"JCP")
+ SUMIFS(His_Operacoes_acoes[Total],His_Operacoes_acoes[Fimmes],Patrimônio!B173,His_Operacoes_acoes[Operação],"Divid.")
+ SUMIFS(His_Operacoes_acoes[Total],His_Operacoes_acoes[Fimmes],Patrimônio!B173,His_Operacoes_acoes[Operação],"Bonif.")</f>
        <v>0</v>
      </c>
      <c r="L173" s="8">
        <f>SUMIFS(His_Operacoes_BDRs[Total],His_Operacoes_BDRs[Operação],"Provento",His_Operacoes_BDRs[fimmês],Patrimônio!B173)</f>
        <v>0</v>
      </c>
      <c r="M173" s="8">
        <f>SUMIFS(His_Operacoes_FIIs[Total],His_Operacoes_FIIs[Operação],"Provento",His_Operacoes_FIIs[fimmês],Patrimônio!B173)</f>
        <v>0</v>
      </c>
      <c r="N173" s="8">
        <f t="shared" si="14"/>
        <v>0</v>
      </c>
    </row>
    <row r="174" spans="1:14" x14ac:dyDescent="0.35">
      <c r="A174" s="7">
        <v>47604</v>
      </c>
      <c r="B174" s="7">
        <f t="shared" si="11"/>
        <v>47603</v>
      </c>
      <c r="I174" s="8">
        <f t="shared" si="12"/>
        <v>0</v>
      </c>
      <c r="J174" s="8">
        <f t="shared" si="13"/>
        <v>0</v>
      </c>
      <c r="K174" s="8">
        <f>SUMIFS(His_Operacoes_acoes[Total],His_Operacoes_acoes[Fimmes],Patrimônio!B174,His_Operacoes_acoes[Operação],"JCP")
+ SUMIFS(His_Operacoes_acoes[Total],His_Operacoes_acoes[Fimmes],Patrimônio!B174,His_Operacoes_acoes[Operação],"Divid.")
+ SUMIFS(His_Operacoes_acoes[Total],His_Operacoes_acoes[Fimmes],Patrimônio!B174,His_Operacoes_acoes[Operação],"Bonif.")</f>
        <v>0</v>
      </c>
      <c r="L174" s="8">
        <f>SUMIFS(His_Operacoes_BDRs[Total],His_Operacoes_BDRs[Operação],"Provento",His_Operacoes_BDRs[fimmês],Patrimônio!B174)</f>
        <v>0</v>
      </c>
      <c r="M174" s="8">
        <f>SUMIFS(His_Operacoes_FIIs[Total],His_Operacoes_FIIs[Operação],"Provento",His_Operacoes_FIIs[fimmês],Patrimônio!B174)</f>
        <v>0</v>
      </c>
      <c r="N174" s="8">
        <f t="shared" si="14"/>
        <v>0</v>
      </c>
    </row>
    <row r="175" spans="1:14" x14ac:dyDescent="0.35">
      <c r="A175" s="7">
        <v>47635</v>
      </c>
      <c r="B175" s="7">
        <f t="shared" si="11"/>
        <v>47634</v>
      </c>
      <c r="I175" s="8">
        <f t="shared" si="12"/>
        <v>0</v>
      </c>
      <c r="J175" s="8">
        <f t="shared" si="13"/>
        <v>0</v>
      </c>
      <c r="K175" s="8">
        <f>SUMIFS(His_Operacoes_acoes[Total],His_Operacoes_acoes[Fimmes],Patrimônio!B175,His_Operacoes_acoes[Operação],"JCP")
+ SUMIFS(His_Operacoes_acoes[Total],His_Operacoes_acoes[Fimmes],Patrimônio!B175,His_Operacoes_acoes[Operação],"Divid.")
+ SUMIFS(His_Operacoes_acoes[Total],His_Operacoes_acoes[Fimmes],Patrimônio!B175,His_Operacoes_acoes[Operação],"Bonif.")</f>
        <v>0</v>
      </c>
      <c r="L175" s="8">
        <f>SUMIFS(His_Operacoes_BDRs[Total],His_Operacoes_BDRs[Operação],"Provento",His_Operacoes_BDRs[fimmês],Patrimônio!B175)</f>
        <v>0</v>
      </c>
      <c r="M175" s="8">
        <f>SUMIFS(His_Operacoes_FIIs[Total],His_Operacoes_FIIs[Operação],"Provento",His_Operacoes_FIIs[fimmês],Patrimônio!B175)</f>
        <v>0</v>
      </c>
      <c r="N175" s="8">
        <f t="shared" si="14"/>
        <v>0</v>
      </c>
    </row>
    <row r="176" spans="1:14" x14ac:dyDescent="0.35">
      <c r="A176" s="7">
        <v>47665</v>
      </c>
      <c r="B176" s="7">
        <f t="shared" si="11"/>
        <v>47664</v>
      </c>
      <c r="I176" s="8">
        <f t="shared" si="12"/>
        <v>0</v>
      </c>
      <c r="J176" s="8">
        <f t="shared" si="13"/>
        <v>0</v>
      </c>
      <c r="K176" s="8">
        <f>SUMIFS(His_Operacoes_acoes[Total],His_Operacoes_acoes[Fimmes],Patrimônio!B176,His_Operacoes_acoes[Operação],"JCP")
+ SUMIFS(His_Operacoes_acoes[Total],His_Operacoes_acoes[Fimmes],Patrimônio!B176,His_Operacoes_acoes[Operação],"Divid.")
+ SUMIFS(His_Operacoes_acoes[Total],His_Operacoes_acoes[Fimmes],Patrimônio!B176,His_Operacoes_acoes[Operação],"Bonif.")</f>
        <v>0</v>
      </c>
      <c r="L176" s="8">
        <f>SUMIFS(His_Operacoes_BDRs[Total],His_Operacoes_BDRs[Operação],"Provento",His_Operacoes_BDRs[fimmês],Patrimônio!B176)</f>
        <v>0</v>
      </c>
      <c r="M176" s="8">
        <f>SUMIFS(His_Operacoes_FIIs[Total],His_Operacoes_FIIs[Operação],"Provento",His_Operacoes_FIIs[fimmês],Patrimônio!B176)</f>
        <v>0</v>
      </c>
      <c r="N176" s="8">
        <f t="shared" si="14"/>
        <v>0</v>
      </c>
    </row>
    <row r="177" spans="1:14" x14ac:dyDescent="0.35">
      <c r="A177" s="7">
        <v>47696</v>
      </c>
      <c r="B177" s="7">
        <f t="shared" si="11"/>
        <v>47695</v>
      </c>
      <c r="I177" s="8">
        <f t="shared" si="12"/>
        <v>0</v>
      </c>
      <c r="J177" s="8">
        <f t="shared" si="13"/>
        <v>0</v>
      </c>
      <c r="K177" s="8">
        <f>SUMIFS(His_Operacoes_acoes[Total],His_Operacoes_acoes[Fimmes],Patrimônio!B177,His_Operacoes_acoes[Operação],"JCP")
+ SUMIFS(His_Operacoes_acoes[Total],His_Operacoes_acoes[Fimmes],Patrimônio!B177,His_Operacoes_acoes[Operação],"Divid.")
+ SUMIFS(His_Operacoes_acoes[Total],His_Operacoes_acoes[Fimmes],Patrimônio!B177,His_Operacoes_acoes[Operação],"Bonif.")</f>
        <v>0</v>
      </c>
      <c r="L177" s="8">
        <f>SUMIFS(His_Operacoes_BDRs[Total],His_Operacoes_BDRs[Operação],"Provento",His_Operacoes_BDRs[fimmês],Patrimônio!B177)</f>
        <v>0</v>
      </c>
      <c r="M177" s="8">
        <f>SUMIFS(His_Operacoes_FIIs[Total],His_Operacoes_FIIs[Operação],"Provento",His_Operacoes_FIIs[fimmês],Patrimônio!B177)</f>
        <v>0</v>
      </c>
      <c r="N177" s="8">
        <f t="shared" si="14"/>
        <v>0</v>
      </c>
    </row>
    <row r="178" spans="1:14" x14ac:dyDescent="0.35">
      <c r="A178" s="7">
        <v>47727</v>
      </c>
      <c r="B178" s="7">
        <f t="shared" si="11"/>
        <v>47726</v>
      </c>
      <c r="I178" s="8">
        <f t="shared" si="12"/>
        <v>0</v>
      </c>
      <c r="J178" s="8">
        <f t="shared" si="13"/>
        <v>0</v>
      </c>
      <c r="K178" s="8">
        <f>SUMIFS(His_Operacoes_acoes[Total],His_Operacoes_acoes[Fimmes],Patrimônio!B178,His_Operacoes_acoes[Operação],"JCP")
+ SUMIFS(His_Operacoes_acoes[Total],His_Operacoes_acoes[Fimmes],Patrimônio!B178,His_Operacoes_acoes[Operação],"Divid.")
+ SUMIFS(His_Operacoes_acoes[Total],His_Operacoes_acoes[Fimmes],Patrimônio!B178,His_Operacoes_acoes[Operação],"Bonif.")</f>
        <v>0</v>
      </c>
      <c r="L178" s="8">
        <f>SUMIFS(His_Operacoes_BDRs[Total],His_Operacoes_BDRs[Operação],"Provento",His_Operacoes_BDRs[fimmês],Patrimônio!B178)</f>
        <v>0</v>
      </c>
      <c r="M178" s="8">
        <f>SUMIFS(His_Operacoes_FIIs[Total],His_Operacoes_FIIs[Operação],"Provento",His_Operacoes_FIIs[fimmês],Patrimônio!B178)</f>
        <v>0</v>
      </c>
      <c r="N178" s="8">
        <f t="shared" si="14"/>
        <v>0</v>
      </c>
    </row>
    <row r="179" spans="1:14" x14ac:dyDescent="0.35">
      <c r="A179" s="7">
        <v>47757</v>
      </c>
      <c r="B179" s="7">
        <f t="shared" si="11"/>
        <v>47756</v>
      </c>
      <c r="I179" s="8">
        <f t="shared" si="12"/>
        <v>0</v>
      </c>
      <c r="J179" s="8">
        <f t="shared" si="13"/>
        <v>0</v>
      </c>
      <c r="K179" s="8">
        <f>SUMIFS(His_Operacoes_acoes[Total],His_Operacoes_acoes[Fimmes],Patrimônio!B179,His_Operacoes_acoes[Operação],"JCP")
+ SUMIFS(His_Operacoes_acoes[Total],His_Operacoes_acoes[Fimmes],Patrimônio!B179,His_Operacoes_acoes[Operação],"Divid.")
+ SUMIFS(His_Operacoes_acoes[Total],His_Operacoes_acoes[Fimmes],Patrimônio!B179,His_Operacoes_acoes[Operação],"Bonif.")</f>
        <v>0</v>
      </c>
      <c r="L179" s="8">
        <f>SUMIFS(His_Operacoes_BDRs[Total],His_Operacoes_BDRs[Operação],"Provento",His_Operacoes_BDRs[fimmês],Patrimônio!B179)</f>
        <v>0</v>
      </c>
      <c r="M179" s="8">
        <f>SUMIFS(His_Operacoes_FIIs[Total],His_Operacoes_FIIs[Operação],"Provento",His_Operacoes_FIIs[fimmês],Patrimônio!B179)</f>
        <v>0</v>
      </c>
      <c r="N179" s="8">
        <f t="shared" si="14"/>
        <v>0</v>
      </c>
    </row>
    <row r="180" spans="1:14" x14ac:dyDescent="0.35">
      <c r="A180" s="7">
        <v>47788</v>
      </c>
      <c r="B180" s="7">
        <f t="shared" si="11"/>
        <v>47787</v>
      </c>
      <c r="I180" s="8">
        <f t="shared" si="12"/>
        <v>0</v>
      </c>
      <c r="J180" s="8">
        <f t="shared" si="13"/>
        <v>0</v>
      </c>
      <c r="K180" s="8">
        <f>SUMIFS(His_Operacoes_acoes[Total],His_Operacoes_acoes[Fimmes],Patrimônio!B180,His_Operacoes_acoes[Operação],"JCP")
+ SUMIFS(His_Operacoes_acoes[Total],His_Operacoes_acoes[Fimmes],Patrimônio!B180,His_Operacoes_acoes[Operação],"Divid.")
+ SUMIFS(His_Operacoes_acoes[Total],His_Operacoes_acoes[Fimmes],Patrimônio!B180,His_Operacoes_acoes[Operação],"Bonif.")</f>
        <v>0</v>
      </c>
      <c r="L180" s="8">
        <f>SUMIFS(His_Operacoes_BDRs[Total],His_Operacoes_BDRs[Operação],"Provento",His_Operacoes_BDRs[fimmês],Patrimônio!B180)</f>
        <v>0</v>
      </c>
      <c r="M180" s="8">
        <f>SUMIFS(His_Operacoes_FIIs[Total],His_Operacoes_FIIs[Operação],"Provento",His_Operacoes_FIIs[fimmês],Patrimônio!B180)</f>
        <v>0</v>
      </c>
      <c r="N180" s="8">
        <f t="shared" si="14"/>
        <v>0</v>
      </c>
    </row>
    <row r="181" spans="1:14" x14ac:dyDescent="0.35">
      <c r="A181" s="7">
        <v>47818</v>
      </c>
      <c r="B181" s="7">
        <f t="shared" si="11"/>
        <v>47817</v>
      </c>
      <c r="I181" s="8">
        <f t="shared" si="12"/>
        <v>0</v>
      </c>
      <c r="J181" s="8">
        <f t="shared" si="13"/>
        <v>0</v>
      </c>
      <c r="K181" s="8">
        <f>SUMIFS(His_Operacoes_acoes[Total],His_Operacoes_acoes[Fimmes],Patrimônio!B181,His_Operacoes_acoes[Operação],"JCP")
+ SUMIFS(His_Operacoes_acoes[Total],His_Operacoes_acoes[Fimmes],Patrimônio!B181,His_Operacoes_acoes[Operação],"Divid.")
+ SUMIFS(His_Operacoes_acoes[Total],His_Operacoes_acoes[Fimmes],Patrimônio!B181,His_Operacoes_acoes[Operação],"Bonif.")</f>
        <v>0</v>
      </c>
      <c r="L181" s="8">
        <f>SUMIFS(His_Operacoes_BDRs[Total],His_Operacoes_BDRs[Operação],"Provento",His_Operacoes_BDRs[fimmês],Patrimônio!B181)</f>
        <v>0</v>
      </c>
      <c r="M181" s="8">
        <f>SUMIFS(His_Operacoes_FIIs[Total],His_Operacoes_FIIs[Operação],"Provento",His_Operacoes_FIIs[fimmês],Patrimônio!B181)</f>
        <v>0</v>
      </c>
      <c r="N181" s="8">
        <f t="shared" si="14"/>
        <v>0</v>
      </c>
    </row>
    <row r="182" spans="1:14" x14ac:dyDescent="0.35">
      <c r="A182" s="7">
        <v>47849</v>
      </c>
      <c r="B182" s="7">
        <f t="shared" si="11"/>
        <v>47848</v>
      </c>
      <c r="I182" s="8">
        <f t="shared" si="12"/>
        <v>0</v>
      </c>
      <c r="J182" s="8">
        <f t="shared" si="13"/>
        <v>0</v>
      </c>
      <c r="K182" s="8">
        <f>SUMIFS(His_Operacoes_acoes[Total],His_Operacoes_acoes[Fimmes],Patrimônio!B182,His_Operacoes_acoes[Operação],"JCP")
+ SUMIFS(His_Operacoes_acoes[Total],His_Operacoes_acoes[Fimmes],Patrimônio!B182,His_Operacoes_acoes[Operação],"Divid.")
+ SUMIFS(His_Operacoes_acoes[Total],His_Operacoes_acoes[Fimmes],Patrimônio!B182,His_Operacoes_acoes[Operação],"Bonif.")</f>
        <v>0</v>
      </c>
      <c r="L182" s="8">
        <f>SUMIFS(His_Operacoes_BDRs[Total],His_Operacoes_BDRs[Operação],"Provento",His_Operacoes_BDRs[fimmês],Patrimônio!B182)</f>
        <v>0</v>
      </c>
      <c r="M182" s="8">
        <f>SUMIFS(His_Operacoes_FIIs[Total],His_Operacoes_FIIs[Operação],"Provento",His_Operacoes_FIIs[fimmês],Patrimônio!B182)</f>
        <v>0</v>
      </c>
      <c r="N182" s="8">
        <f t="shared" si="14"/>
        <v>0</v>
      </c>
    </row>
    <row r="183" spans="1:14" x14ac:dyDescent="0.35">
      <c r="A183" s="7">
        <v>47880</v>
      </c>
      <c r="B183" s="7">
        <f t="shared" si="11"/>
        <v>47879</v>
      </c>
      <c r="I183" s="8">
        <f t="shared" si="12"/>
        <v>0</v>
      </c>
      <c r="J183" s="8">
        <f t="shared" si="13"/>
        <v>0</v>
      </c>
      <c r="K183" s="8">
        <f>SUMIFS(His_Operacoes_acoes[Total],His_Operacoes_acoes[Fimmes],Patrimônio!B183,His_Operacoes_acoes[Operação],"JCP")
+ SUMIFS(His_Operacoes_acoes[Total],His_Operacoes_acoes[Fimmes],Patrimônio!B183,His_Operacoes_acoes[Operação],"Divid.")
+ SUMIFS(His_Operacoes_acoes[Total],His_Operacoes_acoes[Fimmes],Patrimônio!B183,His_Operacoes_acoes[Operação],"Bonif.")</f>
        <v>0</v>
      </c>
      <c r="L183" s="8">
        <f>SUMIFS(His_Operacoes_BDRs[Total],His_Operacoes_BDRs[Operação],"Provento",His_Operacoes_BDRs[fimmês],Patrimônio!B183)</f>
        <v>0</v>
      </c>
      <c r="M183" s="8">
        <f>SUMIFS(His_Operacoes_FIIs[Total],His_Operacoes_FIIs[Operação],"Provento",His_Operacoes_FIIs[fimmês],Patrimônio!B183)</f>
        <v>0</v>
      </c>
      <c r="N183" s="8">
        <f t="shared" si="14"/>
        <v>0</v>
      </c>
    </row>
    <row r="184" spans="1:14" x14ac:dyDescent="0.35">
      <c r="A184" s="7">
        <v>47908</v>
      </c>
      <c r="B184" s="7">
        <f t="shared" si="11"/>
        <v>47907</v>
      </c>
      <c r="I184" s="8">
        <f t="shared" si="12"/>
        <v>0</v>
      </c>
      <c r="J184" s="8">
        <f t="shared" si="13"/>
        <v>0</v>
      </c>
      <c r="K184" s="8">
        <f>SUMIFS(His_Operacoes_acoes[Total],His_Operacoes_acoes[Fimmes],Patrimônio!B184,His_Operacoes_acoes[Operação],"JCP")
+ SUMIFS(His_Operacoes_acoes[Total],His_Operacoes_acoes[Fimmes],Patrimônio!B184,His_Operacoes_acoes[Operação],"Divid.")
+ SUMIFS(His_Operacoes_acoes[Total],His_Operacoes_acoes[Fimmes],Patrimônio!B184,His_Operacoes_acoes[Operação],"Bonif.")</f>
        <v>0</v>
      </c>
      <c r="L184" s="8">
        <f>SUMIFS(His_Operacoes_BDRs[Total],His_Operacoes_BDRs[Operação],"Provento",His_Operacoes_BDRs[fimmês],Patrimônio!B184)</f>
        <v>0</v>
      </c>
      <c r="M184" s="8">
        <f>SUMIFS(His_Operacoes_FIIs[Total],His_Operacoes_FIIs[Operação],"Provento",His_Operacoes_FIIs[fimmês],Patrimônio!B184)</f>
        <v>0</v>
      </c>
      <c r="N184" s="8">
        <f t="shared" si="14"/>
        <v>0</v>
      </c>
    </row>
    <row r="185" spans="1:14" x14ac:dyDescent="0.35">
      <c r="A185" s="7">
        <v>47939</v>
      </c>
      <c r="B185" s="7">
        <f t="shared" si="11"/>
        <v>47938</v>
      </c>
      <c r="I185" s="8">
        <f t="shared" si="12"/>
        <v>0</v>
      </c>
      <c r="J185" s="8">
        <f t="shared" si="13"/>
        <v>0</v>
      </c>
      <c r="K185" s="8">
        <f>SUMIFS(His_Operacoes_acoes[Total],His_Operacoes_acoes[Fimmes],Patrimônio!B185,His_Operacoes_acoes[Operação],"JCP")
+ SUMIFS(His_Operacoes_acoes[Total],His_Operacoes_acoes[Fimmes],Patrimônio!B185,His_Operacoes_acoes[Operação],"Divid.")
+ SUMIFS(His_Operacoes_acoes[Total],His_Operacoes_acoes[Fimmes],Patrimônio!B185,His_Operacoes_acoes[Operação],"Bonif.")</f>
        <v>0</v>
      </c>
      <c r="L185" s="8">
        <f>SUMIFS(His_Operacoes_BDRs[Total],His_Operacoes_BDRs[Operação],"Provento",His_Operacoes_BDRs[fimmês],Patrimônio!B185)</f>
        <v>0</v>
      </c>
      <c r="M185" s="8">
        <f>SUMIFS(His_Operacoes_FIIs[Total],His_Operacoes_FIIs[Operação],"Provento",His_Operacoes_FIIs[fimmês],Patrimônio!B185)</f>
        <v>0</v>
      </c>
      <c r="N185" s="8">
        <f t="shared" si="14"/>
        <v>0</v>
      </c>
    </row>
    <row r="186" spans="1:14" x14ac:dyDescent="0.35">
      <c r="A186" s="7">
        <v>47969</v>
      </c>
      <c r="B186" s="7">
        <f t="shared" si="11"/>
        <v>47968</v>
      </c>
      <c r="I186" s="8">
        <f t="shared" si="12"/>
        <v>0</v>
      </c>
      <c r="J186" s="8">
        <f t="shared" si="13"/>
        <v>0</v>
      </c>
      <c r="K186" s="8">
        <f>SUMIFS(His_Operacoes_acoes[Total],His_Operacoes_acoes[Fimmes],Patrimônio!B186,His_Operacoes_acoes[Operação],"JCP")
+ SUMIFS(His_Operacoes_acoes[Total],His_Operacoes_acoes[Fimmes],Patrimônio!B186,His_Operacoes_acoes[Operação],"Divid.")
+ SUMIFS(His_Operacoes_acoes[Total],His_Operacoes_acoes[Fimmes],Patrimônio!B186,His_Operacoes_acoes[Operação],"Bonif.")</f>
        <v>0</v>
      </c>
      <c r="L186" s="8">
        <f>SUMIFS(His_Operacoes_BDRs[Total],His_Operacoes_BDRs[Operação],"Provento",His_Operacoes_BDRs[fimmês],Patrimônio!B186)</f>
        <v>0</v>
      </c>
      <c r="M186" s="8">
        <f>SUMIFS(His_Operacoes_FIIs[Total],His_Operacoes_FIIs[Operação],"Provento",His_Operacoes_FIIs[fimmês],Patrimônio!B186)</f>
        <v>0</v>
      </c>
      <c r="N186" s="8">
        <f t="shared" si="14"/>
        <v>0</v>
      </c>
    </row>
    <row r="187" spans="1:14" x14ac:dyDescent="0.35">
      <c r="A187" s="7">
        <v>48000</v>
      </c>
      <c r="B187" s="7">
        <f t="shared" si="11"/>
        <v>47999</v>
      </c>
      <c r="I187" s="8">
        <f t="shared" si="12"/>
        <v>0</v>
      </c>
      <c r="J187" s="8">
        <f t="shared" si="13"/>
        <v>0</v>
      </c>
      <c r="K187" s="8">
        <f>SUMIFS(His_Operacoes_acoes[Total],His_Operacoes_acoes[Fimmes],Patrimônio!B187,His_Operacoes_acoes[Operação],"JCP")
+ SUMIFS(His_Operacoes_acoes[Total],His_Operacoes_acoes[Fimmes],Patrimônio!B187,His_Operacoes_acoes[Operação],"Divid.")
+ SUMIFS(His_Operacoes_acoes[Total],His_Operacoes_acoes[Fimmes],Patrimônio!B187,His_Operacoes_acoes[Operação],"Bonif.")</f>
        <v>0</v>
      </c>
      <c r="L187" s="8">
        <f>SUMIFS(His_Operacoes_BDRs[Total],His_Operacoes_BDRs[Operação],"Provento",His_Operacoes_BDRs[fimmês],Patrimônio!B187)</f>
        <v>0</v>
      </c>
      <c r="M187" s="8">
        <f>SUMIFS(His_Operacoes_FIIs[Total],His_Operacoes_FIIs[Operação],"Provento",His_Operacoes_FIIs[fimmês],Patrimônio!B187)</f>
        <v>0</v>
      </c>
      <c r="N187" s="8">
        <f t="shared" si="14"/>
        <v>0</v>
      </c>
    </row>
    <row r="188" spans="1:14" x14ac:dyDescent="0.35">
      <c r="A188" s="7">
        <v>48030</v>
      </c>
      <c r="B188" s="7">
        <f t="shared" si="11"/>
        <v>48029</v>
      </c>
      <c r="I188" s="8">
        <f t="shared" si="12"/>
        <v>0</v>
      </c>
      <c r="J188" s="8">
        <f t="shared" si="13"/>
        <v>0</v>
      </c>
      <c r="K188" s="8">
        <f>SUMIFS(His_Operacoes_acoes[Total],His_Operacoes_acoes[Fimmes],Patrimônio!B188,His_Operacoes_acoes[Operação],"JCP")
+ SUMIFS(His_Operacoes_acoes[Total],His_Operacoes_acoes[Fimmes],Patrimônio!B188,His_Operacoes_acoes[Operação],"Divid.")
+ SUMIFS(His_Operacoes_acoes[Total],His_Operacoes_acoes[Fimmes],Patrimônio!B188,His_Operacoes_acoes[Operação],"Bonif.")</f>
        <v>0</v>
      </c>
      <c r="L188" s="8">
        <f>SUMIFS(His_Operacoes_BDRs[Total],His_Operacoes_BDRs[Operação],"Provento",His_Operacoes_BDRs[fimmês],Patrimônio!B188)</f>
        <v>0</v>
      </c>
      <c r="M188" s="8">
        <f>SUMIFS(His_Operacoes_FIIs[Total],His_Operacoes_FIIs[Operação],"Provento",His_Operacoes_FIIs[fimmês],Patrimônio!B188)</f>
        <v>0</v>
      </c>
      <c r="N188" s="8">
        <f t="shared" si="14"/>
        <v>0</v>
      </c>
    </row>
    <row r="189" spans="1:14" x14ac:dyDescent="0.35">
      <c r="A189" s="7">
        <v>48061</v>
      </c>
      <c r="B189" s="7">
        <f t="shared" si="11"/>
        <v>48060</v>
      </c>
      <c r="I189" s="8">
        <f t="shared" si="12"/>
        <v>0</v>
      </c>
      <c r="J189" s="8">
        <f t="shared" si="13"/>
        <v>0</v>
      </c>
      <c r="K189" s="8">
        <f>SUMIFS(His_Operacoes_acoes[Total],His_Operacoes_acoes[Fimmes],Patrimônio!B189,His_Operacoes_acoes[Operação],"JCP")
+ SUMIFS(His_Operacoes_acoes[Total],His_Operacoes_acoes[Fimmes],Patrimônio!B189,His_Operacoes_acoes[Operação],"Divid.")
+ SUMIFS(His_Operacoes_acoes[Total],His_Operacoes_acoes[Fimmes],Patrimônio!B189,His_Operacoes_acoes[Operação],"Bonif.")</f>
        <v>0</v>
      </c>
      <c r="L189" s="8">
        <f>SUMIFS(His_Operacoes_BDRs[Total],His_Operacoes_BDRs[Operação],"Provento",His_Operacoes_BDRs[fimmês],Patrimônio!B189)</f>
        <v>0</v>
      </c>
      <c r="M189" s="8">
        <f>SUMIFS(His_Operacoes_FIIs[Total],His_Operacoes_FIIs[Operação],"Provento",His_Operacoes_FIIs[fimmês],Patrimônio!B189)</f>
        <v>0</v>
      </c>
      <c r="N189" s="8">
        <f t="shared" si="14"/>
        <v>0</v>
      </c>
    </row>
    <row r="190" spans="1:14" x14ac:dyDescent="0.35">
      <c r="A190" s="7">
        <v>48092</v>
      </c>
      <c r="B190" s="7">
        <f t="shared" si="11"/>
        <v>48091</v>
      </c>
      <c r="I190" s="8">
        <f t="shared" si="12"/>
        <v>0</v>
      </c>
      <c r="J190" s="8">
        <f t="shared" si="13"/>
        <v>0</v>
      </c>
      <c r="K190" s="8">
        <f>SUMIFS(His_Operacoes_acoes[Total],His_Operacoes_acoes[Fimmes],Patrimônio!B190,His_Operacoes_acoes[Operação],"JCP")
+ SUMIFS(His_Operacoes_acoes[Total],His_Operacoes_acoes[Fimmes],Patrimônio!B190,His_Operacoes_acoes[Operação],"Divid.")
+ SUMIFS(His_Operacoes_acoes[Total],His_Operacoes_acoes[Fimmes],Patrimônio!B190,His_Operacoes_acoes[Operação],"Bonif.")</f>
        <v>0</v>
      </c>
      <c r="L190" s="8">
        <f>SUMIFS(His_Operacoes_BDRs[Total],His_Operacoes_BDRs[Operação],"Provento",His_Operacoes_BDRs[fimmês],Patrimônio!B190)</f>
        <v>0</v>
      </c>
      <c r="M190" s="8">
        <f>SUMIFS(His_Operacoes_FIIs[Total],His_Operacoes_FIIs[Operação],"Provento",His_Operacoes_FIIs[fimmês],Patrimônio!B190)</f>
        <v>0</v>
      </c>
      <c r="N190" s="8">
        <f t="shared" si="14"/>
        <v>0</v>
      </c>
    </row>
    <row r="191" spans="1:14" x14ac:dyDescent="0.35">
      <c r="A191" s="7">
        <v>48122</v>
      </c>
      <c r="B191" s="7">
        <f t="shared" si="11"/>
        <v>48121</v>
      </c>
      <c r="I191" s="8">
        <f t="shared" si="12"/>
        <v>0</v>
      </c>
      <c r="J191" s="8">
        <f t="shared" si="13"/>
        <v>0</v>
      </c>
      <c r="K191" s="8">
        <f>SUMIFS(His_Operacoes_acoes[Total],His_Operacoes_acoes[Fimmes],Patrimônio!B191,His_Operacoes_acoes[Operação],"JCP")
+ SUMIFS(His_Operacoes_acoes[Total],His_Operacoes_acoes[Fimmes],Patrimônio!B191,His_Operacoes_acoes[Operação],"Divid.")
+ SUMIFS(His_Operacoes_acoes[Total],His_Operacoes_acoes[Fimmes],Patrimônio!B191,His_Operacoes_acoes[Operação],"Bonif.")</f>
        <v>0</v>
      </c>
      <c r="L191" s="8">
        <f>SUMIFS(His_Operacoes_BDRs[Total],His_Operacoes_BDRs[Operação],"Provento",His_Operacoes_BDRs[fimmês],Patrimônio!B191)</f>
        <v>0</v>
      </c>
      <c r="M191" s="8">
        <f>SUMIFS(His_Operacoes_FIIs[Total],His_Operacoes_FIIs[Operação],"Provento",His_Operacoes_FIIs[fimmês],Patrimônio!B191)</f>
        <v>0</v>
      </c>
      <c r="N191" s="8">
        <f t="shared" si="14"/>
        <v>0</v>
      </c>
    </row>
    <row r="192" spans="1:14" x14ac:dyDescent="0.35">
      <c r="A192" s="7">
        <v>48153</v>
      </c>
      <c r="B192" s="7">
        <f t="shared" si="11"/>
        <v>48152</v>
      </c>
      <c r="I192" s="8">
        <f t="shared" si="12"/>
        <v>0</v>
      </c>
      <c r="J192" s="8">
        <f t="shared" si="13"/>
        <v>0</v>
      </c>
      <c r="K192" s="8">
        <f>SUMIFS(His_Operacoes_acoes[Total],His_Operacoes_acoes[Fimmes],Patrimônio!B192,His_Operacoes_acoes[Operação],"JCP")
+ SUMIFS(His_Operacoes_acoes[Total],His_Operacoes_acoes[Fimmes],Patrimônio!B192,His_Operacoes_acoes[Operação],"Divid.")
+ SUMIFS(His_Operacoes_acoes[Total],His_Operacoes_acoes[Fimmes],Patrimônio!B192,His_Operacoes_acoes[Operação],"Bonif.")</f>
        <v>0</v>
      </c>
      <c r="L192" s="8">
        <f>SUMIFS(His_Operacoes_BDRs[Total],His_Operacoes_BDRs[Operação],"Provento",His_Operacoes_BDRs[fimmês],Patrimônio!B192)</f>
        <v>0</v>
      </c>
      <c r="M192" s="8">
        <f>SUMIFS(His_Operacoes_FIIs[Total],His_Operacoes_FIIs[Operação],"Provento",His_Operacoes_FIIs[fimmês],Patrimônio!B192)</f>
        <v>0</v>
      </c>
      <c r="N192" s="8">
        <f t="shared" si="14"/>
        <v>0</v>
      </c>
    </row>
    <row r="193" spans="1:14" x14ac:dyDescent="0.35">
      <c r="A193" s="7">
        <v>48183</v>
      </c>
      <c r="B193" s="7">
        <f t="shared" si="11"/>
        <v>48182</v>
      </c>
      <c r="I193" s="8">
        <f t="shared" si="12"/>
        <v>0</v>
      </c>
      <c r="J193" s="8">
        <f t="shared" si="13"/>
        <v>0</v>
      </c>
      <c r="K193" s="8">
        <f>SUMIFS(His_Operacoes_acoes[Total],His_Operacoes_acoes[Fimmes],Patrimônio!B193,His_Operacoes_acoes[Operação],"JCP")
+ SUMIFS(His_Operacoes_acoes[Total],His_Operacoes_acoes[Fimmes],Patrimônio!B193,His_Operacoes_acoes[Operação],"Divid.")
+ SUMIFS(His_Operacoes_acoes[Total],His_Operacoes_acoes[Fimmes],Patrimônio!B193,His_Operacoes_acoes[Operação],"Bonif.")</f>
        <v>0</v>
      </c>
      <c r="L193" s="8">
        <f>SUMIFS(His_Operacoes_BDRs[Total],His_Operacoes_BDRs[Operação],"Provento",His_Operacoes_BDRs[fimmês],Patrimônio!B193)</f>
        <v>0</v>
      </c>
      <c r="M193" s="8">
        <f>SUMIFS(His_Operacoes_FIIs[Total],His_Operacoes_FIIs[Operação],"Provento",His_Operacoes_FIIs[fimmês],Patrimônio!B193)</f>
        <v>0</v>
      </c>
      <c r="N193" s="8">
        <f t="shared" si="14"/>
        <v>0</v>
      </c>
    </row>
    <row r="194" spans="1:14" x14ac:dyDescent="0.35">
      <c r="A194" s="7">
        <v>48214</v>
      </c>
      <c r="B194" s="7">
        <f t="shared" si="11"/>
        <v>48213</v>
      </c>
      <c r="I194" s="8">
        <f t="shared" si="12"/>
        <v>0</v>
      </c>
      <c r="J194" s="8">
        <f t="shared" si="13"/>
        <v>0</v>
      </c>
      <c r="K194" s="8">
        <f>SUMIFS(His_Operacoes_acoes[Total],His_Operacoes_acoes[Fimmes],Patrimônio!B194,His_Operacoes_acoes[Operação],"JCP")
+ SUMIFS(His_Operacoes_acoes[Total],His_Operacoes_acoes[Fimmes],Patrimônio!B194,His_Operacoes_acoes[Operação],"Divid.")
+ SUMIFS(His_Operacoes_acoes[Total],His_Operacoes_acoes[Fimmes],Patrimônio!B194,His_Operacoes_acoes[Operação],"Bonif.")</f>
        <v>0</v>
      </c>
      <c r="L194" s="8">
        <f>SUMIFS(His_Operacoes_BDRs[Total],His_Operacoes_BDRs[Operação],"Provento",His_Operacoes_BDRs[fimmês],Patrimônio!B194)</f>
        <v>0</v>
      </c>
      <c r="M194" s="8">
        <f>SUMIFS(His_Operacoes_FIIs[Total],His_Operacoes_FIIs[Operação],"Provento",His_Operacoes_FIIs[fimmês],Patrimônio!B194)</f>
        <v>0</v>
      </c>
      <c r="N194" s="8">
        <f t="shared" si="14"/>
        <v>0</v>
      </c>
    </row>
    <row r="195" spans="1:14" x14ac:dyDescent="0.35">
      <c r="A195" s="7">
        <v>48245</v>
      </c>
      <c r="B195" s="7">
        <f t="shared" ref="B195:B258" si="15">EOMONTH(A195,-1)</f>
        <v>48244</v>
      </c>
      <c r="I195" s="8">
        <f t="shared" ref="I195:I258" si="16">SUM(C195,E195,G195)</f>
        <v>0</v>
      </c>
      <c r="J195" s="8">
        <f t="shared" ref="J195:J258" si="17">SUM(D195,F195,H195)</f>
        <v>0</v>
      </c>
      <c r="K195" s="8">
        <f>SUMIFS(His_Operacoes_acoes[Total],His_Operacoes_acoes[Fimmes],Patrimônio!B195,His_Operacoes_acoes[Operação],"JCP")
+ SUMIFS(His_Operacoes_acoes[Total],His_Operacoes_acoes[Fimmes],Patrimônio!B195,His_Operacoes_acoes[Operação],"Divid.")
+ SUMIFS(His_Operacoes_acoes[Total],His_Operacoes_acoes[Fimmes],Patrimônio!B195,His_Operacoes_acoes[Operação],"Bonif.")</f>
        <v>0</v>
      </c>
      <c r="L195" s="8">
        <f>SUMIFS(His_Operacoes_BDRs[Total],His_Operacoes_BDRs[Operação],"Provento",His_Operacoes_BDRs[fimmês],Patrimônio!B195)</f>
        <v>0</v>
      </c>
      <c r="M195" s="8">
        <f>SUMIFS(His_Operacoes_FIIs[Total],His_Operacoes_FIIs[Operação],"Provento",His_Operacoes_FIIs[fimmês],Patrimônio!B195)</f>
        <v>0</v>
      </c>
      <c r="N195" s="8">
        <f t="shared" ref="N195:N258" si="18">SUM(K195:M195)</f>
        <v>0</v>
      </c>
    </row>
    <row r="196" spans="1:14" x14ac:dyDescent="0.35">
      <c r="A196" s="7">
        <v>48274</v>
      </c>
      <c r="B196" s="7">
        <f t="shared" si="15"/>
        <v>48273</v>
      </c>
      <c r="I196" s="8">
        <f t="shared" si="16"/>
        <v>0</v>
      </c>
      <c r="J196" s="8">
        <f t="shared" si="17"/>
        <v>0</v>
      </c>
      <c r="K196" s="8">
        <f>SUMIFS(His_Operacoes_acoes[Total],His_Operacoes_acoes[Fimmes],Patrimônio!B196,His_Operacoes_acoes[Operação],"JCP")
+ SUMIFS(His_Operacoes_acoes[Total],His_Operacoes_acoes[Fimmes],Patrimônio!B196,His_Operacoes_acoes[Operação],"Divid.")
+ SUMIFS(His_Operacoes_acoes[Total],His_Operacoes_acoes[Fimmes],Patrimônio!B196,His_Operacoes_acoes[Operação],"Bonif.")</f>
        <v>0</v>
      </c>
      <c r="L196" s="8">
        <f>SUMIFS(His_Operacoes_BDRs[Total],His_Operacoes_BDRs[Operação],"Provento",His_Operacoes_BDRs[fimmês],Patrimônio!B196)</f>
        <v>0</v>
      </c>
      <c r="M196" s="8">
        <f>SUMIFS(His_Operacoes_FIIs[Total],His_Operacoes_FIIs[Operação],"Provento",His_Operacoes_FIIs[fimmês],Patrimônio!B196)</f>
        <v>0</v>
      </c>
      <c r="N196" s="8">
        <f t="shared" si="18"/>
        <v>0</v>
      </c>
    </row>
    <row r="197" spans="1:14" x14ac:dyDescent="0.35">
      <c r="A197" s="7">
        <v>48305</v>
      </c>
      <c r="B197" s="7">
        <f t="shared" si="15"/>
        <v>48304</v>
      </c>
      <c r="I197" s="8">
        <f t="shared" si="16"/>
        <v>0</v>
      </c>
      <c r="J197" s="8">
        <f t="shared" si="17"/>
        <v>0</v>
      </c>
      <c r="K197" s="8">
        <f>SUMIFS(His_Operacoes_acoes[Total],His_Operacoes_acoes[Fimmes],Patrimônio!B197,His_Operacoes_acoes[Operação],"JCP")
+ SUMIFS(His_Operacoes_acoes[Total],His_Operacoes_acoes[Fimmes],Patrimônio!B197,His_Operacoes_acoes[Operação],"Divid.")
+ SUMIFS(His_Operacoes_acoes[Total],His_Operacoes_acoes[Fimmes],Patrimônio!B197,His_Operacoes_acoes[Operação],"Bonif.")</f>
        <v>0</v>
      </c>
      <c r="L197" s="8">
        <f>SUMIFS(His_Operacoes_BDRs[Total],His_Operacoes_BDRs[Operação],"Provento",His_Operacoes_BDRs[fimmês],Patrimônio!B197)</f>
        <v>0</v>
      </c>
      <c r="M197" s="8">
        <f>SUMIFS(His_Operacoes_FIIs[Total],His_Operacoes_FIIs[Operação],"Provento",His_Operacoes_FIIs[fimmês],Patrimônio!B197)</f>
        <v>0</v>
      </c>
      <c r="N197" s="8">
        <f t="shared" si="18"/>
        <v>0</v>
      </c>
    </row>
    <row r="198" spans="1:14" x14ac:dyDescent="0.35">
      <c r="A198" s="7">
        <v>48335</v>
      </c>
      <c r="B198" s="7">
        <f t="shared" si="15"/>
        <v>48334</v>
      </c>
      <c r="I198" s="8">
        <f t="shared" si="16"/>
        <v>0</v>
      </c>
      <c r="J198" s="8">
        <f t="shared" si="17"/>
        <v>0</v>
      </c>
      <c r="K198" s="8">
        <f>SUMIFS(His_Operacoes_acoes[Total],His_Operacoes_acoes[Fimmes],Patrimônio!B198,His_Operacoes_acoes[Operação],"JCP")
+ SUMIFS(His_Operacoes_acoes[Total],His_Operacoes_acoes[Fimmes],Patrimônio!B198,His_Operacoes_acoes[Operação],"Divid.")
+ SUMIFS(His_Operacoes_acoes[Total],His_Operacoes_acoes[Fimmes],Patrimônio!B198,His_Operacoes_acoes[Operação],"Bonif.")</f>
        <v>0</v>
      </c>
      <c r="L198" s="8">
        <f>SUMIFS(His_Operacoes_BDRs[Total],His_Operacoes_BDRs[Operação],"Provento",His_Operacoes_BDRs[fimmês],Patrimônio!B198)</f>
        <v>0</v>
      </c>
      <c r="M198" s="8">
        <f>SUMIFS(His_Operacoes_FIIs[Total],His_Operacoes_FIIs[Operação],"Provento",His_Operacoes_FIIs[fimmês],Patrimônio!B198)</f>
        <v>0</v>
      </c>
      <c r="N198" s="8">
        <f t="shared" si="18"/>
        <v>0</v>
      </c>
    </row>
    <row r="199" spans="1:14" x14ac:dyDescent="0.35">
      <c r="A199" s="7">
        <v>48366</v>
      </c>
      <c r="B199" s="7">
        <f t="shared" si="15"/>
        <v>48365</v>
      </c>
      <c r="I199" s="8">
        <f t="shared" si="16"/>
        <v>0</v>
      </c>
      <c r="J199" s="8">
        <f t="shared" si="17"/>
        <v>0</v>
      </c>
      <c r="K199" s="8">
        <f>SUMIFS(His_Operacoes_acoes[Total],His_Operacoes_acoes[Fimmes],Patrimônio!B199,His_Operacoes_acoes[Operação],"JCP")
+ SUMIFS(His_Operacoes_acoes[Total],His_Operacoes_acoes[Fimmes],Patrimônio!B199,His_Operacoes_acoes[Operação],"Divid.")
+ SUMIFS(His_Operacoes_acoes[Total],His_Operacoes_acoes[Fimmes],Patrimônio!B199,His_Operacoes_acoes[Operação],"Bonif.")</f>
        <v>0</v>
      </c>
      <c r="L199" s="8">
        <f>SUMIFS(His_Operacoes_BDRs[Total],His_Operacoes_BDRs[Operação],"Provento",His_Operacoes_BDRs[fimmês],Patrimônio!B199)</f>
        <v>0</v>
      </c>
      <c r="M199" s="8">
        <f>SUMIFS(His_Operacoes_FIIs[Total],His_Operacoes_FIIs[Operação],"Provento",His_Operacoes_FIIs[fimmês],Patrimônio!B199)</f>
        <v>0</v>
      </c>
      <c r="N199" s="8">
        <f t="shared" si="18"/>
        <v>0</v>
      </c>
    </row>
    <row r="200" spans="1:14" x14ac:dyDescent="0.35">
      <c r="A200" s="7">
        <v>48396</v>
      </c>
      <c r="B200" s="7">
        <f t="shared" si="15"/>
        <v>48395</v>
      </c>
      <c r="I200" s="8">
        <f t="shared" si="16"/>
        <v>0</v>
      </c>
      <c r="J200" s="8">
        <f t="shared" si="17"/>
        <v>0</v>
      </c>
      <c r="K200" s="8">
        <f>SUMIFS(His_Operacoes_acoes[Total],His_Operacoes_acoes[Fimmes],Patrimônio!B200,His_Operacoes_acoes[Operação],"JCP")
+ SUMIFS(His_Operacoes_acoes[Total],His_Operacoes_acoes[Fimmes],Patrimônio!B200,His_Operacoes_acoes[Operação],"Divid.")
+ SUMIFS(His_Operacoes_acoes[Total],His_Operacoes_acoes[Fimmes],Patrimônio!B200,His_Operacoes_acoes[Operação],"Bonif.")</f>
        <v>0</v>
      </c>
      <c r="L200" s="8">
        <f>SUMIFS(His_Operacoes_BDRs[Total],His_Operacoes_BDRs[Operação],"Provento",His_Operacoes_BDRs[fimmês],Patrimônio!B200)</f>
        <v>0</v>
      </c>
      <c r="M200" s="8">
        <f>SUMIFS(His_Operacoes_FIIs[Total],His_Operacoes_FIIs[Operação],"Provento",His_Operacoes_FIIs[fimmês],Patrimônio!B200)</f>
        <v>0</v>
      </c>
      <c r="N200" s="8">
        <f t="shared" si="18"/>
        <v>0</v>
      </c>
    </row>
    <row r="201" spans="1:14" x14ac:dyDescent="0.35">
      <c r="A201" s="7">
        <v>48427</v>
      </c>
      <c r="B201" s="7">
        <f t="shared" si="15"/>
        <v>48426</v>
      </c>
      <c r="I201" s="8">
        <f t="shared" si="16"/>
        <v>0</v>
      </c>
      <c r="J201" s="8">
        <f t="shared" si="17"/>
        <v>0</v>
      </c>
      <c r="K201" s="8">
        <f>SUMIFS(His_Operacoes_acoes[Total],His_Operacoes_acoes[Fimmes],Patrimônio!B201,His_Operacoes_acoes[Operação],"JCP")
+ SUMIFS(His_Operacoes_acoes[Total],His_Operacoes_acoes[Fimmes],Patrimônio!B201,His_Operacoes_acoes[Operação],"Divid.")
+ SUMIFS(His_Operacoes_acoes[Total],His_Operacoes_acoes[Fimmes],Patrimônio!B201,His_Operacoes_acoes[Operação],"Bonif.")</f>
        <v>0</v>
      </c>
      <c r="L201" s="8">
        <f>SUMIFS(His_Operacoes_BDRs[Total],His_Operacoes_BDRs[Operação],"Provento",His_Operacoes_BDRs[fimmês],Patrimônio!B201)</f>
        <v>0</v>
      </c>
      <c r="M201" s="8">
        <f>SUMIFS(His_Operacoes_FIIs[Total],His_Operacoes_FIIs[Operação],"Provento",His_Operacoes_FIIs[fimmês],Patrimônio!B201)</f>
        <v>0</v>
      </c>
      <c r="N201" s="8">
        <f t="shared" si="18"/>
        <v>0</v>
      </c>
    </row>
    <row r="202" spans="1:14" x14ac:dyDescent="0.35">
      <c r="A202" s="7">
        <v>48458</v>
      </c>
      <c r="B202" s="7">
        <f t="shared" si="15"/>
        <v>48457</v>
      </c>
      <c r="I202" s="8">
        <f t="shared" si="16"/>
        <v>0</v>
      </c>
      <c r="J202" s="8">
        <f t="shared" si="17"/>
        <v>0</v>
      </c>
      <c r="K202" s="8">
        <f>SUMIFS(His_Operacoes_acoes[Total],His_Operacoes_acoes[Fimmes],Patrimônio!B202,His_Operacoes_acoes[Operação],"JCP")
+ SUMIFS(His_Operacoes_acoes[Total],His_Operacoes_acoes[Fimmes],Patrimônio!B202,His_Operacoes_acoes[Operação],"Divid.")
+ SUMIFS(His_Operacoes_acoes[Total],His_Operacoes_acoes[Fimmes],Patrimônio!B202,His_Operacoes_acoes[Operação],"Bonif.")</f>
        <v>0</v>
      </c>
      <c r="L202" s="8">
        <f>SUMIFS(His_Operacoes_BDRs[Total],His_Operacoes_BDRs[Operação],"Provento",His_Operacoes_BDRs[fimmês],Patrimônio!B202)</f>
        <v>0</v>
      </c>
      <c r="M202" s="8">
        <f>SUMIFS(His_Operacoes_FIIs[Total],His_Operacoes_FIIs[Operação],"Provento",His_Operacoes_FIIs[fimmês],Patrimônio!B202)</f>
        <v>0</v>
      </c>
      <c r="N202" s="8">
        <f t="shared" si="18"/>
        <v>0</v>
      </c>
    </row>
    <row r="203" spans="1:14" x14ac:dyDescent="0.35">
      <c r="A203" s="7">
        <v>48488</v>
      </c>
      <c r="B203" s="7">
        <f t="shared" si="15"/>
        <v>48487</v>
      </c>
      <c r="I203" s="8">
        <f t="shared" si="16"/>
        <v>0</v>
      </c>
      <c r="J203" s="8">
        <f t="shared" si="17"/>
        <v>0</v>
      </c>
      <c r="K203" s="8">
        <f>SUMIFS(His_Operacoes_acoes[Total],His_Operacoes_acoes[Fimmes],Patrimônio!B203,His_Operacoes_acoes[Operação],"JCP")
+ SUMIFS(His_Operacoes_acoes[Total],His_Operacoes_acoes[Fimmes],Patrimônio!B203,His_Operacoes_acoes[Operação],"Divid.")
+ SUMIFS(His_Operacoes_acoes[Total],His_Operacoes_acoes[Fimmes],Patrimônio!B203,His_Operacoes_acoes[Operação],"Bonif.")</f>
        <v>0</v>
      </c>
      <c r="L203" s="8">
        <f>SUMIFS(His_Operacoes_BDRs[Total],His_Operacoes_BDRs[Operação],"Provento",His_Operacoes_BDRs[fimmês],Patrimônio!B203)</f>
        <v>0</v>
      </c>
      <c r="M203" s="8">
        <f>SUMIFS(His_Operacoes_FIIs[Total],His_Operacoes_FIIs[Operação],"Provento",His_Operacoes_FIIs[fimmês],Patrimônio!B203)</f>
        <v>0</v>
      </c>
      <c r="N203" s="8">
        <f t="shared" si="18"/>
        <v>0</v>
      </c>
    </row>
    <row r="204" spans="1:14" x14ac:dyDescent="0.35">
      <c r="A204" s="7">
        <v>48519</v>
      </c>
      <c r="B204" s="7">
        <f t="shared" si="15"/>
        <v>48518</v>
      </c>
      <c r="I204" s="8">
        <f t="shared" si="16"/>
        <v>0</v>
      </c>
      <c r="J204" s="8">
        <f t="shared" si="17"/>
        <v>0</v>
      </c>
      <c r="K204" s="8">
        <f>SUMIFS(His_Operacoes_acoes[Total],His_Operacoes_acoes[Fimmes],Patrimônio!B204,His_Operacoes_acoes[Operação],"JCP")
+ SUMIFS(His_Operacoes_acoes[Total],His_Operacoes_acoes[Fimmes],Patrimônio!B204,His_Operacoes_acoes[Operação],"Divid.")
+ SUMIFS(His_Operacoes_acoes[Total],His_Operacoes_acoes[Fimmes],Patrimônio!B204,His_Operacoes_acoes[Operação],"Bonif.")</f>
        <v>0</v>
      </c>
      <c r="L204" s="8">
        <f>SUMIFS(His_Operacoes_BDRs[Total],His_Operacoes_BDRs[Operação],"Provento",His_Operacoes_BDRs[fimmês],Patrimônio!B204)</f>
        <v>0</v>
      </c>
      <c r="M204" s="8">
        <f>SUMIFS(His_Operacoes_FIIs[Total],His_Operacoes_FIIs[Operação],"Provento",His_Operacoes_FIIs[fimmês],Patrimônio!B204)</f>
        <v>0</v>
      </c>
      <c r="N204" s="8">
        <f t="shared" si="18"/>
        <v>0</v>
      </c>
    </row>
    <row r="205" spans="1:14" x14ac:dyDescent="0.35">
      <c r="A205" s="7">
        <v>48549</v>
      </c>
      <c r="B205" s="7">
        <f t="shared" si="15"/>
        <v>48548</v>
      </c>
      <c r="I205" s="8">
        <f t="shared" si="16"/>
        <v>0</v>
      </c>
      <c r="J205" s="8">
        <f t="shared" si="17"/>
        <v>0</v>
      </c>
      <c r="K205" s="8">
        <f>SUMIFS(His_Operacoes_acoes[Total],His_Operacoes_acoes[Fimmes],Patrimônio!B205,His_Operacoes_acoes[Operação],"JCP")
+ SUMIFS(His_Operacoes_acoes[Total],His_Operacoes_acoes[Fimmes],Patrimônio!B205,His_Operacoes_acoes[Operação],"Divid.")
+ SUMIFS(His_Operacoes_acoes[Total],His_Operacoes_acoes[Fimmes],Patrimônio!B205,His_Operacoes_acoes[Operação],"Bonif.")</f>
        <v>0</v>
      </c>
      <c r="L205" s="8">
        <f>SUMIFS(His_Operacoes_BDRs[Total],His_Operacoes_BDRs[Operação],"Provento",His_Operacoes_BDRs[fimmês],Patrimônio!B205)</f>
        <v>0</v>
      </c>
      <c r="M205" s="8">
        <f>SUMIFS(His_Operacoes_FIIs[Total],His_Operacoes_FIIs[Operação],"Provento",His_Operacoes_FIIs[fimmês],Patrimônio!B205)</f>
        <v>0</v>
      </c>
      <c r="N205" s="8">
        <f t="shared" si="18"/>
        <v>0</v>
      </c>
    </row>
    <row r="206" spans="1:14" x14ac:dyDescent="0.35">
      <c r="A206" s="7">
        <v>48580</v>
      </c>
      <c r="B206" s="7">
        <f t="shared" si="15"/>
        <v>48579</v>
      </c>
      <c r="I206" s="8">
        <f t="shared" si="16"/>
        <v>0</v>
      </c>
      <c r="J206" s="8">
        <f t="shared" si="17"/>
        <v>0</v>
      </c>
      <c r="K206" s="8">
        <f>SUMIFS(His_Operacoes_acoes[Total],His_Operacoes_acoes[Fimmes],Patrimônio!B206,His_Operacoes_acoes[Operação],"JCP")
+ SUMIFS(His_Operacoes_acoes[Total],His_Operacoes_acoes[Fimmes],Patrimônio!B206,His_Operacoes_acoes[Operação],"Divid.")
+ SUMIFS(His_Operacoes_acoes[Total],His_Operacoes_acoes[Fimmes],Patrimônio!B206,His_Operacoes_acoes[Operação],"Bonif.")</f>
        <v>0</v>
      </c>
      <c r="L206" s="8">
        <f>SUMIFS(His_Operacoes_BDRs[Total],His_Operacoes_BDRs[Operação],"Provento",His_Operacoes_BDRs[fimmês],Patrimônio!B206)</f>
        <v>0</v>
      </c>
      <c r="M206" s="8">
        <f>SUMIFS(His_Operacoes_FIIs[Total],His_Operacoes_FIIs[Operação],"Provento",His_Operacoes_FIIs[fimmês],Patrimônio!B206)</f>
        <v>0</v>
      </c>
      <c r="N206" s="8">
        <f t="shared" si="18"/>
        <v>0</v>
      </c>
    </row>
    <row r="207" spans="1:14" x14ac:dyDescent="0.35">
      <c r="A207" s="7">
        <v>48611</v>
      </c>
      <c r="B207" s="7">
        <f t="shared" si="15"/>
        <v>48610</v>
      </c>
      <c r="I207" s="8">
        <f t="shared" si="16"/>
        <v>0</v>
      </c>
      <c r="J207" s="8">
        <f t="shared" si="17"/>
        <v>0</v>
      </c>
      <c r="K207" s="8">
        <f>SUMIFS(His_Operacoes_acoes[Total],His_Operacoes_acoes[Fimmes],Patrimônio!B207,His_Operacoes_acoes[Operação],"JCP")
+ SUMIFS(His_Operacoes_acoes[Total],His_Operacoes_acoes[Fimmes],Patrimônio!B207,His_Operacoes_acoes[Operação],"Divid.")
+ SUMIFS(His_Operacoes_acoes[Total],His_Operacoes_acoes[Fimmes],Patrimônio!B207,His_Operacoes_acoes[Operação],"Bonif.")</f>
        <v>0</v>
      </c>
      <c r="L207" s="8">
        <f>SUMIFS(His_Operacoes_BDRs[Total],His_Operacoes_BDRs[Operação],"Provento",His_Operacoes_BDRs[fimmês],Patrimônio!B207)</f>
        <v>0</v>
      </c>
      <c r="M207" s="8">
        <f>SUMIFS(His_Operacoes_FIIs[Total],His_Operacoes_FIIs[Operação],"Provento",His_Operacoes_FIIs[fimmês],Patrimônio!B207)</f>
        <v>0</v>
      </c>
      <c r="N207" s="8">
        <f t="shared" si="18"/>
        <v>0</v>
      </c>
    </row>
    <row r="208" spans="1:14" x14ac:dyDescent="0.35">
      <c r="A208" s="7">
        <v>48639</v>
      </c>
      <c r="B208" s="7">
        <f t="shared" si="15"/>
        <v>48638</v>
      </c>
      <c r="I208" s="8">
        <f t="shared" si="16"/>
        <v>0</v>
      </c>
      <c r="J208" s="8">
        <f t="shared" si="17"/>
        <v>0</v>
      </c>
      <c r="K208" s="8">
        <f>SUMIFS(His_Operacoes_acoes[Total],His_Operacoes_acoes[Fimmes],Patrimônio!B208,His_Operacoes_acoes[Operação],"JCP")
+ SUMIFS(His_Operacoes_acoes[Total],His_Operacoes_acoes[Fimmes],Patrimônio!B208,His_Operacoes_acoes[Operação],"Divid.")
+ SUMIFS(His_Operacoes_acoes[Total],His_Operacoes_acoes[Fimmes],Patrimônio!B208,His_Operacoes_acoes[Operação],"Bonif.")</f>
        <v>0</v>
      </c>
      <c r="L208" s="8">
        <f>SUMIFS(His_Operacoes_BDRs[Total],His_Operacoes_BDRs[Operação],"Provento",His_Operacoes_BDRs[fimmês],Patrimônio!B208)</f>
        <v>0</v>
      </c>
      <c r="M208" s="8">
        <f>SUMIFS(His_Operacoes_FIIs[Total],His_Operacoes_FIIs[Operação],"Provento",His_Operacoes_FIIs[fimmês],Patrimônio!B208)</f>
        <v>0</v>
      </c>
      <c r="N208" s="8">
        <f t="shared" si="18"/>
        <v>0</v>
      </c>
    </row>
    <row r="209" spans="1:14" x14ac:dyDescent="0.35">
      <c r="A209" s="7">
        <v>48670</v>
      </c>
      <c r="B209" s="7">
        <f t="shared" si="15"/>
        <v>48669</v>
      </c>
      <c r="I209" s="8">
        <f t="shared" si="16"/>
        <v>0</v>
      </c>
      <c r="J209" s="8">
        <f t="shared" si="17"/>
        <v>0</v>
      </c>
      <c r="K209" s="8">
        <f>SUMIFS(His_Operacoes_acoes[Total],His_Operacoes_acoes[Fimmes],Patrimônio!B209,His_Operacoes_acoes[Operação],"JCP")
+ SUMIFS(His_Operacoes_acoes[Total],His_Operacoes_acoes[Fimmes],Patrimônio!B209,His_Operacoes_acoes[Operação],"Divid.")
+ SUMIFS(His_Operacoes_acoes[Total],His_Operacoes_acoes[Fimmes],Patrimônio!B209,His_Operacoes_acoes[Operação],"Bonif.")</f>
        <v>0</v>
      </c>
      <c r="L209" s="8">
        <f>SUMIFS(His_Operacoes_BDRs[Total],His_Operacoes_BDRs[Operação],"Provento",His_Operacoes_BDRs[fimmês],Patrimônio!B209)</f>
        <v>0</v>
      </c>
      <c r="M209" s="8">
        <f>SUMIFS(His_Operacoes_FIIs[Total],His_Operacoes_FIIs[Operação],"Provento",His_Operacoes_FIIs[fimmês],Patrimônio!B209)</f>
        <v>0</v>
      </c>
      <c r="N209" s="8">
        <f t="shared" si="18"/>
        <v>0</v>
      </c>
    </row>
    <row r="210" spans="1:14" x14ac:dyDescent="0.35">
      <c r="A210" s="7">
        <v>48700</v>
      </c>
      <c r="B210" s="7">
        <f t="shared" si="15"/>
        <v>48699</v>
      </c>
      <c r="I210" s="8">
        <f t="shared" si="16"/>
        <v>0</v>
      </c>
      <c r="J210" s="8">
        <f t="shared" si="17"/>
        <v>0</v>
      </c>
      <c r="K210" s="8">
        <f>SUMIFS(His_Operacoes_acoes[Total],His_Operacoes_acoes[Fimmes],Patrimônio!B210,His_Operacoes_acoes[Operação],"JCP")
+ SUMIFS(His_Operacoes_acoes[Total],His_Operacoes_acoes[Fimmes],Patrimônio!B210,His_Operacoes_acoes[Operação],"Divid.")
+ SUMIFS(His_Operacoes_acoes[Total],His_Operacoes_acoes[Fimmes],Patrimônio!B210,His_Operacoes_acoes[Operação],"Bonif.")</f>
        <v>0</v>
      </c>
      <c r="L210" s="8">
        <f>SUMIFS(His_Operacoes_BDRs[Total],His_Operacoes_BDRs[Operação],"Provento",His_Operacoes_BDRs[fimmês],Patrimônio!B210)</f>
        <v>0</v>
      </c>
      <c r="M210" s="8">
        <f>SUMIFS(His_Operacoes_FIIs[Total],His_Operacoes_FIIs[Operação],"Provento",His_Operacoes_FIIs[fimmês],Patrimônio!B210)</f>
        <v>0</v>
      </c>
      <c r="N210" s="8">
        <f t="shared" si="18"/>
        <v>0</v>
      </c>
    </row>
    <row r="211" spans="1:14" x14ac:dyDescent="0.35">
      <c r="A211" s="7">
        <v>48731</v>
      </c>
      <c r="B211" s="7">
        <f t="shared" si="15"/>
        <v>48730</v>
      </c>
      <c r="I211" s="8">
        <f t="shared" si="16"/>
        <v>0</v>
      </c>
      <c r="J211" s="8">
        <f t="shared" si="17"/>
        <v>0</v>
      </c>
      <c r="K211" s="8">
        <f>SUMIFS(His_Operacoes_acoes[Total],His_Operacoes_acoes[Fimmes],Patrimônio!B211,His_Operacoes_acoes[Operação],"JCP")
+ SUMIFS(His_Operacoes_acoes[Total],His_Operacoes_acoes[Fimmes],Patrimônio!B211,His_Operacoes_acoes[Operação],"Divid.")
+ SUMIFS(His_Operacoes_acoes[Total],His_Operacoes_acoes[Fimmes],Patrimônio!B211,His_Operacoes_acoes[Operação],"Bonif.")</f>
        <v>0</v>
      </c>
      <c r="L211" s="8">
        <f>SUMIFS(His_Operacoes_BDRs[Total],His_Operacoes_BDRs[Operação],"Provento",His_Operacoes_BDRs[fimmês],Patrimônio!B211)</f>
        <v>0</v>
      </c>
      <c r="M211" s="8">
        <f>SUMIFS(His_Operacoes_FIIs[Total],His_Operacoes_FIIs[Operação],"Provento",His_Operacoes_FIIs[fimmês],Patrimônio!B211)</f>
        <v>0</v>
      </c>
      <c r="N211" s="8">
        <f t="shared" si="18"/>
        <v>0</v>
      </c>
    </row>
    <row r="212" spans="1:14" x14ac:dyDescent="0.35">
      <c r="A212" s="7">
        <v>48761</v>
      </c>
      <c r="B212" s="7">
        <f t="shared" si="15"/>
        <v>48760</v>
      </c>
      <c r="I212" s="8">
        <f t="shared" si="16"/>
        <v>0</v>
      </c>
      <c r="J212" s="8">
        <f t="shared" si="17"/>
        <v>0</v>
      </c>
      <c r="K212" s="8">
        <f>SUMIFS(His_Operacoes_acoes[Total],His_Operacoes_acoes[Fimmes],Patrimônio!B212,His_Operacoes_acoes[Operação],"JCP")
+ SUMIFS(His_Operacoes_acoes[Total],His_Operacoes_acoes[Fimmes],Patrimônio!B212,His_Operacoes_acoes[Operação],"Divid.")
+ SUMIFS(His_Operacoes_acoes[Total],His_Operacoes_acoes[Fimmes],Patrimônio!B212,His_Operacoes_acoes[Operação],"Bonif.")</f>
        <v>0</v>
      </c>
      <c r="L212" s="8">
        <f>SUMIFS(His_Operacoes_BDRs[Total],His_Operacoes_BDRs[Operação],"Provento",His_Operacoes_BDRs[fimmês],Patrimônio!B212)</f>
        <v>0</v>
      </c>
      <c r="M212" s="8">
        <f>SUMIFS(His_Operacoes_FIIs[Total],His_Operacoes_FIIs[Operação],"Provento",His_Operacoes_FIIs[fimmês],Patrimônio!B212)</f>
        <v>0</v>
      </c>
      <c r="N212" s="8">
        <f t="shared" si="18"/>
        <v>0</v>
      </c>
    </row>
    <row r="213" spans="1:14" x14ac:dyDescent="0.35">
      <c r="A213" s="7">
        <v>48792</v>
      </c>
      <c r="B213" s="7">
        <f t="shared" si="15"/>
        <v>48791</v>
      </c>
      <c r="I213" s="8">
        <f t="shared" si="16"/>
        <v>0</v>
      </c>
      <c r="J213" s="8">
        <f t="shared" si="17"/>
        <v>0</v>
      </c>
      <c r="K213" s="8">
        <f>SUMIFS(His_Operacoes_acoes[Total],His_Operacoes_acoes[Fimmes],Patrimônio!B213,His_Operacoes_acoes[Operação],"JCP")
+ SUMIFS(His_Operacoes_acoes[Total],His_Operacoes_acoes[Fimmes],Patrimônio!B213,His_Operacoes_acoes[Operação],"Divid.")
+ SUMIFS(His_Operacoes_acoes[Total],His_Operacoes_acoes[Fimmes],Patrimônio!B213,His_Operacoes_acoes[Operação],"Bonif.")</f>
        <v>0</v>
      </c>
      <c r="L213" s="8">
        <f>SUMIFS(His_Operacoes_BDRs[Total],His_Operacoes_BDRs[Operação],"Provento",His_Operacoes_BDRs[fimmês],Patrimônio!B213)</f>
        <v>0</v>
      </c>
      <c r="M213" s="8">
        <f>SUMIFS(His_Operacoes_FIIs[Total],His_Operacoes_FIIs[Operação],"Provento",His_Operacoes_FIIs[fimmês],Patrimônio!B213)</f>
        <v>0</v>
      </c>
      <c r="N213" s="8">
        <f t="shared" si="18"/>
        <v>0</v>
      </c>
    </row>
    <row r="214" spans="1:14" x14ac:dyDescent="0.35">
      <c r="A214" s="7">
        <v>48823</v>
      </c>
      <c r="B214" s="7">
        <f t="shared" si="15"/>
        <v>48822</v>
      </c>
      <c r="I214" s="8">
        <f t="shared" si="16"/>
        <v>0</v>
      </c>
      <c r="J214" s="8">
        <f t="shared" si="17"/>
        <v>0</v>
      </c>
      <c r="K214" s="8">
        <f>SUMIFS(His_Operacoes_acoes[Total],His_Operacoes_acoes[Fimmes],Patrimônio!B214,His_Operacoes_acoes[Operação],"JCP")
+ SUMIFS(His_Operacoes_acoes[Total],His_Operacoes_acoes[Fimmes],Patrimônio!B214,His_Operacoes_acoes[Operação],"Divid.")
+ SUMIFS(His_Operacoes_acoes[Total],His_Operacoes_acoes[Fimmes],Patrimônio!B214,His_Operacoes_acoes[Operação],"Bonif.")</f>
        <v>0</v>
      </c>
      <c r="L214" s="8">
        <f>SUMIFS(His_Operacoes_BDRs[Total],His_Operacoes_BDRs[Operação],"Provento",His_Operacoes_BDRs[fimmês],Patrimônio!B214)</f>
        <v>0</v>
      </c>
      <c r="M214" s="8">
        <f>SUMIFS(His_Operacoes_FIIs[Total],His_Operacoes_FIIs[Operação],"Provento",His_Operacoes_FIIs[fimmês],Patrimônio!B214)</f>
        <v>0</v>
      </c>
      <c r="N214" s="8">
        <f t="shared" si="18"/>
        <v>0</v>
      </c>
    </row>
    <row r="215" spans="1:14" x14ac:dyDescent="0.35">
      <c r="A215" s="7">
        <v>48853</v>
      </c>
      <c r="B215" s="7">
        <f t="shared" si="15"/>
        <v>48852</v>
      </c>
      <c r="I215" s="8">
        <f t="shared" si="16"/>
        <v>0</v>
      </c>
      <c r="J215" s="8">
        <f t="shared" si="17"/>
        <v>0</v>
      </c>
      <c r="K215" s="8">
        <f>SUMIFS(His_Operacoes_acoes[Total],His_Operacoes_acoes[Fimmes],Patrimônio!B215,His_Operacoes_acoes[Operação],"JCP")
+ SUMIFS(His_Operacoes_acoes[Total],His_Operacoes_acoes[Fimmes],Patrimônio!B215,His_Operacoes_acoes[Operação],"Divid.")
+ SUMIFS(His_Operacoes_acoes[Total],His_Operacoes_acoes[Fimmes],Patrimônio!B215,His_Operacoes_acoes[Operação],"Bonif.")</f>
        <v>0</v>
      </c>
      <c r="L215" s="8">
        <f>SUMIFS(His_Operacoes_BDRs[Total],His_Operacoes_BDRs[Operação],"Provento",His_Operacoes_BDRs[fimmês],Patrimônio!B215)</f>
        <v>0</v>
      </c>
      <c r="M215" s="8">
        <f>SUMIFS(His_Operacoes_FIIs[Total],His_Operacoes_FIIs[Operação],"Provento",His_Operacoes_FIIs[fimmês],Patrimônio!B215)</f>
        <v>0</v>
      </c>
      <c r="N215" s="8">
        <f t="shared" si="18"/>
        <v>0</v>
      </c>
    </row>
    <row r="216" spans="1:14" x14ac:dyDescent="0.35">
      <c r="A216" s="7">
        <v>48884</v>
      </c>
      <c r="B216" s="7">
        <f t="shared" si="15"/>
        <v>48883</v>
      </c>
      <c r="I216" s="8">
        <f t="shared" si="16"/>
        <v>0</v>
      </c>
      <c r="J216" s="8">
        <f t="shared" si="17"/>
        <v>0</v>
      </c>
      <c r="K216" s="8">
        <f>SUMIFS(His_Operacoes_acoes[Total],His_Operacoes_acoes[Fimmes],Patrimônio!B216,His_Operacoes_acoes[Operação],"JCP")
+ SUMIFS(His_Operacoes_acoes[Total],His_Operacoes_acoes[Fimmes],Patrimônio!B216,His_Operacoes_acoes[Operação],"Divid.")
+ SUMIFS(His_Operacoes_acoes[Total],His_Operacoes_acoes[Fimmes],Patrimônio!B216,His_Operacoes_acoes[Operação],"Bonif.")</f>
        <v>0</v>
      </c>
      <c r="L216" s="8">
        <f>SUMIFS(His_Operacoes_BDRs[Total],His_Operacoes_BDRs[Operação],"Provento",His_Operacoes_BDRs[fimmês],Patrimônio!B216)</f>
        <v>0</v>
      </c>
      <c r="M216" s="8">
        <f>SUMIFS(His_Operacoes_FIIs[Total],His_Operacoes_FIIs[Operação],"Provento",His_Operacoes_FIIs[fimmês],Patrimônio!B216)</f>
        <v>0</v>
      </c>
      <c r="N216" s="8">
        <f t="shared" si="18"/>
        <v>0</v>
      </c>
    </row>
    <row r="217" spans="1:14" x14ac:dyDescent="0.35">
      <c r="A217" s="7">
        <v>48914</v>
      </c>
      <c r="B217" s="7">
        <f t="shared" si="15"/>
        <v>48913</v>
      </c>
      <c r="I217" s="8">
        <f t="shared" si="16"/>
        <v>0</v>
      </c>
      <c r="J217" s="8">
        <f t="shared" si="17"/>
        <v>0</v>
      </c>
      <c r="K217" s="8">
        <f>SUMIFS(His_Operacoes_acoes[Total],His_Operacoes_acoes[Fimmes],Patrimônio!B217,His_Operacoes_acoes[Operação],"JCP")
+ SUMIFS(His_Operacoes_acoes[Total],His_Operacoes_acoes[Fimmes],Patrimônio!B217,His_Operacoes_acoes[Operação],"Divid.")
+ SUMIFS(His_Operacoes_acoes[Total],His_Operacoes_acoes[Fimmes],Patrimônio!B217,His_Operacoes_acoes[Operação],"Bonif.")</f>
        <v>0</v>
      </c>
      <c r="L217" s="8">
        <f>SUMIFS(His_Operacoes_BDRs[Total],His_Operacoes_BDRs[Operação],"Provento",His_Operacoes_BDRs[fimmês],Patrimônio!B217)</f>
        <v>0</v>
      </c>
      <c r="M217" s="8">
        <f>SUMIFS(His_Operacoes_FIIs[Total],His_Operacoes_FIIs[Operação],"Provento",His_Operacoes_FIIs[fimmês],Patrimônio!B217)</f>
        <v>0</v>
      </c>
      <c r="N217" s="8">
        <f t="shared" si="18"/>
        <v>0</v>
      </c>
    </row>
    <row r="218" spans="1:14" x14ac:dyDescent="0.35">
      <c r="A218" s="7">
        <v>48945</v>
      </c>
      <c r="B218" s="7">
        <f t="shared" si="15"/>
        <v>48944</v>
      </c>
      <c r="I218" s="8">
        <f t="shared" si="16"/>
        <v>0</v>
      </c>
      <c r="J218" s="8">
        <f t="shared" si="17"/>
        <v>0</v>
      </c>
      <c r="K218" s="8">
        <f>SUMIFS(His_Operacoes_acoes[Total],His_Operacoes_acoes[Fimmes],Patrimônio!B218,His_Operacoes_acoes[Operação],"JCP")
+ SUMIFS(His_Operacoes_acoes[Total],His_Operacoes_acoes[Fimmes],Patrimônio!B218,His_Operacoes_acoes[Operação],"Divid.")
+ SUMIFS(His_Operacoes_acoes[Total],His_Operacoes_acoes[Fimmes],Patrimônio!B218,His_Operacoes_acoes[Operação],"Bonif.")</f>
        <v>0</v>
      </c>
      <c r="L218" s="8">
        <f>SUMIFS(His_Operacoes_BDRs[Total],His_Operacoes_BDRs[Operação],"Provento",His_Operacoes_BDRs[fimmês],Patrimônio!B218)</f>
        <v>0</v>
      </c>
      <c r="M218" s="8">
        <f>SUMIFS(His_Operacoes_FIIs[Total],His_Operacoes_FIIs[Operação],"Provento",His_Operacoes_FIIs[fimmês],Patrimônio!B218)</f>
        <v>0</v>
      </c>
      <c r="N218" s="8">
        <f t="shared" si="18"/>
        <v>0</v>
      </c>
    </row>
    <row r="219" spans="1:14" x14ac:dyDescent="0.35">
      <c r="A219" s="7">
        <v>48976</v>
      </c>
      <c r="B219" s="7">
        <f t="shared" si="15"/>
        <v>48975</v>
      </c>
      <c r="I219" s="8">
        <f t="shared" si="16"/>
        <v>0</v>
      </c>
      <c r="J219" s="8">
        <f t="shared" si="17"/>
        <v>0</v>
      </c>
      <c r="K219" s="8">
        <f>SUMIFS(His_Operacoes_acoes[Total],His_Operacoes_acoes[Fimmes],Patrimônio!B219,His_Operacoes_acoes[Operação],"JCP")
+ SUMIFS(His_Operacoes_acoes[Total],His_Operacoes_acoes[Fimmes],Patrimônio!B219,His_Operacoes_acoes[Operação],"Divid.")
+ SUMIFS(His_Operacoes_acoes[Total],His_Operacoes_acoes[Fimmes],Patrimônio!B219,His_Operacoes_acoes[Operação],"Bonif.")</f>
        <v>0</v>
      </c>
      <c r="L219" s="8">
        <f>SUMIFS(His_Operacoes_BDRs[Total],His_Operacoes_BDRs[Operação],"Provento",His_Operacoes_BDRs[fimmês],Patrimônio!B219)</f>
        <v>0</v>
      </c>
      <c r="M219" s="8">
        <f>SUMIFS(His_Operacoes_FIIs[Total],His_Operacoes_FIIs[Operação],"Provento",His_Operacoes_FIIs[fimmês],Patrimônio!B219)</f>
        <v>0</v>
      </c>
      <c r="N219" s="8">
        <f t="shared" si="18"/>
        <v>0</v>
      </c>
    </row>
    <row r="220" spans="1:14" x14ac:dyDescent="0.35">
      <c r="A220" s="7">
        <v>49004</v>
      </c>
      <c r="B220" s="7">
        <f t="shared" si="15"/>
        <v>49003</v>
      </c>
      <c r="I220" s="8">
        <f t="shared" si="16"/>
        <v>0</v>
      </c>
      <c r="J220" s="8">
        <f t="shared" si="17"/>
        <v>0</v>
      </c>
      <c r="K220" s="8">
        <f>SUMIFS(His_Operacoes_acoes[Total],His_Operacoes_acoes[Fimmes],Patrimônio!B220,His_Operacoes_acoes[Operação],"JCP")
+ SUMIFS(His_Operacoes_acoes[Total],His_Operacoes_acoes[Fimmes],Patrimônio!B220,His_Operacoes_acoes[Operação],"Divid.")
+ SUMIFS(His_Operacoes_acoes[Total],His_Operacoes_acoes[Fimmes],Patrimônio!B220,His_Operacoes_acoes[Operação],"Bonif.")</f>
        <v>0</v>
      </c>
      <c r="L220" s="8">
        <f>SUMIFS(His_Operacoes_BDRs[Total],His_Operacoes_BDRs[Operação],"Provento",His_Operacoes_BDRs[fimmês],Patrimônio!B220)</f>
        <v>0</v>
      </c>
      <c r="M220" s="8">
        <f>SUMIFS(His_Operacoes_FIIs[Total],His_Operacoes_FIIs[Operação],"Provento",His_Operacoes_FIIs[fimmês],Patrimônio!B220)</f>
        <v>0</v>
      </c>
      <c r="N220" s="8">
        <f t="shared" si="18"/>
        <v>0</v>
      </c>
    </row>
    <row r="221" spans="1:14" x14ac:dyDescent="0.35">
      <c r="A221" s="7">
        <v>49035</v>
      </c>
      <c r="B221" s="7">
        <f t="shared" si="15"/>
        <v>49034</v>
      </c>
      <c r="I221" s="8">
        <f t="shared" si="16"/>
        <v>0</v>
      </c>
      <c r="J221" s="8">
        <f t="shared" si="17"/>
        <v>0</v>
      </c>
      <c r="K221" s="8">
        <f>SUMIFS(His_Operacoes_acoes[Total],His_Operacoes_acoes[Fimmes],Patrimônio!B221,His_Operacoes_acoes[Operação],"JCP")
+ SUMIFS(His_Operacoes_acoes[Total],His_Operacoes_acoes[Fimmes],Patrimônio!B221,His_Operacoes_acoes[Operação],"Divid.")
+ SUMIFS(His_Operacoes_acoes[Total],His_Operacoes_acoes[Fimmes],Patrimônio!B221,His_Operacoes_acoes[Operação],"Bonif.")</f>
        <v>0</v>
      </c>
      <c r="L221" s="8">
        <f>SUMIFS(His_Operacoes_BDRs[Total],His_Operacoes_BDRs[Operação],"Provento",His_Operacoes_BDRs[fimmês],Patrimônio!B221)</f>
        <v>0</v>
      </c>
      <c r="M221" s="8">
        <f>SUMIFS(His_Operacoes_FIIs[Total],His_Operacoes_FIIs[Operação],"Provento",His_Operacoes_FIIs[fimmês],Patrimônio!B221)</f>
        <v>0</v>
      </c>
      <c r="N221" s="8">
        <f t="shared" si="18"/>
        <v>0</v>
      </c>
    </row>
    <row r="222" spans="1:14" x14ac:dyDescent="0.35">
      <c r="A222" s="7">
        <v>49065</v>
      </c>
      <c r="B222" s="7">
        <f t="shared" si="15"/>
        <v>49064</v>
      </c>
      <c r="I222" s="8">
        <f t="shared" si="16"/>
        <v>0</v>
      </c>
      <c r="J222" s="8">
        <f t="shared" si="17"/>
        <v>0</v>
      </c>
      <c r="K222" s="8">
        <f>SUMIFS(His_Operacoes_acoes[Total],His_Operacoes_acoes[Fimmes],Patrimônio!B222,His_Operacoes_acoes[Operação],"JCP")
+ SUMIFS(His_Operacoes_acoes[Total],His_Operacoes_acoes[Fimmes],Patrimônio!B222,His_Operacoes_acoes[Operação],"Divid.")
+ SUMIFS(His_Operacoes_acoes[Total],His_Operacoes_acoes[Fimmes],Patrimônio!B222,His_Operacoes_acoes[Operação],"Bonif.")</f>
        <v>0</v>
      </c>
      <c r="L222" s="8">
        <f>SUMIFS(His_Operacoes_BDRs[Total],His_Operacoes_BDRs[Operação],"Provento",His_Operacoes_BDRs[fimmês],Patrimônio!B222)</f>
        <v>0</v>
      </c>
      <c r="M222" s="8">
        <f>SUMIFS(His_Operacoes_FIIs[Total],His_Operacoes_FIIs[Operação],"Provento",His_Operacoes_FIIs[fimmês],Patrimônio!B222)</f>
        <v>0</v>
      </c>
      <c r="N222" s="8">
        <f t="shared" si="18"/>
        <v>0</v>
      </c>
    </row>
    <row r="223" spans="1:14" x14ac:dyDescent="0.35">
      <c r="A223" s="7">
        <v>49096</v>
      </c>
      <c r="B223" s="7">
        <f t="shared" si="15"/>
        <v>49095</v>
      </c>
      <c r="I223" s="8">
        <f t="shared" si="16"/>
        <v>0</v>
      </c>
      <c r="J223" s="8">
        <f t="shared" si="17"/>
        <v>0</v>
      </c>
      <c r="K223" s="8">
        <f>SUMIFS(His_Operacoes_acoes[Total],His_Operacoes_acoes[Fimmes],Patrimônio!B223,His_Operacoes_acoes[Operação],"JCP")
+ SUMIFS(His_Operacoes_acoes[Total],His_Operacoes_acoes[Fimmes],Patrimônio!B223,His_Operacoes_acoes[Operação],"Divid.")
+ SUMIFS(His_Operacoes_acoes[Total],His_Operacoes_acoes[Fimmes],Patrimônio!B223,His_Operacoes_acoes[Operação],"Bonif.")</f>
        <v>0</v>
      </c>
      <c r="L223" s="8">
        <f>SUMIFS(His_Operacoes_BDRs[Total],His_Operacoes_BDRs[Operação],"Provento",His_Operacoes_BDRs[fimmês],Patrimônio!B223)</f>
        <v>0</v>
      </c>
      <c r="M223" s="8">
        <f>SUMIFS(His_Operacoes_FIIs[Total],His_Operacoes_FIIs[Operação],"Provento",His_Operacoes_FIIs[fimmês],Patrimônio!B223)</f>
        <v>0</v>
      </c>
      <c r="N223" s="8">
        <f t="shared" si="18"/>
        <v>0</v>
      </c>
    </row>
    <row r="224" spans="1:14" x14ac:dyDescent="0.35">
      <c r="A224" s="7">
        <v>49126</v>
      </c>
      <c r="B224" s="7">
        <f t="shared" si="15"/>
        <v>49125</v>
      </c>
      <c r="I224" s="8">
        <f t="shared" si="16"/>
        <v>0</v>
      </c>
      <c r="J224" s="8">
        <f t="shared" si="17"/>
        <v>0</v>
      </c>
      <c r="K224" s="8">
        <f>SUMIFS(His_Operacoes_acoes[Total],His_Operacoes_acoes[Fimmes],Patrimônio!B224,His_Operacoes_acoes[Operação],"JCP")
+ SUMIFS(His_Operacoes_acoes[Total],His_Operacoes_acoes[Fimmes],Patrimônio!B224,His_Operacoes_acoes[Operação],"Divid.")
+ SUMIFS(His_Operacoes_acoes[Total],His_Operacoes_acoes[Fimmes],Patrimônio!B224,His_Operacoes_acoes[Operação],"Bonif.")</f>
        <v>0</v>
      </c>
      <c r="L224" s="8">
        <f>SUMIFS(His_Operacoes_BDRs[Total],His_Operacoes_BDRs[Operação],"Provento",His_Operacoes_BDRs[fimmês],Patrimônio!B224)</f>
        <v>0</v>
      </c>
      <c r="M224" s="8">
        <f>SUMIFS(His_Operacoes_FIIs[Total],His_Operacoes_FIIs[Operação],"Provento",His_Operacoes_FIIs[fimmês],Patrimônio!B224)</f>
        <v>0</v>
      </c>
      <c r="N224" s="8">
        <f t="shared" si="18"/>
        <v>0</v>
      </c>
    </row>
    <row r="225" spans="1:14" x14ac:dyDescent="0.35">
      <c r="A225" s="7">
        <v>49157</v>
      </c>
      <c r="B225" s="7">
        <f t="shared" si="15"/>
        <v>49156</v>
      </c>
      <c r="I225" s="8">
        <f t="shared" si="16"/>
        <v>0</v>
      </c>
      <c r="J225" s="8">
        <f t="shared" si="17"/>
        <v>0</v>
      </c>
      <c r="K225" s="8">
        <f>SUMIFS(His_Operacoes_acoes[Total],His_Operacoes_acoes[Fimmes],Patrimônio!B225,His_Operacoes_acoes[Operação],"JCP")
+ SUMIFS(His_Operacoes_acoes[Total],His_Operacoes_acoes[Fimmes],Patrimônio!B225,His_Operacoes_acoes[Operação],"Divid.")
+ SUMIFS(His_Operacoes_acoes[Total],His_Operacoes_acoes[Fimmes],Patrimônio!B225,His_Operacoes_acoes[Operação],"Bonif.")</f>
        <v>0</v>
      </c>
      <c r="L225" s="8">
        <f>SUMIFS(His_Operacoes_BDRs[Total],His_Operacoes_BDRs[Operação],"Provento",His_Operacoes_BDRs[fimmês],Patrimônio!B225)</f>
        <v>0</v>
      </c>
      <c r="M225" s="8">
        <f>SUMIFS(His_Operacoes_FIIs[Total],His_Operacoes_FIIs[Operação],"Provento",His_Operacoes_FIIs[fimmês],Patrimônio!B225)</f>
        <v>0</v>
      </c>
      <c r="N225" s="8">
        <f t="shared" si="18"/>
        <v>0</v>
      </c>
    </row>
    <row r="226" spans="1:14" x14ac:dyDescent="0.35">
      <c r="A226" s="7">
        <v>49188</v>
      </c>
      <c r="B226" s="7">
        <f t="shared" si="15"/>
        <v>49187</v>
      </c>
      <c r="I226" s="8">
        <f t="shared" si="16"/>
        <v>0</v>
      </c>
      <c r="J226" s="8">
        <f t="shared" si="17"/>
        <v>0</v>
      </c>
      <c r="K226" s="8">
        <f>SUMIFS(His_Operacoes_acoes[Total],His_Operacoes_acoes[Fimmes],Patrimônio!B226,His_Operacoes_acoes[Operação],"JCP")
+ SUMIFS(His_Operacoes_acoes[Total],His_Operacoes_acoes[Fimmes],Patrimônio!B226,His_Operacoes_acoes[Operação],"Divid.")
+ SUMIFS(His_Operacoes_acoes[Total],His_Operacoes_acoes[Fimmes],Patrimônio!B226,His_Operacoes_acoes[Operação],"Bonif.")</f>
        <v>0</v>
      </c>
      <c r="L226" s="8">
        <f>SUMIFS(His_Operacoes_BDRs[Total],His_Operacoes_BDRs[Operação],"Provento",His_Operacoes_BDRs[fimmês],Patrimônio!B226)</f>
        <v>0</v>
      </c>
      <c r="M226" s="8">
        <f>SUMIFS(His_Operacoes_FIIs[Total],His_Operacoes_FIIs[Operação],"Provento",His_Operacoes_FIIs[fimmês],Patrimônio!B226)</f>
        <v>0</v>
      </c>
      <c r="N226" s="8">
        <f t="shared" si="18"/>
        <v>0</v>
      </c>
    </row>
    <row r="227" spans="1:14" x14ac:dyDescent="0.35">
      <c r="A227" s="7">
        <v>49218</v>
      </c>
      <c r="B227" s="7">
        <f t="shared" si="15"/>
        <v>49217</v>
      </c>
      <c r="I227" s="8">
        <f t="shared" si="16"/>
        <v>0</v>
      </c>
      <c r="J227" s="8">
        <f t="shared" si="17"/>
        <v>0</v>
      </c>
      <c r="K227" s="8">
        <f>SUMIFS(His_Operacoes_acoes[Total],His_Operacoes_acoes[Fimmes],Patrimônio!B227,His_Operacoes_acoes[Operação],"JCP")
+ SUMIFS(His_Operacoes_acoes[Total],His_Operacoes_acoes[Fimmes],Patrimônio!B227,His_Operacoes_acoes[Operação],"Divid.")
+ SUMIFS(His_Operacoes_acoes[Total],His_Operacoes_acoes[Fimmes],Patrimônio!B227,His_Operacoes_acoes[Operação],"Bonif.")</f>
        <v>0</v>
      </c>
      <c r="L227" s="8">
        <f>SUMIFS(His_Operacoes_BDRs[Total],His_Operacoes_BDRs[Operação],"Provento",His_Operacoes_BDRs[fimmês],Patrimônio!B227)</f>
        <v>0</v>
      </c>
      <c r="M227" s="8">
        <f>SUMIFS(His_Operacoes_FIIs[Total],His_Operacoes_FIIs[Operação],"Provento",His_Operacoes_FIIs[fimmês],Patrimônio!B227)</f>
        <v>0</v>
      </c>
      <c r="N227" s="8">
        <f t="shared" si="18"/>
        <v>0</v>
      </c>
    </row>
    <row r="228" spans="1:14" x14ac:dyDescent="0.35">
      <c r="A228" s="7">
        <v>49249</v>
      </c>
      <c r="B228" s="7">
        <f t="shared" si="15"/>
        <v>49248</v>
      </c>
      <c r="I228" s="8">
        <f t="shared" si="16"/>
        <v>0</v>
      </c>
      <c r="J228" s="8">
        <f t="shared" si="17"/>
        <v>0</v>
      </c>
      <c r="K228" s="8">
        <f>SUMIFS(His_Operacoes_acoes[Total],His_Operacoes_acoes[Fimmes],Patrimônio!B228,His_Operacoes_acoes[Operação],"JCP")
+ SUMIFS(His_Operacoes_acoes[Total],His_Operacoes_acoes[Fimmes],Patrimônio!B228,His_Operacoes_acoes[Operação],"Divid.")
+ SUMIFS(His_Operacoes_acoes[Total],His_Operacoes_acoes[Fimmes],Patrimônio!B228,His_Operacoes_acoes[Operação],"Bonif.")</f>
        <v>0</v>
      </c>
      <c r="L228" s="8">
        <f>SUMIFS(His_Operacoes_BDRs[Total],His_Operacoes_BDRs[Operação],"Provento",His_Operacoes_BDRs[fimmês],Patrimônio!B228)</f>
        <v>0</v>
      </c>
      <c r="M228" s="8">
        <f>SUMIFS(His_Operacoes_FIIs[Total],His_Operacoes_FIIs[Operação],"Provento",His_Operacoes_FIIs[fimmês],Patrimônio!B228)</f>
        <v>0</v>
      </c>
      <c r="N228" s="8">
        <f t="shared" si="18"/>
        <v>0</v>
      </c>
    </row>
    <row r="229" spans="1:14" x14ac:dyDescent="0.35">
      <c r="A229" s="7">
        <v>49279</v>
      </c>
      <c r="B229" s="7">
        <f t="shared" si="15"/>
        <v>49278</v>
      </c>
      <c r="I229" s="8">
        <f t="shared" si="16"/>
        <v>0</v>
      </c>
      <c r="J229" s="8">
        <f t="shared" si="17"/>
        <v>0</v>
      </c>
      <c r="K229" s="8">
        <f>SUMIFS(His_Operacoes_acoes[Total],His_Operacoes_acoes[Fimmes],Patrimônio!B229,His_Operacoes_acoes[Operação],"JCP")
+ SUMIFS(His_Operacoes_acoes[Total],His_Operacoes_acoes[Fimmes],Patrimônio!B229,His_Operacoes_acoes[Operação],"Divid.")
+ SUMIFS(His_Operacoes_acoes[Total],His_Operacoes_acoes[Fimmes],Patrimônio!B229,His_Operacoes_acoes[Operação],"Bonif.")</f>
        <v>0</v>
      </c>
      <c r="L229" s="8">
        <f>SUMIFS(His_Operacoes_BDRs[Total],His_Operacoes_BDRs[Operação],"Provento",His_Operacoes_BDRs[fimmês],Patrimônio!B229)</f>
        <v>0</v>
      </c>
      <c r="M229" s="8">
        <f>SUMIFS(His_Operacoes_FIIs[Total],His_Operacoes_FIIs[Operação],"Provento",His_Operacoes_FIIs[fimmês],Patrimônio!B229)</f>
        <v>0</v>
      </c>
      <c r="N229" s="8">
        <f t="shared" si="18"/>
        <v>0</v>
      </c>
    </row>
    <row r="230" spans="1:14" x14ac:dyDescent="0.35">
      <c r="A230" s="7">
        <v>49310</v>
      </c>
      <c r="B230" s="7">
        <f t="shared" si="15"/>
        <v>49309</v>
      </c>
      <c r="I230" s="8">
        <f t="shared" si="16"/>
        <v>0</v>
      </c>
      <c r="J230" s="8">
        <f t="shared" si="17"/>
        <v>0</v>
      </c>
      <c r="K230" s="8">
        <f>SUMIFS(His_Operacoes_acoes[Total],His_Operacoes_acoes[Fimmes],Patrimônio!B230,His_Operacoes_acoes[Operação],"JCP")
+ SUMIFS(His_Operacoes_acoes[Total],His_Operacoes_acoes[Fimmes],Patrimônio!B230,His_Operacoes_acoes[Operação],"Divid.")
+ SUMIFS(His_Operacoes_acoes[Total],His_Operacoes_acoes[Fimmes],Patrimônio!B230,His_Operacoes_acoes[Operação],"Bonif.")</f>
        <v>0</v>
      </c>
      <c r="L230" s="8">
        <f>SUMIFS(His_Operacoes_BDRs[Total],His_Operacoes_BDRs[Operação],"Provento",His_Operacoes_BDRs[fimmês],Patrimônio!B230)</f>
        <v>0</v>
      </c>
      <c r="M230" s="8">
        <f>SUMIFS(His_Operacoes_FIIs[Total],His_Operacoes_FIIs[Operação],"Provento",His_Operacoes_FIIs[fimmês],Patrimônio!B230)</f>
        <v>0</v>
      </c>
      <c r="N230" s="8">
        <f t="shared" si="18"/>
        <v>0</v>
      </c>
    </row>
    <row r="231" spans="1:14" x14ac:dyDescent="0.35">
      <c r="A231" s="7">
        <v>49341</v>
      </c>
      <c r="B231" s="7">
        <f t="shared" si="15"/>
        <v>49340</v>
      </c>
      <c r="I231" s="8">
        <f t="shared" si="16"/>
        <v>0</v>
      </c>
      <c r="J231" s="8">
        <f t="shared" si="17"/>
        <v>0</v>
      </c>
      <c r="K231" s="8">
        <f>SUMIFS(His_Operacoes_acoes[Total],His_Operacoes_acoes[Fimmes],Patrimônio!B231,His_Operacoes_acoes[Operação],"JCP")
+ SUMIFS(His_Operacoes_acoes[Total],His_Operacoes_acoes[Fimmes],Patrimônio!B231,His_Operacoes_acoes[Operação],"Divid.")
+ SUMIFS(His_Operacoes_acoes[Total],His_Operacoes_acoes[Fimmes],Patrimônio!B231,His_Operacoes_acoes[Operação],"Bonif.")</f>
        <v>0</v>
      </c>
      <c r="L231" s="8">
        <f>SUMIFS(His_Operacoes_BDRs[Total],His_Operacoes_BDRs[Operação],"Provento",His_Operacoes_BDRs[fimmês],Patrimônio!B231)</f>
        <v>0</v>
      </c>
      <c r="M231" s="8">
        <f>SUMIFS(His_Operacoes_FIIs[Total],His_Operacoes_FIIs[Operação],"Provento",His_Operacoes_FIIs[fimmês],Patrimônio!B231)</f>
        <v>0</v>
      </c>
      <c r="N231" s="8">
        <f t="shared" si="18"/>
        <v>0</v>
      </c>
    </row>
    <row r="232" spans="1:14" x14ac:dyDescent="0.35">
      <c r="A232" s="7">
        <v>49369</v>
      </c>
      <c r="B232" s="7">
        <f t="shared" si="15"/>
        <v>49368</v>
      </c>
      <c r="I232" s="8">
        <f t="shared" si="16"/>
        <v>0</v>
      </c>
      <c r="J232" s="8">
        <f t="shared" si="17"/>
        <v>0</v>
      </c>
      <c r="K232" s="8">
        <f>SUMIFS(His_Operacoes_acoes[Total],His_Operacoes_acoes[Fimmes],Patrimônio!B232,His_Operacoes_acoes[Operação],"JCP")
+ SUMIFS(His_Operacoes_acoes[Total],His_Operacoes_acoes[Fimmes],Patrimônio!B232,His_Operacoes_acoes[Operação],"Divid.")
+ SUMIFS(His_Operacoes_acoes[Total],His_Operacoes_acoes[Fimmes],Patrimônio!B232,His_Operacoes_acoes[Operação],"Bonif.")</f>
        <v>0</v>
      </c>
      <c r="L232" s="8">
        <f>SUMIFS(His_Operacoes_BDRs[Total],His_Operacoes_BDRs[Operação],"Provento",His_Operacoes_BDRs[fimmês],Patrimônio!B232)</f>
        <v>0</v>
      </c>
      <c r="M232" s="8">
        <f>SUMIFS(His_Operacoes_FIIs[Total],His_Operacoes_FIIs[Operação],"Provento",His_Operacoes_FIIs[fimmês],Patrimônio!B232)</f>
        <v>0</v>
      </c>
      <c r="N232" s="8">
        <f t="shared" si="18"/>
        <v>0</v>
      </c>
    </row>
    <row r="233" spans="1:14" x14ac:dyDescent="0.35">
      <c r="A233" s="7">
        <v>49400</v>
      </c>
      <c r="B233" s="7">
        <f t="shared" si="15"/>
        <v>49399</v>
      </c>
      <c r="I233" s="8">
        <f t="shared" si="16"/>
        <v>0</v>
      </c>
      <c r="J233" s="8">
        <f t="shared" si="17"/>
        <v>0</v>
      </c>
      <c r="K233" s="8">
        <f>SUMIFS(His_Operacoes_acoes[Total],His_Operacoes_acoes[Fimmes],Patrimônio!B233,His_Operacoes_acoes[Operação],"JCP")
+ SUMIFS(His_Operacoes_acoes[Total],His_Operacoes_acoes[Fimmes],Patrimônio!B233,His_Operacoes_acoes[Operação],"Divid.")
+ SUMIFS(His_Operacoes_acoes[Total],His_Operacoes_acoes[Fimmes],Patrimônio!B233,His_Operacoes_acoes[Operação],"Bonif.")</f>
        <v>0</v>
      </c>
      <c r="L233" s="8">
        <f>SUMIFS(His_Operacoes_BDRs[Total],His_Operacoes_BDRs[Operação],"Provento",His_Operacoes_BDRs[fimmês],Patrimônio!B233)</f>
        <v>0</v>
      </c>
      <c r="M233" s="8">
        <f>SUMIFS(His_Operacoes_FIIs[Total],His_Operacoes_FIIs[Operação],"Provento",His_Operacoes_FIIs[fimmês],Patrimônio!B233)</f>
        <v>0</v>
      </c>
      <c r="N233" s="8">
        <f t="shared" si="18"/>
        <v>0</v>
      </c>
    </row>
    <row r="234" spans="1:14" x14ac:dyDescent="0.35">
      <c r="A234" s="7">
        <v>49430</v>
      </c>
      <c r="B234" s="7">
        <f t="shared" si="15"/>
        <v>49429</v>
      </c>
      <c r="I234" s="8">
        <f t="shared" si="16"/>
        <v>0</v>
      </c>
      <c r="J234" s="8">
        <f t="shared" si="17"/>
        <v>0</v>
      </c>
      <c r="K234" s="8">
        <f>SUMIFS(His_Operacoes_acoes[Total],His_Operacoes_acoes[Fimmes],Patrimônio!B234,His_Operacoes_acoes[Operação],"JCP")
+ SUMIFS(His_Operacoes_acoes[Total],His_Operacoes_acoes[Fimmes],Patrimônio!B234,His_Operacoes_acoes[Operação],"Divid.")
+ SUMIFS(His_Operacoes_acoes[Total],His_Operacoes_acoes[Fimmes],Patrimônio!B234,His_Operacoes_acoes[Operação],"Bonif.")</f>
        <v>0</v>
      </c>
      <c r="L234" s="8">
        <f>SUMIFS(His_Operacoes_BDRs[Total],His_Operacoes_BDRs[Operação],"Provento",His_Operacoes_BDRs[fimmês],Patrimônio!B234)</f>
        <v>0</v>
      </c>
      <c r="M234" s="8">
        <f>SUMIFS(His_Operacoes_FIIs[Total],His_Operacoes_FIIs[Operação],"Provento",His_Operacoes_FIIs[fimmês],Patrimônio!B234)</f>
        <v>0</v>
      </c>
      <c r="N234" s="8">
        <f t="shared" si="18"/>
        <v>0</v>
      </c>
    </row>
    <row r="235" spans="1:14" x14ac:dyDescent="0.35">
      <c r="A235" s="7">
        <v>49461</v>
      </c>
      <c r="B235" s="7">
        <f t="shared" si="15"/>
        <v>49460</v>
      </c>
      <c r="I235" s="8">
        <f t="shared" si="16"/>
        <v>0</v>
      </c>
      <c r="J235" s="8">
        <f t="shared" si="17"/>
        <v>0</v>
      </c>
      <c r="K235" s="8">
        <f>SUMIFS(His_Operacoes_acoes[Total],His_Operacoes_acoes[Fimmes],Patrimônio!B235,His_Operacoes_acoes[Operação],"JCP")
+ SUMIFS(His_Operacoes_acoes[Total],His_Operacoes_acoes[Fimmes],Patrimônio!B235,His_Operacoes_acoes[Operação],"Divid.")
+ SUMIFS(His_Operacoes_acoes[Total],His_Operacoes_acoes[Fimmes],Patrimônio!B235,His_Operacoes_acoes[Operação],"Bonif.")</f>
        <v>0</v>
      </c>
      <c r="L235" s="8">
        <f>SUMIFS(His_Operacoes_BDRs[Total],His_Operacoes_BDRs[Operação],"Provento",His_Operacoes_BDRs[fimmês],Patrimônio!B235)</f>
        <v>0</v>
      </c>
      <c r="M235" s="8">
        <f>SUMIFS(His_Operacoes_FIIs[Total],His_Operacoes_FIIs[Operação],"Provento",His_Operacoes_FIIs[fimmês],Patrimônio!B235)</f>
        <v>0</v>
      </c>
      <c r="N235" s="8">
        <f t="shared" si="18"/>
        <v>0</v>
      </c>
    </row>
    <row r="236" spans="1:14" x14ac:dyDescent="0.35">
      <c r="A236" s="7">
        <v>49491</v>
      </c>
      <c r="B236" s="7">
        <f t="shared" si="15"/>
        <v>49490</v>
      </c>
      <c r="I236" s="8">
        <f t="shared" si="16"/>
        <v>0</v>
      </c>
      <c r="J236" s="8">
        <f t="shared" si="17"/>
        <v>0</v>
      </c>
      <c r="K236" s="8">
        <f>SUMIFS(His_Operacoes_acoes[Total],His_Operacoes_acoes[Fimmes],Patrimônio!B236,His_Operacoes_acoes[Operação],"JCP")
+ SUMIFS(His_Operacoes_acoes[Total],His_Operacoes_acoes[Fimmes],Patrimônio!B236,His_Operacoes_acoes[Operação],"Divid.")
+ SUMIFS(His_Operacoes_acoes[Total],His_Operacoes_acoes[Fimmes],Patrimônio!B236,His_Operacoes_acoes[Operação],"Bonif.")</f>
        <v>0</v>
      </c>
      <c r="L236" s="8">
        <f>SUMIFS(His_Operacoes_BDRs[Total],His_Operacoes_BDRs[Operação],"Provento",His_Operacoes_BDRs[fimmês],Patrimônio!B236)</f>
        <v>0</v>
      </c>
      <c r="M236" s="8">
        <f>SUMIFS(His_Operacoes_FIIs[Total],His_Operacoes_FIIs[Operação],"Provento",His_Operacoes_FIIs[fimmês],Patrimônio!B236)</f>
        <v>0</v>
      </c>
      <c r="N236" s="8">
        <f t="shared" si="18"/>
        <v>0</v>
      </c>
    </row>
    <row r="237" spans="1:14" x14ac:dyDescent="0.35">
      <c r="A237" s="7">
        <v>49522</v>
      </c>
      <c r="B237" s="7">
        <f t="shared" si="15"/>
        <v>49521</v>
      </c>
      <c r="I237" s="8">
        <f t="shared" si="16"/>
        <v>0</v>
      </c>
      <c r="J237" s="8">
        <f t="shared" si="17"/>
        <v>0</v>
      </c>
      <c r="K237" s="8">
        <f>SUMIFS(His_Operacoes_acoes[Total],His_Operacoes_acoes[Fimmes],Patrimônio!B237,His_Operacoes_acoes[Operação],"JCP")
+ SUMIFS(His_Operacoes_acoes[Total],His_Operacoes_acoes[Fimmes],Patrimônio!B237,His_Operacoes_acoes[Operação],"Divid.")
+ SUMIFS(His_Operacoes_acoes[Total],His_Operacoes_acoes[Fimmes],Patrimônio!B237,His_Operacoes_acoes[Operação],"Bonif.")</f>
        <v>0</v>
      </c>
      <c r="L237" s="8">
        <f>SUMIFS(His_Operacoes_BDRs[Total],His_Operacoes_BDRs[Operação],"Provento",His_Operacoes_BDRs[fimmês],Patrimônio!B237)</f>
        <v>0</v>
      </c>
      <c r="M237" s="8">
        <f>SUMIFS(His_Operacoes_FIIs[Total],His_Operacoes_FIIs[Operação],"Provento",His_Operacoes_FIIs[fimmês],Patrimônio!B237)</f>
        <v>0</v>
      </c>
      <c r="N237" s="8">
        <f t="shared" si="18"/>
        <v>0</v>
      </c>
    </row>
    <row r="238" spans="1:14" x14ac:dyDescent="0.35">
      <c r="A238" s="7">
        <v>49553</v>
      </c>
      <c r="B238" s="7">
        <f t="shared" si="15"/>
        <v>49552</v>
      </c>
      <c r="I238" s="8">
        <f t="shared" si="16"/>
        <v>0</v>
      </c>
      <c r="J238" s="8">
        <f t="shared" si="17"/>
        <v>0</v>
      </c>
      <c r="K238" s="8">
        <f>SUMIFS(His_Operacoes_acoes[Total],His_Operacoes_acoes[Fimmes],Patrimônio!B238,His_Operacoes_acoes[Operação],"JCP")
+ SUMIFS(His_Operacoes_acoes[Total],His_Operacoes_acoes[Fimmes],Patrimônio!B238,His_Operacoes_acoes[Operação],"Divid.")
+ SUMIFS(His_Operacoes_acoes[Total],His_Operacoes_acoes[Fimmes],Patrimônio!B238,His_Operacoes_acoes[Operação],"Bonif.")</f>
        <v>0</v>
      </c>
      <c r="L238" s="8">
        <f>SUMIFS(His_Operacoes_BDRs[Total],His_Operacoes_BDRs[Operação],"Provento",His_Operacoes_BDRs[fimmês],Patrimônio!B238)</f>
        <v>0</v>
      </c>
      <c r="M238" s="8">
        <f>SUMIFS(His_Operacoes_FIIs[Total],His_Operacoes_FIIs[Operação],"Provento",His_Operacoes_FIIs[fimmês],Patrimônio!B238)</f>
        <v>0</v>
      </c>
      <c r="N238" s="8">
        <f t="shared" si="18"/>
        <v>0</v>
      </c>
    </row>
    <row r="239" spans="1:14" x14ac:dyDescent="0.35">
      <c r="A239" s="7">
        <v>49583</v>
      </c>
      <c r="B239" s="7">
        <f t="shared" si="15"/>
        <v>49582</v>
      </c>
      <c r="I239" s="8">
        <f t="shared" si="16"/>
        <v>0</v>
      </c>
      <c r="J239" s="8">
        <f t="shared" si="17"/>
        <v>0</v>
      </c>
      <c r="K239" s="8">
        <f>SUMIFS(His_Operacoes_acoes[Total],His_Operacoes_acoes[Fimmes],Patrimônio!B239,His_Operacoes_acoes[Operação],"JCP")
+ SUMIFS(His_Operacoes_acoes[Total],His_Operacoes_acoes[Fimmes],Patrimônio!B239,His_Operacoes_acoes[Operação],"Divid.")
+ SUMIFS(His_Operacoes_acoes[Total],His_Operacoes_acoes[Fimmes],Patrimônio!B239,His_Operacoes_acoes[Operação],"Bonif.")</f>
        <v>0</v>
      </c>
      <c r="L239" s="8">
        <f>SUMIFS(His_Operacoes_BDRs[Total],His_Operacoes_BDRs[Operação],"Provento",His_Operacoes_BDRs[fimmês],Patrimônio!B239)</f>
        <v>0</v>
      </c>
      <c r="M239" s="8">
        <f>SUMIFS(His_Operacoes_FIIs[Total],His_Operacoes_FIIs[Operação],"Provento",His_Operacoes_FIIs[fimmês],Patrimônio!B239)</f>
        <v>0</v>
      </c>
      <c r="N239" s="8">
        <f t="shared" si="18"/>
        <v>0</v>
      </c>
    </row>
    <row r="240" spans="1:14" x14ac:dyDescent="0.35">
      <c r="A240" s="7">
        <v>49614</v>
      </c>
      <c r="B240" s="7">
        <f t="shared" si="15"/>
        <v>49613</v>
      </c>
      <c r="I240" s="8">
        <f t="shared" si="16"/>
        <v>0</v>
      </c>
      <c r="J240" s="8">
        <f t="shared" si="17"/>
        <v>0</v>
      </c>
      <c r="K240" s="8">
        <f>SUMIFS(His_Operacoes_acoes[Total],His_Operacoes_acoes[Fimmes],Patrimônio!B240,His_Operacoes_acoes[Operação],"JCP")
+ SUMIFS(His_Operacoes_acoes[Total],His_Operacoes_acoes[Fimmes],Patrimônio!B240,His_Operacoes_acoes[Operação],"Divid.")
+ SUMIFS(His_Operacoes_acoes[Total],His_Operacoes_acoes[Fimmes],Patrimônio!B240,His_Operacoes_acoes[Operação],"Bonif.")</f>
        <v>0</v>
      </c>
      <c r="L240" s="8">
        <f>SUMIFS(His_Operacoes_BDRs[Total],His_Operacoes_BDRs[Operação],"Provento",His_Operacoes_BDRs[fimmês],Patrimônio!B240)</f>
        <v>0</v>
      </c>
      <c r="M240" s="8">
        <f>SUMIFS(His_Operacoes_FIIs[Total],His_Operacoes_FIIs[Operação],"Provento",His_Operacoes_FIIs[fimmês],Patrimônio!B240)</f>
        <v>0</v>
      </c>
      <c r="N240" s="8">
        <f t="shared" si="18"/>
        <v>0</v>
      </c>
    </row>
    <row r="241" spans="1:14" x14ac:dyDescent="0.35">
      <c r="A241" s="7">
        <v>49644</v>
      </c>
      <c r="B241" s="7">
        <f t="shared" si="15"/>
        <v>49643</v>
      </c>
      <c r="I241" s="8">
        <f t="shared" si="16"/>
        <v>0</v>
      </c>
      <c r="J241" s="8">
        <f t="shared" si="17"/>
        <v>0</v>
      </c>
      <c r="K241" s="8">
        <f>SUMIFS(His_Operacoes_acoes[Total],His_Operacoes_acoes[Fimmes],Patrimônio!B241,His_Operacoes_acoes[Operação],"JCP")
+ SUMIFS(His_Operacoes_acoes[Total],His_Operacoes_acoes[Fimmes],Patrimônio!B241,His_Operacoes_acoes[Operação],"Divid.")
+ SUMIFS(His_Operacoes_acoes[Total],His_Operacoes_acoes[Fimmes],Patrimônio!B241,His_Operacoes_acoes[Operação],"Bonif.")</f>
        <v>0</v>
      </c>
      <c r="L241" s="8">
        <f>SUMIFS(His_Operacoes_BDRs[Total],His_Operacoes_BDRs[Operação],"Provento",His_Operacoes_BDRs[fimmês],Patrimônio!B241)</f>
        <v>0</v>
      </c>
      <c r="M241" s="8">
        <f>SUMIFS(His_Operacoes_FIIs[Total],His_Operacoes_FIIs[Operação],"Provento",His_Operacoes_FIIs[fimmês],Patrimônio!B241)</f>
        <v>0</v>
      </c>
      <c r="N241" s="8">
        <f t="shared" si="18"/>
        <v>0</v>
      </c>
    </row>
    <row r="242" spans="1:14" x14ac:dyDescent="0.35">
      <c r="A242" s="7">
        <v>49675</v>
      </c>
      <c r="B242" s="7">
        <f t="shared" si="15"/>
        <v>49674</v>
      </c>
      <c r="I242" s="8">
        <f t="shared" si="16"/>
        <v>0</v>
      </c>
      <c r="J242" s="8">
        <f t="shared" si="17"/>
        <v>0</v>
      </c>
      <c r="K242" s="8">
        <f>SUMIFS(His_Operacoes_acoes[Total],His_Operacoes_acoes[Fimmes],Patrimônio!B242,His_Operacoes_acoes[Operação],"JCP")
+ SUMIFS(His_Operacoes_acoes[Total],His_Operacoes_acoes[Fimmes],Patrimônio!B242,His_Operacoes_acoes[Operação],"Divid.")
+ SUMIFS(His_Operacoes_acoes[Total],His_Operacoes_acoes[Fimmes],Patrimônio!B242,His_Operacoes_acoes[Operação],"Bonif.")</f>
        <v>0</v>
      </c>
      <c r="L242" s="8">
        <f>SUMIFS(His_Operacoes_BDRs[Total],His_Operacoes_BDRs[Operação],"Provento",His_Operacoes_BDRs[fimmês],Patrimônio!B242)</f>
        <v>0</v>
      </c>
      <c r="M242" s="8">
        <f>SUMIFS(His_Operacoes_FIIs[Total],His_Operacoes_FIIs[Operação],"Provento",His_Operacoes_FIIs[fimmês],Patrimônio!B242)</f>
        <v>0</v>
      </c>
      <c r="N242" s="8">
        <f t="shared" si="18"/>
        <v>0</v>
      </c>
    </row>
    <row r="243" spans="1:14" x14ac:dyDescent="0.35">
      <c r="A243" s="7">
        <v>49706</v>
      </c>
      <c r="B243" s="7">
        <f t="shared" si="15"/>
        <v>49705</v>
      </c>
      <c r="I243" s="8">
        <f t="shared" si="16"/>
        <v>0</v>
      </c>
      <c r="J243" s="8">
        <f t="shared" si="17"/>
        <v>0</v>
      </c>
      <c r="K243" s="8">
        <f>SUMIFS(His_Operacoes_acoes[Total],His_Operacoes_acoes[Fimmes],Patrimônio!B243,His_Operacoes_acoes[Operação],"JCP")
+ SUMIFS(His_Operacoes_acoes[Total],His_Operacoes_acoes[Fimmes],Patrimônio!B243,His_Operacoes_acoes[Operação],"Divid.")
+ SUMIFS(His_Operacoes_acoes[Total],His_Operacoes_acoes[Fimmes],Patrimônio!B243,His_Operacoes_acoes[Operação],"Bonif.")</f>
        <v>0</v>
      </c>
      <c r="L243" s="8">
        <f>SUMIFS(His_Operacoes_BDRs[Total],His_Operacoes_BDRs[Operação],"Provento",His_Operacoes_BDRs[fimmês],Patrimônio!B243)</f>
        <v>0</v>
      </c>
      <c r="M243" s="8">
        <f>SUMIFS(His_Operacoes_FIIs[Total],His_Operacoes_FIIs[Operação],"Provento",His_Operacoes_FIIs[fimmês],Patrimônio!B243)</f>
        <v>0</v>
      </c>
      <c r="N243" s="8">
        <f t="shared" si="18"/>
        <v>0</v>
      </c>
    </row>
    <row r="244" spans="1:14" x14ac:dyDescent="0.35">
      <c r="A244" s="7">
        <v>49735</v>
      </c>
      <c r="B244" s="7">
        <f t="shared" si="15"/>
        <v>49734</v>
      </c>
      <c r="I244" s="8">
        <f t="shared" si="16"/>
        <v>0</v>
      </c>
      <c r="J244" s="8">
        <f t="shared" si="17"/>
        <v>0</v>
      </c>
      <c r="K244" s="8">
        <f>SUMIFS(His_Operacoes_acoes[Total],His_Operacoes_acoes[Fimmes],Patrimônio!B244,His_Operacoes_acoes[Operação],"JCP")
+ SUMIFS(His_Operacoes_acoes[Total],His_Operacoes_acoes[Fimmes],Patrimônio!B244,His_Operacoes_acoes[Operação],"Divid.")
+ SUMIFS(His_Operacoes_acoes[Total],His_Operacoes_acoes[Fimmes],Patrimônio!B244,His_Operacoes_acoes[Operação],"Bonif.")</f>
        <v>0</v>
      </c>
      <c r="L244" s="8">
        <f>SUMIFS(His_Operacoes_BDRs[Total],His_Operacoes_BDRs[Operação],"Provento",His_Operacoes_BDRs[fimmês],Patrimônio!B244)</f>
        <v>0</v>
      </c>
      <c r="M244" s="8">
        <f>SUMIFS(His_Operacoes_FIIs[Total],His_Operacoes_FIIs[Operação],"Provento",His_Operacoes_FIIs[fimmês],Patrimônio!B244)</f>
        <v>0</v>
      </c>
      <c r="N244" s="8">
        <f t="shared" si="18"/>
        <v>0</v>
      </c>
    </row>
    <row r="245" spans="1:14" x14ac:dyDescent="0.35">
      <c r="A245" s="7">
        <v>49766</v>
      </c>
      <c r="B245" s="7">
        <f t="shared" si="15"/>
        <v>49765</v>
      </c>
      <c r="I245" s="8">
        <f t="shared" si="16"/>
        <v>0</v>
      </c>
      <c r="J245" s="8">
        <f t="shared" si="17"/>
        <v>0</v>
      </c>
      <c r="K245" s="8">
        <f>SUMIFS(His_Operacoes_acoes[Total],His_Operacoes_acoes[Fimmes],Patrimônio!B245,His_Operacoes_acoes[Operação],"JCP")
+ SUMIFS(His_Operacoes_acoes[Total],His_Operacoes_acoes[Fimmes],Patrimônio!B245,His_Operacoes_acoes[Operação],"Divid.")
+ SUMIFS(His_Operacoes_acoes[Total],His_Operacoes_acoes[Fimmes],Patrimônio!B245,His_Operacoes_acoes[Operação],"Bonif.")</f>
        <v>0</v>
      </c>
      <c r="L245" s="8">
        <f>SUMIFS(His_Operacoes_BDRs[Total],His_Operacoes_BDRs[Operação],"Provento",His_Operacoes_BDRs[fimmês],Patrimônio!B245)</f>
        <v>0</v>
      </c>
      <c r="M245" s="8">
        <f>SUMIFS(His_Operacoes_FIIs[Total],His_Operacoes_FIIs[Operação],"Provento",His_Operacoes_FIIs[fimmês],Patrimônio!B245)</f>
        <v>0</v>
      </c>
      <c r="N245" s="8">
        <f t="shared" si="18"/>
        <v>0</v>
      </c>
    </row>
    <row r="246" spans="1:14" x14ac:dyDescent="0.35">
      <c r="A246" s="7">
        <v>49796</v>
      </c>
      <c r="B246" s="7">
        <f t="shared" si="15"/>
        <v>49795</v>
      </c>
      <c r="I246" s="8">
        <f t="shared" si="16"/>
        <v>0</v>
      </c>
      <c r="J246" s="8">
        <f t="shared" si="17"/>
        <v>0</v>
      </c>
      <c r="K246" s="8">
        <f>SUMIFS(His_Operacoes_acoes[Total],His_Operacoes_acoes[Fimmes],Patrimônio!B246,His_Operacoes_acoes[Operação],"JCP")
+ SUMIFS(His_Operacoes_acoes[Total],His_Operacoes_acoes[Fimmes],Patrimônio!B246,His_Operacoes_acoes[Operação],"Divid.")
+ SUMIFS(His_Operacoes_acoes[Total],His_Operacoes_acoes[Fimmes],Patrimônio!B246,His_Operacoes_acoes[Operação],"Bonif.")</f>
        <v>0</v>
      </c>
      <c r="L246" s="8">
        <f>SUMIFS(His_Operacoes_BDRs[Total],His_Operacoes_BDRs[Operação],"Provento",His_Operacoes_BDRs[fimmês],Patrimônio!B246)</f>
        <v>0</v>
      </c>
      <c r="M246" s="8">
        <f>SUMIFS(His_Operacoes_FIIs[Total],His_Operacoes_FIIs[Operação],"Provento",His_Operacoes_FIIs[fimmês],Patrimônio!B246)</f>
        <v>0</v>
      </c>
      <c r="N246" s="8">
        <f t="shared" si="18"/>
        <v>0</v>
      </c>
    </row>
    <row r="247" spans="1:14" x14ac:dyDescent="0.35">
      <c r="A247" s="7">
        <v>49827</v>
      </c>
      <c r="B247" s="7">
        <f t="shared" si="15"/>
        <v>49826</v>
      </c>
      <c r="I247" s="8">
        <f t="shared" si="16"/>
        <v>0</v>
      </c>
      <c r="J247" s="8">
        <f t="shared" si="17"/>
        <v>0</v>
      </c>
      <c r="K247" s="8">
        <f>SUMIFS(His_Operacoes_acoes[Total],His_Operacoes_acoes[Fimmes],Patrimônio!B247,His_Operacoes_acoes[Operação],"JCP")
+ SUMIFS(His_Operacoes_acoes[Total],His_Operacoes_acoes[Fimmes],Patrimônio!B247,His_Operacoes_acoes[Operação],"Divid.")
+ SUMIFS(His_Operacoes_acoes[Total],His_Operacoes_acoes[Fimmes],Patrimônio!B247,His_Operacoes_acoes[Operação],"Bonif.")</f>
        <v>0</v>
      </c>
      <c r="L247" s="8">
        <f>SUMIFS(His_Operacoes_BDRs[Total],His_Operacoes_BDRs[Operação],"Provento",His_Operacoes_BDRs[fimmês],Patrimônio!B247)</f>
        <v>0</v>
      </c>
      <c r="M247" s="8">
        <f>SUMIFS(His_Operacoes_FIIs[Total],His_Operacoes_FIIs[Operação],"Provento",His_Operacoes_FIIs[fimmês],Patrimônio!B247)</f>
        <v>0</v>
      </c>
      <c r="N247" s="8">
        <f t="shared" si="18"/>
        <v>0</v>
      </c>
    </row>
    <row r="248" spans="1:14" x14ac:dyDescent="0.35">
      <c r="A248" s="7">
        <v>49857</v>
      </c>
      <c r="B248" s="7">
        <f t="shared" si="15"/>
        <v>49856</v>
      </c>
      <c r="I248" s="8">
        <f t="shared" si="16"/>
        <v>0</v>
      </c>
      <c r="J248" s="8">
        <f t="shared" si="17"/>
        <v>0</v>
      </c>
      <c r="K248" s="8">
        <f>SUMIFS(His_Operacoes_acoes[Total],His_Operacoes_acoes[Fimmes],Patrimônio!B248,His_Operacoes_acoes[Operação],"JCP")
+ SUMIFS(His_Operacoes_acoes[Total],His_Operacoes_acoes[Fimmes],Patrimônio!B248,His_Operacoes_acoes[Operação],"Divid.")
+ SUMIFS(His_Operacoes_acoes[Total],His_Operacoes_acoes[Fimmes],Patrimônio!B248,His_Operacoes_acoes[Operação],"Bonif.")</f>
        <v>0</v>
      </c>
      <c r="L248" s="8">
        <f>SUMIFS(His_Operacoes_BDRs[Total],His_Operacoes_BDRs[Operação],"Provento",His_Operacoes_BDRs[fimmês],Patrimônio!B248)</f>
        <v>0</v>
      </c>
      <c r="M248" s="8">
        <f>SUMIFS(His_Operacoes_FIIs[Total],His_Operacoes_FIIs[Operação],"Provento",His_Operacoes_FIIs[fimmês],Patrimônio!B248)</f>
        <v>0</v>
      </c>
      <c r="N248" s="8">
        <f t="shared" si="18"/>
        <v>0</v>
      </c>
    </row>
    <row r="249" spans="1:14" x14ac:dyDescent="0.35">
      <c r="A249" s="7">
        <v>49888</v>
      </c>
      <c r="B249" s="7">
        <f t="shared" si="15"/>
        <v>49887</v>
      </c>
      <c r="I249" s="8">
        <f t="shared" si="16"/>
        <v>0</v>
      </c>
      <c r="J249" s="8">
        <f t="shared" si="17"/>
        <v>0</v>
      </c>
      <c r="K249" s="8">
        <f>SUMIFS(His_Operacoes_acoes[Total],His_Operacoes_acoes[Fimmes],Patrimônio!B249,His_Operacoes_acoes[Operação],"JCP")
+ SUMIFS(His_Operacoes_acoes[Total],His_Operacoes_acoes[Fimmes],Patrimônio!B249,His_Operacoes_acoes[Operação],"Divid.")
+ SUMIFS(His_Operacoes_acoes[Total],His_Operacoes_acoes[Fimmes],Patrimônio!B249,His_Operacoes_acoes[Operação],"Bonif.")</f>
        <v>0</v>
      </c>
      <c r="L249" s="8">
        <f>SUMIFS(His_Operacoes_BDRs[Total],His_Operacoes_BDRs[Operação],"Provento",His_Operacoes_BDRs[fimmês],Patrimônio!B249)</f>
        <v>0</v>
      </c>
      <c r="M249" s="8">
        <f>SUMIFS(His_Operacoes_FIIs[Total],His_Operacoes_FIIs[Operação],"Provento",His_Operacoes_FIIs[fimmês],Patrimônio!B249)</f>
        <v>0</v>
      </c>
      <c r="N249" s="8">
        <f t="shared" si="18"/>
        <v>0</v>
      </c>
    </row>
    <row r="250" spans="1:14" x14ac:dyDescent="0.35">
      <c r="A250" s="7">
        <v>49919</v>
      </c>
      <c r="B250" s="7">
        <f t="shared" si="15"/>
        <v>49918</v>
      </c>
      <c r="I250" s="8">
        <f t="shared" si="16"/>
        <v>0</v>
      </c>
      <c r="J250" s="8">
        <f t="shared" si="17"/>
        <v>0</v>
      </c>
      <c r="K250" s="8">
        <f>SUMIFS(His_Operacoes_acoes[Total],His_Operacoes_acoes[Fimmes],Patrimônio!B250,His_Operacoes_acoes[Operação],"JCP")
+ SUMIFS(His_Operacoes_acoes[Total],His_Operacoes_acoes[Fimmes],Patrimônio!B250,His_Operacoes_acoes[Operação],"Divid.")
+ SUMIFS(His_Operacoes_acoes[Total],His_Operacoes_acoes[Fimmes],Patrimônio!B250,His_Operacoes_acoes[Operação],"Bonif.")</f>
        <v>0</v>
      </c>
      <c r="L250" s="8">
        <f>SUMIFS(His_Operacoes_BDRs[Total],His_Operacoes_BDRs[Operação],"Provento",His_Operacoes_BDRs[fimmês],Patrimônio!B250)</f>
        <v>0</v>
      </c>
      <c r="M250" s="8">
        <f>SUMIFS(His_Operacoes_FIIs[Total],His_Operacoes_FIIs[Operação],"Provento",His_Operacoes_FIIs[fimmês],Patrimônio!B250)</f>
        <v>0</v>
      </c>
      <c r="N250" s="8">
        <f t="shared" si="18"/>
        <v>0</v>
      </c>
    </row>
    <row r="251" spans="1:14" x14ac:dyDescent="0.35">
      <c r="A251" s="7">
        <v>49949</v>
      </c>
      <c r="B251" s="7">
        <f t="shared" si="15"/>
        <v>49948</v>
      </c>
      <c r="I251" s="8">
        <f t="shared" si="16"/>
        <v>0</v>
      </c>
      <c r="J251" s="8">
        <f t="shared" si="17"/>
        <v>0</v>
      </c>
      <c r="K251" s="8">
        <f>SUMIFS(His_Operacoes_acoes[Total],His_Operacoes_acoes[Fimmes],Patrimônio!B251,His_Operacoes_acoes[Operação],"JCP")
+ SUMIFS(His_Operacoes_acoes[Total],His_Operacoes_acoes[Fimmes],Patrimônio!B251,His_Operacoes_acoes[Operação],"Divid.")
+ SUMIFS(His_Operacoes_acoes[Total],His_Operacoes_acoes[Fimmes],Patrimônio!B251,His_Operacoes_acoes[Operação],"Bonif.")</f>
        <v>0</v>
      </c>
      <c r="L251" s="8">
        <f>SUMIFS(His_Operacoes_BDRs[Total],His_Operacoes_BDRs[Operação],"Provento",His_Operacoes_BDRs[fimmês],Patrimônio!B251)</f>
        <v>0</v>
      </c>
      <c r="M251" s="8">
        <f>SUMIFS(His_Operacoes_FIIs[Total],His_Operacoes_FIIs[Operação],"Provento",His_Operacoes_FIIs[fimmês],Patrimônio!B251)</f>
        <v>0</v>
      </c>
      <c r="N251" s="8">
        <f t="shared" si="18"/>
        <v>0</v>
      </c>
    </row>
    <row r="252" spans="1:14" x14ac:dyDescent="0.35">
      <c r="A252" s="7">
        <v>49980</v>
      </c>
      <c r="B252" s="7">
        <f t="shared" si="15"/>
        <v>49979</v>
      </c>
      <c r="I252" s="8">
        <f t="shared" si="16"/>
        <v>0</v>
      </c>
      <c r="J252" s="8">
        <f t="shared" si="17"/>
        <v>0</v>
      </c>
      <c r="K252" s="8">
        <f>SUMIFS(His_Operacoes_acoes[Total],His_Operacoes_acoes[Fimmes],Patrimônio!B252,His_Operacoes_acoes[Operação],"JCP")
+ SUMIFS(His_Operacoes_acoes[Total],His_Operacoes_acoes[Fimmes],Patrimônio!B252,His_Operacoes_acoes[Operação],"Divid.")
+ SUMIFS(His_Operacoes_acoes[Total],His_Operacoes_acoes[Fimmes],Patrimônio!B252,His_Operacoes_acoes[Operação],"Bonif.")</f>
        <v>0</v>
      </c>
      <c r="L252" s="8">
        <f>SUMIFS(His_Operacoes_BDRs[Total],His_Operacoes_BDRs[Operação],"Provento",His_Operacoes_BDRs[fimmês],Patrimônio!B252)</f>
        <v>0</v>
      </c>
      <c r="M252" s="8">
        <f>SUMIFS(His_Operacoes_FIIs[Total],His_Operacoes_FIIs[Operação],"Provento",His_Operacoes_FIIs[fimmês],Patrimônio!B252)</f>
        <v>0</v>
      </c>
      <c r="N252" s="8">
        <f t="shared" si="18"/>
        <v>0</v>
      </c>
    </row>
    <row r="253" spans="1:14" x14ac:dyDescent="0.35">
      <c r="A253" s="7">
        <v>50010</v>
      </c>
      <c r="B253" s="7">
        <f t="shared" si="15"/>
        <v>50009</v>
      </c>
      <c r="I253" s="8">
        <f t="shared" si="16"/>
        <v>0</v>
      </c>
      <c r="J253" s="8">
        <f t="shared" si="17"/>
        <v>0</v>
      </c>
      <c r="K253" s="8">
        <f>SUMIFS(His_Operacoes_acoes[Total],His_Operacoes_acoes[Fimmes],Patrimônio!B253,His_Operacoes_acoes[Operação],"JCP")
+ SUMIFS(His_Operacoes_acoes[Total],His_Operacoes_acoes[Fimmes],Patrimônio!B253,His_Operacoes_acoes[Operação],"Divid.")
+ SUMIFS(His_Operacoes_acoes[Total],His_Operacoes_acoes[Fimmes],Patrimônio!B253,His_Operacoes_acoes[Operação],"Bonif.")</f>
        <v>0</v>
      </c>
      <c r="L253" s="8">
        <f>SUMIFS(His_Operacoes_BDRs[Total],His_Operacoes_BDRs[Operação],"Provento",His_Operacoes_BDRs[fimmês],Patrimônio!B253)</f>
        <v>0</v>
      </c>
      <c r="M253" s="8">
        <f>SUMIFS(His_Operacoes_FIIs[Total],His_Operacoes_FIIs[Operação],"Provento",His_Operacoes_FIIs[fimmês],Patrimônio!B253)</f>
        <v>0</v>
      </c>
      <c r="N253" s="8">
        <f t="shared" si="18"/>
        <v>0</v>
      </c>
    </row>
    <row r="254" spans="1:14" x14ac:dyDescent="0.35">
      <c r="A254" s="7">
        <v>50041</v>
      </c>
      <c r="B254" s="7">
        <f t="shared" si="15"/>
        <v>50040</v>
      </c>
      <c r="I254" s="8">
        <f t="shared" si="16"/>
        <v>0</v>
      </c>
      <c r="J254" s="8">
        <f t="shared" si="17"/>
        <v>0</v>
      </c>
      <c r="K254" s="8">
        <f>SUMIFS(His_Operacoes_acoes[Total],His_Operacoes_acoes[Fimmes],Patrimônio!B254,His_Operacoes_acoes[Operação],"JCP")
+ SUMIFS(His_Operacoes_acoes[Total],His_Operacoes_acoes[Fimmes],Patrimônio!B254,His_Operacoes_acoes[Operação],"Divid.")
+ SUMIFS(His_Operacoes_acoes[Total],His_Operacoes_acoes[Fimmes],Patrimônio!B254,His_Operacoes_acoes[Operação],"Bonif.")</f>
        <v>0</v>
      </c>
      <c r="L254" s="8">
        <f>SUMIFS(His_Operacoes_BDRs[Total],His_Operacoes_BDRs[Operação],"Provento",His_Operacoes_BDRs[fimmês],Patrimônio!B254)</f>
        <v>0</v>
      </c>
      <c r="M254" s="8">
        <f>SUMIFS(His_Operacoes_FIIs[Total],His_Operacoes_FIIs[Operação],"Provento",His_Operacoes_FIIs[fimmês],Patrimônio!B254)</f>
        <v>0</v>
      </c>
      <c r="N254" s="8">
        <f t="shared" si="18"/>
        <v>0</v>
      </c>
    </row>
    <row r="255" spans="1:14" x14ac:dyDescent="0.35">
      <c r="A255" s="7">
        <v>50072</v>
      </c>
      <c r="B255" s="7">
        <f t="shared" si="15"/>
        <v>50071</v>
      </c>
      <c r="I255" s="8">
        <f t="shared" si="16"/>
        <v>0</v>
      </c>
      <c r="J255" s="8">
        <f t="shared" si="17"/>
        <v>0</v>
      </c>
      <c r="K255" s="8">
        <f>SUMIFS(His_Operacoes_acoes[Total],His_Operacoes_acoes[Fimmes],Patrimônio!B255,His_Operacoes_acoes[Operação],"JCP")
+ SUMIFS(His_Operacoes_acoes[Total],His_Operacoes_acoes[Fimmes],Patrimônio!B255,His_Operacoes_acoes[Operação],"Divid.")
+ SUMIFS(His_Operacoes_acoes[Total],His_Operacoes_acoes[Fimmes],Patrimônio!B255,His_Operacoes_acoes[Operação],"Bonif.")</f>
        <v>0</v>
      </c>
      <c r="L255" s="8">
        <f>SUMIFS(His_Operacoes_BDRs[Total],His_Operacoes_BDRs[Operação],"Provento",His_Operacoes_BDRs[fimmês],Patrimônio!B255)</f>
        <v>0</v>
      </c>
      <c r="M255" s="8">
        <f>SUMIFS(His_Operacoes_FIIs[Total],His_Operacoes_FIIs[Operação],"Provento",His_Operacoes_FIIs[fimmês],Patrimônio!B255)</f>
        <v>0</v>
      </c>
      <c r="N255" s="8">
        <f t="shared" si="18"/>
        <v>0</v>
      </c>
    </row>
    <row r="256" spans="1:14" x14ac:dyDescent="0.35">
      <c r="A256" s="7">
        <v>50100</v>
      </c>
      <c r="B256" s="7">
        <f t="shared" si="15"/>
        <v>50099</v>
      </c>
      <c r="I256" s="8">
        <f t="shared" si="16"/>
        <v>0</v>
      </c>
      <c r="J256" s="8">
        <f t="shared" si="17"/>
        <v>0</v>
      </c>
      <c r="K256" s="8">
        <f>SUMIFS(His_Operacoes_acoes[Total],His_Operacoes_acoes[Fimmes],Patrimônio!B256,His_Operacoes_acoes[Operação],"JCP")
+ SUMIFS(His_Operacoes_acoes[Total],His_Operacoes_acoes[Fimmes],Patrimônio!B256,His_Operacoes_acoes[Operação],"Divid.")
+ SUMIFS(His_Operacoes_acoes[Total],His_Operacoes_acoes[Fimmes],Patrimônio!B256,His_Operacoes_acoes[Operação],"Bonif.")</f>
        <v>0</v>
      </c>
      <c r="L256" s="8">
        <f>SUMIFS(His_Operacoes_BDRs[Total],His_Operacoes_BDRs[Operação],"Provento",His_Operacoes_BDRs[fimmês],Patrimônio!B256)</f>
        <v>0</v>
      </c>
      <c r="M256" s="8">
        <f>SUMIFS(His_Operacoes_FIIs[Total],His_Operacoes_FIIs[Operação],"Provento",His_Operacoes_FIIs[fimmês],Patrimônio!B256)</f>
        <v>0</v>
      </c>
      <c r="N256" s="8">
        <f t="shared" si="18"/>
        <v>0</v>
      </c>
    </row>
    <row r="257" spans="1:14" x14ac:dyDescent="0.35">
      <c r="A257" s="7">
        <v>50131</v>
      </c>
      <c r="B257" s="7">
        <f t="shared" si="15"/>
        <v>50130</v>
      </c>
      <c r="I257" s="8">
        <f t="shared" si="16"/>
        <v>0</v>
      </c>
      <c r="J257" s="8">
        <f t="shared" si="17"/>
        <v>0</v>
      </c>
      <c r="K257" s="8">
        <f>SUMIFS(His_Operacoes_acoes[Total],His_Operacoes_acoes[Fimmes],Patrimônio!B257,His_Operacoes_acoes[Operação],"JCP")
+ SUMIFS(His_Operacoes_acoes[Total],His_Operacoes_acoes[Fimmes],Patrimônio!B257,His_Operacoes_acoes[Operação],"Divid.")
+ SUMIFS(His_Operacoes_acoes[Total],His_Operacoes_acoes[Fimmes],Patrimônio!B257,His_Operacoes_acoes[Operação],"Bonif.")</f>
        <v>0</v>
      </c>
      <c r="L257" s="8">
        <f>SUMIFS(His_Operacoes_BDRs[Total],His_Operacoes_BDRs[Operação],"Provento",His_Operacoes_BDRs[fimmês],Patrimônio!B257)</f>
        <v>0</v>
      </c>
      <c r="M257" s="8">
        <f>SUMIFS(His_Operacoes_FIIs[Total],His_Operacoes_FIIs[Operação],"Provento",His_Operacoes_FIIs[fimmês],Patrimônio!B257)</f>
        <v>0</v>
      </c>
      <c r="N257" s="8">
        <f t="shared" si="18"/>
        <v>0</v>
      </c>
    </row>
    <row r="258" spans="1:14" x14ac:dyDescent="0.35">
      <c r="A258" s="7">
        <v>50161</v>
      </c>
      <c r="B258" s="7">
        <f t="shared" si="15"/>
        <v>50160</v>
      </c>
      <c r="I258" s="8">
        <f t="shared" si="16"/>
        <v>0</v>
      </c>
      <c r="J258" s="8">
        <f t="shared" si="17"/>
        <v>0</v>
      </c>
      <c r="K258" s="8">
        <f>SUMIFS(His_Operacoes_acoes[Total],His_Operacoes_acoes[Fimmes],Patrimônio!B258,His_Operacoes_acoes[Operação],"JCP")
+ SUMIFS(His_Operacoes_acoes[Total],His_Operacoes_acoes[Fimmes],Patrimônio!B258,His_Operacoes_acoes[Operação],"Divid.")
+ SUMIFS(His_Operacoes_acoes[Total],His_Operacoes_acoes[Fimmes],Patrimônio!B258,His_Operacoes_acoes[Operação],"Bonif.")</f>
        <v>0</v>
      </c>
      <c r="L258" s="8">
        <f>SUMIFS(His_Operacoes_BDRs[Total],His_Operacoes_BDRs[Operação],"Provento",His_Operacoes_BDRs[fimmês],Patrimônio!B258)</f>
        <v>0</v>
      </c>
      <c r="M258" s="8">
        <f>SUMIFS(His_Operacoes_FIIs[Total],His_Operacoes_FIIs[Operação],"Provento",His_Operacoes_FIIs[fimmês],Patrimônio!B258)</f>
        <v>0</v>
      </c>
      <c r="N258" s="8">
        <f t="shared" si="18"/>
        <v>0</v>
      </c>
    </row>
    <row r="259" spans="1:14" x14ac:dyDescent="0.35">
      <c r="A259" s="7">
        <v>50192</v>
      </c>
      <c r="B259" s="7">
        <f t="shared" ref="B259:B322" si="19">EOMONTH(A259,-1)</f>
        <v>50191</v>
      </c>
      <c r="I259" s="8">
        <f t="shared" ref="I259:I322" si="20">SUM(C259,E259,G259)</f>
        <v>0</v>
      </c>
      <c r="J259" s="8">
        <f t="shared" ref="J259:J322" si="21">SUM(D259,F259,H259)</f>
        <v>0</v>
      </c>
      <c r="K259" s="8">
        <f>SUMIFS(His_Operacoes_acoes[Total],His_Operacoes_acoes[Fimmes],Patrimônio!B259,His_Operacoes_acoes[Operação],"JCP")
+ SUMIFS(His_Operacoes_acoes[Total],His_Operacoes_acoes[Fimmes],Patrimônio!B259,His_Operacoes_acoes[Operação],"Divid.")
+ SUMIFS(His_Operacoes_acoes[Total],His_Operacoes_acoes[Fimmes],Patrimônio!B259,His_Operacoes_acoes[Operação],"Bonif.")</f>
        <v>0</v>
      </c>
      <c r="L259" s="8">
        <f>SUMIFS(His_Operacoes_BDRs[Total],His_Operacoes_BDRs[Operação],"Provento",His_Operacoes_BDRs[fimmês],Patrimônio!B259)</f>
        <v>0</v>
      </c>
      <c r="M259" s="8">
        <f>SUMIFS(His_Operacoes_FIIs[Total],His_Operacoes_FIIs[Operação],"Provento",His_Operacoes_FIIs[fimmês],Patrimônio!B259)</f>
        <v>0</v>
      </c>
      <c r="N259" s="8">
        <f t="shared" ref="N259:N322" si="22">SUM(K259:M259)</f>
        <v>0</v>
      </c>
    </row>
    <row r="260" spans="1:14" x14ac:dyDescent="0.35">
      <c r="A260" s="7">
        <v>50222</v>
      </c>
      <c r="B260" s="7">
        <f t="shared" si="19"/>
        <v>50221</v>
      </c>
      <c r="I260" s="8">
        <f t="shared" si="20"/>
        <v>0</v>
      </c>
      <c r="J260" s="8">
        <f t="shared" si="21"/>
        <v>0</v>
      </c>
      <c r="K260" s="8">
        <f>SUMIFS(His_Operacoes_acoes[Total],His_Operacoes_acoes[Fimmes],Patrimônio!B260,His_Operacoes_acoes[Operação],"JCP")
+ SUMIFS(His_Operacoes_acoes[Total],His_Operacoes_acoes[Fimmes],Patrimônio!B260,His_Operacoes_acoes[Operação],"Divid.")
+ SUMIFS(His_Operacoes_acoes[Total],His_Operacoes_acoes[Fimmes],Patrimônio!B260,His_Operacoes_acoes[Operação],"Bonif.")</f>
        <v>0</v>
      </c>
      <c r="L260" s="8">
        <f>SUMIFS(His_Operacoes_BDRs[Total],His_Operacoes_BDRs[Operação],"Provento",His_Operacoes_BDRs[fimmês],Patrimônio!B260)</f>
        <v>0</v>
      </c>
      <c r="M260" s="8">
        <f>SUMIFS(His_Operacoes_FIIs[Total],His_Operacoes_FIIs[Operação],"Provento",His_Operacoes_FIIs[fimmês],Patrimônio!B260)</f>
        <v>0</v>
      </c>
      <c r="N260" s="8">
        <f t="shared" si="22"/>
        <v>0</v>
      </c>
    </row>
    <row r="261" spans="1:14" x14ac:dyDescent="0.35">
      <c r="A261" s="7">
        <v>50253</v>
      </c>
      <c r="B261" s="7">
        <f t="shared" si="19"/>
        <v>50252</v>
      </c>
      <c r="I261" s="8">
        <f t="shared" si="20"/>
        <v>0</v>
      </c>
      <c r="J261" s="8">
        <f t="shared" si="21"/>
        <v>0</v>
      </c>
      <c r="K261" s="8">
        <f>SUMIFS(His_Operacoes_acoes[Total],His_Operacoes_acoes[Fimmes],Patrimônio!B261,His_Operacoes_acoes[Operação],"JCP")
+ SUMIFS(His_Operacoes_acoes[Total],His_Operacoes_acoes[Fimmes],Patrimônio!B261,His_Operacoes_acoes[Operação],"Divid.")
+ SUMIFS(His_Operacoes_acoes[Total],His_Operacoes_acoes[Fimmes],Patrimônio!B261,His_Operacoes_acoes[Operação],"Bonif.")</f>
        <v>0</v>
      </c>
      <c r="L261" s="8">
        <f>SUMIFS(His_Operacoes_BDRs[Total],His_Operacoes_BDRs[Operação],"Provento",His_Operacoes_BDRs[fimmês],Patrimônio!B261)</f>
        <v>0</v>
      </c>
      <c r="M261" s="8">
        <f>SUMIFS(His_Operacoes_FIIs[Total],His_Operacoes_FIIs[Operação],"Provento",His_Operacoes_FIIs[fimmês],Patrimônio!B261)</f>
        <v>0</v>
      </c>
      <c r="N261" s="8">
        <f t="shared" si="22"/>
        <v>0</v>
      </c>
    </row>
    <row r="262" spans="1:14" x14ac:dyDescent="0.35">
      <c r="A262" s="7">
        <v>50284</v>
      </c>
      <c r="B262" s="7">
        <f t="shared" si="19"/>
        <v>50283</v>
      </c>
      <c r="I262" s="8">
        <f t="shared" si="20"/>
        <v>0</v>
      </c>
      <c r="J262" s="8">
        <f t="shared" si="21"/>
        <v>0</v>
      </c>
      <c r="K262" s="8">
        <f>SUMIFS(His_Operacoes_acoes[Total],His_Operacoes_acoes[Fimmes],Patrimônio!B262,His_Operacoes_acoes[Operação],"JCP")
+ SUMIFS(His_Operacoes_acoes[Total],His_Operacoes_acoes[Fimmes],Patrimônio!B262,His_Operacoes_acoes[Operação],"Divid.")
+ SUMIFS(His_Operacoes_acoes[Total],His_Operacoes_acoes[Fimmes],Patrimônio!B262,His_Operacoes_acoes[Operação],"Bonif.")</f>
        <v>0</v>
      </c>
      <c r="L262" s="8">
        <f>SUMIFS(His_Operacoes_BDRs[Total],His_Operacoes_BDRs[Operação],"Provento",His_Operacoes_BDRs[fimmês],Patrimônio!B262)</f>
        <v>0</v>
      </c>
      <c r="M262" s="8">
        <f>SUMIFS(His_Operacoes_FIIs[Total],His_Operacoes_FIIs[Operação],"Provento",His_Operacoes_FIIs[fimmês],Patrimônio!B262)</f>
        <v>0</v>
      </c>
      <c r="N262" s="8">
        <f t="shared" si="22"/>
        <v>0</v>
      </c>
    </row>
    <row r="263" spans="1:14" x14ac:dyDescent="0.35">
      <c r="A263" s="7">
        <v>50314</v>
      </c>
      <c r="B263" s="7">
        <f t="shared" si="19"/>
        <v>50313</v>
      </c>
      <c r="I263" s="8">
        <f t="shared" si="20"/>
        <v>0</v>
      </c>
      <c r="J263" s="8">
        <f t="shared" si="21"/>
        <v>0</v>
      </c>
      <c r="K263" s="8">
        <f>SUMIFS(His_Operacoes_acoes[Total],His_Operacoes_acoes[Fimmes],Patrimônio!B263,His_Operacoes_acoes[Operação],"JCP")
+ SUMIFS(His_Operacoes_acoes[Total],His_Operacoes_acoes[Fimmes],Patrimônio!B263,His_Operacoes_acoes[Operação],"Divid.")
+ SUMIFS(His_Operacoes_acoes[Total],His_Operacoes_acoes[Fimmes],Patrimônio!B263,His_Operacoes_acoes[Operação],"Bonif.")</f>
        <v>0</v>
      </c>
      <c r="L263" s="8">
        <f>SUMIFS(His_Operacoes_BDRs[Total],His_Operacoes_BDRs[Operação],"Provento",His_Operacoes_BDRs[fimmês],Patrimônio!B263)</f>
        <v>0</v>
      </c>
      <c r="M263" s="8">
        <f>SUMIFS(His_Operacoes_FIIs[Total],His_Operacoes_FIIs[Operação],"Provento",His_Operacoes_FIIs[fimmês],Patrimônio!B263)</f>
        <v>0</v>
      </c>
      <c r="N263" s="8">
        <f t="shared" si="22"/>
        <v>0</v>
      </c>
    </row>
    <row r="264" spans="1:14" x14ac:dyDescent="0.35">
      <c r="A264" s="7">
        <v>50345</v>
      </c>
      <c r="B264" s="7">
        <f t="shared" si="19"/>
        <v>50344</v>
      </c>
      <c r="I264" s="8">
        <f t="shared" si="20"/>
        <v>0</v>
      </c>
      <c r="J264" s="8">
        <f t="shared" si="21"/>
        <v>0</v>
      </c>
      <c r="K264" s="8">
        <f>SUMIFS(His_Operacoes_acoes[Total],His_Operacoes_acoes[Fimmes],Patrimônio!B264,His_Operacoes_acoes[Operação],"JCP")
+ SUMIFS(His_Operacoes_acoes[Total],His_Operacoes_acoes[Fimmes],Patrimônio!B264,His_Operacoes_acoes[Operação],"Divid.")
+ SUMIFS(His_Operacoes_acoes[Total],His_Operacoes_acoes[Fimmes],Patrimônio!B264,His_Operacoes_acoes[Operação],"Bonif.")</f>
        <v>0</v>
      </c>
      <c r="L264" s="8">
        <f>SUMIFS(His_Operacoes_BDRs[Total],His_Operacoes_BDRs[Operação],"Provento",His_Operacoes_BDRs[fimmês],Patrimônio!B264)</f>
        <v>0</v>
      </c>
      <c r="M264" s="8">
        <f>SUMIFS(His_Operacoes_FIIs[Total],His_Operacoes_FIIs[Operação],"Provento",His_Operacoes_FIIs[fimmês],Patrimônio!B264)</f>
        <v>0</v>
      </c>
      <c r="N264" s="8">
        <f t="shared" si="22"/>
        <v>0</v>
      </c>
    </row>
    <row r="265" spans="1:14" x14ac:dyDescent="0.35">
      <c r="A265" s="7">
        <v>50375</v>
      </c>
      <c r="B265" s="7">
        <f t="shared" si="19"/>
        <v>50374</v>
      </c>
      <c r="I265" s="8">
        <f t="shared" si="20"/>
        <v>0</v>
      </c>
      <c r="J265" s="8">
        <f t="shared" si="21"/>
        <v>0</v>
      </c>
      <c r="K265" s="8">
        <f>SUMIFS(His_Operacoes_acoes[Total],His_Operacoes_acoes[Fimmes],Patrimônio!B265,His_Operacoes_acoes[Operação],"JCP")
+ SUMIFS(His_Operacoes_acoes[Total],His_Operacoes_acoes[Fimmes],Patrimônio!B265,His_Operacoes_acoes[Operação],"Divid.")
+ SUMIFS(His_Operacoes_acoes[Total],His_Operacoes_acoes[Fimmes],Patrimônio!B265,His_Operacoes_acoes[Operação],"Bonif.")</f>
        <v>0</v>
      </c>
      <c r="L265" s="8">
        <f>SUMIFS(His_Operacoes_BDRs[Total],His_Operacoes_BDRs[Operação],"Provento",His_Operacoes_BDRs[fimmês],Patrimônio!B265)</f>
        <v>0</v>
      </c>
      <c r="M265" s="8">
        <f>SUMIFS(His_Operacoes_FIIs[Total],His_Operacoes_FIIs[Operação],"Provento",His_Operacoes_FIIs[fimmês],Patrimônio!B265)</f>
        <v>0</v>
      </c>
      <c r="N265" s="8">
        <f t="shared" si="22"/>
        <v>0</v>
      </c>
    </row>
    <row r="266" spans="1:14" x14ac:dyDescent="0.35">
      <c r="A266" s="7">
        <v>50406</v>
      </c>
      <c r="B266" s="7">
        <f t="shared" si="19"/>
        <v>50405</v>
      </c>
      <c r="I266" s="8">
        <f t="shared" si="20"/>
        <v>0</v>
      </c>
      <c r="J266" s="8">
        <f t="shared" si="21"/>
        <v>0</v>
      </c>
      <c r="K266" s="8">
        <f>SUMIFS(His_Operacoes_acoes[Total],His_Operacoes_acoes[Fimmes],Patrimônio!B266,His_Operacoes_acoes[Operação],"JCP")
+ SUMIFS(His_Operacoes_acoes[Total],His_Operacoes_acoes[Fimmes],Patrimônio!B266,His_Operacoes_acoes[Operação],"Divid.")
+ SUMIFS(His_Operacoes_acoes[Total],His_Operacoes_acoes[Fimmes],Patrimônio!B266,His_Operacoes_acoes[Operação],"Bonif.")</f>
        <v>0</v>
      </c>
      <c r="L266" s="8">
        <f>SUMIFS(His_Operacoes_BDRs[Total],His_Operacoes_BDRs[Operação],"Provento",His_Operacoes_BDRs[fimmês],Patrimônio!B266)</f>
        <v>0</v>
      </c>
      <c r="M266" s="8">
        <f>SUMIFS(His_Operacoes_FIIs[Total],His_Operacoes_FIIs[Operação],"Provento",His_Operacoes_FIIs[fimmês],Patrimônio!B266)</f>
        <v>0</v>
      </c>
      <c r="N266" s="8">
        <f t="shared" si="22"/>
        <v>0</v>
      </c>
    </row>
    <row r="267" spans="1:14" x14ac:dyDescent="0.35">
      <c r="A267" s="7">
        <v>50437</v>
      </c>
      <c r="B267" s="7">
        <f t="shared" si="19"/>
        <v>50436</v>
      </c>
      <c r="I267" s="8">
        <f t="shared" si="20"/>
        <v>0</v>
      </c>
      <c r="J267" s="8">
        <f t="shared" si="21"/>
        <v>0</v>
      </c>
      <c r="K267" s="8">
        <f>SUMIFS(His_Operacoes_acoes[Total],His_Operacoes_acoes[Fimmes],Patrimônio!B267,His_Operacoes_acoes[Operação],"JCP")
+ SUMIFS(His_Operacoes_acoes[Total],His_Operacoes_acoes[Fimmes],Patrimônio!B267,His_Operacoes_acoes[Operação],"Divid.")
+ SUMIFS(His_Operacoes_acoes[Total],His_Operacoes_acoes[Fimmes],Patrimônio!B267,His_Operacoes_acoes[Operação],"Bonif.")</f>
        <v>0</v>
      </c>
      <c r="L267" s="8">
        <f>SUMIFS(His_Operacoes_BDRs[Total],His_Operacoes_BDRs[Operação],"Provento",His_Operacoes_BDRs[fimmês],Patrimônio!B267)</f>
        <v>0</v>
      </c>
      <c r="M267" s="8">
        <f>SUMIFS(His_Operacoes_FIIs[Total],His_Operacoes_FIIs[Operação],"Provento",His_Operacoes_FIIs[fimmês],Patrimônio!B267)</f>
        <v>0</v>
      </c>
      <c r="N267" s="8">
        <f t="shared" si="22"/>
        <v>0</v>
      </c>
    </row>
    <row r="268" spans="1:14" x14ac:dyDescent="0.35">
      <c r="A268" s="7">
        <v>50465</v>
      </c>
      <c r="B268" s="7">
        <f t="shared" si="19"/>
        <v>50464</v>
      </c>
      <c r="I268" s="8">
        <f t="shared" si="20"/>
        <v>0</v>
      </c>
      <c r="J268" s="8">
        <f t="shared" si="21"/>
        <v>0</v>
      </c>
      <c r="K268" s="8">
        <f>SUMIFS(His_Operacoes_acoes[Total],His_Operacoes_acoes[Fimmes],Patrimônio!B268,His_Operacoes_acoes[Operação],"JCP")
+ SUMIFS(His_Operacoes_acoes[Total],His_Operacoes_acoes[Fimmes],Patrimônio!B268,His_Operacoes_acoes[Operação],"Divid.")
+ SUMIFS(His_Operacoes_acoes[Total],His_Operacoes_acoes[Fimmes],Patrimônio!B268,His_Operacoes_acoes[Operação],"Bonif.")</f>
        <v>0</v>
      </c>
      <c r="L268" s="8">
        <f>SUMIFS(His_Operacoes_BDRs[Total],His_Operacoes_BDRs[Operação],"Provento",His_Operacoes_BDRs[fimmês],Patrimônio!B268)</f>
        <v>0</v>
      </c>
      <c r="M268" s="8">
        <f>SUMIFS(His_Operacoes_FIIs[Total],His_Operacoes_FIIs[Operação],"Provento",His_Operacoes_FIIs[fimmês],Patrimônio!B268)</f>
        <v>0</v>
      </c>
      <c r="N268" s="8">
        <f t="shared" si="22"/>
        <v>0</v>
      </c>
    </row>
    <row r="269" spans="1:14" x14ac:dyDescent="0.35">
      <c r="A269" s="7">
        <v>50496</v>
      </c>
      <c r="B269" s="7">
        <f t="shared" si="19"/>
        <v>50495</v>
      </c>
      <c r="I269" s="8">
        <f t="shared" si="20"/>
        <v>0</v>
      </c>
      <c r="J269" s="8">
        <f t="shared" si="21"/>
        <v>0</v>
      </c>
      <c r="K269" s="8">
        <f>SUMIFS(His_Operacoes_acoes[Total],His_Operacoes_acoes[Fimmes],Patrimônio!B269,His_Operacoes_acoes[Operação],"JCP")
+ SUMIFS(His_Operacoes_acoes[Total],His_Operacoes_acoes[Fimmes],Patrimônio!B269,His_Operacoes_acoes[Operação],"Divid.")
+ SUMIFS(His_Operacoes_acoes[Total],His_Operacoes_acoes[Fimmes],Patrimônio!B269,His_Operacoes_acoes[Operação],"Bonif.")</f>
        <v>0</v>
      </c>
      <c r="L269" s="8">
        <f>SUMIFS(His_Operacoes_BDRs[Total],His_Operacoes_BDRs[Operação],"Provento",His_Operacoes_BDRs[fimmês],Patrimônio!B269)</f>
        <v>0</v>
      </c>
      <c r="M269" s="8">
        <f>SUMIFS(His_Operacoes_FIIs[Total],His_Operacoes_FIIs[Operação],"Provento",His_Operacoes_FIIs[fimmês],Patrimônio!B269)</f>
        <v>0</v>
      </c>
      <c r="N269" s="8">
        <f t="shared" si="22"/>
        <v>0</v>
      </c>
    </row>
    <row r="270" spans="1:14" x14ac:dyDescent="0.35">
      <c r="A270" s="7">
        <v>50526</v>
      </c>
      <c r="B270" s="7">
        <f t="shared" si="19"/>
        <v>50525</v>
      </c>
      <c r="I270" s="8">
        <f t="shared" si="20"/>
        <v>0</v>
      </c>
      <c r="J270" s="8">
        <f t="shared" si="21"/>
        <v>0</v>
      </c>
      <c r="K270" s="8">
        <f>SUMIFS(His_Operacoes_acoes[Total],His_Operacoes_acoes[Fimmes],Patrimônio!B270,His_Operacoes_acoes[Operação],"JCP")
+ SUMIFS(His_Operacoes_acoes[Total],His_Operacoes_acoes[Fimmes],Patrimônio!B270,His_Operacoes_acoes[Operação],"Divid.")
+ SUMIFS(His_Operacoes_acoes[Total],His_Operacoes_acoes[Fimmes],Patrimônio!B270,His_Operacoes_acoes[Operação],"Bonif.")</f>
        <v>0</v>
      </c>
      <c r="L270" s="8">
        <f>SUMIFS(His_Operacoes_BDRs[Total],His_Operacoes_BDRs[Operação],"Provento",His_Operacoes_BDRs[fimmês],Patrimônio!B270)</f>
        <v>0</v>
      </c>
      <c r="M270" s="8">
        <f>SUMIFS(His_Operacoes_FIIs[Total],His_Operacoes_FIIs[Operação],"Provento",His_Operacoes_FIIs[fimmês],Patrimônio!B270)</f>
        <v>0</v>
      </c>
      <c r="N270" s="8">
        <f t="shared" si="22"/>
        <v>0</v>
      </c>
    </row>
    <row r="271" spans="1:14" x14ac:dyDescent="0.35">
      <c r="A271" s="7">
        <v>50557</v>
      </c>
      <c r="B271" s="7">
        <f t="shared" si="19"/>
        <v>50556</v>
      </c>
      <c r="I271" s="8">
        <f t="shared" si="20"/>
        <v>0</v>
      </c>
      <c r="J271" s="8">
        <f t="shared" si="21"/>
        <v>0</v>
      </c>
      <c r="K271" s="8">
        <f>SUMIFS(His_Operacoes_acoes[Total],His_Operacoes_acoes[Fimmes],Patrimônio!B271,His_Operacoes_acoes[Operação],"JCP")
+ SUMIFS(His_Operacoes_acoes[Total],His_Operacoes_acoes[Fimmes],Patrimônio!B271,His_Operacoes_acoes[Operação],"Divid.")
+ SUMIFS(His_Operacoes_acoes[Total],His_Operacoes_acoes[Fimmes],Patrimônio!B271,His_Operacoes_acoes[Operação],"Bonif.")</f>
        <v>0</v>
      </c>
      <c r="L271" s="8">
        <f>SUMIFS(His_Operacoes_BDRs[Total],His_Operacoes_BDRs[Operação],"Provento",His_Operacoes_BDRs[fimmês],Patrimônio!B271)</f>
        <v>0</v>
      </c>
      <c r="M271" s="8">
        <f>SUMIFS(His_Operacoes_FIIs[Total],His_Operacoes_FIIs[Operação],"Provento",His_Operacoes_FIIs[fimmês],Patrimônio!B271)</f>
        <v>0</v>
      </c>
      <c r="N271" s="8">
        <f t="shared" si="22"/>
        <v>0</v>
      </c>
    </row>
    <row r="272" spans="1:14" x14ac:dyDescent="0.35">
      <c r="A272" s="7">
        <v>50587</v>
      </c>
      <c r="B272" s="7">
        <f t="shared" si="19"/>
        <v>50586</v>
      </c>
      <c r="I272" s="8">
        <f t="shared" si="20"/>
        <v>0</v>
      </c>
      <c r="J272" s="8">
        <f t="shared" si="21"/>
        <v>0</v>
      </c>
      <c r="K272" s="8">
        <f>SUMIFS(His_Operacoes_acoes[Total],His_Operacoes_acoes[Fimmes],Patrimônio!B272,His_Operacoes_acoes[Operação],"JCP")
+ SUMIFS(His_Operacoes_acoes[Total],His_Operacoes_acoes[Fimmes],Patrimônio!B272,His_Operacoes_acoes[Operação],"Divid.")
+ SUMIFS(His_Operacoes_acoes[Total],His_Operacoes_acoes[Fimmes],Patrimônio!B272,His_Operacoes_acoes[Operação],"Bonif.")</f>
        <v>0</v>
      </c>
      <c r="L272" s="8">
        <f>SUMIFS(His_Operacoes_BDRs[Total],His_Operacoes_BDRs[Operação],"Provento",His_Operacoes_BDRs[fimmês],Patrimônio!B272)</f>
        <v>0</v>
      </c>
      <c r="M272" s="8">
        <f>SUMIFS(His_Operacoes_FIIs[Total],His_Operacoes_FIIs[Operação],"Provento",His_Operacoes_FIIs[fimmês],Patrimônio!B272)</f>
        <v>0</v>
      </c>
      <c r="N272" s="8">
        <f t="shared" si="22"/>
        <v>0</v>
      </c>
    </row>
    <row r="273" spans="1:14" x14ac:dyDescent="0.35">
      <c r="A273" s="7">
        <v>50618</v>
      </c>
      <c r="B273" s="7">
        <f t="shared" si="19"/>
        <v>50617</v>
      </c>
      <c r="I273" s="8">
        <f t="shared" si="20"/>
        <v>0</v>
      </c>
      <c r="J273" s="8">
        <f t="shared" si="21"/>
        <v>0</v>
      </c>
      <c r="K273" s="8">
        <f>SUMIFS(His_Operacoes_acoes[Total],His_Operacoes_acoes[Fimmes],Patrimônio!B273,His_Operacoes_acoes[Operação],"JCP")
+ SUMIFS(His_Operacoes_acoes[Total],His_Operacoes_acoes[Fimmes],Patrimônio!B273,His_Operacoes_acoes[Operação],"Divid.")
+ SUMIFS(His_Operacoes_acoes[Total],His_Operacoes_acoes[Fimmes],Patrimônio!B273,His_Operacoes_acoes[Operação],"Bonif.")</f>
        <v>0</v>
      </c>
      <c r="L273" s="8">
        <f>SUMIFS(His_Operacoes_BDRs[Total],His_Operacoes_BDRs[Operação],"Provento",His_Operacoes_BDRs[fimmês],Patrimônio!B273)</f>
        <v>0</v>
      </c>
      <c r="M273" s="8">
        <f>SUMIFS(His_Operacoes_FIIs[Total],His_Operacoes_FIIs[Operação],"Provento",His_Operacoes_FIIs[fimmês],Patrimônio!B273)</f>
        <v>0</v>
      </c>
      <c r="N273" s="8">
        <f t="shared" si="22"/>
        <v>0</v>
      </c>
    </row>
    <row r="274" spans="1:14" x14ac:dyDescent="0.35">
      <c r="A274" s="7">
        <v>50649</v>
      </c>
      <c r="B274" s="7">
        <f t="shared" si="19"/>
        <v>50648</v>
      </c>
      <c r="I274" s="8">
        <f t="shared" si="20"/>
        <v>0</v>
      </c>
      <c r="J274" s="8">
        <f t="shared" si="21"/>
        <v>0</v>
      </c>
      <c r="K274" s="8">
        <f>SUMIFS(His_Operacoes_acoes[Total],His_Operacoes_acoes[Fimmes],Patrimônio!B274,His_Operacoes_acoes[Operação],"JCP")
+ SUMIFS(His_Operacoes_acoes[Total],His_Operacoes_acoes[Fimmes],Patrimônio!B274,His_Operacoes_acoes[Operação],"Divid.")
+ SUMIFS(His_Operacoes_acoes[Total],His_Operacoes_acoes[Fimmes],Patrimônio!B274,His_Operacoes_acoes[Operação],"Bonif.")</f>
        <v>0</v>
      </c>
      <c r="L274" s="8">
        <f>SUMIFS(His_Operacoes_BDRs[Total],His_Operacoes_BDRs[Operação],"Provento",His_Operacoes_BDRs[fimmês],Patrimônio!B274)</f>
        <v>0</v>
      </c>
      <c r="M274" s="8">
        <f>SUMIFS(His_Operacoes_FIIs[Total],His_Operacoes_FIIs[Operação],"Provento",His_Operacoes_FIIs[fimmês],Patrimônio!B274)</f>
        <v>0</v>
      </c>
      <c r="N274" s="8">
        <f t="shared" si="22"/>
        <v>0</v>
      </c>
    </row>
    <row r="275" spans="1:14" x14ac:dyDescent="0.35">
      <c r="A275" s="7">
        <v>50679</v>
      </c>
      <c r="B275" s="7">
        <f t="shared" si="19"/>
        <v>50678</v>
      </c>
      <c r="I275" s="8">
        <f t="shared" si="20"/>
        <v>0</v>
      </c>
      <c r="J275" s="8">
        <f t="shared" si="21"/>
        <v>0</v>
      </c>
      <c r="K275" s="8">
        <f>SUMIFS(His_Operacoes_acoes[Total],His_Operacoes_acoes[Fimmes],Patrimônio!B275,His_Operacoes_acoes[Operação],"JCP")
+ SUMIFS(His_Operacoes_acoes[Total],His_Operacoes_acoes[Fimmes],Patrimônio!B275,His_Operacoes_acoes[Operação],"Divid.")
+ SUMIFS(His_Operacoes_acoes[Total],His_Operacoes_acoes[Fimmes],Patrimônio!B275,His_Operacoes_acoes[Operação],"Bonif.")</f>
        <v>0</v>
      </c>
      <c r="L275" s="8">
        <f>SUMIFS(His_Operacoes_BDRs[Total],His_Operacoes_BDRs[Operação],"Provento",His_Operacoes_BDRs[fimmês],Patrimônio!B275)</f>
        <v>0</v>
      </c>
      <c r="M275" s="8">
        <f>SUMIFS(His_Operacoes_FIIs[Total],His_Operacoes_FIIs[Operação],"Provento",His_Operacoes_FIIs[fimmês],Patrimônio!B275)</f>
        <v>0</v>
      </c>
      <c r="N275" s="8">
        <f t="shared" si="22"/>
        <v>0</v>
      </c>
    </row>
    <row r="276" spans="1:14" x14ac:dyDescent="0.35">
      <c r="A276" s="7">
        <v>50710</v>
      </c>
      <c r="B276" s="7">
        <f t="shared" si="19"/>
        <v>50709</v>
      </c>
      <c r="I276" s="8">
        <f t="shared" si="20"/>
        <v>0</v>
      </c>
      <c r="J276" s="8">
        <f t="shared" si="21"/>
        <v>0</v>
      </c>
      <c r="K276" s="8">
        <f>SUMIFS(His_Operacoes_acoes[Total],His_Operacoes_acoes[Fimmes],Patrimônio!B276,His_Operacoes_acoes[Operação],"JCP")
+ SUMIFS(His_Operacoes_acoes[Total],His_Operacoes_acoes[Fimmes],Patrimônio!B276,His_Operacoes_acoes[Operação],"Divid.")
+ SUMIFS(His_Operacoes_acoes[Total],His_Operacoes_acoes[Fimmes],Patrimônio!B276,His_Operacoes_acoes[Operação],"Bonif.")</f>
        <v>0</v>
      </c>
      <c r="L276" s="8">
        <f>SUMIFS(His_Operacoes_BDRs[Total],His_Operacoes_BDRs[Operação],"Provento",His_Operacoes_BDRs[fimmês],Patrimônio!B276)</f>
        <v>0</v>
      </c>
      <c r="M276" s="8">
        <f>SUMIFS(His_Operacoes_FIIs[Total],His_Operacoes_FIIs[Operação],"Provento",His_Operacoes_FIIs[fimmês],Patrimônio!B276)</f>
        <v>0</v>
      </c>
      <c r="N276" s="8">
        <f t="shared" si="22"/>
        <v>0</v>
      </c>
    </row>
    <row r="277" spans="1:14" x14ac:dyDescent="0.35">
      <c r="A277" s="7">
        <v>50740</v>
      </c>
      <c r="B277" s="7">
        <f t="shared" si="19"/>
        <v>50739</v>
      </c>
      <c r="I277" s="8">
        <f t="shared" si="20"/>
        <v>0</v>
      </c>
      <c r="J277" s="8">
        <f t="shared" si="21"/>
        <v>0</v>
      </c>
      <c r="K277" s="8">
        <f>SUMIFS(His_Operacoes_acoes[Total],His_Operacoes_acoes[Fimmes],Patrimônio!B277,His_Operacoes_acoes[Operação],"JCP")
+ SUMIFS(His_Operacoes_acoes[Total],His_Operacoes_acoes[Fimmes],Patrimônio!B277,His_Operacoes_acoes[Operação],"Divid.")
+ SUMIFS(His_Operacoes_acoes[Total],His_Operacoes_acoes[Fimmes],Patrimônio!B277,His_Operacoes_acoes[Operação],"Bonif.")</f>
        <v>0</v>
      </c>
      <c r="L277" s="8">
        <f>SUMIFS(His_Operacoes_BDRs[Total],His_Operacoes_BDRs[Operação],"Provento",His_Operacoes_BDRs[fimmês],Patrimônio!B277)</f>
        <v>0</v>
      </c>
      <c r="M277" s="8">
        <f>SUMIFS(His_Operacoes_FIIs[Total],His_Operacoes_FIIs[Operação],"Provento",His_Operacoes_FIIs[fimmês],Patrimônio!B277)</f>
        <v>0</v>
      </c>
      <c r="N277" s="8">
        <f t="shared" si="22"/>
        <v>0</v>
      </c>
    </row>
    <row r="278" spans="1:14" x14ac:dyDescent="0.35">
      <c r="A278" s="7">
        <v>50771</v>
      </c>
      <c r="B278" s="7">
        <f t="shared" si="19"/>
        <v>50770</v>
      </c>
      <c r="I278" s="8">
        <f t="shared" si="20"/>
        <v>0</v>
      </c>
      <c r="J278" s="8">
        <f t="shared" si="21"/>
        <v>0</v>
      </c>
      <c r="K278" s="8">
        <f>SUMIFS(His_Operacoes_acoes[Total],His_Operacoes_acoes[Fimmes],Patrimônio!B278,His_Operacoes_acoes[Operação],"JCP")
+ SUMIFS(His_Operacoes_acoes[Total],His_Operacoes_acoes[Fimmes],Patrimônio!B278,His_Operacoes_acoes[Operação],"Divid.")
+ SUMIFS(His_Operacoes_acoes[Total],His_Operacoes_acoes[Fimmes],Patrimônio!B278,His_Operacoes_acoes[Operação],"Bonif.")</f>
        <v>0</v>
      </c>
      <c r="L278" s="8">
        <f>SUMIFS(His_Operacoes_BDRs[Total],His_Operacoes_BDRs[Operação],"Provento",His_Operacoes_BDRs[fimmês],Patrimônio!B278)</f>
        <v>0</v>
      </c>
      <c r="M278" s="8">
        <f>SUMIFS(His_Operacoes_FIIs[Total],His_Operacoes_FIIs[Operação],"Provento",His_Operacoes_FIIs[fimmês],Patrimônio!B278)</f>
        <v>0</v>
      </c>
      <c r="N278" s="8">
        <f t="shared" si="22"/>
        <v>0</v>
      </c>
    </row>
    <row r="279" spans="1:14" x14ac:dyDescent="0.35">
      <c r="A279" s="7">
        <v>50802</v>
      </c>
      <c r="B279" s="7">
        <f t="shared" si="19"/>
        <v>50801</v>
      </c>
      <c r="I279" s="8">
        <f t="shared" si="20"/>
        <v>0</v>
      </c>
      <c r="J279" s="8">
        <f t="shared" si="21"/>
        <v>0</v>
      </c>
      <c r="K279" s="8">
        <f>SUMIFS(His_Operacoes_acoes[Total],His_Operacoes_acoes[Fimmes],Patrimônio!B279,His_Operacoes_acoes[Operação],"JCP")
+ SUMIFS(His_Operacoes_acoes[Total],His_Operacoes_acoes[Fimmes],Patrimônio!B279,His_Operacoes_acoes[Operação],"Divid.")
+ SUMIFS(His_Operacoes_acoes[Total],His_Operacoes_acoes[Fimmes],Patrimônio!B279,His_Operacoes_acoes[Operação],"Bonif.")</f>
        <v>0</v>
      </c>
      <c r="L279" s="8">
        <f>SUMIFS(His_Operacoes_BDRs[Total],His_Operacoes_BDRs[Operação],"Provento",His_Operacoes_BDRs[fimmês],Patrimônio!B279)</f>
        <v>0</v>
      </c>
      <c r="M279" s="8">
        <f>SUMIFS(His_Operacoes_FIIs[Total],His_Operacoes_FIIs[Operação],"Provento",His_Operacoes_FIIs[fimmês],Patrimônio!B279)</f>
        <v>0</v>
      </c>
      <c r="N279" s="8">
        <f t="shared" si="22"/>
        <v>0</v>
      </c>
    </row>
    <row r="280" spans="1:14" x14ac:dyDescent="0.35">
      <c r="A280" s="7">
        <v>50830</v>
      </c>
      <c r="B280" s="7">
        <f t="shared" si="19"/>
        <v>50829</v>
      </c>
      <c r="I280" s="8">
        <f t="shared" si="20"/>
        <v>0</v>
      </c>
      <c r="J280" s="8">
        <f t="shared" si="21"/>
        <v>0</v>
      </c>
      <c r="K280" s="8">
        <f>SUMIFS(His_Operacoes_acoes[Total],His_Operacoes_acoes[Fimmes],Patrimônio!B280,His_Operacoes_acoes[Operação],"JCP")
+ SUMIFS(His_Operacoes_acoes[Total],His_Operacoes_acoes[Fimmes],Patrimônio!B280,His_Operacoes_acoes[Operação],"Divid.")
+ SUMIFS(His_Operacoes_acoes[Total],His_Operacoes_acoes[Fimmes],Patrimônio!B280,His_Operacoes_acoes[Operação],"Bonif.")</f>
        <v>0</v>
      </c>
      <c r="L280" s="8">
        <f>SUMIFS(His_Operacoes_BDRs[Total],His_Operacoes_BDRs[Operação],"Provento",His_Operacoes_BDRs[fimmês],Patrimônio!B280)</f>
        <v>0</v>
      </c>
      <c r="M280" s="8">
        <f>SUMIFS(His_Operacoes_FIIs[Total],His_Operacoes_FIIs[Operação],"Provento",His_Operacoes_FIIs[fimmês],Patrimônio!B280)</f>
        <v>0</v>
      </c>
      <c r="N280" s="8">
        <f t="shared" si="22"/>
        <v>0</v>
      </c>
    </row>
    <row r="281" spans="1:14" x14ac:dyDescent="0.35">
      <c r="A281" s="7">
        <v>50861</v>
      </c>
      <c r="B281" s="7">
        <f t="shared" si="19"/>
        <v>50860</v>
      </c>
      <c r="I281" s="8">
        <f t="shared" si="20"/>
        <v>0</v>
      </c>
      <c r="J281" s="8">
        <f t="shared" si="21"/>
        <v>0</v>
      </c>
      <c r="K281" s="8">
        <f>SUMIFS(His_Operacoes_acoes[Total],His_Operacoes_acoes[Fimmes],Patrimônio!B281,His_Operacoes_acoes[Operação],"JCP")
+ SUMIFS(His_Operacoes_acoes[Total],His_Operacoes_acoes[Fimmes],Patrimônio!B281,His_Operacoes_acoes[Operação],"Divid.")
+ SUMIFS(His_Operacoes_acoes[Total],His_Operacoes_acoes[Fimmes],Patrimônio!B281,His_Operacoes_acoes[Operação],"Bonif.")</f>
        <v>0</v>
      </c>
      <c r="L281" s="8">
        <f>SUMIFS(His_Operacoes_BDRs[Total],His_Operacoes_BDRs[Operação],"Provento",His_Operacoes_BDRs[fimmês],Patrimônio!B281)</f>
        <v>0</v>
      </c>
      <c r="M281" s="8">
        <f>SUMIFS(His_Operacoes_FIIs[Total],His_Operacoes_FIIs[Operação],"Provento",His_Operacoes_FIIs[fimmês],Patrimônio!B281)</f>
        <v>0</v>
      </c>
      <c r="N281" s="8">
        <f t="shared" si="22"/>
        <v>0</v>
      </c>
    </row>
    <row r="282" spans="1:14" x14ac:dyDescent="0.35">
      <c r="A282" s="7">
        <v>50891</v>
      </c>
      <c r="B282" s="7">
        <f t="shared" si="19"/>
        <v>50890</v>
      </c>
      <c r="I282" s="8">
        <f t="shared" si="20"/>
        <v>0</v>
      </c>
      <c r="J282" s="8">
        <f t="shared" si="21"/>
        <v>0</v>
      </c>
      <c r="K282" s="8">
        <f>SUMIFS(His_Operacoes_acoes[Total],His_Operacoes_acoes[Fimmes],Patrimônio!B282,His_Operacoes_acoes[Operação],"JCP")
+ SUMIFS(His_Operacoes_acoes[Total],His_Operacoes_acoes[Fimmes],Patrimônio!B282,His_Operacoes_acoes[Operação],"Divid.")
+ SUMIFS(His_Operacoes_acoes[Total],His_Operacoes_acoes[Fimmes],Patrimônio!B282,His_Operacoes_acoes[Operação],"Bonif.")</f>
        <v>0</v>
      </c>
      <c r="L282" s="8">
        <f>SUMIFS(His_Operacoes_BDRs[Total],His_Operacoes_BDRs[Operação],"Provento",His_Operacoes_BDRs[fimmês],Patrimônio!B282)</f>
        <v>0</v>
      </c>
      <c r="M282" s="8">
        <f>SUMIFS(His_Operacoes_FIIs[Total],His_Operacoes_FIIs[Operação],"Provento",His_Operacoes_FIIs[fimmês],Patrimônio!B282)</f>
        <v>0</v>
      </c>
      <c r="N282" s="8">
        <f t="shared" si="22"/>
        <v>0</v>
      </c>
    </row>
    <row r="283" spans="1:14" x14ac:dyDescent="0.35">
      <c r="A283" s="7">
        <v>50922</v>
      </c>
      <c r="B283" s="7">
        <f t="shared" si="19"/>
        <v>50921</v>
      </c>
      <c r="I283" s="8">
        <f t="shared" si="20"/>
        <v>0</v>
      </c>
      <c r="J283" s="8">
        <f t="shared" si="21"/>
        <v>0</v>
      </c>
      <c r="K283" s="8">
        <f>SUMIFS(His_Operacoes_acoes[Total],His_Operacoes_acoes[Fimmes],Patrimônio!B283,His_Operacoes_acoes[Operação],"JCP")
+ SUMIFS(His_Operacoes_acoes[Total],His_Operacoes_acoes[Fimmes],Patrimônio!B283,His_Operacoes_acoes[Operação],"Divid.")
+ SUMIFS(His_Operacoes_acoes[Total],His_Operacoes_acoes[Fimmes],Patrimônio!B283,His_Operacoes_acoes[Operação],"Bonif.")</f>
        <v>0</v>
      </c>
      <c r="L283" s="8">
        <f>SUMIFS(His_Operacoes_BDRs[Total],His_Operacoes_BDRs[Operação],"Provento",His_Operacoes_BDRs[fimmês],Patrimônio!B283)</f>
        <v>0</v>
      </c>
      <c r="M283" s="8">
        <f>SUMIFS(His_Operacoes_FIIs[Total],His_Operacoes_FIIs[Operação],"Provento",His_Operacoes_FIIs[fimmês],Patrimônio!B283)</f>
        <v>0</v>
      </c>
      <c r="N283" s="8">
        <f t="shared" si="22"/>
        <v>0</v>
      </c>
    </row>
    <row r="284" spans="1:14" x14ac:dyDescent="0.35">
      <c r="A284" s="7">
        <v>50952</v>
      </c>
      <c r="B284" s="7">
        <f t="shared" si="19"/>
        <v>50951</v>
      </c>
      <c r="I284" s="8">
        <f t="shared" si="20"/>
        <v>0</v>
      </c>
      <c r="J284" s="8">
        <f t="shared" si="21"/>
        <v>0</v>
      </c>
      <c r="K284" s="8">
        <f>SUMIFS(His_Operacoes_acoes[Total],His_Operacoes_acoes[Fimmes],Patrimônio!B284,His_Operacoes_acoes[Operação],"JCP")
+ SUMIFS(His_Operacoes_acoes[Total],His_Operacoes_acoes[Fimmes],Patrimônio!B284,His_Operacoes_acoes[Operação],"Divid.")
+ SUMIFS(His_Operacoes_acoes[Total],His_Operacoes_acoes[Fimmes],Patrimônio!B284,His_Operacoes_acoes[Operação],"Bonif.")</f>
        <v>0</v>
      </c>
      <c r="L284" s="8">
        <f>SUMIFS(His_Operacoes_BDRs[Total],His_Operacoes_BDRs[Operação],"Provento",His_Operacoes_BDRs[fimmês],Patrimônio!B284)</f>
        <v>0</v>
      </c>
      <c r="M284" s="8">
        <f>SUMIFS(His_Operacoes_FIIs[Total],His_Operacoes_FIIs[Operação],"Provento",His_Operacoes_FIIs[fimmês],Patrimônio!B284)</f>
        <v>0</v>
      </c>
      <c r="N284" s="8">
        <f t="shared" si="22"/>
        <v>0</v>
      </c>
    </row>
    <row r="285" spans="1:14" x14ac:dyDescent="0.35">
      <c r="A285" s="7">
        <v>50983</v>
      </c>
      <c r="B285" s="7">
        <f t="shared" si="19"/>
        <v>50982</v>
      </c>
      <c r="I285" s="8">
        <f t="shared" si="20"/>
        <v>0</v>
      </c>
      <c r="J285" s="8">
        <f t="shared" si="21"/>
        <v>0</v>
      </c>
      <c r="K285" s="8">
        <f>SUMIFS(His_Operacoes_acoes[Total],His_Operacoes_acoes[Fimmes],Patrimônio!B285,His_Operacoes_acoes[Operação],"JCP")
+ SUMIFS(His_Operacoes_acoes[Total],His_Operacoes_acoes[Fimmes],Patrimônio!B285,His_Operacoes_acoes[Operação],"Divid.")
+ SUMIFS(His_Operacoes_acoes[Total],His_Operacoes_acoes[Fimmes],Patrimônio!B285,His_Operacoes_acoes[Operação],"Bonif.")</f>
        <v>0</v>
      </c>
      <c r="L285" s="8">
        <f>SUMIFS(His_Operacoes_BDRs[Total],His_Operacoes_BDRs[Operação],"Provento",His_Operacoes_BDRs[fimmês],Patrimônio!B285)</f>
        <v>0</v>
      </c>
      <c r="M285" s="8">
        <f>SUMIFS(His_Operacoes_FIIs[Total],His_Operacoes_FIIs[Operação],"Provento",His_Operacoes_FIIs[fimmês],Patrimônio!B285)</f>
        <v>0</v>
      </c>
      <c r="N285" s="8">
        <f t="shared" si="22"/>
        <v>0</v>
      </c>
    </row>
    <row r="286" spans="1:14" x14ac:dyDescent="0.35">
      <c r="A286" s="7">
        <v>51014</v>
      </c>
      <c r="B286" s="7">
        <f t="shared" si="19"/>
        <v>51013</v>
      </c>
      <c r="I286" s="8">
        <f t="shared" si="20"/>
        <v>0</v>
      </c>
      <c r="J286" s="8">
        <f t="shared" si="21"/>
        <v>0</v>
      </c>
      <c r="K286" s="8">
        <f>SUMIFS(His_Operacoes_acoes[Total],His_Operacoes_acoes[Fimmes],Patrimônio!B286,His_Operacoes_acoes[Operação],"JCP")
+ SUMIFS(His_Operacoes_acoes[Total],His_Operacoes_acoes[Fimmes],Patrimônio!B286,His_Operacoes_acoes[Operação],"Divid.")
+ SUMIFS(His_Operacoes_acoes[Total],His_Operacoes_acoes[Fimmes],Patrimônio!B286,His_Operacoes_acoes[Operação],"Bonif.")</f>
        <v>0</v>
      </c>
      <c r="L286" s="8">
        <f>SUMIFS(His_Operacoes_BDRs[Total],His_Operacoes_BDRs[Operação],"Provento",His_Operacoes_BDRs[fimmês],Patrimônio!B286)</f>
        <v>0</v>
      </c>
      <c r="M286" s="8">
        <f>SUMIFS(His_Operacoes_FIIs[Total],His_Operacoes_FIIs[Operação],"Provento",His_Operacoes_FIIs[fimmês],Patrimônio!B286)</f>
        <v>0</v>
      </c>
      <c r="N286" s="8">
        <f t="shared" si="22"/>
        <v>0</v>
      </c>
    </row>
    <row r="287" spans="1:14" x14ac:dyDescent="0.35">
      <c r="A287" s="7">
        <v>51044</v>
      </c>
      <c r="B287" s="7">
        <f t="shared" si="19"/>
        <v>51043</v>
      </c>
      <c r="I287" s="8">
        <f t="shared" si="20"/>
        <v>0</v>
      </c>
      <c r="J287" s="8">
        <f t="shared" si="21"/>
        <v>0</v>
      </c>
      <c r="K287" s="8">
        <f>SUMIFS(His_Operacoes_acoes[Total],His_Operacoes_acoes[Fimmes],Patrimônio!B287,His_Operacoes_acoes[Operação],"JCP")
+ SUMIFS(His_Operacoes_acoes[Total],His_Operacoes_acoes[Fimmes],Patrimônio!B287,His_Operacoes_acoes[Operação],"Divid.")
+ SUMIFS(His_Operacoes_acoes[Total],His_Operacoes_acoes[Fimmes],Patrimônio!B287,His_Operacoes_acoes[Operação],"Bonif.")</f>
        <v>0</v>
      </c>
      <c r="L287" s="8">
        <f>SUMIFS(His_Operacoes_BDRs[Total],His_Operacoes_BDRs[Operação],"Provento",His_Operacoes_BDRs[fimmês],Patrimônio!B287)</f>
        <v>0</v>
      </c>
      <c r="M287" s="8">
        <f>SUMIFS(His_Operacoes_FIIs[Total],His_Operacoes_FIIs[Operação],"Provento",His_Operacoes_FIIs[fimmês],Patrimônio!B287)</f>
        <v>0</v>
      </c>
      <c r="N287" s="8">
        <f t="shared" si="22"/>
        <v>0</v>
      </c>
    </row>
    <row r="288" spans="1:14" x14ac:dyDescent="0.35">
      <c r="A288" s="7">
        <v>51075</v>
      </c>
      <c r="B288" s="7">
        <f t="shared" si="19"/>
        <v>51074</v>
      </c>
      <c r="I288" s="8">
        <f t="shared" si="20"/>
        <v>0</v>
      </c>
      <c r="J288" s="8">
        <f t="shared" si="21"/>
        <v>0</v>
      </c>
      <c r="K288" s="8">
        <f>SUMIFS(His_Operacoes_acoes[Total],His_Operacoes_acoes[Fimmes],Patrimônio!B288,His_Operacoes_acoes[Operação],"JCP")
+ SUMIFS(His_Operacoes_acoes[Total],His_Operacoes_acoes[Fimmes],Patrimônio!B288,His_Operacoes_acoes[Operação],"Divid.")
+ SUMIFS(His_Operacoes_acoes[Total],His_Operacoes_acoes[Fimmes],Patrimônio!B288,His_Operacoes_acoes[Operação],"Bonif.")</f>
        <v>0</v>
      </c>
      <c r="L288" s="8">
        <f>SUMIFS(His_Operacoes_BDRs[Total],His_Operacoes_BDRs[Operação],"Provento",His_Operacoes_BDRs[fimmês],Patrimônio!B288)</f>
        <v>0</v>
      </c>
      <c r="M288" s="8">
        <f>SUMIFS(His_Operacoes_FIIs[Total],His_Operacoes_FIIs[Operação],"Provento",His_Operacoes_FIIs[fimmês],Patrimônio!B288)</f>
        <v>0</v>
      </c>
      <c r="N288" s="8">
        <f t="shared" si="22"/>
        <v>0</v>
      </c>
    </row>
    <row r="289" spans="1:14" x14ac:dyDescent="0.35">
      <c r="A289" s="7">
        <v>51105</v>
      </c>
      <c r="B289" s="7">
        <f t="shared" si="19"/>
        <v>51104</v>
      </c>
      <c r="I289" s="8">
        <f t="shared" si="20"/>
        <v>0</v>
      </c>
      <c r="J289" s="8">
        <f t="shared" si="21"/>
        <v>0</v>
      </c>
      <c r="K289" s="8">
        <f>SUMIFS(His_Operacoes_acoes[Total],His_Operacoes_acoes[Fimmes],Patrimônio!B289,His_Operacoes_acoes[Operação],"JCP")
+ SUMIFS(His_Operacoes_acoes[Total],His_Operacoes_acoes[Fimmes],Patrimônio!B289,His_Operacoes_acoes[Operação],"Divid.")
+ SUMIFS(His_Operacoes_acoes[Total],His_Operacoes_acoes[Fimmes],Patrimônio!B289,His_Operacoes_acoes[Operação],"Bonif.")</f>
        <v>0</v>
      </c>
      <c r="L289" s="8">
        <f>SUMIFS(His_Operacoes_BDRs[Total],His_Operacoes_BDRs[Operação],"Provento",His_Operacoes_BDRs[fimmês],Patrimônio!B289)</f>
        <v>0</v>
      </c>
      <c r="M289" s="8">
        <f>SUMIFS(His_Operacoes_FIIs[Total],His_Operacoes_FIIs[Operação],"Provento",His_Operacoes_FIIs[fimmês],Patrimônio!B289)</f>
        <v>0</v>
      </c>
      <c r="N289" s="8">
        <f t="shared" si="22"/>
        <v>0</v>
      </c>
    </row>
    <row r="290" spans="1:14" x14ac:dyDescent="0.35">
      <c r="A290" s="7">
        <v>51136</v>
      </c>
      <c r="B290" s="7">
        <f t="shared" si="19"/>
        <v>51135</v>
      </c>
      <c r="I290" s="8">
        <f t="shared" si="20"/>
        <v>0</v>
      </c>
      <c r="J290" s="8">
        <f t="shared" si="21"/>
        <v>0</v>
      </c>
      <c r="K290" s="8">
        <f>SUMIFS(His_Operacoes_acoes[Total],His_Operacoes_acoes[Fimmes],Patrimônio!B290,His_Operacoes_acoes[Operação],"JCP")
+ SUMIFS(His_Operacoes_acoes[Total],His_Operacoes_acoes[Fimmes],Patrimônio!B290,His_Operacoes_acoes[Operação],"Divid.")
+ SUMIFS(His_Operacoes_acoes[Total],His_Operacoes_acoes[Fimmes],Patrimônio!B290,His_Operacoes_acoes[Operação],"Bonif.")</f>
        <v>0</v>
      </c>
      <c r="L290" s="8">
        <f>SUMIFS(His_Operacoes_BDRs[Total],His_Operacoes_BDRs[Operação],"Provento",His_Operacoes_BDRs[fimmês],Patrimônio!B290)</f>
        <v>0</v>
      </c>
      <c r="M290" s="8">
        <f>SUMIFS(His_Operacoes_FIIs[Total],His_Operacoes_FIIs[Operação],"Provento",His_Operacoes_FIIs[fimmês],Patrimônio!B290)</f>
        <v>0</v>
      </c>
      <c r="N290" s="8">
        <f t="shared" si="22"/>
        <v>0</v>
      </c>
    </row>
    <row r="291" spans="1:14" x14ac:dyDescent="0.35">
      <c r="A291" s="7">
        <v>51167</v>
      </c>
      <c r="B291" s="7">
        <f t="shared" si="19"/>
        <v>51166</v>
      </c>
      <c r="I291" s="8">
        <f t="shared" si="20"/>
        <v>0</v>
      </c>
      <c r="J291" s="8">
        <f t="shared" si="21"/>
        <v>0</v>
      </c>
      <c r="K291" s="8">
        <f>SUMIFS(His_Operacoes_acoes[Total],His_Operacoes_acoes[Fimmes],Patrimônio!B291,His_Operacoes_acoes[Operação],"JCP")
+ SUMIFS(His_Operacoes_acoes[Total],His_Operacoes_acoes[Fimmes],Patrimônio!B291,His_Operacoes_acoes[Operação],"Divid.")
+ SUMIFS(His_Operacoes_acoes[Total],His_Operacoes_acoes[Fimmes],Patrimônio!B291,His_Operacoes_acoes[Operação],"Bonif.")</f>
        <v>0</v>
      </c>
      <c r="L291" s="8">
        <f>SUMIFS(His_Operacoes_BDRs[Total],His_Operacoes_BDRs[Operação],"Provento",His_Operacoes_BDRs[fimmês],Patrimônio!B291)</f>
        <v>0</v>
      </c>
      <c r="M291" s="8">
        <f>SUMIFS(His_Operacoes_FIIs[Total],His_Operacoes_FIIs[Operação],"Provento",His_Operacoes_FIIs[fimmês],Patrimônio!B291)</f>
        <v>0</v>
      </c>
      <c r="N291" s="8">
        <f t="shared" si="22"/>
        <v>0</v>
      </c>
    </row>
    <row r="292" spans="1:14" x14ac:dyDescent="0.35">
      <c r="A292" s="7">
        <v>51196</v>
      </c>
      <c r="B292" s="7">
        <f t="shared" si="19"/>
        <v>51195</v>
      </c>
      <c r="I292" s="8">
        <f t="shared" si="20"/>
        <v>0</v>
      </c>
      <c r="J292" s="8">
        <f t="shared" si="21"/>
        <v>0</v>
      </c>
      <c r="K292" s="8">
        <f>SUMIFS(His_Operacoes_acoes[Total],His_Operacoes_acoes[Fimmes],Patrimônio!B292,His_Operacoes_acoes[Operação],"JCP")
+ SUMIFS(His_Operacoes_acoes[Total],His_Operacoes_acoes[Fimmes],Patrimônio!B292,His_Operacoes_acoes[Operação],"Divid.")
+ SUMIFS(His_Operacoes_acoes[Total],His_Operacoes_acoes[Fimmes],Patrimônio!B292,His_Operacoes_acoes[Operação],"Bonif.")</f>
        <v>0</v>
      </c>
      <c r="L292" s="8">
        <f>SUMIFS(His_Operacoes_BDRs[Total],His_Operacoes_BDRs[Operação],"Provento",His_Operacoes_BDRs[fimmês],Patrimônio!B292)</f>
        <v>0</v>
      </c>
      <c r="M292" s="8">
        <f>SUMIFS(His_Operacoes_FIIs[Total],His_Operacoes_FIIs[Operação],"Provento",His_Operacoes_FIIs[fimmês],Patrimônio!B292)</f>
        <v>0</v>
      </c>
      <c r="N292" s="8">
        <f t="shared" si="22"/>
        <v>0</v>
      </c>
    </row>
    <row r="293" spans="1:14" x14ac:dyDescent="0.35">
      <c r="A293" s="7">
        <v>51227</v>
      </c>
      <c r="B293" s="7">
        <f t="shared" si="19"/>
        <v>51226</v>
      </c>
      <c r="I293" s="8">
        <f t="shared" si="20"/>
        <v>0</v>
      </c>
      <c r="J293" s="8">
        <f t="shared" si="21"/>
        <v>0</v>
      </c>
      <c r="K293" s="8">
        <f>SUMIFS(His_Operacoes_acoes[Total],His_Operacoes_acoes[Fimmes],Patrimônio!B293,His_Operacoes_acoes[Operação],"JCP")
+ SUMIFS(His_Operacoes_acoes[Total],His_Operacoes_acoes[Fimmes],Patrimônio!B293,His_Operacoes_acoes[Operação],"Divid.")
+ SUMIFS(His_Operacoes_acoes[Total],His_Operacoes_acoes[Fimmes],Patrimônio!B293,His_Operacoes_acoes[Operação],"Bonif.")</f>
        <v>0</v>
      </c>
      <c r="L293" s="8">
        <f>SUMIFS(His_Operacoes_BDRs[Total],His_Operacoes_BDRs[Operação],"Provento",His_Operacoes_BDRs[fimmês],Patrimônio!B293)</f>
        <v>0</v>
      </c>
      <c r="M293" s="8">
        <f>SUMIFS(His_Operacoes_FIIs[Total],His_Operacoes_FIIs[Operação],"Provento",His_Operacoes_FIIs[fimmês],Patrimônio!B293)</f>
        <v>0</v>
      </c>
      <c r="N293" s="8">
        <f t="shared" si="22"/>
        <v>0</v>
      </c>
    </row>
    <row r="294" spans="1:14" x14ac:dyDescent="0.35">
      <c r="A294" s="7">
        <v>51257</v>
      </c>
      <c r="B294" s="7">
        <f t="shared" si="19"/>
        <v>51256</v>
      </c>
      <c r="I294" s="8">
        <f t="shared" si="20"/>
        <v>0</v>
      </c>
      <c r="J294" s="8">
        <f t="shared" si="21"/>
        <v>0</v>
      </c>
      <c r="K294" s="8">
        <f>SUMIFS(His_Operacoes_acoes[Total],His_Operacoes_acoes[Fimmes],Patrimônio!B294,His_Operacoes_acoes[Operação],"JCP")
+ SUMIFS(His_Operacoes_acoes[Total],His_Operacoes_acoes[Fimmes],Patrimônio!B294,His_Operacoes_acoes[Operação],"Divid.")
+ SUMIFS(His_Operacoes_acoes[Total],His_Operacoes_acoes[Fimmes],Patrimônio!B294,His_Operacoes_acoes[Operação],"Bonif.")</f>
        <v>0</v>
      </c>
      <c r="L294" s="8">
        <f>SUMIFS(His_Operacoes_BDRs[Total],His_Operacoes_BDRs[Operação],"Provento",His_Operacoes_BDRs[fimmês],Patrimônio!B294)</f>
        <v>0</v>
      </c>
      <c r="M294" s="8">
        <f>SUMIFS(His_Operacoes_FIIs[Total],His_Operacoes_FIIs[Operação],"Provento",His_Operacoes_FIIs[fimmês],Patrimônio!B294)</f>
        <v>0</v>
      </c>
      <c r="N294" s="8">
        <f t="shared" si="22"/>
        <v>0</v>
      </c>
    </row>
    <row r="295" spans="1:14" x14ac:dyDescent="0.35">
      <c r="A295" s="7">
        <v>51288</v>
      </c>
      <c r="B295" s="7">
        <f t="shared" si="19"/>
        <v>51287</v>
      </c>
      <c r="I295" s="8">
        <f t="shared" si="20"/>
        <v>0</v>
      </c>
      <c r="J295" s="8">
        <f t="shared" si="21"/>
        <v>0</v>
      </c>
      <c r="K295" s="8">
        <f>SUMIFS(His_Operacoes_acoes[Total],His_Operacoes_acoes[Fimmes],Patrimônio!B295,His_Operacoes_acoes[Operação],"JCP")
+ SUMIFS(His_Operacoes_acoes[Total],His_Operacoes_acoes[Fimmes],Patrimônio!B295,His_Operacoes_acoes[Operação],"Divid.")
+ SUMIFS(His_Operacoes_acoes[Total],His_Operacoes_acoes[Fimmes],Patrimônio!B295,His_Operacoes_acoes[Operação],"Bonif.")</f>
        <v>0</v>
      </c>
      <c r="L295" s="8">
        <f>SUMIFS(His_Operacoes_BDRs[Total],His_Operacoes_BDRs[Operação],"Provento",His_Operacoes_BDRs[fimmês],Patrimônio!B295)</f>
        <v>0</v>
      </c>
      <c r="M295" s="8">
        <f>SUMIFS(His_Operacoes_FIIs[Total],His_Operacoes_FIIs[Operação],"Provento",His_Operacoes_FIIs[fimmês],Patrimônio!B295)</f>
        <v>0</v>
      </c>
      <c r="N295" s="8">
        <f t="shared" si="22"/>
        <v>0</v>
      </c>
    </row>
    <row r="296" spans="1:14" x14ac:dyDescent="0.35">
      <c r="A296" s="7">
        <v>51318</v>
      </c>
      <c r="B296" s="7">
        <f t="shared" si="19"/>
        <v>51317</v>
      </c>
      <c r="I296" s="8">
        <f t="shared" si="20"/>
        <v>0</v>
      </c>
      <c r="J296" s="8">
        <f t="shared" si="21"/>
        <v>0</v>
      </c>
      <c r="K296" s="8">
        <f>SUMIFS(His_Operacoes_acoes[Total],His_Operacoes_acoes[Fimmes],Patrimônio!B296,His_Operacoes_acoes[Operação],"JCP")
+ SUMIFS(His_Operacoes_acoes[Total],His_Operacoes_acoes[Fimmes],Patrimônio!B296,His_Operacoes_acoes[Operação],"Divid.")
+ SUMIFS(His_Operacoes_acoes[Total],His_Operacoes_acoes[Fimmes],Patrimônio!B296,His_Operacoes_acoes[Operação],"Bonif.")</f>
        <v>0</v>
      </c>
      <c r="L296" s="8">
        <f>SUMIFS(His_Operacoes_BDRs[Total],His_Operacoes_BDRs[Operação],"Provento",His_Operacoes_BDRs[fimmês],Patrimônio!B296)</f>
        <v>0</v>
      </c>
      <c r="M296" s="8">
        <f>SUMIFS(His_Operacoes_FIIs[Total],His_Operacoes_FIIs[Operação],"Provento",His_Operacoes_FIIs[fimmês],Patrimônio!B296)</f>
        <v>0</v>
      </c>
      <c r="N296" s="8">
        <f t="shared" si="22"/>
        <v>0</v>
      </c>
    </row>
    <row r="297" spans="1:14" x14ac:dyDescent="0.35">
      <c r="A297" s="7">
        <v>51349</v>
      </c>
      <c r="B297" s="7">
        <f t="shared" si="19"/>
        <v>51348</v>
      </c>
      <c r="I297" s="8">
        <f t="shared" si="20"/>
        <v>0</v>
      </c>
      <c r="J297" s="8">
        <f t="shared" si="21"/>
        <v>0</v>
      </c>
      <c r="K297" s="8">
        <f>SUMIFS(His_Operacoes_acoes[Total],His_Operacoes_acoes[Fimmes],Patrimônio!B297,His_Operacoes_acoes[Operação],"JCP")
+ SUMIFS(His_Operacoes_acoes[Total],His_Operacoes_acoes[Fimmes],Patrimônio!B297,His_Operacoes_acoes[Operação],"Divid.")
+ SUMIFS(His_Operacoes_acoes[Total],His_Operacoes_acoes[Fimmes],Patrimônio!B297,His_Operacoes_acoes[Operação],"Bonif.")</f>
        <v>0</v>
      </c>
      <c r="L297" s="8">
        <f>SUMIFS(His_Operacoes_BDRs[Total],His_Operacoes_BDRs[Operação],"Provento",His_Operacoes_BDRs[fimmês],Patrimônio!B297)</f>
        <v>0</v>
      </c>
      <c r="M297" s="8">
        <f>SUMIFS(His_Operacoes_FIIs[Total],His_Operacoes_FIIs[Operação],"Provento",His_Operacoes_FIIs[fimmês],Patrimônio!B297)</f>
        <v>0</v>
      </c>
      <c r="N297" s="8">
        <f t="shared" si="22"/>
        <v>0</v>
      </c>
    </row>
    <row r="298" spans="1:14" x14ac:dyDescent="0.35">
      <c r="A298" s="7">
        <v>51380</v>
      </c>
      <c r="B298" s="7">
        <f t="shared" si="19"/>
        <v>51379</v>
      </c>
      <c r="I298" s="8">
        <f t="shared" si="20"/>
        <v>0</v>
      </c>
      <c r="J298" s="8">
        <f t="shared" si="21"/>
        <v>0</v>
      </c>
      <c r="K298" s="8">
        <f>SUMIFS(His_Operacoes_acoes[Total],His_Operacoes_acoes[Fimmes],Patrimônio!B298,His_Operacoes_acoes[Operação],"JCP")
+ SUMIFS(His_Operacoes_acoes[Total],His_Operacoes_acoes[Fimmes],Patrimônio!B298,His_Operacoes_acoes[Operação],"Divid.")
+ SUMIFS(His_Operacoes_acoes[Total],His_Operacoes_acoes[Fimmes],Patrimônio!B298,His_Operacoes_acoes[Operação],"Bonif.")</f>
        <v>0</v>
      </c>
      <c r="L298" s="8">
        <f>SUMIFS(His_Operacoes_BDRs[Total],His_Operacoes_BDRs[Operação],"Provento",His_Operacoes_BDRs[fimmês],Patrimônio!B298)</f>
        <v>0</v>
      </c>
      <c r="M298" s="8">
        <f>SUMIFS(His_Operacoes_FIIs[Total],His_Operacoes_FIIs[Operação],"Provento",His_Operacoes_FIIs[fimmês],Patrimônio!B298)</f>
        <v>0</v>
      </c>
      <c r="N298" s="8">
        <f t="shared" si="22"/>
        <v>0</v>
      </c>
    </row>
    <row r="299" spans="1:14" x14ac:dyDescent="0.35">
      <c r="A299" s="7">
        <v>51410</v>
      </c>
      <c r="B299" s="7">
        <f t="shared" si="19"/>
        <v>51409</v>
      </c>
      <c r="I299" s="8">
        <f t="shared" si="20"/>
        <v>0</v>
      </c>
      <c r="J299" s="8">
        <f t="shared" si="21"/>
        <v>0</v>
      </c>
      <c r="K299" s="8">
        <f>SUMIFS(His_Operacoes_acoes[Total],His_Operacoes_acoes[Fimmes],Patrimônio!B299,His_Operacoes_acoes[Operação],"JCP")
+ SUMIFS(His_Operacoes_acoes[Total],His_Operacoes_acoes[Fimmes],Patrimônio!B299,His_Operacoes_acoes[Operação],"Divid.")
+ SUMIFS(His_Operacoes_acoes[Total],His_Operacoes_acoes[Fimmes],Patrimônio!B299,His_Operacoes_acoes[Operação],"Bonif.")</f>
        <v>0</v>
      </c>
      <c r="L299" s="8">
        <f>SUMIFS(His_Operacoes_BDRs[Total],His_Operacoes_BDRs[Operação],"Provento",His_Operacoes_BDRs[fimmês],Patrimônio!B299)</f>
        <v>0</v>
      </c>
      <c r="M299" s="8">
        <f>SUMIFS(His_Operacoes_FIIs[Total],His_Operacoes_FIIs[Operação],"Provento",His_Operacoes_FIIs[fimmês],Patrimônio!B299)</f>
        <v>0</v>
      </c>
      <c r="N299" s="8">
        <f t="shared" si="22"/>
        <v>0</v>
      </c>
    </row>
    <row r="300" spans="1:14" x14ac:dyDescent="0.35">
      <c r="A300" s="7">
        <v>51441</v>
      </c>
      <c r="B300" s="7">
        <f t="shared" si="19"/>
        <v>51440</v>
      </c>
      <c r="I300" s="8">
        <f t="shared" si="20"/>
        <v>0</v>
      </c>
      <c r="J300" s="8">
        <f t="shared" si="21"/>
        <v>0</v>
      </c>
      <c r="K300" s="8">
        <f>SUMIFS(His_Operacoes_acoes[Total],His_Operacoes_acoes[Fimmes],Patrimônio!B300,His_Operacoes_acoes[Operação],"JCP")
+ SUMIFS(His_Operacoes_acoes[Total],His_Operacoes_acoes[Fimmes],Patrimônio!B300,His_Operacoes_acoes[Operação],"Divid.")
+ SUMIFS(His_Operacoes_acoes[Total],His_Operacoes_acoes[Fimmes],Patrimônio!B300,His_Operacoes_acoes[Operação],"Bonif.")</f>
        <v>0</v>
      </c>
      <c r="L300" s="8">
        <f>SUMIFS(His_Operacoes_BDRs[Total],His_Operacoes_BDRs[Operação],"Provento",His_Operacoes_BDRs[fimmês],Patrimônio!B300)</f>
        <v>0</v>
      </c>
      <c r="M300" s="8">
        <f>SUMIFS(His_Operacoes_FIIs[Total],His_Operacoes_FIIs[Operação],"Provento",His_Operacoes_FIIs[fimmês],Patrimônio!B300)</f>
        <v>0</v>
      </c>
      <c r="N300" s="8">
        <f t="shared" si="22"/>
        <v>0</v>
      </c>
    </row>
    <row r="301" spans="1:14" x14ac:dyDescent="0.35">
      <c r="A301" s="7">
        <v>51471</v>
      </c>
      <c r="B301" s="7">
        <f t="shared" si="19"/>
        <v>51470</v>
      </c>
      <c r="I301" s="8">
        <f t="shared" si="20"/>
        <v>0</v>
      </c>
      <c r="J301" s="8">
        <f t="shared" si="21"/>
        <v>0</v>
      </c>
      <c r="K301" s="8">
        <f>SUMIFS(His_Operacoes_acoes[Total],His_Operacoes_acoes[Fimmes],Patrimônio!B301,His_Operacoes_acoes[Operação],"JCP")
+ SUMIFS(His_Operacoes_acoes[Total],His_Operacoes_acoes[Fimmes],Patrimônio!B301,His_Operacoes_acoes[Operação],"Divid.")
+ SUMIFS(His_Operacoes_acoes[Total],His_Operacoes_acoes[Fimmes],Patrimônio!B301,His_Operacoes_acoes[Operação],"Bonif.")</f>
        <v>0</v>
      </c>
      <c r="L301" s="8">
        <f>SUMIFS(His_Operacoes_BDRs[Total],His_Operacoes_BDRs[Operação],"Provento",His_Operacoes_BDRs[fimmês],Patrimônio!B301)</f>
        <v>0</v>
      </c>
      <c r="M301" s="8">
        <f>SUMIFS(His_Operacoes_FIIs[Total],His_Operacoes_FIIs[Operação],"Provento",His_Operacoes_FIIs[fimmês],Patrimônio!B301)</f>
        <v>0</v>
      </c>
      <c r="N301" s="8">
        <f t="shared" si="22"/>
        <v>0</v>
      </c>
    </row>
    <row r="302" spans="1:14" x14ac:dyDescent="0.35">
      <c r="A302" s="7">
        <v>51502</v>
      </c>
      <c r="B302" s="7">
        <f t="shared" si="19"/>
        <v>51501</v>
      </c>
      <c r="I302" s="8">
        <f t="shared" si="20"/>
        <v>0</v>
      </c>
      <c r="J302" s="8">
        <f t="shared" si="21"/>
        <v>0</v>
      </c>
      <c r="K302" s="8">
        <f>SUMIFS(His_Operacoes_acoes[Total],His_Operacoes_acoes[Fimmes],Patrimônio!B302,His_Operacoes_acoes[Operação],"JCP")
+ SUMIFS(His_Operacoes_acoes[Total],His_Operacoes_acoes[Fimmes],Patrimônio!B302,His_Operacoes_acoes[Operação],"Divid.")
+ SUMIFS(His_Operacoes_acoes[Total],His_Operacoes_acoes[Fimmes],Patrimônio!B302,His_Operacoes_acoes[Operação],"Bonif.")</f>
        <v>0</v>
      </c>
      <c r="L302" s="8">
        <f>SUMIFS(His_Operacoes_BDRs[Total],His_Operacoes_BDRs[Operação],"Provento",His_Operacoes_BDRs[fimmês],Patrimônio!B302)</f>
        <v>0</v>
      </c>
      <c r="M302" s="8">
        <f>SUMIFS(His_Operacoes_FIIs[Total],His_Operacoes_FIIs[Operação],"Provento",His_Operacoes_FIIs[fimmês],Patrimônio!B302)</f>
        <v>0</v>
      </c>
      <c r="N302" s="8">
        <f t="shared" si="22"/>
        <v>0</v>
      </c>
    </row>
    <row r="303" spans="1:14" x14ac:dyDescent="0.35">
      <c r="A303" s="7">
        <v>51533</v>
      </c>
      <c r="B303" s="7">
        <f t="shared" si="19"/>
        <v>51532</v>
      </c>
      <c r="I303" s="8">
        <f t="shared" si="20"/>
        <v>0</v>
      </c>
      <c r="J303" s="8">
        <f t="shared" si="21"/>
        <v>0</v>
      </c>
      <c r="K303" s="8">
        <f>SUMIFS(His_Operacoes_acoes[Total],His_Operacoes_acoes[Fimmes],Patrimônio!B303,His_Operacoes_acoes[Operação],"JCP")
+ SUMIFS(His_Operacoes_acoes[Total],His_Operacoes_acoes[Fimmes],Patrimônio!B303,His_Operacoes_acoes[Operação],"Divid.")
+ SUMIFS(His_Operacoes_acoes[Total],His_Operacoes_acoes[Fimmes],Patrimônio!B303,His_Operacoes_acoes[Operação],"Bonif.")</f>
        <v>0</v>
      </c>
      <c r="L303" s="8">
        <f>SUMIFS(His_Operacoes_BDRs[Total],His_Operacoes_BDRs[Operação],"Provento",His_Operacoes_BDRs[fimmês],Patrimônio!B303)</f>
        <v>0</v>
      </c>
      <c r="M303" s="8">
        <f>SUMIFS(His_Operacoes_FIIs[Total],His_Operacoes_FIIs[Operação],"Provento",His_Operacoes_FIIs[fimmês],Patrimônio!B303)</f>
        <v>0</v>
      </c>
      <c r="N303" s="8">
        <f t="shared" si="22"/>
        <v>0</v>
      </c>
    </row>
    <row r="304" spans="1:14" x14ac:dyDescent="0.35">
      <c r="A304" s="7">
        <v>51561</v>
      </c>
      <c r="B304" s="7">
        <f t="shared" si="19"/>
        <v>51560</v>
      </c>
      <c r="I304" s="8">
        <f t="shared" si="20"/>
        <v>0</v>
      </c>
      <c r="J304" s="8">
        <f t="shared" si="21"/>
        <v>0</v>
      </c>
      <c r="K304" s="8">
        <f>SUMIFS(His_Operacoes_acoes[Total],His_Operacoes_acoes[Fimmes],Patrimônio!B304,His_Operacoes_acoes[Operação],"JCP")
+ SUMIFS(His_Operacoes_acoes[Total],His_Operacoes_acoes[Fimmes],Patrimônio!B304,His_Operacoes_acoes[Operação],"Divid.")
+ SUMIFS(His_Operacoes_acoes[Total],His_Operacoes_acoes[Fimmes],Patrimônio!B304,His_Operacoes_acoes[Operação],"Bonif.")</f>
        <v>0</v>
      </c>
      <c r="L304" s="8">
        <f>SUMIFS(His_Operacoes_BDRs[Total],His_Operacoes_BDRs[Operação],"Provento",His_Operacoes_BDRs[fimmês],Patrimônio!B304)</f>
        <v>0</v>
      </c>
      <c r="M304" s="8">
        <f>SUMIFS(His_Operacoes_FIIs[Total],His_Operacoes_FIIs[Operação],"Provento",His_Operacoes_FIIs[fimmês],Patrimônio!B304)</f>
        <v>0</v>
      </c>
      <c r="N304" s="8">
        <f t="shared" si="22"/>
        <v>0</v>
      </c>
    </row>
    <row r="305" spans="1:14" x14ac:dyDescent="0.35">
      <c r="A305" s="7">
        <v>51592</v>
      </c>
      <c r="B305" s="7">
        <f t="shared" si="19"/>
        <v>51591</v>
      </c>
      <c r="I305" s="8">
        <f t="shared" si="20"/>
        <v>0</v>
      </c>
      <c r="J305" s="8">
        <f t="shared" si="21"/>
        <v>0</v>
      </c>
      <c r="K305" s="8">
        <f>SUMIFS(His_Operacoes_acoes[Total],His_Operacoes_acoes[Fimmes],Patrimônio!B305,His_Operacoes_acoes[Operação],"JCP")
+ SUMIFS(His_Operacoes_acoes[Total],His_Operacoes_acoes[Fimmes],Patrimônio!B305,His_Operacoes_acoes[Operação],"Divid.")
+ SUMIFS(His_Operacoes_acoes[Total],His_Operacoes_acoes[Fimmes],Patrimônio!B305,His_Operacoes_acoes[Operação],"Bonif.")</f>
        <v>0</v>
      </c>
      <c r="L305" s="8">
        <f>SUMIFS(His_Operacoes_BDRs[Total],His_Operacoes_BDRs[Operação],"Provento",His_Operacoes_BDRs[fimmês],Patrimônio!B305)</f>
        <v>0</v>
      </c>
      <c r="M305" s="8">
        <f>SUMIFS(His_Operacoes_FIIs[Total],His_Operacoes_FIIs[Operação],"Provento",His_Operacoes_FIIs[fimmês],Patrimônio!B305)</f>
        <v>0</v>
      </c>
      <c r="N305" s="8">
        <f t="shared" si="22"/>
        <v>0</v>
      </c>
    </row>
    <row r="306" spans="1:14" x14ac:dyDescent="0.35">
      <c r="A306" s="7">
        <v>51622</v>
      </c>
      <c r="B306" s="7">
        <f t="shared" si="19"/>
        <v>51621</v>
      </c>
      <c r="I306" s="8">
        <f t="shared" si="20"/>
        <v>0</v>
      </c>
      <c r="J306" s="8">
        <f t="shared" si="21"/>
        <v>0</v>
      </c>
      <c r="K306" s="8">
        <f>SUMIFS(His_Operacoes_acoes[Total],His_Operacoes_acoes[Fimmes],Patrimônio!B306,His_Operacoes_acoes[Operação],"JCP")
+ SUMIFS(His_Operacoes_acoes[Total],His_Operacoes_acoes[Fimmes],Patrimônio!B306,His_Operacoes_acoes[Operação],"Divid.")
+ SUMIFS(His_Operacoes_acoes[Total],His_Operacoes_acoes[Fimmes],Patrimônio!B306,His_Operacoes_acoes[Operação],"Bonif.")</f>
        <v>0</v>
      </c>
      <c r="L306" s="8">
        <f>SUMIFS(His_Operacoes_BDRs[Total],His_Operacoes_BDRs[Operação],"Provento",His_Operacoes_BDRs[fimmês],Patrimônio!B306)</f>
        <v>0</v>
      </c>
      <c r="M306" s="8">
        <f>SUMIFS(His_Operacoes_FIIs[Total],His_Operacoes_FIIs[Operação],"Provento",His_Operacoes_FIIs[fimmês],Patrimônio!B306)</f>
        <v>0</v>
      </c>
      <c r="N306" s="8">
        <f t="shared" si="22"/>
        <v>0</v>
      </c>
    </row>
    <row r="307" spans="1:14" x14ac:dyDescent="0.35">
      <c r="A307" s="7">
        <v>51653</v>
      </c>
      <c r="B307" s="7">
        <f t="shared" si="19"/>
        <v>51652</v>
      </c>
      <c r="I307" s="8">
        <f t="shared" si="20"/>
        <v>0</v>
      </c>
      <c r="J307" s="8">
        <f t="shared" si="21"/>
        <v>0</v>
      </c>
      <c r="K307" s="8">
        <f>SUMIFS(His_Operacoes_acoes[Total],His_Operacoes_acoes[Fimmes],Patrimônio!B307,His_Operacoes_acoes[Operação],"JCP")
+ SUMIFS(His_Operacoes_acoes[Total],His_Operacoes_acoes[Fimmes],Patrimônio!B307,His_Operacoes_acoes[Operação],"Divid.")
+ SUMIFS(His_Operacoes_acoes[Total],His_Operacoes_acoes[Fimmes],Patrimônio!B307,His_Operacoes_acoes[Operação],"Bonif.")</f>
        <v>0</v>
      </c>
      <c r="L307" s="8">
        <f>SUMIFS(His_Operacoes_BDRs[Total],His_Operacoes_BDRs[Operação],"Provento",His_Operacoes_BDRs[fimmês],Patrimônio!B307)</f>
        <v>0</v>
      </c>
      <c r="M307" s="8">
        <f>SUMIFS(His_Operacoes_FIIs[Total],His_Operacoes_FIIs[Operação],"Provento",His_Operacoes_FIIs[fimmês],Patrimônio!B307)</f>
        <v>0</v>
      </c>
      <c r="N307" s="8">
        <f t="shared" si="22"/>
        <v>0</v>
      </c>
    </row>
    <row r="308" spans="1:14" x14ac:dyDescent="0.35">
      <c r="A308" s="7">
        <v>51683</v>
      </c>
      <c r="B308" s="7">
        <f t="shared" si="19"/>
        <v>51682</v>
      </c>
      <c r="I308" s="8">
        <f t="shared" si="20"/>
        <v>0</v>
      </c>
      <c r="J308" s="8">
        <f t="shared" si="21"/>
        <v>0</v>
      </c>
      <c r="K308" s="8">
        <f>SUMIFS(His_Operacoes_acoes[Total],His_Operacoes_acoes[Fimmes],Patrimônio!B308,His_Operacoes_acoes[Operação],"JCP")
+ SUMIFS(His_Operacoes_acoes[Total],His_Operacoes_acoes[Fimmes],Patrimônio!B308,His_Operacoes_acoes[Operação],"Divid.")
+ SUMIFS(His_Operacoes_acoes[Total],His_Operacoes_acoes[Fimmes],Patrimônio!B308,His_Operacoes_acoes[Operação],"Bonif.")</f>
        <v>0</v>
      </c>
      <c r="L308" s="8">
        <f>SUMIFS(His_Operacoes_BDRs[Total],His_Operacoes_BDRs[Operação],"Provento",His_Operacoes_BDRs[fimmês],Patrimônio!B308)</f>
        <v>0</v>
      </c>
      <c r="M308" s="8">
        <f>SUMIFS(His_Operacoes_FIIs[Total],His_Operacoes_FIIs[Operação],"Provento",His_Operacoes_FIIs[fimmês],Patrimônio!B308)</f>
        <v>0</v>
      </c>
      <c r="N308" s="8">
        <f t="shared" si="22"/>
        <v>0</v>
      </c>
    </row>
    <row r="309" spans="1:14" x14ac:dyDescent="0.35">
      <c r="A309" s="7">
        <v>51714</v>
      </c>
      <c r="B309" s="7">
        <f t="shared" si="19"/>
        <v>51713</v>
      </c>
      <c r="I309" s="8">
        <f t="shared" si="20"/>
        <v>0</v>
      </c>
      <c r="J309" s="8">
        <f t="shared" si="21"/>
        <v>0</v>
      </c>
      <c r="K309" s="8">
        <f>SUMIFS(His_Operacoes_acoes[Total],His_Operacoes_acoes[Fimmes],Patrimônio!B309,His_Operacoes_acoes[Operação],"JCP")
+ SUMIFS(His_Operacoes_acoes[Total],His_Operacoes_acoes[Fimmes],Patrimônio!B309,His_Operacoes_acoes[Operação],"Divid.")
+ SUMIFS(His_Operacoes_acoes[Total],His_Operacoes_acoes[Fimmes],Patrimônio!B309,His_Operacoes_acoes[Operação],"Bonif.")</f>
        <v>0</v>
      </c>
      <c r="L309" s="8">
        <f>SUMIFS(His_Operacoes_BDRs[Total],His_Operacoes_BDRs[Operação],"Provento",His_Operacoes_BDRs[fimmês],Patrimônio!B309)</f>
        <v>0</v>
      </c>
      <c r="M309" s="8">
        <f>SUMIFS(His_Operacoes_FIIs[Total],His_Operacoes_FIIs[Operação],"Provento",His_Operacoes_FIIs[fimmês],Patrimônio!B309)</f>
        <v>0</v>
      </c>
      <c r="N309" s="8">
        <f t="shared" si="22"/>
        <v>0</v>
      </c>
    </row>
    <row r="310" spans="1:14" x14ac:dyDescent="0.35">
      <c r="A310" s="7">
        <v>51745</v>
      </c>
      <c r="B310" s="7">
        <f t="shared" si="19"/>
        <v>51744</v>
      </c>
      <c r="I310" s="8">
        <f t="shared" si="20"/>
        <v>0</v>
      </c>
      <c r="J310" s="8">
        <f t="shared" si="21"/>
        <v>0</v>
      </c>
      <c r="K310" s="8">
        <f>SUMIFS(His_Operacoes_acoes[Total],His_Operacoes_acoes[Fimmes],Patrimônio!B310,His_Operacoes_acoes[Operação],"JCP")
+ SUMIFS(His_Operacoes_acoes[Total],His_Operacoes_acoes[Fimmes],Patrimônio!B310,His_Operacoes_acoes[Operação],"Divid.")
+ SUMIFS(His_Operacoes_acoes[Total],His_Operacoes_acoes[Fimmes],Patrimônio!B310,His_Operacoes_acoes[Operação],"Bonif.")</f>
        <v>0</v>
      </c>
      <c r="L310" s="8">
        <f>SUMIFS(His_Operacoes_BDRs[Total],His_Operacoes_BDRs[Operação],"Provento",His_Operacoes_BDRs[fimmês],Patrimônio!B310)</f>
        <v>0</v>
      </c>
      <c r="M310" s="8">
        <f>SUMIFS(His_Operacoes_FIIs[Total],His_Operacoes_FIIs[Operação],"Provento",His_Operacoes_FIIs[fimmês],Patrimônio!B310)</f>
        <v>0</v>
      </c>
      <c r="N310" s="8">
        <f t="shared" si="22"/>
        <v>0</v>
      </c>
    </row>
    <row r="311" spans="1:14" x14ac:dyDescent="0.35">
      <c r="A311" s="7">
        <v>51775</v>
      </c>
      <c r="B311" s="7">
        <f t="shared" si="19"/>
        <v>51774</v>
      </c>
      <c r="I311" s="8">
        <f t="shared" si="20"/>
        <v>0</v>
      </c>
      <c r="J311" s="8">
        <f t="shared" si="21"/>
        <v>0</v>
      </c>
      <c r="K311" s="8">
        <f>SUMIFS(His_Operacoes_acoes[Total],His_Operacoes_acoes[Fimmes],Patrimônio!B311,His_Operacoes_acoes[Operação],"JCP")
+ SUMIFS(His_Operacoes_acoes[Total],His_Operacoes_acoes[Fimmes],Patrimônio!B311,His_Operacoes_acoes[Operação],"Divid.")
+ SUMIFS(His_Operacoes_acoes[Total],His_Operacoes_acoes[Fimmes],Patrimônio!B311,His_Operacoes_acoes[Operação],"Bonif.")</f>
        <v>0</v>
      </c>
      <c r="L311" s="8">
        <f>SUMIFS(His_Operacoes_BDRs[Total],His_Operacoes_BDRs[Operação],"Provento",His_Operacoes_BDRs[fimmês],Patrimônio!B311)</f>
        <v>0</v>
      </c>
      <c r="M311" s="8">
        <f>SUMIFS(His_Operacoes_FIIs[Total],His_Operacoes_FIIs[Operação],"Provento",His_Operacoes_FIIs[fimmês],Patrimônio!B311)</f>
        <v>0</v>
      </c>
      <c r="N311" s="8">
        <f t="shared" si="22"/>
        <v>0</v>
      </c>
    </row>
    <row r="312" spans="1:14" x14ac:dyDescent="0.35">
      <c r="A312" s="7">
        <v>51806</v>
      </c>
      <c r="B312" s="7">
        <f t="shared" si="19"/>
        <v>51805</v>
      </c>
      <c r="I312" s="8">
        <f t="shared" si="20"/>
        <v>0</v>
      </c>
      <c r="J312" s="8">
        <f t="shared" si="21"/>
        <v>0</v>
      </c>
      <c r="K312" s="8">
        <f>SUMIFS(His_Operacoes_acoes[Total],His_Operacoes_acoes[Fimmes],Patrimônio!B312,His_Operacoes_acoes[Operação],"JCP")
+ SUMIFS(His_Operacoes_acoes[Total],His_Operacoes_acoes[Fimmes],Patrimônio!B312,His_Operacoes_acoes[Operação],"Divid.")
+ SUMIFS(His_Operacoes_acoes[Total],His_Operacoes_acoes[Fimmes],Patrimônio!B312,His_Operacoes_acoes[Operação],"Bonif.")</f>
        <v>0</v>
      </c>
      <c r="L312" s="8">
        <f>SUMIFS(His_Operacoes_BDRs[Total],His_Operacoes_BDRs[Operação],"Provento",His_Operacoes_BDRs[fimmês],Patrimônio!B312)</f>
        <v>0</v>
      </c>
      <c r="M312" s="8">
        <f>SUMIFS(His_Operacoes_FIIs[Total],His_Operacoes_FIIs[Operação],"Provento",His_Operacoes_FIIs[fimmês],Patrimônio!B312)</f>
        <v>0</v>
      </c>
      <c r="N312" s="8">
        <f t="shared" si="22"/>
        <v>0</v>
      </c>
    </row>
    <row r="313" spans="1:14" x14ac:dyDescent="0.35">
      <c r="A313" s="7">
        <v>51836</v>
      </c>
      <c r="B313" s="7">
        <f t="shared" si="19"/>
        <v>51835</v>
      </c>
      <c r="I313" s="8">
        <f t="shared" si="20"/>
        <v>0</v>
      </c>
      <c r="J313" s="8">
        <f t="shared" si="21"/>
        <v>0</v>
      </c>
      <c r="K313" s="8">
        <f>SUMIFS(His_Operacoes_acoes[Total],His_Operacoes_acoes[Fimmes],Patrimônio!B313,His_Operacoes_acoes[Operação],"JCP")
+ SUMIFS(His_Operacoes_acoes[Total],His_Operacoes_acoes[Fimmes],Patrimônio!B313,His_Operacoes_acoes[Operação],"Divid.")
+ SUMIFS(His_Operacoes_acoes[Total],His_Operacoes_acoes[Fimmes],Patrimônio!B313,His_Operacoes_acoes[Operação],"Bonif.")</f>
        <v>0</v>
      </c>
      <c r="L313" s="8">
        <f>SUMIFS(His_Operacoes_BDRs[Total],His_Operacoes_BDRs[Operação],"Provento",His_Operacoes_BDRs[fimmês],Patrimônio!B313)</f>
        <v>0</v>
      </c>
      <c r="M313" s="8">
        <f>SUMIFS(His_Operacoes_FIIs[Total],His_Operacoes_FIIs[Operação],"Provento",His_Operacoes_FIIs[fimmês],Patrimônio!B313)</f>
        <v>0</v>
      </c>
      <c r="N313" s="8">
        <f t="shared" si="22"/>
        <v>0</v>
      </c>
    </row>
    <row r="314" spans="1:14" x14ac:dyDescent="0.35">
      <c r="A314" s="7">
        <v>51867</v>
      </c>
      <c r="B314" s="7">
        <f t="shared" si="19"/>
        <v>51866</v>
      </c>
      <c r="I314" s="8">
        <f t="shared" si="20"/>
        <v>0</v>
      </c>
      <c r="J314" s="8">
        <f t="shared" si="21"/>
        <v>0</v>
      </c>
      <c r="K314" s="8">
        <f>SUMIFS(His_Operacoes_acoes[Total],His_Operacoes_acoes[Fimmes],Patrimônio!B314,His_Operacoes_acoes[Operação],"JCP")
+ SUMIFS(His_Operacoes_acoes[Total],His_Operacoes_acoes[Fimmes],Patrimônio!B314,His_Operacoes_acoes[Operação],"Divid.")
+ SUMIFS(His_Operacoes_acoes[Total],His_Operacoes_acoes[Fimmes],Patrimônio!B314,His_Operacoes_acoes[Operação],"Bonif.")</f>
        <v>0</v>
      </c>
      <c r="L314" s="8">
        <f>SUMIFS(His_Operacoes_BDRs[Total],His_Operacoes_BDRs[Operação],"Provento",His_Operacoes_BDRs[fimmês],Patrimônio!B314)</f>
        <v>0</v>
      </c>
      <c r="M314" s="8">
        <f>SUMIFS(His_Operacoes_FIIs[Total],His_Operacoes_FIIs[Operação],"Provento",His_Operacoes_FIIs[fimmês],Patrimônio!B314)</f>
        <v>0</v>
      </c>
      <c r="N314" s="8">
        <f t="shared" si="22"/>
        <v>0</v>
      </c>
    </row>
    <row r="315" spans="1:14" x14ac:dyDescent="0.35">
      <c r="A315" s="7">
        <v>51898</v>
      </c>
      <c r="B315" s="7">
        <f t="shared" si="19"/>
        <v>51897</v>
      </c>
      <c r="I315" s="8">
        <f t="shared" si="20"/>
        <v>0</v>
      </c>
      <c r="J315" s="8">
        <f t="shared" si="21"/>
        <v>0</v>
      </c>
      <c r="K315" s="8">
        <f>SUMIFS(His_Operacoes_acoes[Total],His_Operacoes_acoes[Fimmes],Patrimônio!B315,His_Operacoes_acoes[Operação],"JCP")
+ SUMIFS(His_Operacoes_acoes[Total],His_Operacoes_acoes[Fimmes],Patrimônio!B315,His_Operacoes_acoes[Operação],"Divid.")
+ SUMIFS(His_Operacoes_acoes[Total],His_Operacoes_acoes[Fimmes],Patrimônio!B315,His_Operacoes_acoes[Operação],"Bonif.")</f>
        <v>0</v>
      </c>
      <c r="L315" s="8">
        <f>SUMIFS(His_Operacoes_BDRs[Total],His_Operacoes_BDRs[Operação],"Provento",His_Operacoes_BDRs[fimmês],Patrimônio!B315)</f>
        <v>0</v>
      </c>
      <c r="M315" s="8">
        <f>SUMIFS(His_Operacoes_FIIs[Total],His_Operacoes_FIIs[Operação],"Provento",His_Operacoes_FIIs[fimmês],Patrimônio!B315)</f>
        <v>0</v>
      </c>
      <c r="N315" s="8">
        <f t="shared" si="22"/>
        <v>0</v>
      </c>
    </row>
    <row r="316" spans="1:14" x14ac:dyDescent="0.35">
      <c r="A316" s="7">
        <v>51926</v>
      </c>
      <c r="B316" s="7">
        <f t="shared" si="19"/>
        <v>51925</v>
      </c>
      <c r="I316" s="8">
        <f t="shared" si="20"/>
        <v>0</v>
      </c>
      <c r="J316" s="8">
        <f t="shared" si="21"/>
        <v>0</v>
      </c>
      <c r="K316" s="8">
        <f>SUMIFS(His_Operacoes_acoes[Total],His_Operacoes_acoes[Fimmes],Patrimônio!B316,His_Operacoes_acoes[Operação],"JCP")
+ SUMIFS(His_Operacoes_acoes[Total],His_Operacoes_acoes[Fimmes],Patrimônio!B316,His_Operacoes_acoes[Operação],"Divid.")
+ SUMIFS(His_Operacoes_acoes[Total],His_Operacoes_acoes[Fimmes],Patrimônio!B316,His_Operacoes_acoes[Operação],"Bonif.")</f>
        <v>0</v>
      </c>
      <c r="L316" s="8">
        <f>SUMIFS(His_Operacoes_BDRs[Total],His_Operacoes_BDRs[Operação],"Provento",His_Operacoes_BDRs[fimmês],Patrimônio!B316)</f>
        <v>0</v>
      </c>
      <c r="M316" s="8">
        <f>SUMIFS(His_Operacoes_FIIs[Total],His_Operacoes_FIIs[Operação],"Provento",His_Operacoes_FIIs[fimmês],Patrimônio!B316)</f>
        <v>0</v>
      </c>
      <c r="N316" s="8">
        <f t="shared" si="22"/>
        <v>0</v>
      </c>
    </row>
    <row r="317" spans="1:14" x14ac:dyDescent="0.35">
      <c r="A317" s="7">
        <v>51957</v>
      </c>
      <c r="B317" s="7">
        <f t="shared" si="19"/>
        <v>51956</v>
      </c>
      <c r="I317" s="8">
        <f t="shared" si="20"/>
        <v>0</v>
      </c>
      <c r="J317" s="8">
        <f t="shared" si="21"/>
        <v>0</v>
      </c>
      <c r="K317" s="8">
        <f>SUMIFS(His_Operacoes_acoes[Total],His_Operacoes_acoes[Fimmes],Patrimônio!B317,His_Operacoes_acoes[Operação],"JCP")
+ SUMIFS(His_Operacoes_acoes[Total],His_Operacoes_acoes[Fimmes],Patrimônio!B317,His_Operacoes_acoes[Operação],"Divid.")
+ SUMIFS(His_Operacoes_acoes[Total],His_Operacoes_acoes[Fimmes],Patrimônio!B317,His_Operacoes_acoes[Operação],"Bonif.")</f>
        <v>0</v>
      </c>
      <c r="L317" s="8">
        <f>SUMIFS(His_Operacoes_BDRs[Total],His_Operacoes_BDRs[Operação],"Provento",His_Operacoes_BDRs[fimmês],Patrimônio!B317)</f>
        <v>0</v>
      </c>
      <c r="M317" s="8">
        <f>SUMIFS(His_Operacoes_FIIs[Total],His_Operacoes_FIIs[Operação],"Provento",His_Operacoes_FIIs[fimmês],Patrimônio!B317)</f>
        <v>0</v>
      </c>
      <c r="N317" s="8">
        <f t="shared" si="22"/>
        <v>0</v>
      </c>
    </row>
    <row r="318" spans="1:14" x14ac:dyDescent="0.35">
      <c r="A318" s="7">
        <v>51987</v>
      </c>
      <c r="B318" s="7">
        <f t="shared" si="19"/>
        <v>51986</v>
      </c>
      <c r="I318" s="8">
        <f t="shared" si="20"/>
        <v>0</v>
      </c>
      <c r="J318" s="8">
        <f t="shared" si="21"/>
        <v>0</v>
      </c>
      <c r="K318" s="8">
        <f>SUMIFS(His_Operacoes_acoes[Total],His_Operacoes_acoes[Fimmes],Patrimônio!B318,His_Operacoes_acoes[Operação],"JCP")
+ SUMIFS(His_Operacoes_acoes[Total],His_Operacoes_acoes[Fimmes],Patrimônio!B318,His_Operacoes_acoes[Operação],"Divid.")
+ SUMIFS(His_Operacoes_acoes[Total],His_Operacoes_acoes[Fimmes],Patrimônio!B318,His_Operacoes_acoes[Operação],"Bonif.")</f>
        <v>0</v>
      </c>
      <c r="L318" s="8">
        <f>SUMIFS(His_Operacoes_BDRs[Total],His_Operacoes_BDRs[Operação],"Provento",His_Operacoes_BDRs[fimmês],Patrimônio!B318)</f>
        <v>0</v>
      </c>
      <c r="M318" s="8">
        <f>SUMIFS(His_Operacoes_FIIs[Total],His_Operacoes_FIIs[Operação],"Provento",His_Operacoes_FIIs[fimmês],Patrimônio!B318)</f>
        <v>0</v>
      </c>
      <c r="N318" s="8">
        <f t="shared" si="22"/>
        <v>0</v>
      </c>
    </row>
    <row r="319" spans="1:14" x14ac:dyDescent="0.35">
      <c r="A319" s="7">
        <v>52018</v>
      </c>
      <c r="B319" s="7">
        <f t="shared" si="19"/>
        <v>52017</v>
      </c>
      <c r="I319" s="8">
        <f t="shared" si="20"/>
        <v>0</v>
      </c>
      <c r="J319" s="8">
        <f t="shared" si="21"/>
        <v>0</v>
      </c>
      <c r="K319" s="8">
        <f>SUMIFS(His_Operacoes_acoes[Total],His_Operacoes_acoes[Fimmes],Patrimônio!B319,His_Operacoes_acoes[Operação],"JCP")
+ SUMIFS(His_Operacoes_acoes[Total],His_Operacoes_acoes[Fimmes],Patrimônio!B319,His_Operacoes_acoes[Operação],"Divid.")
+ SUMIFS(His_Operacoes_acoes[Total],His_Operacoes_acoes[Fimmes],Patrimônio!B319,His_Operacoes_acoes[Operação],"Bonif.")</f>
        <v>0</v>
      </c>
      <c r="L319" s="8">
        <f>SUMIFS(His_Operacoes_BDRs[Total],His_Operacoes_BDRs[Operação],"Provento",His_Operacoes_BDRs[fimmês],Patrimônio!B319)</f>
        <v>0</v>
      </c>
      <c r="M319" s="8">
        <f>SUMIFS(His_Operacoes_FIIs[Total],His_Operacoes_FIIs[Operação],"Provento",His_Operacoes_FIIs[fimmês],Patrimônio!B319)</f>
        <v>0</v>
      </c>
      <c r="N319" s="8">
        <f t="shared" si="22"/>
        <v>0</v>
      </c>
    </row>
    <row r="320" spans="1:14" x14ac:dyDescent="0.35">
      <c r="A320" s="7">
        <v>52048</v>
      </c>
      <c r="B320" s="7">
        <f t="shared" si="19"/>
        <v>52047</v>
      </c>
      <c r="I320" s="8">
        <f t="shared" si="20"/>
        <v>0</v>
      </c>
      <c r="J320" s="8">
        <f t="shared" si="21"/>
        <v>0</v>
      </c>
      <c r="K320" s="8">
        <f>SUMIFS(His_Operacoes_acoes[Total],His_Operacoes_acoes[Fimmes],Patrimônio!B320,His_Operacoes_acoes[Operação],"JCP")
+ SUMIFS(His_Operacoes_acoes[Total],His_Operacoes_acoes[Fimmes],Patrimônio!B320,His_Operacoes_acoes[Operação],"Divid.")
+ SUMIFS(His_Operacoes_acoes[Total],His_Operacoes_acoes[Fimmes],Patrimônio!B320,His_Operacoes_acoes[Operação],"Bonif.")</f>
        <v>0</v>
      </c>
      <c r="L320" s="8">
        <f>SUMIFS(His_Operacoes_BDRs[Total],His_Operacoes_BDRs[Operação],"Provento",His_Operacoes_BDRs[fimmês],Patrimônio!B320)</f>
        <v>0</v>
      </c>
      <c r="M320" s="8">
        <f>SUMIFS(His_Operacoes_FIIs[Total],His_Operacoes_FIIs[Operação],"Provento",His_Operacoes_FIIs[fimmês],Patrimônio!B320)</f>
        <v>0</v>
      </c>
      <c r="N320" s="8">
        <f t="shared" si="22"/>
        <v>0</v>
      </c>
    </row>
    <row r="321" spans="1:14" x14ac:dyDescent="0.35">
      <c r="A321" s="7">
        <v>52079</v>
      </c>
      <c r="B321" s="7">
        <f t="shared" si="19"/>
        <v>52078</v>
      </c>
      <c r="I321" s="8">
        <f t="shared" si="20"/>
        <v>0</v>
      </c>
      <c r="J321" s="8">
        <f t="shared" si="21"/>
        <v>0</v>
      </c>
      <c r="K321" s="8">
        <f>SUMIFS(His_Operacoes_acoes[Total],His_Operacoes_acoes[Fimmes],Patrimônio!B321,His_Operacoes_acoes[Operação],"JCP")
+ SUMIFS(His_Operacoes_acoes[Total],His_Operacoes_acoes[Fimmes],Patrimônio!B321,His_Operacoes_acoes[Operação],"Divid.")
+ SUMIFS(His_Operacoes_acoes[Total],His_Operacoes_acoes[Fimmes],Patrimônio!B321,His_Operacoes_acoes[Operação],"Bonif.")</f>
        <v>0</v>
      </c>
      <c r="L321" s="8">
        <f>SUMIFS(His_Operacoes_BDRs[Total],His_Operacoes_BDRs[Operação],"Provento",His_Operacoes_BDRs[fimmês],Patrimônio!B321)</f>
        <v>0</v>
      </c>
      <c r="M321" s="8">
        <f>SUMIFS(His_Operacoes_FIIs[Total],His_Operacoes_FIIs[Operação],"Provento",His_Operacoes_FIIs[fimmês],Patrimônio!B321)</f>
        <v>0</v>
      </c>
      <c r="N321" s="8">
        <f t="shared" si="22"/>
        <v>0</v>
      </c>
    </row>
    <row r="322" spans="1:14" x14ac:dyDescent="0.35">
      <c r="A322" s="7">
        <v>52110</v>
      </c>
      <c r="B322" s="7">
        <f t="shared" si="19"/>
        <v>52109</v>
      </c>
      <c r="I322" s="8">
        <f t="shared" si="20"/>
        <v>0</v>
      </c>
      <c r="J322" s="8">
        <f t="shared" si="21"/>
        <v>0</v>
      </c>
      <c r="K322" s="8">
        <f>SUMIFS(His_Operacoes_acoes[Total],His_Operacoes_acoes[Fimmes],Patrimônio!B322,His_Operacoes_acoes[Operação],"JCP")
+ SUMIFS(His_Operacoes_acoes[Total],His_Operacoes_acoes[Fimmes],Patrimônio!B322,His_Operacoes_acoes[Operação],"Divid.")
+ SUMIFS(His_Operacoes_acoes[Total],His_Operacoes_acoes[Fimmes],Patrimônio!B322,His_Operacoes_acoes[Operação],"Bonif.")</f>
        <v>0</v>
      </c>
      <c r="L322" s="8">
        <f>SUMIFS(His_Operacoes_BDRs[Total],His_Operacoes_BDRs[Operação],"Provento",His_Operacoes_BDRs[fimmês],Patrimônio!B322)</f>
        <v>0</v>
      </c>
      <c r="M322" s="8">
        <f>SUMIFS(His_Operacoes_FIIs[Total],His_Operacoes_FIIs[Operação],"Provento",His_Operacoes_FIIs[fimmês],Patrimônio!B322)</f>
        <v>0</v>
      </c>
      <c r="N322" s="8">
        <f t="shared" si="22"/>
        <v>0</v>
      </c>
    </row>
    <row r="323" spans="1:14" x14ac:dyDescent="0.35">
      <c r="A323" s="7">
        <v>52140</v>
      </c>
      <c r="B323" s="7">
        <f t="shared" ref="B323:B386" si="23">EOMONTH(A323,-1)</f>
        <v>52139</v>
      </c>
      <c r="I323" s="8">
        <f t="shared" ref="I323:I386" si="24">SUM(C323,E323,G323)</f>
        <v>0</v>
      </c>
      <c r="J323" s="8">
        <f t="shared" ref="J323:J386" si="25">SUM(D323,F323,H323)</f>
        <v>0</v>
      </c>
      <c r="K323" s="8">
        <f>SUMIFS(His_Operacoes_acoes[Total],His_Operacoes_acoes[Fimmes],Patrimônio!B323,His_Operacoes_acoes[Operação],"JCP")
+ SUMIFS(His_Operacoes_acoes[Total],His_Operacoes_acoes[Fimmes],Patrimônio!B323,His_Operacoes_acoes[Operação],"Divid.")
+ SUMIFS(His_Operacoes_acoes[Total],His_Operacoes_acoes[Fimmes],Patrimônio!B323,His_Operacoes_acoes[Operação],"Bonif.")</f>
        <v>0</v>
      </c>
      <c r="L323" s="8">
        <f>SUMIFS(His_Operacoes_BDRs[Total],His_Operacoes_BDRs[Operação],"Provento",His_Operacoes_BDRs[fimmês],Patrimônio!B323)</f>
        <v>0</v>
      </c>
      <c r="M323" s="8">
        <f>SUMIFS(His_Operacoes_FIIs[Total],His_Operacoes_FIIs[Operação],"Provento",His_Operacoes_FIIs[fimmês],Patrimônio!B323)</f>
        <v>0</v>
      </c>
      <c r="N323" s="8">
        <f t="shared" ref="N323:N386" si="26">SUM(K323:M323)</f>
        <v>0</v>
      </c>
    </row>
    <row r="324" spans="1:14" x14ac:dyDescent="0.35">
      <c r="A324" s="7">
        <v>52171</v>
      </c>
      <c r="B324" s="7">
        <f t="shared" si="23"/>
        <v>52170</v>
      </c>
      <c r="I324" s="8">
        <f t="shared" si="24"/>
        <v>0</v>
      </c>
      <c r="J324" s="8">
        <f t="shared" si="25"/>
        <v>0</v>
      </c>
      <c r="K324" s="8">
        <f>SUMIFS(His_Operacoes_acoes[Total],His_Operacoes_acoes[Fimmes],Patrimônio!B324,His_Operacoes_acoes[Operação],"JCP")
+ SUMIFS(His_Operacoes_acoes[Total],His_Operacoes_acoes[Fimmes],Patrimônio!B324,His_Operacoes_acoes[Operação],"Divid.")
+ SUMIFS(His_Operacoes_acoes[Total],His_Operacoes_acoes[Fimmes],Patrimônio!B324,His_Operacoes_acoes[Operação],"Bonif.")</f>
        <v>0</v>
      </c>
      <c r="L324" s="8">
        <f>SUMIFS(His_Operacoes_BDRs[Total],His_Operacoes_BDRs[Operação],"Provento",His_Operacoes_BDRs[fimmês],Patrimônio!B324)</f>
        <v>0</v>
      </c>
      <c r="M324" s="8">
        <f>SUMIFS(His_Operacoes_FIIs[Total],His_Operacoes_FIIs[Operação],"Provento",His_Operacoes_FIIs[fimmês],Patrimônio!B324)</f>
        <v>0</v>
      </c>
      <c r="N324" s="8">
        <f t="shared" si="26"/>
        <v>0</v>
      </c>
    </row>
    <row r="325" spans="1:14" x14ac:dyDescent="0.35">
      <c r="A325" s="7">
        <v>52201</v>
      </c>
      <c r="B325" s="7">
        <f t="shared" si="23"/>
        <v>52200</v>
      </c>
      <c r="I325" s="8">
        <f t="shared" si="24"/>
        <v>0</v>
      </c>
      <c r="J325" s="8">
        <f t="shared" si="25"/>
        <v>0</v>
      </c>
      <c r="K325" s="8">
        <f>SUMIFS(His_Operacoes_acoes[Total],His_Operacoes_acoes[Fimmes],Patrimônio!B325,His_Operacoes_acoes[Operação],"JCP")
+ SUMIFS(His_Operacoes_acoes[Total],His_Operacoes_acoes[Fimmes],Patrimônio!B325,His_Operacoes_acoes[Operação],"Divid.")
+ SUMIFS(His_Operacoes_acoes[Total],His_Operacoes_acoes[Fimmes],Patrimônio!B325,His_Operacoes_acoes[Operação],"Bonif.")</f>
        <v>0</v>
      </c>
      <c r="L325" s="8">
        <f>SUMIFS(His_Operacoes_BDRs[Total],His_Operacoes_BDRs[Operação],"Provento",His_Operacoes_BDRs[fimmês],Patrimônio!B325)</f>
        <v>0</v>
      </c>
      <c r="M325" s="8">
        <f>SUMIFS(His_Operacoes_FIIs[Total],His_Operacoes_FIIs[Operação],"Provento",His_Operacoes_FIIs[fimmês],Patrimônio!B325)</f>
        <v>0</v>
      </c>
      <c r="N325" s="8">
        <f t="shared" si="26"/>
        <v>0</v>
      </c>
    </row>
    <row r="326" spans="1:14" x14ac:dyDescent="0.35">
      <c r="A326" s="7">
        <v>52232</v>
      </c>
      <c r="B326" s="7">
        <f t="shared" si="23"/>
        <v>52231</v>
      </c>
      <c r="I326" s="8">
        <f t="shared" si="24"/>
        <v>0</v>
      </c>
      <c r="J326" s="8">
        <f t="shared" si="25"/>
        <v>0</v>
      </c>
      <c r="K326" s="8">
        <f>SUMIFS(His_Operacoes_acoes[Total],His_Operacoes_acoes[Fimmes],Patrimônio!B326,His_Operacoes_acoes[Operação],"JCP")
+ SUMIFS(His_Operacoes_acoes[Total],His_Operacoes_acoes[Fimmes],Patrimônio!B326,His_Operacoes_acoes[Operação],"Divid.")
+ SUMIFS(His_Operacoes_acoes[Total],His_Operacoes_acoes[Fimmes],Patrimônio!B326,His_Operacoes_acoes[Operação],"Bonif.")</f>
        <v>0</v>
      </c>
      <c r="L326" s="8">
        <f>SUMIFS(His_Operacoes_BDRs[Total],His_Operacoes_BDRs[Operação],"Provento",His_Operacoes_BDRs[fimmês],Patrimônio!B326)</f>
        <v>0</v>
      </c>
      <c r="M326" s="8">
        <f>SUMIFS(His_Operacoes_FIIs[Total],His_Operacoes_FIIs[Operação],"Provento",His_Operacoes_FIIs[fimmês],Patrimônio!B326)</f>
        <v>0</v>
      </c>
      <c r="N326" s="8">
        <f t="shared" si="26"/>
        <v>0</v>
      </c>
    </row>
    <row r="327" spans="1:14" x14ac:dyDescent="0.35">
      <c r="A327" s="7">
        <v>52263</v>
      </c>
      <c r="B327" s="7">
        <f t="shared" si="23"/>
        <v>52262</v>
      </c>
      <c r="I327" s="8">
        <f t="shared" si="24"/>
        <v>0</v>
      </c>
      <c r="J327" s="8">
        <f t="shared" si="25"/>
        <v>0</v>
      </c>
      <c r="K327" s="8">
        <f>SUMIFS(His_Operacoes_acoes[Total],His_Operacoes_acoes[Fimmes],Patrimônio!B327,His_Operacoes_acoes[Operação],"JCP")
+ SUMIFS(His_Operacoes_acoes[Total],His_Operacoes_acoes[Fimmes],Patrimônio!B327,His_Operacoes_acoes[Operação],"Divid.")
+ SUMIFS(His_Operacoes_acoes[Total],His_Operacoes_acoes[Fimmes],Patrimônio!B327,His_Operacoes_acoes[Operação],"Bonif.")</f>
        <v>0</v>
      </c>
      <c r="L327" s="8">
        <f>SUMIFS(His_Operacoes_BDRs[Total],His_Operacoes_BDRs[Operação],"Provento",His_Operacoes_BDRs[fimmês],Patrimônio!B327)</f>
        <v>0</v>
      </c>
      <c r="M327" s="8">
        <f>SUMIFS(His_Operacoes_FIIs[Total],His_Operacoes_FIIs[Operação],"Provento",His_Operacoes_FIIs[fimmês],Patrimônio!B327)</f>
        <v>0</v>
      </c>
      <c r="N327" s="8">
        <f t="shared" si="26"/>
        <v>0</v>
      </c>
    </row>
    <row r="328" spans="1:14" x14ac:dyDescent="0.35">
      <c r="A328" s="7">
        <v>52291</v>
      </c>
      <c r="B328" s="7">
        <f t="shared" si="23"/>
        <v>52290</v>
      </c>
      <c r="I328" s="8">
        <f t="shared" si="24"/>
        <v>0</v>
      </c>
      <c r="J328" s="8">
        <f t="shared" si="25"/>
        <v>0</v>
      </c>
      <c r="K328" s="8">
        <f>SUMIFS(His_Operacoes_acoes[Total],His_Operacoes_acoes[Fimmes],Patrimônio!B328,His_Operacoes_acoes[Operação],"JCP")
+ SUMIFS(His_Operacoes_acoes[Total],His_Operacoes_acoes[Fimmes],Patrimônio!B328,His_Operacoes_acoes[Operação],"Divid.")
+ SUMIFS(His_Operacoes_acoes[Total],His_Operacoes_acoes[Fimmes],Patrimônio!B328,His_Operacoes_acoes[Operação],"Bonif.")</f>
        <v>0</v>
      </c>
      <c r="L328" s="8">
        <f>SUMIFS(His_Operacoes_BDRs[Total],His_Operacoes_BDRs[Operação],"Provento",His_Operacoes_BDRs[fimmês],Patrimônio!B328)</f>
        <v>0</v>
      </c>
      <c r="M328" s="8">
        <f>SUMIFS(His_Operacoes_FIIs[Total],His_Operacoes_FIIs[Operação],"Provento",His_Operacoes_FIIs[fimmês],Patrimônio!B328)</f>
        <v>0</v>
      </c>
      <c r="N328" s="8">
        <f t="shared" si="26"/>
        <v>0</v>
      </c>
    </row>
    <row r="329" spans="1:14" x14ac:dyDescent="0.35">
      <c r="A329" s="7">
        <v>52322</v>
      </c>
      <c r="B329" s="7">
        <f t="shared" si="23"/>
        <v>52321</v>
      </c>
      <c r="I329" s="8">
        <f t="shared" si="24"/>
        <v>0</v>
      </c>
      <c r="J329" s="8">
        <f t="shared" si="25"/>
        <v>0</v>
      </c>
      <c r="K329" s="8">
        <f>SUMIFS(His_Operacoes_acoes[Total],His_Operacoes_acoes[Fimmes],Patrimônio!B329,His_Operacoes_acoes[Operação],"JCP")
+ SUMIFS(His_Operacoes_acoes[Total],His_Operacoes_acoes[Fimmes],Patrimônio!B329,His_Operacoes_acoes[Operação],"Divid.")
+ SUMIFS(His_Operacoes_acoes[Total],His_Operacoes_acoes[Fimmes],Patrimônio!B329,His_Operacoes_acoes[Operação],"Bonif.")</f>
        <v>0</v>
      </c>
      <c r="L329" s="8">
        <f>SUMIFS(His_Operacoes_BDRs[Total],His_Operacoes_BDRs[Operação],"Provento",His_Operacoes_BDRs[fimmês],Patrimônio!B329)</f>
        <v>0</v>
      </c>
      <c r="M329" s="8">
        <f>SUMIFS(His_Operacoes_FIIs[Total],His_Operacoes_FIIs[Operação],"Provento",His_Operacoes_FIIs[fimmês],Patrimônio!B329)</f>
        <v>0</v>
      </c>
      <c r="N329" s="8">
        <f t="shared" si="26"/>
        <v>0</v>
      </c>
    </row>
    <row r="330" spans="1:14" x14ac:dyDescent="0.35">
      <c r="A330" s="7">
        <v>52352</v>
      </c>
      <c r="B330" s="7">
        <f t="shared" si="23"/>
        <v>52351</v>
      </c>
      <c r="I330" s="8">
        <f t="shared" si="24"/>
        <v>0</v>
      </c>
      <c r="J330" s="8">
        <f t="shared" si="25"/>
        <v>0</v>
      </c>
      <c r="K330" s="8">
        <f>SUMIFS(His_Operacoes_acoes[Total],His_Operacoes_acoes[Fimmes],Patrimônio!B330,His_Operacoes_acoes[Operação],"JCP")
+ SUMIFS(His_Operacoes_acoes[Total],His_Operacoes_acoes[Fimmes],Patrimônio!B330,His_Operacoes_acoes[Operação],"Divid.")
+ SUMIFS(His_Operacoes_acoes[Total],His_Operacoes_acoes[Fimmes],Patrimônio!B330,His_Operacoes_acoes[Operação],"Bonif.")</f>
        <v>0</v>
      </c>
      <c r="L330" s="8">
        <f>SUMIFS(His_Operacoes_BDRs[Total],His_Operacoes_BDRs[Operação],"Provento",His_Operacoes_BDRs[fimmês],Patrimônio!B330)</f>
        <v>0</v>
      </c>
      <c r="M330" s="8">
        <f>SUMIFS(His_Operacoes_FIIs[Total],His_Operacoes_FIIs[Operação],"Provento",His_Operacoes_FIIs[fimmês],Patrimônio!B330)</f>
        <v>0</v>
      </c>
      <c r="N330" s="8">
        <f t="shared" si="26"/>
        <v>0</v>
      </c>
    </row>
    <row r="331" spans="1:14" x14ac:dyDescent="0.35">
      <c r="A331" s="7">
        <v>52383</v>
      </c>
      <c r="B331" s="7">
        <f t="shared" si="23"/>
        <v>52382</v>
      </c>
      <c r="I331" s="8">
        <f t="shared" si="24"/>
        <v>0</v>
      </c>
      <c r="J331" s="8">
        <f t="shared" si="25"/>
        <v>0</v>
      </c>
      <c r="K331" s="8">
        <f>SUMIFS(His_Operacoes_acoes[Total],His_Operacoes_acoes[Fimmes],Patrimônio!B331,His_Operacoes_acoes[Operação],"JCP")
+ SUMIFS(His_Operacoes_acoes[Total],His_Operacoes_acoes[Fimmes],Patrimônio!B331,His_Operacoes_acoes[Operação],"Divid.")
+ SUMIFS(His_Operacoes_acoes[Total],His_Operacoes_acoes[Fimmes],Patrimônio!B331,His_Operacoes_acoes[Operação],"Bonif.")</f>
        <v>0</v>
      </c>
      <c r="L331" s="8">
        <f>SUMIFS(His_Operacoes_BDRs[Total],His_Operacoes_BDRs[Operação],"Provento",His_Operacoes_BDRs[fimmês],Patrimônio!B331)</f>
        <v>0</v>
      </c>
      <c r="M331" s="8">
        <f>SUMIFS(His_Operacoes_FIIs[Total],His_Operacoes_FIIs[Operação],"Provento",His_Operacoes_FIIs[fimmês],Patrimônio!B331)</f>
        <v>0</v>
      </c>
      <c r="N331" s="8">
        <f t="shared" si="26"/>
        <v>0</v>
      </c>
    </row>
    <row r="332" spans="1:14" x14ac:dyDescent="0.35">
      <c r="A332" s="7">
        <v>52413</v>
      </c>
      <c r="B332" s="7">
        <f t="shared" si="23"/>
        <v>52412</v>
      </c>
      <c r="I332" s="8">
        <f t="shared" si="24"/>
        <v>0</v>
      </c>
      <c r="J332" s="8">
        <f t="shared" si="25"/>
        <v>0</v>
      </c>
      <c r="K332" s="8">
        <f>SUMIFS(His_Operacoes_acoes[Total],His_Operacoes_acoes[Fimmes],Patrimônio!B332,His_Operacoes_acoes[Operação],"JCP")
+ SUMIFS(His_Operacoes_acoes[Total],His_Operacoes_acoes[Fimmes],Patrimônio!B332,His_Operacoes_acoes[Operação],"Divid.")
+ SUMIFS(His_Operacoes_acoes[Total],His_Operacoes_acoes[Fimmes],Patrimônio!B332,His_Operacoes_acoes[Operação],"Bonif.")</f>
        <v>0</v>
      </c>
      <c r="L332" s="8">
        <f>SUMIFS(His_Operacoes_BDRs[Total],His_Operacoes_BDRs[Operação],"Provento",His_Operacoes_BDRs[fimmês],Patrimônio!B332)</f>
        <v>0</v>
      </c>
      <c r="M332" s="8">
        <f>SUMIFS(His_Operacoes_FIIs[Total],His_Operacoes_FIIs[Operação],"Provento",His_Operacoes_FIIs[fimmês],Patrimônio!B332)</f>
        <v>0</v>
      </c>
      <c r="N332" s="8">
        <f t="shared" si="26"/>
        <v>0</v>
      </c>
    </row>
    <row r="333" spans="1:14" x14ac:dyDescent="0.35">
      <c r="A333" s="7">
        <v>52444</v>
      </c>
      <c r="B333" s="7">
        <f t="shared" si="23"/>
        <v>52443</v>
      </c>
      <c r="I333" s="8">
        <f t="shared" si="24"/>
        <v>0</v>
      </c>
      <c r="J333" s="8">
        <f t="shared" si="25"/>
        <v>0</v>
      </c>
      <c r="K333" s="8">
        <f>SUMIFS(His_Operacoes_acoes[Total],His_Operacoes_acoes[Fimmes],Patrimônio!B333,His_Operacoes_acoes[Operação],"JCP")
+ SUMIFS(His_Operacoes_acoes[Total],His_Operacoes_acoes[Fimmes],Patrimônio!B333,His_Operacoes_acoes[Operação],"Divid.")
+ SUMIFS(His_Operacoes_acoes[Total],His_Operacoes_acoes[Fimmes],Patrimônio!B333,His_Operacoes_acoes[Operação],"Bonif.")</f>
        <v>0</v>
      </c>
      <c r="L333" s="8">
        <f>SUMIFS(His_Operacoes_BDRs[Total],His_Operacoes_BDRs[Operação],"Provento",His_Operacoes_BDRs[fimmês],Patrimônio!B333)</f>
        <v>0</v>
      </c>
      <c r="M333" s="8">
        <f>SUMIFS(His_Operacoes_FIIs[Total],His_Operacoes_FIIs[Operação],"Provento",His_Operacoes_FIIs[fimmês],Patrimônio!B333)</f>
        <v>0</v>
      </c>
      <c r="N333" s="8">
        <f t="shared" si="26"/>
        <v>0</v>
      </c>
    </row>
    <row r="334" spans="1:14" x14ac:dyDescent="0.35">
      <c r="A334" s="7">
        <v>52475</v>
      </c>
      <c r="B334" s="7">
        <f t="shared" si="23"/>
        <v>52474</v>
      </c>
      <c r="I334" s="8">
        <f t="shared" si="24"/>
        <v>0</v>
      </c>
      <c r="J334" s="8">
        <f t="shared" si="25"/>
        <v>0</v>
      </c>
      <c r="K334" s="8">
        <f>SUMIFS(His_Operacoes_acoes[Total],His_Operacoes_acoes[Fimmes],Patrimônio!B334,His_Operacoes_acoes[Operação],"JCP")
+ SUMIFS(His_Operacoes_acoes[Total],His_Operacoes_acoes[Fimmes],Patrimônio!B334,His_Operacoes_acoes[Operação],"Divid.")
+ SUMIFS(His_Operacoes_acoes[Total],His_Operacoes_acoes[Fimmes],Patrimônio!B334,His_Operacoes_acoes[Operação],"Bonif.")</f>
        <v>0</v>
      </c>
      <c r="L334" s="8">
        <f>SUMIFS(His_Operacoes_BDRs[Total],His_Operacoes_BDRs[Operação],"Provento",His_Operacoes_BDRs[fimmês],Patrimônio!B334)</f>
        <v>0</v>
      </c>
      <c r="M334" s="8">
        <f>SUMIFS(His_Operacoes_FIIs[Total],His_Operacoes_FIIs[Operação],"Provento",His_Operacoes_FIIs[fimmês],Patrimônio!B334)</f>
        <v>0</v>
      </c>
      <c r="N334" s="8">
        <f t="shared" si="26"/>
        <v>0</v>
      </c>
    </row>
    <row r="335" spans="1:14" x14ac:dyDescent="0.35">
      <c r="A335" s="7">
        <v>52505</v>
      </c>
      <c r="B335" s="7">
        <f t="shared" si="23"/>
        <v>52504</v>
      </c>
      <c r="I335" s="8">
        <f t="shared" si="24"/>
        <v>0</v>
      </c>
      <c r="J335" s="8">
        <f t="shared" si="25"/>
        <v>0</v>
      </c>
      <c r="K335" s="8">
        <f>SUMIFS(His_Operacoes_acoes[Total],His_Operacoes_acoes[Fimmes],Patrimônio!B335,His_Operacoes_acoes[Operação],"JCP")
+ SUMIFS(His_Operacoes_acoes[Total],His_Operacoes_acoes[Fimmes],Patrimônio!B335,His_Operacoes_acoes[Operação],"Divid.")
+ SUMIFS(His_Operacoes_acoes[Total],His_Operacoes_acoes[Fimmes],Patrimônio!B335,His_Operacoes_acoes[Operação],"Bonif.")</f>
        <v>0</v>
      </c>
      <c r="L335" s="8">
        <f>SUMIFS(His_Operacoes_BDRs[Total],His_Operacoes_BDRs[Operação],"Provento",His_Operacoes_BDRs[fimmês],Patrimônio!B335)</f>
        <v>0</v>
      </c>
      <c r="M335" s="8">
        <f>SUMIFS(His_Operacoes_FIIs[Total],His_Operacoes_FIIs[Operação],"Provento",His_Operacoes_FIIs[fimmês],Patrimônio!B335)</f>
        <v>0</v>
      </c>
      <c r="N335" s="8">
        <f t="shared" si="26"/>
        <v>0</v>
      </c>
    </row>
    <row r="336" spans="1:14" x14ac:dyDescent="0.35">
      <c r="A336" s="7">
        <v>52536</v>
      </c>
      <c r="B336" s="7">
        <f t="shared" si="23"/>
        <v>52535</v>
      </c>
      <c r="I336" s="8">
        <f t="shared" si="24"/>
        <v>0</v>
      </c>
      <c r="J336" s="8">
        <f t="shared" si="25"/>
        <v>0</v>
      </c>
      <c r="K336" s="8">
        <f>SUMIFS(His_Operacoes_acoes[Total],His_Operacoes_acoes[Fimmes],Patrimônio!B336,His_Operacoes_acoes[Operação],"JCP")
+ SUMIFS(His_Operacoes_acoes[Total],His_Operacoes_acoes[Fimmes],Patrimônio!B336,His_Operacoes_acoes[Operação],"Divid.")
+ SUMIFS(His_Operacoes_acoes[Total],His_Operacoes_acoes[Fimmes],Patrimônio!B336,His_Operacoes_acoes[Operação],"Bonif.")</f>
        <v>0</v>
      </c>
      <c r="L336" s="8">
        <f>SUMIFS(His_Operacoes_BDRs[Total],His_Operacoes_BDRs[Operação],"Provento",His_Operacoes_BDRs[fimmês],Patrimônio!B336)</f>
        <v>0</v>
      </c>
      <c r="M336" s="8">
        <f>SUMIFS(His_Operacoes_FIIs[Total],His_Operacoes_FIIs[Operação],"Provento",His_Operacoes_FIIs[fimmês],Patrimônio!B336)</f>
        <v>0</v>
      </c>
      <c r="N336" s="8">
        <f t="shared" si="26"/>
        <v>0</v>
      </c>
    </row>
    <row r="337" spans="1:14" x14ac:dyDescent="0.35">
      <c r="A337" s="7">
        <v>52566</v>
      </c>
      <c r="B337" s="7">
        <f t="shared" si="23"/>
        <v>52565</v>
      </c>
      <c r="I337" s="8">
        <f t="shared" si="24"/>
        <v>0</v>
      </c>
      <c r="J337" s="8">
        <f t="shared" si="25"/>
        <v>0</v>
      </c>
      <c r="K337" s="8">
        <f>SUMIFS(His_Operacoes_acoes[Total],His_Operacoes_acoes[Fimmes],Patrimônio!B337,His_Operacoes_acoes[Operação],"JCP")
+ SUMIFS(His_Operacoes_acoes[Total],His_Operacoes_acoes[Fimmes],Patrimônio!B337,His_Operacoes_acoes[Operação],"Divid.")
+ SUMIFS(His_Operacoes_acoes[Total],His_Operacoes_acoes[Fimmes],Patrimônio!B337,His_Operacoes_acoes[Operação],"Bonif.")</f>
        <v>0</v>
      </c>
      <c r="L337" s="8">
        <f>SUMIFS(His_Operacoes_BDRs[Total],His_Operacoes_BDRs[Operação],"Provento",His_Operacoes_BDRs[fimmês],Patrimônio!B337)</f>
        <v>0</v>
      </c>
      <c r="M337" s="8">
        <f>SUMIFS(His_Operacoes_FIIs[Total],His_Operacoes_FIIs[Operação],"Provento",His_Operacoes_FIIs[fimmês],Patrimônio!B337)</f>
        <v>0</v>
      </c>
      <c r="N337" s="8">
        <f t="shared" si="26"/>
        <v>0</v>
      </c>
    </row>
    <row r="338" spans="1:14" x14ac:dyDescent="0.35">
      <c r="A338" s="7">
        <v>52597</v>
      </c>
      <c r="B338" s="7">
        <f t="shared" si="23"/>
        <v>52596</v>
      </c>
      <c r="I338" s="8">
        <f t="shared" si="24"/>
        <v>0</v>
      </c>
      <c r="J338" s="8">
        <f t="shared" si="25"/>
        <v>0</v>
      </c>
      <c r="K338" s="8">
        <f>SUMIFS(His_Operacoes_acoes[Total],His_Operacoes_acoes[Fimmes],Patrimônio!B338,His_Operacoes_acoes[Operação],"JCP")
+ SUMIFS(His_Operacoes_acoes[Total],His_Operacoes_acoes[Fimmes],Patrimônio!B338,His_Operacoes_acoes[Operação],"Divid.")
+ SUMIFS(His_Operacoes_acoes[Total],His_Operacoes_acoes[Fimmes],Patrimônio!B338,His_Operacoes_acoes[Operação],"Bonif.")</f>
        <v>0</v>
      </c>
      <c r="L338" s="8">
        <f>SUMIFS(His_Operacoes_BDRs[Total],His_Operacoes_BDRs[Operação],"Provento",His_Operacoes_BDRs[fimmês],Patrimônio!B338)</f>
        <v>0</v>
      </c>
      <c r="M338" s="8">
        <f>SUMIFS(His_Operacoes_FIIs[Total],His_Operacoes_FIIs[Operação],"Provento",His_Operacoes_FIIs[fimmês],Patrimônio!B338)</f>
        <v>0</v>
      </c>
      <c r="N338" s="8">
        <f t="shared" si="26"/>
        <v>0</v>
      </c>
    </row>
    <row r="339" spans="1:14" x14ac:dyDescent="0.35">
      <c r="A339" s="7">
        <v>52628</v>
      </c>
      <c r="B339" s="7">
        <f t="shared" si="23"/>
        <v>52627</v>
      </c>
      <c r="I339" s="8">
        <f t="shared" si="24"/>
        <v>0</v>
      </c>
      <c r="J339" s="8">
        <f t="shared" si="25"/>
        <v>0</v>
      </c>
      <c r="K339" s="8">
        <f>SUMIFS(His_Operacoes_acoes[Total],His_Operacoes_acoes[Fimmes],Patrimônio!B339,His_Operacoes_acoes[Operação],"JCP")
+ SUMIFS(His_Operacoes_acoes[Total],His_Operacoes_acoes[Fimmes],Patrimônio!B339,His_Operacoes_acoes[Operação],"Divid.")
+ SUMIFS(His_Operacoes_acoes[Total],His_Operacoes_acoes[Fimmes],Patrimônio!B339,His_Operacoes_acoes[Operação],"Bonif.")</f>
        <v>0</v>
      </c>
      <c r="L339" s="8">
        <f>SUMIFS(His_Operacoes_BDRs[Total],His_Operacoes_BDRs[Operação],"Provento",His_Operacoes_BDRs[fimmês],Patrimônio!B339)</f>
        <v>0</v>
      </c>
      <c r="M339" s="8">
        <f>SUMIFS(His_Operacoes_FIIs[Total],His_Operacoes_FIIs[Operação],"Provento",His_Operacoes_FIIs[fimmês],Patrimônio!B339)</f>
        <v>0</v>
      </c>
      <c r="N339" s="8">
        <f t="shared" si="26"/>
        <v>0</v>
      </c>
    </row>
    <row r="340" spans="1:14" x14ac:dyDescent="0.35">
      <c r="A340" s="7">
        <v>52657</v>
      </c>
      <c r="B340" s="7">
        <f t="shared" si="23"/>
        <v>52656</v>
      </c>
      <c r="I340" s="8">
        <f t="shared" si="24"/>
        <v>0</v>
      </c>
      <c r="J340" s="8">
        <f t="shared" si="25"/>
        <v>0</v>
      </c>
      <c r="K340" s="8">
        <f>SUMIFS(His_Operacoes_acoes[Total],His_Operacoes_acoes[Fimmes],Patrimônio!B340,His_Operacoes_acoes[Operação],"JCP")
+ SUMIFS(His_Operacoes_acoes[Total],His_Operacoes_acoes[Fimmes],Patrimônio!B340,His_Operacoes_acoes[Operação],"Divid.")
+ SUMIFS(His_Operacoes_acoes[Total],His_Operacoes_acoes[Fimmes],Patrimônio!B340,His_Operacoes_acoes[Operação],"Bonif.")</f>
        <v>0</v>
      </c>
      <c r="L340" s="8">
        <f>SUMIFS(His_Operacoes_BDRs[Total],His_Operacoes_BDRs[Operação],"Provento",His_Operacoes_BDRs[fimmês],Patrimônio!B340)</f>
        <v>0</v>
      </c>
      <c r="M340" s="8">
        <f>SUMIFS(His_Operacoes_FIIs[Total],His_Operacoes_FIIs[Operação],"Provento",His_Operacoes_FIIs[fimmês],Patrimônio!B340)</f>
        <v>0</v>
      </c>
      <c r="N340" s="8">
        <f t="shared" si="26"/>
        <v>0</v>
      </c>
    </row>
    <row r="341" spans="1:14" x14ac:dyDescent="0.35">
      <c r="A341" s="7">
        <v>52688</v>
      </c>
      <c r="B341" s="7">
        <f t="shared" si="23"/>
        <v>52687</v>
      </c>
      <c r="I341" s="8">
        <f t="shared" si="24"/>
        <v>0</v>
      </c>
      <c r="J341" s="8">
        <f t="shared" si="25"/>
        <v>0</v>
      </c>
      <c r="K341" s="8">
        <f>SUMIFS(His_Operacoes_acoes[Total],His_Operacoes_acoes[Fimmes],Patrimônio!B341,His_Operacoes_acoes[Operação],"JCP")
+ SUMIFS(His_Operacoes_acoes[Total],His_Operacoes_acoes[Fimmes],Patrimônio!B341,His_Operacoes_acoes[Operação],"Divid.")
+ SUMIFS(His_Operacoes_acoes[Total],His_Operacoes_acoes[Fimmes],Patrimônio!B341,His_Operacoes_acoes[Operação],"Bonif.")</f>
        <v>0</v>
      </c>
      <c r="L341" s="8">
        <f>SUMIFS(His_Operacoes_BDRs[Total],His_Operacoes_BDRs[Operação],"Provento",His_Operacoes_BDRs[fimmês],Patrimônio!B341)</f>
        <v>0</v>
      </c>
      <c r="M341" s="8">
        <f>SUMIFS(His_Operacoes_FIIs[Total],His_Operacoes_FIIs[Operação],"Provento",His_Operacoes_FIIs[fimmês],Patrimônio!B341)</f>
        <v>0</v>
      </c>
      <c r="N341" s="8">
        <f t="shared" si="26"/>
        <v>0</v>
      </c>
    </row>
    <row r="342" spans="1:14" x14ac:dyDescent="0.35">
      <c r="A342" s="7">
        <v>52718</v>
      </c>
      <c r="B342" s="7">
        <f t="shared" si="23"/>
        <v>52717</v>
      </c>
      <c r="I342" s="8">
        <f t="shared" si="24"/>
        <v>0</v>
      </c>
      <c r="J342" s="8">
        <f t="shared" si="25"/>
        <v>0</v>
      </c>
      <c r="K342" s="8">
        <f>SUMIFS(His_Operacoes_acoes[Total],His_Operacoes_acoes[Fimmes],Patrimônio!B342,His_Operacoes_acoes[Operação],"JCP")
+ SUMIFS(His_Operacoes_acoes[Total],His_Operacoes_acoes[Fimmes],Patrimônio!B342,His_Operacoes_acoes[Operação],"Divid.")
+ SUMIFS(His_Operacoes_acoes[Total],His_Operacoes_acoes[Fimmes],Patrimônio!B342,His_Operacoes_acoes[Operação],"Bonif.")</f>
        <v>0</v>
      </c>
      <c r="L342" s="8">
        <f>SUMIFS(His_Operacoes_BDRs[Total],His_Operacoes_BDRs[Operação],"Provento",His_Operacoes_BDRs[fimmês],Patrimônio!B342)</f>
        <v>0</v>
      </c>
      <c r="M342" s="8">
        <f>SUMIFS(His_Operacoes_FIIs[Total],His_Operacoes_FIIs[Operação],"Provento",His_Operacoes_FIIs[fimmês],Patrimônio!B342)</f>
        <v>0</v>
      </c>
      <c r="N342" s="8">
        <f t="shared" si="26"/>
        <v>0</v>
      </c>
    </row>
    <row r="343" spans="1:14" x14ac:dyDescent="0.35">
      <c r="A343" s="7">
        <v>52749</v>
      </c>
      <c r="B343" s="7">
        <f t="shared" si="23"/>
        <v>52748</v>
      </c>
      <c r="I343" s="8">
        <f t="shared" si="24"/>
        <v>0</v>
      </c>
      <c r="J343" s="8">
        <f t="shared" si="25"/>
        <v>0</v>
      </c>
      <c r="K343" s="8">
        <f>SUMIFS(His_Operacoes_acoes[Total],His_Operacoes_acoes[Fimmes],Patrimônio!B343,His_Operacoes_acoes[Operação],"JCP")
+ SUMIFS(His_Operacoes_acoes[Total],His_Operacoes_acoes[Fimmes],Patrimônio!B343,His_Operacoes_acoes[Operação],"Divid.")
+ SUMIFS(His_Operacoes_acoes[Total],His_Operacoes_acoes[Fimmes],Patrimônio!B343,His_Operacoes_acoes[Operação],"Bonif.")</f>
        <v>0</v>
      </c>
      <c r="L343" s="8">
        <f>SUMIFS(His_Operacoes_BDRs[Total],His_Operacoes_BDRs[Operação],"Provento",His_Operacoes_BDRs[fimmês],Patrimônio!B343)</f>
        <v>0</v>
      </c>
      <c r="M343" s="8">
        <f>SUMIFS(His_Operacoes_FIIs[Total],His_Operacoes_FIIs[Operação],"Provento",His_Operacoes_FIIs[fimmês],Patrimônio!B343)</f>
        <v>0</v>
      </c>
      <c r="N343" s="8">
        <f t="shared" si="26"/>
        <v>0</v>
      </c>
    </row>
    <row r="344" spans="1:14" x14ac:dyDescent="0.35">
      <c r="A344" s="7">
        <v>52779</v>
      </c>
      <c r="B344" s="7">
        <f t="shared" si="23"/>
        <v>52778</v>
      </c>
      <c r="I344" s="8">
        <f t="shared" si="24"/>
        <v>0</v>
      </c>
      <c r="J344" s="8">
        <f t="shared" si="25"/>
        <v>0</v>
      </c>
      <c r="K344" s="8">
        <f>SUMIFS(His_Operacoes_acoes[Total],His_Operacoes_acoes[Fimmes],Patrimônio!B344,His_Operacoes_acoes[Operação],"JCP")
+ SUMIFS(His_Operacoes_acoes[Total],His_Operacoes_acoes[Fimmes],Patrimônio!B344,His_Operacoes_acoes[Operação],"Divid.")
+ SUMIFS(His_Operacoes_acoes[Total],His_Operacoes_acoes[Fimmes],Patrimônio!B344,His_Operacoes_acoes[Operação],"Bonif.")</f>
        <v>0</v>
      </c>
      <c r="L344" s="8">
        <f>SUMIFS(His_Operacoes_BDRs[Total],His_Operacoes_BDRs[Operação],"Provento",His_Operacoes_BDRs[fimmês],Patrimônio!B344)</f>
        <v>0</v>
      </c>
      <c r="M344" s="8">
        <f>SUMIFS(His_Operacoes_FIIs[Total],His_Operacoes_FIIs[Operação],"Provento",His_Operacoes_FIIs[fimmês],Patrimônio!B344)</f>
        <v>0</v>
      </c>
      <c r="N344" s="8">
        <f t="shared" si="26"/>
        <v>0</v>
      </c>
    </row>
    <row r="345" spans="1:14" x14ac:dyDescent="0.35">
      <c r="A345" s="7">
        <v>52810</v>
      </c>
      <c r="B345" s="7">
        <f t="shared" si="23"/>
        <v>52809</v>
      </c>
      <c r="I345" s="8">
        <f t="shared" si="24"/>
        <v>0</v>
      </c>
      <c r="J345" s="8">
        <f t="shared" si="25"/>
        <v>0</v>
      </c>
      <c r="K345" s="8">
        <f>SUMIFS(His_Operacoes_acoes[Total],His_Operacoes_acoes[Fimmes],Patrimônio!B345,His_Operacoes_acoes[Operação],"JCP")
+ SUMIFS(His_Operacoes_acoes[Total],His_Operacoes_acoes[Fimmes],Patrimônio!B345,His_Operacoes_acoes[Operação],"Divid.")
+ SUMIFS(His_Operacoes_acoes[Total],His_Operacoes_acoes[Fimmes],Patrimônio!B345,His_Operacoes_acoes[Operação],"Bonif.")</f>
        <v>0</v>
      </c>
      <c r="L345" s="8">
        <f>SUMIFS(His_Operacoes_BDRs[Total],His_Operacoes_BDRs[Operação],"Provento",His_Operacoes_BDRs[fimmês],Patrimônio!B345)</f>
        <v>0</v>
      </c>
      <c r="M345" s="8">
        <f>SUMIFS(His_Operacoes_FIIs[Total],His_Operacoes_FIIs[Operação],"Provento",His_Operacoes_FIIs[fimmês],Patrimônio!B345)</f>
        <v>0</v>
      </c>
      <c r="N345" s="8">
        <f t="shared" si="26"/>
        <v>0</v>
      </c>
    </row>
    <row r="346" spans="1:14" x14ac:dyDescent="0.35">
      <c r="A346" s="7">
        <v>52841</v>
      </c>
      <c r="B346" s="7">
        <f t="shared" si="23"/>
        <v>52840</v>
      </c>
      <c r="I346" s="8">
        <f t="shared" si="24"/>
        <v>0</v>
      </c>
      <c r="J346" s="8">
        <f t="shared" si="25"/>
        <v>0</v>
      </c>
      <c r="K346" s="8">
        <f>SUMIFS(His_Operacoes_acoes[Total],His_Operacoes_acoes[Fimmes],Patrimônio!B346,His_Operacoes_acoes[Operação],"JCP")
+ SUMIFS(His_Operacoes_acoes[Total],His_Operacoes_acoes[Fimmes],Patrimônio!B346,His_Operacoes_acoes[Operação],"Divid.")
+ SUMIFS(His_Operacoes_acoes[Total],His_Operacoes_acoes[Fimmes],Patrimônio!B346,His_Operacoes_acoes[Operação],"Bonif.")</f>
        <v>0</v>
      </c>
      <c r="L346" s="8">
        <f>SUMIFS(His_Operacoes_BDRs[Total],His_Operacoes_BDRs[Operação],"Provento",His_Operacoes_BDRs[fimmês],Patrimônio!B346)</f>
        <v>0</v>
      </c>
      <c r="M346" s="8">
        <f>SUMIFS(His_Operacoes_FIIs[Total],His_Operacoes_FIIs[Operação],"Provento",His_Operacoes_FIIs[fimmês],Patrimônio!B346)</f>
        <v>0</v>
      </c>
      <c r="N346" s="8">
        <f t="shared" si="26"/>
        <v>0</v>
      </c>
    </row>
    <row r="347" spans="1:14" x14ac:dyDescent="0.35">
      <c r="A347" s="7">
        <v>52871</v>
      </c>
      <c r="B347" s="7">
        <f t="shared" si="23"/>
        <v>52870</v>
      </c>
      <c r="I347" s="8">
        <f t="shared" si="24"/>
        <v>0</v>
      </c>
      <c r="J347" s="8">
        <f t="shared" si="25"/>
        <v>0</v>
      </c>
      <c r="K347" s="8">
        <f>SUMIFS(His_Operacoes_acoes[Total],His_Operacoes_acoes[Fimmes],Patrimônio!B347,His_Operacoes_acoes[Operação],"JCP")
+ SUMIFS(His_Operacoes_acoes[Total],His_Operacoes_acoes[Fimmes],Patrimônio!B347,His_Operacoes_acoes[Operação],"Divid.")
+ SUMIFS(His_Operacoes_acoes[Total],His_Operacoes_acoes[Fimmes],Patrimônio!B347,His_Operacoes_acoes[Operação],"Bonif.")</f>
        <v>0</v>
      </c>
      <c r="L347" s="8">
        <f>SUMIFS(His_Operacoes_BDRs[Total],His_Operacoes_BDRs[Operação],"Provento",His_Operacoes_BDRs[fimmês],Patrimônio!B347)</f>
        <v>0</v>
      </c>
      <c r="M347" s="8">
        <f>SUMIFS(His_Operacoes_FIIs[Total],His_Operacoes_FIIs[Operação],"Provento",His_Operacoes_FIIs[fimmês],Patrimônio!B347)</f>
        <v>0</v>
      </c>
      <c r="N347" s="8">
        <f t="shared" si="26"/>
        <v>0</v>
      </c>
    </row>
    <row r="348" spans="1:14" x14ac:dyDescent="0.35">
      <c r="A348" s="7">
        <v>52902</v>
      </c>
      <c r="B348" s="7">
        <f t="shared" si="23"/>
        <v>52901</v>
      </c>
      <c r="I348" s="8">
        <f t="shared" si="24"/>
        <v>0</v>
      </c>
      <c r="J348" s="8">
        <f t="shared" si="25"/>
        <v>0</v>
      </c>
      <c r="K348" s="8">
        <f>SUMIFS(His_Operacoes_acoes[Total],His_Operacoes_acoes[Fimmes],Patrimônio!B348,His_Operacoes_acoes[Operação],"JCP")
+ SUMIFS(His_Operacoes_acoes[Total],His_Operacoes_acoes[Fimmes],Patrimônio!B348,His_Operacoes_acoes[Operação],"Divid.")
+ SUMIFS(His_Operacoes_acoes[Total],His_Operacoes_acoes[Fimmes],Patrimônio!B348,His_Operacoes_acoes[Operação],"Bonif.")</f>
        <v>0</v>
      </c>
      <c r="L348" s="8">
        <f>SUMIFS(His_Operacoes_BDRs[Total],His_Operacoes_BDRs[Operação],"Provento",His_Operacoes_BDRs[fimmês],Patrimônio!B348)</f>
        <v>0</v>
      </c>
      <c r="M348" s="8">
        <f>SUMIFS(His_Operacoes_FIIs[Total],His_Operacoes_FIIs[Operação],"Provento",His_Operacoes_FIIs[fimmês],Patrimônio!B348)</f>
        <v>0</v>
      </c>
      <c r="N348" s="8">
        <f t="shared" si="26"/>
        <v>0</v>
      </c>
    </row>
    <row r="349" spans="1:14" x14ac:dyDescent="0.35">
      <c r="A349" s="7">
        <v>52932</v>
      </c>
      <c r="B349" s="7">
        <f t="shared" si="23"/>
        <v>52931</v>
      </c>
      <c r="I349" s="8">
        <f t="shared" si="24"/>
        <v>0</v>
      </c>
      <c r="J349" s="8">
        <f t="shared" si="25"/>
        <v>0</v>
      </c>
      <c r="K349" s="8">
        <f>SUMIFS(His_Operacoes_acoes[Total],His_Operacoes_acoes[Fimmes],Patrimônio!B349,His_Operacoes_acoes[Operação],"JCP")
+ SUMIFS(His_Operacoes_acoes[Total],His_Operacoes_acoes[Fimmes],Patrimônio!B349,His_Operacoes_acoes[Operação],"Divid.")
+ SUMIFS(His_Operacoes_acoes[Total],His_Operacoes_acoes[Fimmes],Patrimônio!B349,His_Operacoes_acoes[Operação],"Bonif.")</f>
        <v>0</v>
      </c>
      <c r="L349" s="8">
        <f>SUMIFS(His_Operacoes_BDRs[Total],His_Operacoes_BDRs[Operação],"Provento",His_Operacoes_BDRs[fimmês],Patrimônio!B349)</f>
        <v>0</v>
      </c>
      <c r="M349" s="8">
        <f>SUMIFS(His_Operacoes_FIIs[Total],His_Operacoes_FIIs[Operação],"Provento",His_Operacoes_FIIs[fimmês],Patrimônio!B349)</f>
        <v>0</v>
      </c>
      <c r="N349" s="8">
        <f t="shared" si="26"/>
        <v>0</v>
      </c>
    </row>
    <row r="350" spans="1:14" x14ac:dyDescent="0.35">
      <c r="A350" s="7">
        <v>52963</v>
      </c>
      <c r="B350" s="7">
        <f t="shared" si="23"/>
        <v>52962</v>
      </c>
      <c r="I350" s="8">
        <f t="shared" si="24"/>
        <v>0</v>
      </c>
      <c r="J350" s="8">
        <f t="shared" si="25"/>
        <v>0</v>
      </c>
      <c r="K350" s="8">
        <f>SUMIFS(His_Operacoes_acoes[Total],His_Operacoes_acoes[Fimmes],Patrimônio!B350,His_Operacoes_acoes[Operação],"JCP")
+ SUMIFS(His_Operacoes_acoes[Total],His_Operacoes_acoes[Fimmes],Patrimônio!B350,His_Operacoes_acoes[Operação],"Divid.")
+ SUMIFS(His_Operacoes_acoes[Total],His_Operacoes_acoes[Fimmes],Patrimônio!B350,His_Operacoes_acoes[Operação],"Bonif.")</f>
        <v>0</v>
      </c>
      <c r="L350" s="8">
        <f>SUMIFS(His_Operacoes_BDRs[Total],His_Operacoes_BDRs[Operação],"Provento",His_Operacoes_BDRs[fimmês],Patrimônio!B350)</f>
        <v>0</v>
      </c>
      <c r="M350" s="8">
        <f>SUMIFS(His_Operacoes_FIIs[Total],His_Operacoes_FIIs[Operação],"Provento",His_Operacoes_FIIs[fimmês],Patrimônio!B350)</f>
        <v>0</v>
      </c>
      <c r="N350" s="8">
        <f t="shared" si="26"/>
        <v>0</v>
      </c>
    </row>
    <row r="351" spans="1:14" x14ac:dyDescent="0.35">
      <c r="A351" s="7">
        <v>52994</v>
      </c>
      <c r="B351" s="7">
        <f t="shared" si="23"/>
        <v>52993</v>
      </c>
      <c r="I351" s="8">
        <f t="shared" si="24"/>
        <v>0</v>
      </c>
      <c r="J351" s="8">
        <f t="shared" si="25"/>
        <v>0</v>
      </c>
      <c r="K351" s="8">
        <f>SUMIFS(His_Operacoes_acoes[Total],His_Operacoes_acoes[Fimmes],Patrimônio!B351,His_Operacoes_acoes[Operação],"JCP")
+ SUMIFS(His_Operacoes_acoes[Total],His_Operacoes_acoes[Fimmes],Patrimônio!B351,His_Operacoes_acoes[Operação],"Divid.")
+ SUMIFS(His_Operacoes_acoes[Total],His_Operacoes_acoes[Fimmes],Patrimônio!B351,His_Operacoes_acoes[Operação],"Bonif.")</f>
        <v>0</v>
      </c>
      <c r="L351" s="8">
        <f>SUMIFS(His_Operacoes_BDRs[Total],His_Operacoes_BDRs[Operação],"Provento",His_Operacoes_BDRs[fimmês],Patrimônio!B351)</f>
        <v>0</v>
      </c>
      <c r="M351" s="8">
        <f>SUMIFS(His_Operacoes_FIIs[Total],His_Operacoes_FIIs[Operação],"Provento",His_Operacoes_FIIs[fimmês],Patrimônio!B351)</f>
        <v>0</v>
      </c>
      <c r="N351" s="8">
        <f t="shared" si="26"/>
        <v>0</v>
      </c>
    </row>
    <row r="352" spans="1:14" x14ac:dyDescent="0.35">
      <c r="A352" s="7">
        <v>53022</v>
      </c>
      <c r="B352" s="7">
        <f t="shared" si="23"/>
        <v>53021</v>
      </c>
      <c r="I352" s="8">
        <f t="shared" si="24"/>
        <v>0</v>
      </c>
      <c r="J352" s="8">
        <f t="shared" si="25"/>
        <v>0</v>
      </c>
      <c r="K352" s="8">
        <f>SUMIFS(His_Operacoes_acoes[Total],His_Operacoes_acoes[Fimmes],Patrimônio!B352,His_Operacoes_acoes[Operação],"JCP")
+ SUMIFS(His_Operacoes_acoes[Total],His_Operacoes_acoes[Fimmes],Patrimônio!B352,His_Operacoes_acoes[Operação],"Divid.")
+ SUMIFS(His_Operacoes_acoes[Total],His_Operacoes_acoes[Fimmes],Patrimônio!B352,His_Operacoes_acoes[Operação],"Bonif.")</f>
        <v>0</v>
      </c>
      <c r="L352" s="8">
        <f>SUMIFS(His_Operacoes_BDRs[Total],His_Operacoes_BDRs[Operação],"Provento",His_Operacoes_BDRs[fimmês],Patrimônio!B352)</f>
        <v>0</v>
      </c>
      <c r="M352" s="8">
        <f>SUMIFS(His_Operacoes_FIIs[Total],His_Operacoes_FIIs[Operação],"Provento",His_Operacoes_FIIs[fimmês],Patrimônio!B352)</f>
        <v>0</v>
      </c>
      <c r="N352" s="8">
        <f t="shared" si="26"/>
        <v>0</v>
      </c>
    </row>
    <row r="353" spans="1:14" x14ac:dyDescent="0.35">
      <c r="A353" s="7">
        <v>53053</v>
      </c>
      <c r="B353" s="7">
        <f t="shared" si="23"/>
        <v>53052</v>
      </c>
      <c r="I353" s="8">
        <f t="shared" si="24"/>
        <v>0</v>
      </c>
      <c r="J353" s="8">
        <f t="shared" si="25"/>
        <v>0</v>
      </c>
      <c r="K353" s="8">
        <f>SUMIFS(His_Operacoes_acoes[Total],His_Operacoes_acoes[Fimmes],Patrimônio!B353,His_Operacoes_acoes[Operação],"JCP")
+ SUMIFS(His_Operacoes_acoes[Total],His_Operacoes_acoes[Fimmes],Patrimônio!B353,His_Operacoes_acoes[Operação],"Divid.")
+ SUMIFS(His_Operacoes_acoes[Total],His_Operacoes_acoes[Fimmes],Patrimônio!B353,His_Operacoes_acoes[Operação],"Bonif.")</f>
        <v>0</v>
      </c>
      <c r="L353" s="8">
        <f>SUMIFS(His_Operacoes_BDRs[Total],His_Operacoes_BDRs[Operação],"Provento",His_Operacoes_BDRs[fimmês],Patrimônio!B353)</f>
        <v>0</v>
      </c>
      <c r="M353" s="8">
        <f>SUMIFS(His_Operacoes_FIIs[Total],His_Operacoes_FIIs[Operação],"Provento",His_Operacoes_FIIs[fimmês],Patrimônio!B353)</f>
        <v>0</v>
      </c>
      <c r="N353" s="8">
        <f t="shared" si="26"/>
        <v>0</v>
      </c>
    </row>
    <row r="354" spans="1:14" x14ac:dyDescent="0.35">
      <c r="A354" s="7">
        <v>53083</v>
      </c>
      <c r="B354" s="7">
        <f t="shared" si="23"/>
        <v>53082</v>
      </c>
      <c r="I354" s="8">
        <f t="shared" si="24"/>
        <v>0</v>
      </c>
      <c r="J354" s="8">
        <f t="shared" si="25"/>
        <v>0</v>
      </c>
      <c r="K354" s="8">
        <f>SUMIFS(His_Operacoes_acoes[Total],His_Operacoes_acoes[Fimmes],Patrimônio!B354,His_Operacoes_acoes[Operação],"JCP")
+ SUMIFS(His_Operacoes_acoes[Total],His_Operacoes_acoes[Fimmes],Patrimônio!B354,His_Operacoes_acoes[Operação],"Divid.")
+ SUMIFS(His_Operacoes_acoes[Total],His_Operacoes_acoes[Fimmes],Patrimônio!B354,His_Operacoes_acoes[Operação],"Bonif.")</f>
        <v>0</v>
      </c>
      <c r="L354" s="8">
        <f>SUMIFS(His_Operacoes_BDRs[Total],His_Operacoes_BDRs[Operação],"Provento",His_Operacoes_BDRs[fimmês],Patrimônio!B354)</f>
        <v>0</v>
      </c>
      <c r="M354" s="8">
        <f>SUMIFS(His_Operacoes_FIIs[Total],His_Operacoes_FIIs[Operação],"Provento",His_Operacoes_FIIs[fimmês],Patrimônio!B354)</f>
        <v>0</v>
      </c>
      <c r="N354" s="8">
        <f t="shared" si="26"/>
        <v>0</v>
      </c>
    </row>
    <row r="355" spans="1:14" x14ac:dyDescent="0.35">
      <c r="A355" s="7">
        <v>53114</v>
      </c>
      <c r="B355" s="7">
        <f t="shared" si="23"/>
        <v>53113</v>
      </c>
      <c r="I355" s="8">
        <f t="shared" si="24"/>
        <v>0</v>
      </c>
      <c r="J355" s="8">
        <f t="shared" si="25"/>
        <v>0</v>
      </c>
      <c r="K355" s="8">
        <f>SUMIFS(His_Operacoes_acoes[Total],His_Operacoes_acoes[Fimmes],Patrimônio!B355,His_Operacoes_acoes[Operação],"JCP")
+ SUMIFS(His_Operacoes_acoes[Total],His_Operacoes_acoes[Fimmes],Patrimônio!B355,His_Operacoes_acoes[Operação],"Divid.")
+ SUMIFS(His_Operacoes_acoes[Total],His_Operacoes_acoes[Fimmes],Patrimônio!B355,His_Operacoes_acoes[Operação],"Bonif.")</f>
        <v>0</v>
      </c>
      <c r="L355" s="8">
        <f>SUMIFS(His_Operacoes_BDRs[Total],His_Operacoes_BDRs[Operação],"Provento",His_Operacoes_BDRs[fimmês],Patrimônio!B355)</f>
        <v>0</v>
      </c>
      <c r="M355" s="8">
        <f>SUMIFS(His_Operacoes_FIIs[Total],His_Operacoes_FIIs[Operação],"Provento",His_Operacoes_FIIs[fimmês],Patrimônio!B355)</f>
        <v>0</v>
      </c>
      <c r="N355" s="8">
        <f t="shared" si="26"/>
        <v>0</v>
      </c>
    </row>
    <row r="356" spans="1:14" x14ac:dyDescent="0.35">
      <c r="A356" s="7">
        <v>53144</v>
      </c>
      <c r="B356" s="7">
        <f t="shared" si="23"/>
        <v>53143</v>
      </c>
      <c r="I356" s="8">
        <f t="shared" si="24"/>
        <v>0</v>
      </c>
      <c r="J356" s="8">
        <f t="shared" si="25"/>
        <v>0</v>
      </c>
      <c r="K356" s="8">
        <f>SUMIFS(His_Operacoes_acoes[Total],His_Operacoes_acoes[Fimmes],Patrimônio!B356,His_Operacoes_acoes[Operação],"JCP")
+ SUMIFS(His_Operacoes_acoes[Total],His_Operacoes_acoes[Fimmes],Patrimônio!B356,His_Operacoes_acoes[Operação],"Divid.")
+ SUMIFS(His_Operacoes_acoes[Total],His_Operacoes_acoes[Fimmes],Patrimônio!B356,His_Operacoes_acoes[Operação],"Bonif.")</f>
        <v>0</v>
      </c>
      <c r="L356" s="8">
        <f>SUMIFS(His_Operacoes_BDRs[Total],His_Operacoes_BDRs[Operação],"Provento",His_Operacoes_BDRs[fimmês],Patrimônio!B356)</f>
        <v>0</v>
      </c>
      <c r="M356" s="8">
        <f>SUMIFS(His_Operacoes_FIIs[Total],His_Operacoes_FIIs[Operação],"Provento",His_Operacoes_FIIs[fimmês],Patrimônio!B356)</f>
        <v>0</v>
      </c>
      <c r="N356" s="8">
        <f t="shared" si="26"/>
        <v>0</v>
      </c>
    </row>
    <row r="357" spans="1:14" x14ac:dyDescent="0.35">
      <c r="A357" s="7">
        <v>53175</v>
      </c>
      <c r="B357" s="7">
        <f t="shared" si="23"/>
        <v>53174</v>
      </c>
      <c r="I357" s="8">
        <f t="shared" si="24"/>
        <v>0</v>
      </c>
      <c r="J357" s="8">
        <f t="shared" si="25"/>
        <v>0</v>
      </c>
      <c r="K357" s="8">
        <f>SUMIFS(His_Operacoes_acoes[Total],His_Operacoes_acoes[Fimmes],Patrimônio!B357,His_Operacoes_acoes[Operação],"JCP")
+ SUMIFS(His_Operacoes_acoes[Total],His_Operacoes_acoes[Fimmes],Patrimônio!B357,His_Operacoes_acoes[Operação],"Divid.")
+ SUMIFS(His_Operacoes_acoes[Total],His_Operacoes_acoes[Fimmes],Patrimônio!B357,His_Operacoes_acoes[Operação],"Bonif.")</f>
        <v>0</v>
      </c>
      <c r="L357" s="8">
        <f>SUMIFS(His_Operacoes_BDRs[Total],His_Operacoes_BDRs[Operação],"Provento",His_Operacoes_BDRs[fimmês],Patrimônio!B357)</f>
        <v>0</v>
      </c>
      <c r="M357" s="8">
        <f>SUMIFS(His_Operacoes_FIIs[Total],His_Operacoes_FIIs[Operação],"Provento",His_Operacoes_FIIs[fimmês],Patrimônio!B357)</f>
        <v>0</v>
      </c>
      <c r="N357" s="8">
        <f t="shared" si="26"/>
        <v>0</v>
      </c>
    </row>
    <row r="358" spans="1:14" x14ac:dyDescent="0.35">
      <c r="A358" s="7">
        <v>53206</v>
      </c>
      <c r="B358" s="7">
        <f t="shared" si="23"/>
        <v>53205</v>
      </c>
      <c r="I358" s="8">
        <f t="shared" si="24"/>
        <v>0</v>
      </c>
      <c r="J358" s="8">
        <f t="shared" si="25"/>
        <v>0</v>
      </c>
      <c r="K358" s="8">
        <f>SUMIFS(His_Operacoes_acoes[Total],His_Operacoes_acoes[Fimmes],Patrimônio!B358,His_Operacoes_acoes[Operação],"JCP")
+ SUMIFS(His_Operacoes_acoes[Total],His_Operacoes_acoes[Fimmes],Patrimônio!B358,His_Operacoes_acoes[Operação],"Divid.")
+ SUMIFS(His_Operacoes_acoes[Total],His_Operacoes_acoes[Fimmes],Patrimônio!B358,His_Operacoes_acoes[Operação],"Bonif.")</f>
        <v>0</v>
      </c>
      <c r="L358" s="8">
        <f>SUMIFS(His_Operacoes_BDRs[Total],His_Operacoes_BDRs[Operação],"Provento",His_Operacoes_BDRs[fimmês],Patrimônio!B358)</f>
        <v>0</v>
      </c>
      <c r="M358" s="8">
        <f>SUMIFS(His_Operacoes_FIIs[Total],His_Operacoes_FIIs[Operação],"Provento",His_Operacoes_FIIs[fimmês],Patrimônio!B358)</f>
        <v>0</v>
      </c>
      <c r="N358" s="8">
        <f t="shared" si="26"/>
        <v>0</v>
      </c>
    </row>
    <row r="359" spans="1:14" x14ac:dyDescent="0.35">
      <c r="A359" s="7">
        <v>53236</v>
      </c>
      <c r="B359" s="7">
        <f t="shared" si="23"/>
        <v>53235</v>
      </c>
      <c r="I359" s="8">
        <f t="shared" si="24"/>
        <v>0</v>
      </c>
      <c r="J359" s="8">
        <f t="shared" si="25"/>
        <v>0</v>
      </c>
      <c r="K359" s="8">
        <f>SUMIFS(His_Operacoes_acoes[Total],His_Operacoes_acoes[Fimmes],Patrimônio!B359,His_Operacoes_acoes[Operação],"JCP")
+ SUMIFS(His_Operacoes_acoes[Total],His_Operacoes_acoes[Fimmes],Patrimônio!B359,His_Operacoes_acoes[Operação],"Divid.")
+ SUMIFS(His_Operacoes_acoes[Total],His_Operacoes_acoes[Fimmes],Patrimônio!B359,His_Operacoes_acoes[Operação],"Bonif.")</f>
        <v>0</v>
      </c>
      <c r="L359" s="8">
        <f>SUMIFS(His_Operacoes_BDRs[Total],His_Operacoes_BDRs[Operação],"Provento",His_Operacoes_BDRs[fimmês],Patrimônio!B359)</f>
        <v>0</v>
      </c>
      <c r="M359" s="8">
        <f>SUMIFS(His_Operacoes_FIIs[Total],His_Operacoes_FIIs[Operação],"Provento",His_Operacoes_FIIs[fimmês],Patrimônio!B359)</f>
        <v>0</v>
      </c>
      <c r="N359" s="8">
        <f t="shared" si="26"/>
        <v>0</v>
      </c>
    </row>
    <row r="360" spans="1:14" x14ac:dyDescent="0.35">
      <c r="A360" s="7">
        <v>53267</v>
      </c>
      <c r="B360" s="7">
        <f t="shared" si="23"/>
        <v>53266</v>
      </c>
      <c r="I360" s="8">
        <f t="shared" si="24"/>
        <v>0</v>
      </c>
      <c r="J360" s="8">
        <f t="shared" si="25"/>
        <v>0</v>
      </c>
      <c r="K360" s="8">
        <f>SUMIFS(His_Operacoes_acoes[Total],His_Operacoes_acoes[Fimmes],Patrimônio!B360,His_Operacoes_acoes[Operação],"JCP")
+ SUMIFS(His_Operacoes_acoes[Total],His_Operacoes_acoes[Fimmes],Patrimônio!B360,His_Operacoes_acoes[Operação],"Divid.")
+ SUMIFS(His_Operacoes_acoes[Total],His_Operacoes_acoes[Fimmes],Patrimônio!B360,His_Operacoes_acoes[Operação],"Bonif.")</f>
        <v>0</v>
      </c>
      <c r="L360" s="8">
        <f>SUMIFS(His_Operacoes_BDRs[Total],His_Operacoes_BDRs[Operação],"Provento",His_Operacoes_BDRs[fimmês],Patrimônio!B360)</f>
        <v>0</v>
      </c>
      <c r="M360" s="8">
        <f>SUMIFS(His_Operacoes_FIIs[Total],His_Operacoes_FIIs[Operação],"Provento",His_Operacoes_FIIs[fimmês],Patrimônio!B360)</f>
        <v>0</v>
      </c>
      <c r="N360" s="8">
        <f t="shared" si="26"/>
        <v>0</v>
      </c>
    </row>
    <row r="361" spans="1:14" x14ac:dyDescent="0.35">
      <c r="A361" s="7">
        <v>53297</v>
      </c>
      <c r="B361" s="7">
        <f t="shared" si="23"/>
        <v>53296</v>
      </c>
      <c r="I361" s="8">
        <f t="shared" si="24"/>
        <v>0</v>
      </c>
      <c r="J361" s="8">
        <f t="shared" si="25"/>
        <v>0</v>
      </c>
      <c r="K361" s="8">
        <f>SUMIFS(His_Operacoes_acoes[Total],His_Operacoes_acoes[Fimmes],Patrimônio!B361,His_Operacoes_acoes[Operação],"JCP")
+ SUMIFS(His_Operacoes_acoes[Total],His_Operacoes_acoes[Fimmes],Patrimônio!B361,His_Operacoes_acoes[Operação],"Divid.")
+ SUMIFS(His_Operacoes_acoes[Total],His_Operacoes_acoes[Fimmes],Patrimônio!B361,His_Operacoes_acoes[Operação],"Bonif.")</f>
        <v>0</v>
      </c>
      <c r="L361" s="8">
        <f>SUMIFS(His_Operacoes_BDRs[Total],His_Operacoes_BDRs[Operação],"Provento",His_Operacoes_BDRs[fimmês],Patrimônio!B361)</f>
        <v>0</v>
      </c>
      <c r="M361" s="8">
        <f>SUMIFS(His_Operacoes_FIIs[Total],His_Operacoes_FIIs[Operação],"Provento",His_Operacoes_FIIs[fimmês],Patrimônio!B361)</f>
        <v>0</v>
      </c>
      <c r="N361" s="8">
        <f t="shared" si="26"/>
        <v>0</v>
      </c>
    </row>
    <row r="362" spans="1:14" x14ac:dyDescent="0.35">
      <c r="A362" s="7">
        <v>53328</v>
      </c>
      <c r="B362" s="7">
        <f t="shared" si="23"/>
        <v>53327</v>
      </c>
      <c r="I362" s="8">
        <f t="shared" si="24"/>
        <v>0</v>
      </c>
      <c r="J362" s="8">
        <f t="shared" si="25"/>
        <v>0</v>
      </c>
      <c r="K362" s="8">
        <f>SUMIFS(His_Operacoes_acoes[Total],His_Operacoes_acoes[Fimmes],Patrimônio!B362,His_Operacoes_acoes[Operação],"JCP")
+ SUMIFS(His_Operacoes_acoes[Total],His_Operacoes_acoes[Fimmes],Patrimônio!B362,His_Operacoes_acoes[Operação],"Divid.")
+ SUMIFS(His_Operacoes_acoes[Total],His_Operacoes_acoes[Fimmes],Patrimônio!B362,His_Operacoes_acoes[Operação],"Bonif.")</f>
        <v>0</v>
      </c>
      <c r="L362" s="8">
        <f>SUMIFS(His_Operacoes_BDRs[Total],His_Operacoes_BDRs[Operação],"Provento",His_Operacoes_BDRs[fimmês],Patrimônio!B362)</f>
        <v>0</v>
      </c>
      <c r="M362" s="8">
        <f>SUMIFS(His_Operacoes_FIIs[Total],His_Operacoes_FIIs[Operação],"Provento",His_Operacoes_FIIs[fimmês],Patrimônio!B362)</f>
        <v>0</v>
      </c>
      <c r="N362" s="8">
        <f t="shared" si="26"/>
        <v>0</v>
      </c>
    </row>
    <row r="363" spans="1:14" x14ac:dyDescent="0.35">
      <c r="A363" s="7">
        <v>53359</v>
      </c>
      <c r="B363" s="7">
        <f t="shared" si="23"/>
        <v>53358</v>
      </c>
      <c r="I363" s="8">
        <f t="shared" si="24"/>
        <v>0</v>
      </c>
      <c r="J363" s="8">
        <f t="shared" si="25"/>
        <v>0</v>
      </c>
      <c r="K363" s="8">
        <f>SUMIFS(His_Operacoes_acoes[Total],His_Operacoes_acoes[Fimmes],Patrimônio!B363,His_Operacoes_acoes[Operação],"JCP")
+ SUMIFS(His_Operacoes_acoes[Total],His_Operacoes_acoes[Fimmes],Patrimônio!B363,His_Operacoes_acoes[Operação],"Divid.")
+ SUMIFS(His_Operacoes_acoes[Total],His_Operacoes_acoes[Fimmes],Patrimônio!B363,His_Operacoes_acoes[Operação],"Bonif.")</f>
        <v>0</v>
      </c>
      <c r="L363" s="8">
        <f>SUMIFS(His_Operacoes_BDRs[Total],His_Operacoes_BDRs[Operação],"Provento",His_Operacoes_BDRs[fimmês],Patrimônio!B363)</f>
        <v>0</v>
      </c>
      <c r="M363" s="8">
        <f>SUMIFS(His_Operacoes_FIIs[Total],His_Operacoes_FIIs[Operação],"Provento",His_Operacoes_FIIs[fimmês],Patrimônio!B363)</f>
        <v>0</v>
      </c>
      <c r="N363" s="8">
        <f t="shared" si="26"/>
        <v>0</v>
      </c>
    </row>
    <row r="364" spans="1:14" x14ac:dyDescent="0.35">
      <c r="A364" s="7">
        <v>53387</v>
      </c>
      <c r="B364" s="7">
        <f t="shared" si="23"/>
        <v>53386</v>
      </c>
      <c r="I364" s="8">
        <f t="shared" si="24"/>
        <v>0</v>
      </c>
      <c r="J364" s="8">
        <f t="shared" si="25"/>
        <v>0</v>
      </c>
      <c r="K364" s="8">
        <f>SUMIFS(His_Operacoes_acoes[Total],His_Operacoes_acoes[Fimmes],Patrimônio!B364,His_Operacoes_acoes[Operação],"JCP")
+ SUMIFS(His_Operacoes_acoes[Total],His_Operacoes_acoes[Fimmes],Patrimônio!B364,His_Operacoes_acoes[Operação],"Divid.")
+ SUMIFS(His_Operacoes_acoes[Total],His_Operacoes_acoes[Fimmes],Patrimônio!B364,His_Operacoes_acoes[Operação],"Bonif.")</f>
        <v>0</v>
      </c>
      <c r="L364" s="8">
        <f>SUMIFS(His_Operacoes_BDRs[Total],His_Operacoes_BDRs[Operação],"Provento",His_Operacoes_BDRs[fimmês],Patrimônio!B364)</f>
        <v>0</v>
      </c>
      <c r="M364" s="8">
        <f>SUMIFS(His_Operacoes_FIIs[Total],His_Operacoes_FIIs[Operação],"Provento",His_Operacoes_FIIs[fimmês],Patrimônio!B364)</f>
        <v>0</v>
      </c>
      <c r="N364" s="8">
        <f t="shared" si="26"/>
        <v>0</v>
      </c>
    </row>
    <row r="365" spans="1:14" x14ac:dyDescent="0.35">
      <c r="A365" s="7">
        <v>53418</v>
      </c>
      <c r="B365" s="7">
        <f t="shared" si="23"/>
        <v>53417</v>
      </c>
      <c r="I365" s="8">
        <f t="shared" si="24"/>
        <v>0</v>
      </c>
      <c r="J365" s="8">
        <f t="shared" si="25"/>
        <v>0</v>
      </c>
      <c r="K365" s="8">
        <f>SUMIFS(His_Operacoes_acoes[Total],His_Operacoes_acoes[Fimmes],Patrimônio!B365,His_Operacoes_acoes[Operação],"JCP")
+ SUMIFS(His_Operacoes_acoes[Total],His_Operacoes_acoes[Fimmes],Patrimônio!B365,His_Operacoes_acoes[Operação],"Divid.")
+ SUMIFS(His_Operacoes_acoes[Total],His_Operacoes_acoes[Fimmes],Patrimônio!B365,His_Operacoes_acoes[Operação],"Bonif.")</f>
        <v>0</v>
      </c>
      <c r="L365" s="8">
        <f>SUMIFS(His_Operacoes_BDRs[Total],His_Operacoes_BDRs[Operação],"Provento",His_Operacoes_BDRs[fimmês],Patrimônio!B365)</f>
        <v>0</v>
      </c>
      <c r="M365" s="8">
        <f>SUMIFS(His_Operacoes_FIIs[Total],His_Operacoes_FIIs[Operação],"Provento",His_Operacoes_FIIs[fimmês],Patrimônio!B365)</f>
        <v>0</v>
      </c>
      <c r="N365" s="8">
        <f t="shared" si="26"/>
        <v>0</v>
      </c>
    </row>
    <row r="366" spans="1:14" x14ac:dyDescent="0.35">
      <c r="A366" s="7">
        <v>53448</v>
      </c>
      <c r="B366" s="7">
        <f t="shared" si="23"/>
        <v>53447</v>
      </c>
      <c r="I366" s="8">
        <f t="shared" si="24"/>
        <v>0</v>
      </c>
      <c r="J366" s="8">
        <f t="shared" si="25"/>
        <v>0</v>
      </c>
      <c r="K366" s="8">
        <f>SUMIFS(His_Operacoes_acoes[Total],His_Operacoes_acoes[Fimmes],Patrimônio!B366,His_Operacoes_acoes[Operação],"JCP")
+ SUMIFS(His_Operacoes_acoes[Total],His_Operacoes_acoes[Fimmes],Patrimônio!B366,His_Operacoes_acoes[Operação],"Divid.")
+ SUMIFS(His_Operacoes_acoes[Total],His_Operacoes_acoes[Fimmes],Patrimônio!B366,His_Operacoes_acoes[Operação],"Bonif.")</f>
        <v>0</v>
      </c>
      <c r="L366" s="8">
        <f>SUMIFS(His_Operacoes_BDRs[Total],His_Operacoes_BDRs[Operação],"Provento",His_Operacoes_BDRs[fimmês],Patrimônio!B366)</f>
        <v>0</v>
      </c>
      <c r="M366" s="8">
        <f>SUMIFS(His_Operacoes_FIIs[Total],His_Operacoes_FIIs[Operação],"Provento",His_Operacoes_FIIs[fimmês],Patrimônio!B366)</f>
        <v>0</v>
      </c>
      <c r="N366" s="8">
        <f t="shared" si="26"/>
        <v>0</v>
      </c>
    </row>
    <row r="367" spans="1:14" x14ac:dyDescent="0.35">
      <c r="A367" s="7">
        <v>53479</v>
      </c>
      <c r="B367" s="7">
        <f t="shared" si="23"/>
        <v>53478</v>
      </c>
      <c r="I367" s="8">
        <f t="shared" si="24"/>
        <v>0</v>
      </c>
      <c r="J367" s="8">
        <f t="shared" si="25"/>
        <v>0</v>
      </c>
      <c r="K367" s="8">
        <f>SUMIFS(His_Operacoes_acoes[Total],His_Operacoes_acoes[Fimmes],Patrimônio!B367,His_Operacoes_acoes[Operação],"JCP")
+ SUMIFS(His_Operacoes_acoes[Total],His_Operacoes_acoes[Fimmes],Patrimônio!B367,His_Operacoes_acoes[Operação],"Divid.")
+ SUMIFS(His_Operacoes_acoes[Total],His_Operacoes_acoes[Fimmes],Patrimônio!B367,His_Operacoes_acoes[Operação],"Bonif.")</f>
        <v>0</v>
      </c>
      <c r="L367" s="8">
        <f>SUMIFS(His_Operacoes_BDRs[Total],His_Operacoes_BDRs[Operação],"Provento",His_Operacoes_BDRs[fimmês],Patrimônio!B367)</f>
        <v>0</v>
      </c>
      <c r="M367" s="8">
        <f>SUMIFS(His_Operacoes_FIIs[Total],His_Operacoes_FIIs[Operação],"Provento",His_Operacoes_FIIs[fimmês],Patrimônio!B367)</f>
        <v>0</v>
      </c>
      <c r="N367" s="8">
        <f t="shared" si="26"/>
        <v>0</v>
      </c>
    </row>
    <row r="368" spans="1:14" x14ac:dyDescent="0.35">
      <c r="A368" s="7">
        <v>53509</v>
      </c>
      <c r="B368" s="7">
        <f t="shared" si="23"/>
        <v>53508</v>
      </c>
      <c r="I368" s="8">
        <f t="shared" si="24"/>
        <v>0</v>
      </c>
      <c r="J368" s="8">
        <f t="shared" si="25"/>
        <v>0</v>
      </c>
      <c r="K368" s="8">
        <f>SUMIFS(His_Operacoes_acoes[Total],His_Operacoes_acoes[Fimmes],Patrimônio!B368,His_Operacoes_acoes[Operação],"JCP")
+ SUMIFS(His_Operacoes_acoes[Total],His_Operacoes_acoes[Fimmes],Patrimônio!B368,His_Operacoes_acoes[Operação],"Divid.")
+ SUMIFS(His_Operacoes_acoes[Total],His_Operacoes_acoes[Fimmes],Patrimônio!B368,His_Operacoes_acoes[Operação],"Bonif.")</f>
        <v>0</v>
      </c>
      <c r="L368" s="8">
        <f>SUMIFS(His_Operacoes_BDRs[Total],His_Operacoes_BDRs[Operação],"Provento",His_Operacoes_BDRs[fimmês],Patrimônio!B368)</f>
        <v>0</v>
      </c>
      <c r="M368" s="8">
        <f>SUMIFS(His_Operacoes_FIIs[Total],His_Operacoes_FIIs[Operação],"Provento",His_Operacoes_FIIs[fimmês],Patrimônio!B368)</f>
        <v>0</v>
      </c>
      <c r="N368" s="8">
        <f t="shared" si="26"/>
        <v>0</v>
      </c>
    </row>
    <row r="369" spans="1:14" x14ac:dyDescent="0.35">
      <c r="A369" s="7">
        <v>53540</v>
      </c>
      <c r="B369" s="7">
        <f t="shared" si="23"/>
        <v>53539</v>
      </c>
      <c r="I369" s="8">
        <f t="shared" si="24"/>
        <v>0</v>
      </c>
      <c r="J369" s="8">
        <f t="shared" si="25"/>
        <v>0</v>
      </c>
      <c r="K369" s="8">
        <f>SUMIFS(His_Operacoes_acoes[Total],His_Operacoes_acoes[Fimmes],Patrimônio!B369,His_Operacoes_acoes[Operação],"JCP")
+ SUMIFS(His_Operacoes_acoes[Total],His_Operacoes_acoes[Fimmes],Patrimônio!B369,His_Operacoes_acoes[Operação],"Divid.")
+ SUMIFS(His_Operacoes_acoes[Total],His_Operacoes_acoes[Fimmes],Patrimônio!B369,His_Operacoes_acoes[Operação],"Bonif.")</f>
        <v>0</v>
      </c>
      <c r="L369" s="8">
        <f>SUMIFS(His_Operacoes_BDRs[Total],His_Operacoes_BDRs[Operação],"Provento",His_Operacoes_BDRs[fimmês],Patrimônio!B369)</f>
        <v>0</v>
      </c>
      <c r="M369" s="8">
        <f>SUMIFS(His_Operacoes_FIIs[Total],His_Operacoes_FIIs[Operação],"Provento",His_Operacoes_FIIs[fimmês],Patrimônio!B369)</f>
        <v>0</v>
      </c>
      <c r="N369" s="8">
        <f t="shared" si="26"/>
        <v>0</v>
      </c>
    </row>
    <row r="370" spans="1:14" x14ac:dyDescent="0.35">
      <c r="A370" s="7">
        <v>53571</v>
      </c>
      <c r="B370" s="7">
        <f t="shared" si="23"/>
        <v>53570</v>
      </c>
      <c r="I370" s="8">
        <f t="shared" si="24"/>
        <v>0</v>
      </c>
      <c r="J370" s="8">
        <f t="shared" si="25"/>
        <v>0</v>
      </c>
      <c r="K370" s="8">
        <f>SUMIFS(His_Operacoes_acoes[Total],His_Operacoes_acoes[Fimmes],Patrimônio!B370,His_Operacoes_acoes[Operação],"JCP")
+ SUMIFS(His_Operacoes_acoes[Total],His_Operacoes_acoes[Fimmes],Patrimônio!B370,His_Operacoes_acoes[Operação],"Divid.")
+ SUMIFS(His_Operacoes_acoes[Total],His_Operacoes_acoes[Fimmes],Patrimônio!B370,His_Operacoes_acoes[Operação],"Bonif.")</f>
        <v>0</v>
      </c>
      <c r="L370" s="8">
        <f>SUMIFS(His_Operacoes_BDRs[Total],His_Operacoes_BDRs[Operação],"Provento",His_Operacoes_BDRs[fimmês],Patrimônio!B370)</f>
        <v>0</v>
      </c>
      <c r="M370" s="8">
        <f>SUMIFS(His_Operacoes_FIIs[Total],His_Operacoes_FIIs[Operação],"Provento",His_Operacoes_FIIs[fimmês],Patrimônio!B370)</f>
        <v>0</v>
      </c>
      <c r="N370" s="8">
        <f t="shared" si="26"/>
        <v>0</v>
      </c>
    </row>
    <row r="371" spans="1:14" x14ac:dyDescent="0.35">
      <c r="A371" s="7">
        <v>53601</v>
      </c>
      <c r="B371" s="7">
        <f t="shared" si="23"/>
        <v>53600</v>
      </c>
      <c r="I371" s="8">
        <f t="shared" si="24"/>
        <v>0</v>
      </c>
      <c r="J371" s="8">
        <f t="shared" si="25"/>
        <v>0</v>
      </c>
      <c r="K371" s="8">
        <f>SUMIFS(His_Operacoes_acoes[Total],His_Operacoes_acoes[Fimmes],Patrimônio!B371,His_Operacoes_acoes[Operação],"JCP")
+ SUMIFS(His_Operacoes_acoes[Total],His_Operacoes_acoes[Fimmes],Patrimônio!B371,His_Operacoes_acoes[Operação],"Divid.")
+ SUMIFS(His_Operacoes_acoes[Total],His_Operacoes_acoes[Fimmes],Patrimônio!B371,His_Operacoes_acoes[Operação],"Bonif.")</f>
        <v>0</v>
      </c>
      <c r="L371" s="8">
        <f>SUMIFS(His_Operacoes_BDRs[Total],His_Operacoes_BDRs[Operação],"Provento",His_Operacoes_BDRs[fimmês],Patrimônio!B371)</f>
        <v>0</v>
      </c>
      <c r="M371" s="8">
        <f>SUMIFS(His_Operacoes_FIIs[Total],His_Operacoes_FIIs[Operação],"Provento",His_Operacoes_FIIs[fimmês],Patrimônio!B371)</f>
        <v>0</v>
      </c>
      <c r="N371" s="8">
        <f t="shared" si="26"/>
        <v>0</v>
      </c>
    </row>
    <row r="372" spans="1:14" x14ac:dyDescent="0.35">
      <c r="A372" s="7">
        <v>53632</v>
      </c>
      <c r="B372" s="7">
        <f t="shared" si="23"/>
        <v>53631</v>
      </c>
      <c r="I372" s="8">
        <f t="shared" si="24"/>
        <v>0</v>
      </c>
      <c r="J372" s="8">
        <f t="shared" si="25"/>
        <v>0</v>
      </c>
      <c r="K372" s="8">
        <f>SUMIFS(His_Operacoes_acoes[Total],His_Operacoes_acoes[Fimmes],Patrimônio!B372,His_Operacoes_acoes[Operação],"JCP")
+ SUMIFS(His_Operacoes_acoes[Total],His_Operacoes_acoes[Fimmes],Patrimônio!B372,His_Operacoes_acoes[Operação],"Divid.")
+ SUMIFS(His_Operacoes_acoes[Total],His_Operacoes_acoes[Fimmes],Patrimônio!B372,His_Operacoes_acoes[Operação],"Bonif.")</f>
        <v>0</v>
      </c>
      <c r="L372" s="8">
        <f>SUMIFS(His_Operacoes_BDRs[Total],His_Operacoes_BDRs[Operação],"Provento",His_Operacoes_BDRs[fimmês],Patrimônio!B372)</f>
        <v>0</v>
      </c>
      <c r="M372" s="8">
        <f>SUMIFS(His_Operacoes_FIIs[Total],His_Operacoes_FIIs[Operação],"Provento",His_Operacoes_FIIs[fimmês],Patrimônio!B372)</f>
        <v>0</v>
      </c>
      <c r="N372" s="8">
        <f t="shared" si="26"/>
        <v>0</v>
      </c>
    </row>
    <row r="373" spans="1:14" x14ac:dyDescent="0.35">
      <c r="A373" s="7">
        <v>53662</v>
      </c>
      <c r="B373" s="7">
        <f t="shared" si="23"/>
        <v>53661</v>
      </c>
      <c r="I373" s="8">
        <f t="shared" si="24"/>
        <v>0</v>
      </c>
      <c r="J373" s="8">
        <f t="shared" si="25"/>
        <v>0</v>
      </c>
      <c r="K373" s="8">
        <f>SUMIFS(His_Operacoes_acoes[Total],His_Operacoes_acoes[Fimmes],Patrimônio!B373,His_Operacoes_acoes[Operação],"JCP")
+ SUMIFS(His_Operacoes_acoes[Total],His_Operacoes_acoes[Fimmes],Patrimônio!B373,His_Operacoes_acoes[Operação],"Divid.")
+ SUMIFS(His_Operacoes_acoes[Total],His_Operacoes_acoes[Fimmes],Patrimônio!B373,His_Operacoes_acoes[Operação],"Bonif.")</f>
        <v>0</v>
      </c>
      <c r="L373" s="8">
        <f>SUMIFS(His_Operacoes_BDRs[Total],His_Operacoes_BDRs[Operação],"Provento",His_Operacoes_BDRs[fimmês],Patrimônio!B373)</f>
        <v>0</v>
      </c>
      <c r="M373" s="8">
        <f>SUMIFS(His_Operacoes_FIIs[Total],His_Operacoes_FIIs[Operação],"Provento",His_Operacoes_FIIs[fimmês],Patrimônio!B373)</f>
        <v>0</v>
      </c>
      <c r="N373" s="8">
        <f t="shared" si="26"/>
        <v>0</v>
      </c>
    </row>
    <row r="374" spans="1:14" x14ac:dyDescent="0.35">
      <c r="A374" s="7">
        <v>53693</v>
      </c>
      <c r="B374" s="7">
        <f t="shared" si="23"/>
        <v>53692</v>
      </c>
      <c r="I374" s="8">
        <f t="shared" si="24"/>
        <v>0</v>
      </c>
      <c r="J374" s="8">
        <f t="shared" si="25"/>
        <v>0</v>
      </c>
      <c r="K374" s="8">
        <f>SUMIFS(His_Operacoes_acoes[Total],His_Operacoes_acoes[Fimmes],Patrimônio!B374,His_Operacoes_acoes[Operação],"JCP")
+ SUMIFS(His_Operacoes_acoes[Total],His_Operacoes_acoes[Fimmes],Patrimônio!B374,His_Operacoes_acoes[Operação],"Divid.")
+ SUMIFS(His_Operacoes_acoes[Total],His_Operacoes_acoes[Fimmes],Patrimônio!B374,His_Operacoes_acoes[Operação],"Bonif.")</f>
        <v>0</v>
      </c>
      <c r="L374" s="8">
        <f>SUMIFS(His_Operacoes_BDRs[Total],His_Operacoes_BDRs[Operação],"Provento",His_Operacoes_BDRs[fimmês],Patrimônio!B374)</f>
        <v>0</v>
      </c>
      <c r="M374" s="8">
        <f>SUMIFS(His_Operacoes_FIIs[Total],His_Operacoes_FIIs[Operação],"Provento",His_Operacoes_FIIs[fimmês],Patrimônio!B374)</f>
        <v>0</v>
      </c>
      <c r="N374" s="8">
        <f t="shared" si="26"/>
        <v>0</v>
      </c>
    </row>
    <row r="375" spans="1:14" x14ac:dyDescent="0.35">
      <c r="A375" s="7">
        <v>53724</v>
      </c>
      <c r="B375" s="7">
        <f t="shared" si="23"/>
        <v>53723</v>
      </c>
      <c r="I375" s="8">
        <f t="shared" si="24"/>
        <v>0</v>
      </c>
      <c r="J375" s="8">
        <f t="shared" si="25"/>
        <v>0</v>
      </c>
      <c r="K375" s="8">
        <f>SUMIFS(His_Operacoes_acoes[Total],His_Operacoes_acoes[Fimmes],Patrimônio!B375,His_Operacoes_acoes[Operação],"JCP")
+ SUMIFS(His_Operacoes_acoes[Total],His_Operacoes_acoes[Fimmes],Patrimônio!B375,His_Operacoes_acoes[Operação],"Divid.")
+ SUMIFS(His_Operacoes_acoes[Total],His_Operacoes_acoes[Fimmes],Patrimônio!B375,His_Operacoes_acoes[Operação],"Bonif.")</f>
        <v>0</v>
      </c>
      <c r="L375" s="8">
        <f>SUMIFS(His_Operacoes_BDRs[Total],His_Operacoes_BDRs[Operação],"Provento",His_Operacoes_BDRs[fimmês],Patrimônio!B375)</f>
        <v>0</v>
      </c>
      <c r="M375" s="8">
        <f>SUMIFS(His_Operacoes_FIIs[Total],His_Operacoes_FIIs[Operação],"Provento",His_Operacoes_FIIs[fimmês],Patrimônio!B375)</f>
        <v>0</v>
      </c>
      <c r="N375" s="8">
        <f t="shared" si="26"/>
        <v>0</v>
      </c>
    </row>
    <row r="376" spans="1:14" x14ac:dyDescent="0.35">
      <c r="A376" s="7">
        <v>53752</v>
      </c>
      <c r="B376" s="7">
        <f t="shared" si="23"/>
        <v>53751</v>
      </c>
      <c r="I376" s="8">
        <f t="shared" si="24"/>
        <v>0</v>
      </c>
      <c r="J376" s="8">
        <f t="shared" si="25"/>
        <v>0</v>
      </c>
      <c r="K376" s="8">
        <f>SUMIFS(His_Operacoes_acoes[Total],His_Operacoes_acoes[Fimmes],Patrimônio!B376,His_Operacoes_acoes[Operação],"JCP")
+ SUMIFS(His_Operacoes_acoes[Total],His_Operacoes_acoes[Fimmes],Patrimônio!B376,His_Operacoes_acoes[Operação],"Divid.")
+ SUMIFS(His_Operacoes_acoes[Total],His_Operacoes_acoes[Fimmes],Patrimônio!B376,His_Operacoes_acoes[Operação],"Bonif.")</f>
        <v>0</v>
      </c>
      <c r="L376" s="8">
        <f>SUMIFS(His_Operacoes_BDRs[Total],His_Operacoes_BDRs[Operação],"Provento",His_Operacoes_BDRs[fimmês],Patrimônio!B376)</f>
        <v>0</v>
      </c>
      <c r="M376" s="8">
        <f>SUMIFS(His_Operacoes_FIIs[Total],His_Operacoes_FIIs[Operação],"Provento",His_Operacoes_FIIs[fimmês],Patrimônio!B376)</f>
        <v>0</v>
      </c>
      <c r="N376" s="8">
        <f t="shared" si="26"/>
        <v>0</v>
      </c>
    </row>
    <row r="377" spans="1:14" x14ac:dyDescent="0.35">
      <c r="A377" s="7">
        <v>53783</v>
      </c>
      <c r="B377" s="7">
        <f t="shared" si="23"/>
        <v>53782</v>
      </c>
      <c r="I377" s="8">
        <f t="shared" si="24"/>
        <v>0</v>
      </c>
      <c r="J377" s="8">
        <f t="shared" si="25"/>
        <v>0</v>
      </c>
      <c r="K377" s="8">
        <f>SUMIFS(His_Operacoes_acoes[Total],His_Operacoes_acoes[Fimmes],Patrimônio!B377,His_Operacoes_acoes[Operação],"JCP")
+ SUMIFS(His_Operacoes_acoes[Total],His_Operacoes_acoes[Fimmes],Patrimônio!B377,His_Operacoes_acoes[Operação],"Divid.")
+ SUMIFS(His_Operacoes_acoes[Total],His_Operacoes_acoes[Fimmes],Patrimônio!B377,His_Operacoes_acoes[Operação],"Bonif.")</f>
        <v>0</v>
      </c>
      <c r="L377" s="8">
        <f>SUMIFS(His_Operacoes_BDRs[Total],His_Operacoes_BDRs[Operação],"Provento",His_Operacoes_BDRs[fimmês],Patrimônio!B377)</f>
        <v>0</v>
      </c>
      <c r="M377" s="8">
        <f>SUMIFS(His_Operacoes_FIIs[Total],His_Operacoes_FIIs[Operação],"Provento",His_Operacoes_FIIs[fimmês],Patrimônio!B377)</f>
        <v>0</v>
      </c>
      <c r="N377" s="8">
        <f t="shared" si="26"/>
        <v>0</v>
      </c>
    </row>
    <row r="378" spans="1:14" x14ac:dyDescent="0.35">
      <c r="A378" s="7">
        <v>53813</v>
      </c>
      <c r="B378" s="7">
        <f t="shared" si="23"/>
        <v>53812</v>
      </c>
      <c r="I378" s="8">
        <f t="shared" si="24"/>
        <v>0</v>
      </c>
      <c r="J378" s="8">
        <f t="shared" si="25"/>
        <v>0</v>
      </c>
      <c r="K378" s="8">
        <f>SUMIFS(His_Operacoes_acoes[Total],His_Operacoes_acoes[Fimmes],Patrimônio!B378,His_Operacoes_acoes[Operação],"JCP")
+ SUMIFS(His_Operacoes_acoes[Total],His_Operacoes_acoes[Fimmes],Patrimônio!B378,His_Operacoes_acoes[Operação],"Divid.")
+ SUMIFS(His_Operacoes_acoes[Total],His_Operacoes_acoes[Fimmes],Patrimônio!B378,His_Operacoes_acoes[Operação],"Bonif.")</f>
        <v>0</v>
      </c>
      <c r="L378" s="8">
        <f>SUMIFS(His_Operacoes_BDRs[Total],His_Operacoes_BDRs[Operação],"Provento",His_Operacoes_BDRs[fimmês],Patrimônio!B378)</f>
        <v>0</v>
      </c>
      <c r="M378" s="8">
        <f>SUMIFS(His_Operacoes_FIIs[Total],His_Operacoes_FIIs[Operação],"Provento",His_Operacoes_FIIs[fimmês],Patrimônio!B378)</f>
        <v>0</v>
      </c>
      <c r="N378" s="8">
        <f t="shared" si="26"/>
        <v>0</v>
      </c>
    </row>
    <row r="379" spans="1:14" x14ac:dyDescent="0.35">
      <c r="A379" s="7">
        <v>53844</v>
      </c>
      <c r="B379" s="7">
        <f t="shared" si="23"/>
        <v>53843</v>
      </c>
      <c r="I379" s="8">
        <f t="shared" si="24"/>
        <v>0</v>
      </c>
      <c r="J379" s="8">
        <f t="shared" si="25"/>
        <v>0</v>
      </c>
      <c r="K379" s="8">
        <f>SUMIFS(His_Operacoes_acoes[Total],His_Operacoes_acoes[Fimmes],Patrimônio!B379,His_Operacoes_acoes[Operação],"JCP")
+ SUMIFS(His_Operacoes_acoes[Total],His_Operacoes_acoes[Fimmes],Patrimônio!B379,His_Operacoes_acoes[Operação],"Divid.")
+ SUMIFS(His_Operacoes_acoes[Total],His_Operacoes_acoes[Fimmes],Patrimônio!B379,His_Operacoes_acoes[Operação],"Bonif.")</f>
        <v>0</v>
      </c>
      <c r="L379" s="8">
        <f>SUMIFS(His_Operacoes_BDRs[Total],His_Operacoes_BDRs[Operação],"Provento",His_Operacoes_BDRs[fimmês],Patrimônio!B379)</f>
        <v>0</v>
      </c>
      <c r="M379" s="8">
        <f>SUMIFS(His_Operacoes_FIIs[Total],His_Operacoes_FIIs[Operação],"Provento",His_Operacoes_FIIs[fimmês],Patrimônio!B379)</f>
        <v>0</v>
      </c>
      <c r="N379" s="8">
        <f t="shared" si="26"/>
        <v>0</v>
      </c>
    </row>
    <row r="380" spans="1:14" x14ac:dyDescent="0.35">
      <c r="A380" s="7">
        <v>53874</v>
      </c>
      <c r="B380" s="7">
        <f t="shared" si="23"/>
        <v>53873</v>
      </c>
      <c r="I380" s="8">
        <f t="shared" si="24"/>
        <v>0</v>
      </c>
      <c r="J380" s="8">
        <f t="shared" si="25"/>
        <v>0</v>
      </c>
      <c r="K380" s="8">
        <f>SUMIFS(His_Operacoes_acoes[Total],His_Operacoes_acoes[Fimmes],Patrimônio!B380,His_Operacoes_acoes[Operação],"JCP")
+ SUMIFS(His_Operacoes_acoes[Total],His_Operacoes_acoes[Fimmes],Patrimônio!B380,His_Operacoes_acoes[Operação],"Divid.")
+ SUMIFS(His_Operacoes_acoes[Total],His_Operacoes_acoes[Fimmes],Patrimônio!B380,His_Operacoes_acoes[Operação],"Bonif.")</f>
        <v>0</v>
      </c>
      <c r="L380" s="8">
        <f>SUMIFS(His_Operacoes_BDRs[Total],His_Operacoes_BDRs[Operação],"Provento",His_Operacoes_BDRs[fimmês],Patrimônio!B380)</f>
        <v>0</v>
      </c>
      <c r="M380" s="8">
        <f>SUMIFS(His_Operacoes_FIIs[Total],His_Operacoes_FIIs[Operação],"Provento",His_Operacoes_FIIs[fimmês],Patrimônio!B380)</f>
        <v>0</v>
      </c>
      <c r="N380" s="8">
        <f t="shared" si="26"/>
        <v>0</v>
      </c>
    </row>
    <row r="381" spans="1:14" x14ac:dyDescent="0.35">
      <c r="A381" s="7">
        <v>53905</v>
      </c>
      <c r="B381" s="7">
        <f t="shared" si="23"/>
        <v>53904</v>
      </c>
      <c r="I381" s="8">
        <f t="shared" si="24"/>
        <v>0</v>
      </c>
      <c r="J381" s="8">
        <f t="shared" si="25"/>
        <v>0</v>
      </c>
      <c r="K381" s="8">
        <f>SUMIFS(His_Operacoes_acoes[Total],His_Operacoes_acoes[Fimmes],Patrimônio!B381,His_Operacoes_acoes[Operação],"JCP")
+ SUMIFS(His_Operacoes_acoes[Total],His_Operacoes_acoes[Fimmes],Patrimônio!B381,His_Operacoes_acoes[Operação],"Divid.")
+ SUMIFS(His_Operacoes_acoes[Total],His_Operacoes_acoes[Fimmes],Patrimônio!B381,His_Operacoes_acoes[Operação],"Bonif.")</f>
        <v>0</v>
      </c>
      <c r="L381" s="8">
        <f>SUMIFS(His_Operacoes_BDRs[Total],His_Operacoes_BDRs[Operação],"Provento",His_Operacoes_BDRs[fimmês],Patrimônio!B381)</f>
        <v>0</v>
      </c>
      <c r="M381" s="8">
        <f>SUMIFS(His_Operacoes_FIIs[Total],His_Operacoes_FIIs[Operação],"Provento",His_Operacoes_FIIs[fimmês],Patrimônio!B381)</f>
        <v>0</v>
      </c>
      <c r="N381" s="8">
        <f t="shared" si="26"/>
        <v>0</v>
      </c>
    </row>
    <row r="382" spans="1:14" x14ac:dyDescent="0.35">
      <c r="A382" s="7">
        <v>53936</v>
      </c>
      <c r="B382" s="7">
        <f t="shared" si="23"/>
        <v>53935</v>
      </c>
      <c r="I382" s="8">
        <f t="shared" si="24"/>
        <v>0</v>
      </c>
      <c r="J382" s="8">
        <f t="shared" si="25"/>
        <v>0</v>
      </c>
      <c r="K382" s="8">
        <f>SUMIFS(His_Operacoes_acoes[Total],His_Operacoes_acoes[Fimmes],Patrimônio!B382,His_Operacoes_acoes[Operação],"JCP")
+ SUMIFS(His_Operacoes_acoes[Total],His_Operacoes_acoes[Fimmes],Patrimônio!B382,His_Operacoes_acoes[Operação],"Divid.")
+ SUMIFS(His_Operacoes_acoes[Total],His_Operacoes_acoes[Fimmes],Patrimônio!B382,His_Operacoes_acoes[Operação],"Bonif.")</f>
        <v>0</v>
      </c>
      <c r="L382" s="8">
        <f>SUMIFS(His_Operacoes_BDRs[Total],His_Operacoes_BDRs[Operação],"Provento",His_Operacoes_BDRs[fimmês],Patrimônio!B382)</f>
        <v>0</v>
      </c>
      <c r="M382" s="8">
        <f>SUMIFS(His_Operacoes_FIIs[Total],His_Operacoes_FIIs[Operação],"Provento",His_Operacoes_FIIs[fimmês],Patrimônio!B382)</f>
        <v>0</v>
      </c>
      <c r="N382" s="8">
        <f t="shared" si="26"/>
        <v>0</v>
      </c>
    </row>
    <row r="383" spans="1:14" x14ac:dyDescent="0.35">
      <c r="A383" s="7">
        <v>53966</v>
      </c>
      <c r="B383" s="7">
        <f t="shared" si="23"/>
        <v>53965</v>
      </c>
      <c r="I383" s="8">
        <f t="shared" si="24"/>
        <v>0</v>
      </c>
      <c r="J383" s="8">
        <f t="shared" si="25"/>
        <v>0</v>
      </c>
      <c r="K383" s="8">
        <f>SUMIFS(His_Operacoes_acoes[Total],His_Operacoes_acoes[Fimmes],Patrimônio!B383,His_Operacoes_acoes[Operação],"JCP")
+ SUMIFS(His_Operacoes_acoes[Total],His_Operacoes_acoes[Fimmes],Patrimônio!B383,His_Operacoes_acoes[Operação],"Divid.")
+ SUMIFS(His_Operacoes_acoes[Total],His_Operacoes_acoes[Fimmes],Patrimônio!B383,His_Operacoes_acoes[Operação],"Bonif.")</f>
        <v>0</v>
      </c>
      <c r="L383" s="8">
        <f>SUMIFS(His_Operacoes_BDRs[Total],His_Operacoes_BDRs[Operação],"Provento",His_Operacoes_BDRs[fimmês],Patrimônio!B383)</f>
        <v>0</v>
      </c>
      <c r="M383" s="8">
        <f>SUMIFS(His_Operacoes_FIIs[Total],His_Operacoes_FIIs[Operação],"Provento",His_Operacoes_FIIs[fimmês],Patrimônio!B383)</f>
        <v>0</v>
      </c>
      <c r="N383" s="8">
        <f t="shared" si="26"/>
        <v>0</v>
      </c>
    </row>
    <row r="384" spans="1:14" x14ac:dyDescent="0.35">
      <c r="A384" s="7">
        <v>53997</v>
      </c>
      <c r="B384" s="7">
        <f t="shared" si="23"/>
        <v>53996</v>
      </c>
      <c r="I384" s="8">
        <f t="shared" si="24"/>
        <v>0</v>
      </c>
      <c r="J384" s="8">
        <f t="shared" si="25"/>
        <v>0</v>
      </c>
      <c r="K384" s="8">
        <f>SUMIFS(His_Operacoes_acoes[Total],His_Operacoes_acoes[Fimmes],Patrimônio!B384,His_Operacoes_acoes[Operação],"JCP")
+ SUMIFS(His_Operacoes_acoes[Total],His_Operacoes_acoes[Fimmes],Patrimônio!B384,His_Operacoes_acoes[Operação],"Divid.")
+ SUMIFS(His_Operacoes_acoes[Total],His_Operacoes_acoes[Fimmes],Patrimônio!B384,His_Operacoes_acoes[Operação],"Bonif.")</f>
        <v>0</v>
      </c>
      <c r="L384" s="8">
        <f>SUMIFS(His_Operacoes_BDRs[Total],His_Operacoes_BDRs[Operação],"Provento",His_Operacoes_BDRs[fimmês],Patrimônio!B384)</f>
        <v>0</v>
      </c>
      <c r="M384" s="8">
        <f>SUMIFS(His_Operacoes_FIIs[Total],His_Operacoes_FIIs[Operação],"Provento",His_Operacoes_FIIs[fimmês],Patrimônio!B384)</f>
        <v>0</v>
      </c>
      <c r="N384" s="8">
        <f t="shared" si="26"/>
        <v>0</v>
      </c>
    </row>
    <row r="385" spans="1:14" x14ac:dyDescent="0.35">
      <c r="A385" s="7">
        <v>54027</v>
      </c>
      <c r="B385" s="7">
        <f t="shared" si="23"/>
        <v>54026</v>
      </c>
      <c r="I385" s="8">
        <f t="shared" si="24"/>
        <v>0</v>
      </c>
      <c r="J385" s="8">
        <f t="shared" si="25"/>
        <v>0</v>
      </c>
      <c r="K385" s="8">
        <f>SUMIFS(His_Operacoes_acoes[Total],His_Operacoes_acoes[Fimmes],Patrimônio!B385,His_Operacoes_acoes[Operação],"JCP")
+ SUMIFS(His_Operacoes_acoes[Total],His_Operacoes_acoes[Fimmes],Patrimônio!B385,His_Operacoes_acoes[Operação],"Divid.")
+ SUMIFS(His_Operacoes_acoes[Total],His_Operacoes_acoes[Fimmes],Patrimônio!B385,His_Operacoes_acoes[Operação],"Bonif.")</f>
        <v>0</v>
      </c>
      <c r="L385" s="8">
        <f>SUMIFS(His_Operacoes_BDRs[Total],His_Operacoes_BDRs[Operação],"Provento",His_Operacoes_BDRs[fimmês],Patrimônio!B385)</f>
        <v>0</v>
      </c>
      <c r="M385" s="8">
        <f>SUMIFS(His_Operacoes_FIIs[Total],His_Operacoes_FIIs[Operação],"Provento",His_Operacoes_FIIs[fimmês],Patrimônio!B385)</f>
        <v>0</v>
      </c>
      <c r="N385" s="8">
        <f t="shared" si="26"/>
        <v>0</v>
      </c>
    </row>
    <row r="386" spans="1:14" x14ac:dyDescent="0.35">
      <c r="A386" s="7">
        <v>54058</v>
      </c>
      <c r="B386" s="7">
        <f t="shared" si="23"/>
        <v>54057</v>
      </c>
      <c r="I386" s="8">
        <f t="shared" si="24"/>
        <v>0</v>
      </c>
      <c r="J386" s="8">
        <f t="shared" si="25"/>
        <v>0</v>
      </c>
      <c r="K386" s="8">
        <f>SUMIFS(His_Operacoes_acoes[Total],His_Operacoes_acoes[Fimmes],Patrimônio!B386,His_Operacoes_acoes[Operação],"JCP")
+ SUMIFS(His_Operacoes_acoes[Total],His_Operacoes_acoes[Fimmes],Patrimônio!B386,His_Operacoes_acoes[Operação],"Divid.")
+ SUMIFS(His_Operacoes_acoes[Total],His_Operacoes_acoes[Fimmes],Patrimônio!B386,His_Operacoes_acoes[Operação],"Bonif.")</f>
        <v>0</v>
      </c>
      <c r="L386" s="8">
        <f>SUMIFS(His_Operacoes_BDRs[Total],His_Operacoes_BDRs[Operação],"Provento",His_Operacoes_BDRs[fimmês],Patrimônio!B386)</f>
        <v>0</v>
      </c>
      <c r="M386" s="8">
        <f>SUMIFS(His_Operacoes_FIIs[Total],His_Operacoes_FIIs[Operação],"Provento",His_Operacoes_FIIs[fimmês],Patrimônio!B386)</f>
        <v>0</v>
      </c>
      <c r="N386" s="8">
        <f t="shared" si="26"/>
        <v>0</v>
      </c>
    </row>
    <row r="387" spans="1:14" x14ac:dyDescent="0.35">
      <c r="A387" s="7">
        <v>54089</v>
      </c>
      <c r="B387" s="7">
        <f t="shared" ref="B387:B450" si="27">EOMONTH(A387,-1)</f>
        <v>54088</v>
      </c>
      <c r="I387" s="8">
        <f t="shared" ref="I387:I450" si="28">SUM(C387,E387,G387)</f>
        <v>0</v>
      </c>
      <c r="J387" s="8">
        <f t="shared" ref="J387:J450" si="29">SUM(D387,F387,H387)</f>
        <v>0</v>
      </c>
      <c r="K387" s="8">
        <f>SUMIFS(His_Operacoes_acoes[Total],His_Operacoes_acoes[Fimmes],Patrimônio!B387,His_Operacoes_acoes[Operação],"JCP")
+ SUMIFS(His_Operacoes_acoes[Total],His_Operacoes_acoes[Fimmes],Patrimônio!B387,His_Operacoes_acoes[Operação],"Divid.")
+ SUMIFS(His_Operacoes_acoes[Total],His_Operacoes_acoes[Fimmes],Patrimônio!B387,His_Operacoes_acoes[Operação],"Bonif.")</f>
        <v>0</v>
      </c>
      <c r="L387" s="8">
        <f>SUMIFS(His_Operacoes_BDRs[Total],His_Operacoes_BDRs[Operação],"Provento",His_Operacoes_BDRs[fimmês],Patrimônio!B387)</f>
        <v>0</v>
      </c>
      <c r="M387" s="8">
        <f>SUMIFS(His_Operacoes_FIIs[Total],His_Operacoes_FIIs[Operação],"Provento",His_Operacoes_FIIs[fimmês],Patrimônio!B387)</f>
        <v>0</v>
      </c>
      <c r="N387" s="8">
        <f t="shared" ref="N387:N450" si="30">SUM(K387:M387)</f>
        <v>0</v>
      </c>
    </row>
    <row r="388" spans="1:14" x14ac:dyDescent="0.35">
      <c r="A388" s="7">
        <v>54118</v>
      </c>
      <c r="B388" s="7">
        <f t="shared" si="27"/>
        <v>54117</v>
      </c>
      <c r="I388" s="8">
        <f t="shared" si="28"/>
        <v>0</v>
      </c>
      <c r="J388" s="8">
        <f t="shared" si="29"/>
        <v>0</v>
      </c>
      <c r="K388" s="8">
        <f>SUMIFS(His_Operacoes_acoes[Total],His_Operacoes_acoes[Fimmes],Patrimônio!B388,His_Operacoes_acoes[Operação],"JCP")
+ SUMIFS(His_Operacoes_acoes[Total],His_Operacoes_acoes[Fimmes],Patrimônio!B388,His_Operacoes_acoes[Operação],"Divid.")
+ SUMIFS(His_Operacoes_acoes[Total],His_Operacoes_acoes[Fimmes],Patrimônio!B388,His_Operacoes_acoes[Operação],"Bonif.")</f>
        <v>0</v>
      </c>
      <c r="L388" s="8">
        <f>SUMIFS(His_Operacoes_BDRs[Total],His_Operacoes_BDRs[Operação],"Provento",His_Operacoes_BDRs[fimmês],Patrimônio!B388)</f>
        <v>0</v>
      </c>
      <c r="M388" s="8">
        <f>SUMIFS(His_Operacoes_FIIs[Total],His_Operacoes_FIIs[Operação],"Provento",His_Operacoes_FIIs[fimmês],Patrimônio!B388)</f>
        <v>0</v>
      </c>
      <c r="N388" s="8">
        <f t="shared" si="30"/>
        <v>0</v>
      </c>
    </row>
    <row r="389" spans="1:14" x14ac:dyDescent="0.35">
      <c r="A389" s="7">
        <v>54149</v>
      </c>
      <c r="B389" s="7">
        <f t="shared" si="27"/>
        <v>54148</v>
      </c>
      <c r="I389" s="8">
        <f t="shared" si="28"/>
        <v>0</v>
      </c>
      <c r="J389" s="8">
        <f t="shared" si="29"/>
        <v>0</v>
      </c>
      <c r="K389" s="8">
        <f>SUMIFS(His_Operacoes_acoes[Total],His_Operacoes_acoes[Fimmes],Patrimônio!B389,His_Operacoes_acoes[Operação],"JCP")
+ SUMIFS(His_Operacoes_acoes[Total],His_Operacoes_acoes[Fimmes],Patrimônio!B389,His_Operacoes_acoes[Operação],"Divid.")
+ SUMIFS(His_Operacoes_acoes[Total],His_Operacoes_acoes[Fimmes],Patrimônio!B389,His_Operacoes_acoes[Operação],"Bonif.")</f>
        <v>0</v>
      </c>
      <c r="L389" s="8">
        <f>SUMIFS(His_Operacoes_BDRs[Total],His_Operacoes_BDRs[Operação],"Provento",His_Operacoes_BDRs[fimmês],Patrimônio!B389)</f>
        <v>0</v>
      </c>
      <c r="M389" s="8">
        <f>SUMIFS(His_Operacoes_FIIs[Total],His_Operacoes_FIIs[Operação],"Provento",His_Operacoes_FIIs[fimmês],Patrimônio!B389)</f>
        <v>0</v>
      </c>
      <c r="N389" s="8">
        <f t="shared" si="30"/>
        <v>0</v>
      </c>
    </row>
    <row r="390" spans="1:14" x14ac:dyDescent="0.35">
      <c r="A390" s="7">
        <v>54179</v>
      </c>
      <c r="B390" s="7">
        <f t="shared" si="27"/>
        <v>54178</v>
      </c>
      <c r="I390" s="8">
        <f t="shared" si="28"/>
        <v>0</v>
      </c>
      <c r="J390" s="8">
        <f t="shared" si="29"/>
        <v>0</v>
      </c>
      <c r="K390" s="8">
        <f>SUMIFS(His_Operacoes_acoes[Total],His_Operacoes_acoes[Fimmes],Patrimônio!B390,His_Operacoes_acoes[Operação],"JCP")
+ SUMIFS(His_Operacoes_acoes[Total],His_Operacoes_acoes[Fimmes],Patrimônio!B390,His_Operacoes_acoes[Operação],"Divid.")
+ SUMIFS(His_Operacoes_acoes[Total],His_Operacoes_acoes[Fimmes],Patrimônio!B390,His_Operacoes_acoes[Operação],"Bonif.")</f>
        <v>0</v>
      </c>
      <c r="L390" s="8">
        <f>SUMIFS(His_Operacoes_BDRs[Total],His_Operacoes_BDRs[Operação],"Provento",His_Operacoes_BDRs[fimmês],Patrimônio!B390)</f>
        <v>0</v>
      </c>
      <c r="M390" s="8">
        <f>SUMIFS(His_Operacoes_FIIs[Total],His_Operacoes_FIIs[Operação],"Provento",His_Operacoes_FIIs[fimmês],Patrimônio!B390)</f>
        <v>0</v>
      </c>
      <c r="N390" s="8">
        <f t="shared" si="30"/>
        <v>0</v>
      </c>
    </row>
    <row r="391" spans="1:14" x14ac:dyDescent="0.35">
      <c r="A391" s="7">
        <v>54210</v>
      </c>
      <c r="B391" s="7">
        <f t="shared" si="27"/>
        <v>54209</v>
      </c>
      <c r="I391" s="8">
        <f t="shared" si="28"/>
        <v>0</v>
      </c>
      <c r="J391" s="8">
        <f t="shared" si="29"/>
        <v>0</v>
      </c>
      <c r="K391" s="8">
        <f>SUMIFS(His_Operacoes_acoes[Total],His_Operacoes_acoes[Fimmes],Patrimônio!B391,His_Operacoes_acoes[Operação],"JCP")
+ SUMIFS(His_Operacoes_acoes[Total],His_Operacoes_acoes[Fimmes],Patrimônio!B391,His_Operacoes_acoes[Operação],"Divid.")
+ SUMIFS(His_Operacoes_acoes[Total],His_Operacoes_acoes[Fimmes],Patrimônio!B391,His_Operacoes_acoes[Operação],"Bonif.")</f>
        <v>0</v>
      </c>
      <c r="L391" s="8">
        <f>SUMIFS(His_Operacoes_BDRs[Total],His_Operacoes_BDRs[Operação],"Provento",His_Operacoes_BDRs[fimmês],Patrimônio!B391)</f>
        <v>0</v>
      </c>
      <c r="M391" s="8">
        <f>SUMIFS(His_Operacoes_FIIs[Total],His_Operacoes_FIIs[Operação],"Provento",His_Operacoes_FIIs[fimmês],Patrimônio!B391)</f>
        <v>0</v>
      </c>
      <c r="N391" s="8">
        <f t="shared" si="30"/>
        <v>0</v>
      </c>
    </row>
    <row r="392" spans="1:14" x14ac:dyDescent="0.35">
      <c r="A392" s="7">
        <v>54240</v>
      </c>
      <c r="B392" s="7">
        <f t="shared" si="27"/>
        <v>54239</v>
      </c>
      <c r="I392" s="8">
        <f t="shared" si="28"/>
        <v>0</v>
      </c>
      <c r="J392" s="8">
        <f t="shared" si="29"/>
        <v>0</v>
      </c>
      <c r="K392" s="8">
        <f>SUMIFS(His_Operacoes_acoes[Total],His_Operacoes_acoes[Fimmes],Patrimônio!B392,His_Operacoes_acoes[Operação],"JCP")
+ SUMIFS(His_Operacoes_acoes[Total],His_Operacoes_acoes[Fimmes],Patrimônio!B392,His_Operacoes_acoes[Operação],"Divid.")
+ SUMIFS(His_Operacoes_acoes[Total],His_Operacoes_acoes[Fimmes],Patrimônio!B392,His_Operacoes_acoes[Operação],"Bonif.")</f>
        <v>0</v>
      </c>
      <c r="L392" s="8">
        <f>SUMIFS(His_Operacoes_BDRs[Total],His_Operacoes_BDRs[Operação],"Provento",His_Operacoes_BDRs[fimmês],Patrimônio!B392)</f>
        <v>0</v>
      </c>
      <c r="M392" s="8">
        <f>SUMIFS(His_Operacoes_FIIs[Total],His_Operacoes_FIIs[Operação],"Provento",His_Operacoes_FIIs[fimmês],Patrimônio!B392)</f>
        <v>0</v>
      </c>
      <c r="N392" s="8">
        <f t="shared" si="30"/>
        <v>0</v>
      </c>
    </row>
    <row r="393" spans="1:14" x14ac:dyDescent="0.35">
      <c r="A393" s="7">
        <v>54271</v>
      </c>
      <c r="B393" s="7">
        <f t="shared" si="27"/>
        <v>54270</v>
      </c>
      <c r="I393" s="8">
        <f t="shared" si="28"/>
        <v>0</v>
      </c>
      <c r="J393" s="8">
        <f t="shared" si="29"/>
        <v>0</v>
      </c>
      <c r="K393" s="8">
        <f>SUMIFS(His_Operacoes_acoes[Total],His_Operacoes_acoes[Fimmes],Patrimônio!B393,His_Operacoes_acoes[Operação],"JCP")
+ SUMIFS(His_Operacoes_acoes[Total],His_Operacoes_acoes[Fimmes],Patrimônio!B393,His_Operacoes_acoes[Operação],"Divid.")
+ SUMIFS(His_Operacoes_acoes[Total],His_Operacoes_acoes[Fimmes],Patrimônio!B393,His_Operacoes_acoes[Operação],"Bonif.")</f>
        <v>0</v>
      </c>
      <c r="L393" s="8">
        <f>SUMIFS(His_Operacoes_BDRs[Total],His_Operacoes_BDRs[Operação],"Provento",His_Operacoes_BDRs[fimmês],Patrimônio!B393)</f>
        <v>0</v>
      </c>
      <c r="M393" s="8">
        <f>SUMIFS(His_Operacoes_FIIs[Total],His_Operacoes_FIIs[Operação],"Provento",His_Operacoes_FIIs[fimmês],Patrimônio!B393)</f>
        <v>0</v>
      </c>
      <c r="N393" s="8">
        <f t="shared" si="30"/>
        <v>0</v>
      </c>
    </row>
    <row r="394" spans="1:14" x14ac:dyDescent="0.35">
      <c r="A394" s="7">
        <v>54302</v>
      </c>
      <c r="B394" s="7">
        <f t="shared" si="27"/>
        <v>54301</v>
      </c>
      <c r="I394" s="8">
        <f t="shared" si="28"/>
        <v>0</v>
      </c>
      <c r="J394" s="8">
        <f t="shared" si="29"/>
        <v>0</v>
      </c>
      <c r="K394" s="8">
        <f>SUMIFS(His_Operacoes_acoes[Total],His_Operacoes_acoes[Fimmes],Patrimônio!B394,His_Operacoes_acoes[Operação],"JCP")
+ SUMIFS(His_Operacoes_acoes[Total],His_Operacoes_acoes[Fimmes],Patrimônio!B394,His_Operacoes_acoes[Operação],"Divid.")
+ SUMIFS(His_Operacoes_acoes[Total],His_Operacoes_acoes[Fimmes],Patrimônio!B394,His_Operacoes_acoes[Operação],"Bonif.")</f>
        <v>0</v>
      </c>
      <c r="L394" s="8">
        <f>SUMIFS(His_Operacoes_BDRs[Total],His_Operacoes_BDRs[Operação],"Provento",His_Operacoes_BDRs[fimmês],Patrimônio!B394)</f>
        <v>0</v>
      </c>
      <c r="M394" s="8">
        <f>SUMIFS(His_Operacoes_FIIs[Total],His_Operacoes_FIIs[Operação],"Provento",His_Operacoes_FIIs[fimmês],Patrimônio!B394)</f>
        <v>0</v>
      </c>
      <c r="N394" s="8">
        <f t="shared" si="30"/>
        <v>0</v>
      </c>
    </row>
    <row r="395" spans="1:14" x14ac:dyDescent="0.35">
      <c r="A395" s="7">
        <v>54332</v>
      </c>
      <c r="B395" s="7">
        <f t="shared" si="27"/>
        <v>54331</v>
      </c>
      <c r="I395" s="8">
        <f t="shared" si="28"/>
        <v>0</v>
      </c>
      <c r="J395" s="8">
        <f t="shared" si="29"/>
        <v>0</v>
      </c>
      <c r="K395" s="8">
        <f>SUMIFS(His_Operacoes_acoes[Total],His_Operacoes_acoes[Fimmes],Patrimônio!B395,His_Operacoes_acoes[Operação],"JCP")
+ SUMIFS(His_Operacoes_acoes[Total],His_Operacoes_acoes[Fimmes],Patrimônio!B395,His_Operacoes_acoes[Operação],"Divid.")
+ SUMIFS(His_Operacoes_acoes[Total],His_Operacoes_acoes[Fimmes],Patrimônio!B395,His_Operacoes_acoes[Operação],"Bonif.")</f>
        <v>0</v>
      </c>
      <c r="L395" s="8">
        <f>SUMIFS(His_Operacoes_BDRs[Total],His_Operacoes_BDRs[Operação],"Provento",His_Operacoes_BDRs[fimmês],Patrimônio!B395)</f>
        <v>0</v>
      </c>
      <c r="M395" s="8">
        <f>SUMIFS(His_Operacoes_FIIs[Total],His_Operacoes_FIIs[Operação],"Provento",His_Operacoes_FIIs[fimmês],Patrimônio!B395)</f>
        <v>0</v>
      </c>
      <c r="N395" s="8">
        <f t="shared" si="30"/>
        <v>0</v>
      </c>
    </row>
    <row r="396" spans="1:14" x14ac:dyDescent="0.35">
      <c r="A396" s="7">
        <v>54363</v>
      </c>
      <c r="B396" s="7">
        <f t="shared" si="27"/>
        <v>54362</v>
      </c>
      <c r="I396" s="8">
        <f t="shared" si="28"/>
        <v>0</v>
      </c>
      <c r="J396" s="8">
        <f t="shared" si="29"/>
        <v>0</v>
      </c>
      <c r="K396" s="8">
        <f>SUMIFS(His_Operacoes_acoes[Total],His_Operacoes_acoes[Fimmes],Patrimônio!B396,His_Operacoes_acoes[Operação],"JCP")
+ SUMIFS(His_Operacoes_acoes[Total],His_Operacoes_acoes[Fimmes],Patrimônio!B396,His_Operacoes_acoes[Operação],"Divid.")
+ SUMIFS(His_Operacoes_acoes[Total],His_Operacoes_acoes[Fimmes],Patrimônio!B396,His_Operacoes_acoes[Operação],"Bonif.")</f>
        <v>0</v>
      </c>
      <c r="L396" s="8">
        <f>SUMIFS(His_Operacoes_BDRs[Total],His_Operacoes_BDRs[Operação],"Provento",His_Operacoes_BDRs[fimmês],Patrimônio!B396)</f>
        <v>0</v>
      </c>
      <c r="M396" s="8">
        <f>SUMIFS(His_Operacoes_FIIs[Total],His_Operacoes_FIIs[Operação],"Provento",His_Operacoes_FIIs[fimmês],Patrimônio!B396)</f>
        <v>0</v>
      </c>
      <c r="N396" s="8">
        <f t="shared" si="30"/>
        <v>0</v>
      </c>
    </row>
    <row r="397" spans="1:14" x14ac:dyDescent="0.35">
      <c r="A397" s="7">
        <v>54393</v>
      </c>
      <c r="B397" s="7">
        <f t="shared" si="27"/>
        <v>54392</v>
      </c>
      <c r="I397" s="8">
        <f t="shared" si="28"/>
        <v>0</v>
      </c>
      <c r="J397" s="8">
        <f t="shared" si="29"/>
        <v>0</v>
      </c>
      <c r="K397" s="8">
        <f>SUMIFS(His_Operacoes_acoes[Total],His_Operacoes_acoes[Fimmes],Patrimônio!B397,His_Operacoes_acoes[Operação],"JCP")
+ SUMIFS(His_Operacoes_acoes[Total],His_Operacoes_acoes[Fimmes],Patrimônio!B397,His_Operacoes_acoes[Operação],"Divid.")
+ SUMIFS(His_Operacoes_acoes[Total],His_Operacoes_acoes[Fimmes],Patrimônio!B397,His_Operacoes_acoes[Operação],"Bonif.")</f>
        <v>0</v>
      </c>
      <c r="L397" s="8">
        <f>SUMIFS(His_Operacoes_BDRs[Total],His_Operacoes_BDRs[Operação],"Provento",His_Operacoes_BDRs[fimmês],Patrimônio!B397)</f>
        <v>0</v>
      </c>
      <c r="M397" s="8">
        <f>SUMIFS(His_Operacoes_FIIs[Total],His_Operacoes_FIIs[Operação],"Provento",His_Operacoes_FIIs[fimmês],Patrimônio!B397)</f>
        <v>0</v>
      </c>
      <c r="N397" s="8">
        <f t="shared" si="30"/>
        <v>0</v>
      </c>
    </row>
    <row r="398" spans="1:14" x14ac:dyDescent="0.35">
      <c r="A398" s="7">
        <v>54424</v>
      </c>
      <c r="B398" s="7">
        <f t="shared" si="27"/>
        <v>54423</v>
      </c>
      <c r="I398" s="8">
        <f t="shared" si="28"/>
        <v>0</v>
      </c>
      <c r="J398" s="8">
        <f t="shared" si="29"/>
        <v>0</v>
      </c>
      <c r="K398" s="8">
        <f>SUMIFS(His_Operacoes_acoes[Total],His_Operacoes_acoes[Fimmes],Patrimônio!B398,His_Operacoes_acoes[Operação],"JCP")
+ SUMIFS(His_Operacoes_acoes[Total],His_Operacoes_acoes[Fimmes],Patrimônio!B398,His_Operacoes_acoes[Operação],"Divid.")
+ SUMIFS(His_Operacoes_acoes[Total],His_Operacoes_acoes[Fimmes],Patrimônio!B398,His_Operacoes_acoes[Operação],"Bonif.")</f>
        <v>0</v>
      </c>
      <c r="L398" s="8">
        <f>SUMIFS(His_Operacoes_BDRs[Total],His_Operacoes_BDRs[Operação],"Provento",His_Operacoes_BDRs[fimmês],Patrimônio!B398)</f>
        <v>0</v>
      </c>
      <c r="M398" s="8">
        <f>SUMIFS(His_Operacoes_FIIs[Total],His_Operacoes_FIIs[Operação],"Provento",His_Operacoes_FIIs[fimmês],Patrimônio!B398)</f>
        <v>0</v>
      </c>
      <c r="N398" s="8">
        <f t="shared" si="30"/>
        <v>0</v>
      </c>
    </row>
    <row r="399" spans="1:14" x14ac:dyDescent="0.35">
      <c r="A399" s="7">
        <v>54455</v>
      </c>
      <c r="B399" s="7">
        <f t="shared" si="27"/>
        <v>54454</v>
      </c>
      <c r="I399" s="8">
        <f t="shared" si="28"/>
        <v>0</v>
      </c>
      <c r="J399" s="8">
        <f t="shared" si="29"/>
        <v>0</v>
      </c>
      <c r="K399" s="8">
        <f>SUMIFS(His_Operacoes_acoes[Total],His_Operacoes_acoes[Fimmes],Patrimônio!B399,His_Operacoes_acoes[Operação],"JCP")
+ SUMIFS(His_Operacoes_acoes[Total],His_Operacoes_acoes[Fimmes],Patrimônio!B399,His_Operacoes_acoes[Operação],"Divid.")
+ SUMIFS(His_Operacoes_acoes[Total],His_Operacoes_acoes[Fimmes],Patrimônio!B399,His_Operacoes_acoes[Operação],"Bonif.")</f>
        <v>0</v>
      </c>
      <c r="L399" s="8">
        <f>SUMIFS(His_Operacoes_BDRs[Total],His_Operacoes_BDRs[Operação],"Provento",His_Operacoes_BDRs[fimmês],Patrimônio!B399)</f>
        <v>0</v>
      </c>
      <c r="M399" s="8">
        <f>SUMIFS(His_Operacoes_FIIs[Total],His_Operacoes_FIIs[Operação],"Provento",His_Operacoes_FIIs[fimmês],Patrimônio!B399)</f>
        <v>0</v>
      </c>
      <c r="N399" s="8">
        <f t="shared" si="30"/>
        <v>0</v>
      </c>
    </row>
    <row r="400" spans="1:14" x14ac:dyDescent="0.35">
      <c r="A400" s="7">
        <v>54483</v>
      </c>
      <c r="B400" s="7">
        <f t="shared" si="27"/>
        <v>54482</v>
      </c>
      <c r="I400" s="8">
        <f t="shared" si="28"/>
        <v>0</v>
      </c>
      <c r="J400" s="8">
        <f t="shared" si="29"/>
        <v>0</v>
      </c>
      <c r="K400" s="8">
        <f>SUMIFS(His_Operacoes_acoes[Total],His_Operacoes_acoes[Fimmes],Patrimônio!B400,His_Operacoes_acoes[Operação],"JCP")
+ SUMIFS(His_Operacoes_acoes[Total],His_Operacoes_acoes[Fimmes],Patrimônio!B400,His_Operacoes_acoes[Operação],"Divid.")
+ SUMIFS(His_Operacoes_acoes[Total],His_Operacoes_acoes[Fimmes],Patrimônio!B400,His_Operacoes_acoes[Operação],"Bonif.")</f>
        <v>0</v>
      </c>
      <c r="L400" s="8">
        <f>SUMIFS(His_Operacoes_BDRs[Total],His_Operacoes_BDRs[Operação],"Provento",His_Operacoes_BDRs[fimmês],Patrimônio!B400)</f>
        <v>0</v>
      </c>
      <c r="M400" s="8">
        <f>SUMIFS(His_Operacoes_FIIs[Total],His_Operacoes_FIIs[Operação],"Provento",His_Operacoes_FIIs[fimmês],Patrimônio!B400)</f>
        <v>0</v>
      </c>
      <c r="N400" s="8">
        <f t="shared" si="30"/>
        <v>0</v>
      </c>
    </row>
    <row r="401" spans="1:14" x14ac:dyDescent="0.35">
      <c r="A401" s="7">
        <v>54514</v>
      </c>
      <c r="B401" s="7">
        <f t="shared" si="27"/>
        <v>54513</v>
      </c>
      <c r="I401" s="8">
        <f t="shared" si="28"/>
        <v>0</v>
      </c>
      <c r="J401" s="8">
        <f t="shared" si="29"/>
        <v>0</v>
      </c>
      <c r="K401" s="8">
        <f>SUMIFS(His_Operacoes_acoes[Total],His_Operacoes_acoes[Fimmes],Patrimônio!B401,His_Operacoes_acoes[Operação],"JCP")
+ SUMIFS(His_Operacoes_acoes[Total],His_Operacoes_acoes[Fimmes],Patrimônio!B401,His_Operacoes_acoes[Operação],"Divid.")
+ SUMIFS(His_Operacoes_acoes[Total],His_Operacoes_acoes[Fimmes],Patrimônio!B401,His_Operacoes_acoes[Operação],"Bonif.")</f>
        <v>0</v>
      </c>
      <c r="L401" s="8">
        <f>SUMIFS(His_Operacoes_BDRs[Total],His_Operacoes_BDRs[Operação],"Provento",His_Operacoes_BDRs[fimmês],Patrimônio!B401)</f>
        <v>0</v>
      </c>
      <c r="M401" s="8">
        <f>SUMIFS(His_Operacoes_FIIs[Total],His_Operacoes_FIIs[Operação],"Provento",His_Operacoes_FIIs[fimmês],Patrimônio!B401)</f>
        <v>0</v>
      </c>
      <c r="N401" s="8">
        <f t="shared" si="30"/>
        <v>0</v>
      </c>
    </row>
    <row r="402" spans="1:14" x14ac:dyDescent="0.35">
      <c r="A402" s="7">
        <v>54544</v>
      </c>
      <c r="B402" s="7">
        <f t="shared" si="27"/>
        <v>54543</v>
      </c>
      <c r="I402" s="8">
        <f t="shared" si="28"/>
        <v>0</v>
      </c>
      <c r="J402" s="8">
        <f t="shared" si="29"/>
        <v>0</v>
      </c>
      <c r="K402" s="8">
        <f>SUMIFS(His_Operacoes_acoes[Total],His_Operacoes_acoes[Fimmes],Patrimônio!B402,His_Operacoes_acoes[Operação],"JCP")
+ SUMIFS(His_Operacoes_acoes[Total],His_Operacoes_acoes[Fimmes],Patrimônio!B402,His_Operacoes_acoes[Operação],"Divid.")
+ SUMIFS(His_Operacoes_acoes[Total],His_Operacoes_acoes[Fimmes],Patrimônio!B402,His_Operacoes_acoes[Operação],"Bonif.")</f>
        <v>0</v>
      </c>
      <c r="L402" s="8">
        <f>SUMIFS(His_Operacoes_BDRs[Total],His_Operacoes_BDRs[Operação],"Provento",His_Operacoes_BDRs[fimmês],Patrimônio!B402)</f>
        <v>0</v>
      </c>
      <c r="M402" s="8">
        <f>SUMIFS(His_Operacoes_FIIs[Total],His_Operacoes_FIIs[Operação],"Provento",His_Operacoes_FIIs[fimmês],Patrimônio!B402)</f>
        <v>0</v>
      </c>
      <c r="N402" s="8">
        <f t="shared" si="30"/>
        <v>0</v>
      </c>
    </row>
    <row r="403" spans="1:14" x14ac:dyDescent="0.35">
      <c r="A403" s="7">
        <v>54575</v>
      </c>
      <c r="B403" s="7">
        <f t="shared" si="27"/>
        <v>54574</v>
      </c>
      <c r="I403" s="8">
        <f t="shared" si="28"/>
        <v>0</v>
      </c>
      <c r="J403" s="8">
        <f t="shared" si="29"/>
        <v>0</v>
      </c>
      <c r="K403" s="8">
        <f>SUMIFS(His_Operacoes_acoes[Total],His_Operacoes_acoes[Fimmes],Patrimônio!B403,His_Operacoes_acoes[Operação],"JCP")
+ SUMIFS(His_Operacoes_acoes[Total],His_Operacoes_acoes[Fimmes],Patrimônio!B403,His_Operacoes_acoes[Operação],"Divid.")
+ SUMIFS(His_Operacoes_acoes[Total],His_Operacoes_acoes[Fimmes],Patrimônio!B403,His_Operacoes_acoes[Operação],"Bonif.")</f>
        <v>0</v>
      </c>
      <c r="L403" s="8">
        <f>SUMIFS(His_Operacoes_BDRs[Total],His_Operacoes_BDRs[Operação],"Provento",His_Operacoes_BDRs[fimmês],Patrimônio!B403)</f>
        <v>0</v>
      </c>
      <c r="M403" s="8">
        <f>SUMIFS(His_Operacoes_FIIs[Total],His_Operacoes_FIIs[Operação],"Provento",His_Operacoes_FIIs[fimmês],Patrimônio!B403)</f>
        <v>0</v>
      </c>
      <c r="N403" s="8">
        <f t="shared" si="30"/>
        <v>0</v>
      </c>
    </row>
    <row r="404" spans="1:14" x14ac:dyDescent="0.35">
      <c r="A404" s="7">
        <v>54605</v>
      </c>
      <c r="B404" s="7">
        <f t="shared" si="27"/>
        <v>54604</v>
      </c>
      <c r="I404" s="8">
        <f t="shared" si="28"/>
        <v>0</v>
      </c>
      <c r="J404" s="8">
        <f t="shared" si="29"/>
        <v>0</v>
      </c>
      <c r="K404" s="8">
        <f>SUMIFS(His_Operacoes_acoes[Total],His_Operacoes_acoes[Fimmes],Patrimônio!B404,His_Operacoes_acoes[Operação],"JCP")
+ SUMIFS(His_Operacoes_acoes[Total],His_Operacoes_acoes[Fimmes],Patrimônio!B404,His_Operacoes_acoes[Operação],"Divid.")
+ SUMIFS(His_Operacoes_acoes[Total],His_Operacoes_acoes[Fimmes],Patrimônio!B404,His_Operacoes_acoes[Operação],"Bonif.")</f>
        <v>0</v>
      </c>
      <c r="L404" s="8">
        <f>SUMIFS(His_Operacoes_BDRs[Total],His_Operacoes_BDRs[Operação],"Provento",His_Operacoes_BDRs[fimmês],Patrimônio!B404)</f>
        <v>0</v>
      </c>
      <c r="M404" s="8">
        <f>SUMIFS(His_Operacoes_FIIs[Total],His_Operacoes_FIIs[Operação],"Provento",His_Operacoes_FIIs[fimmês],Patrimônio!B404)</f>
        <v>0</v>
      </c>
      <c r="N404" s="8">
        <f t="shared" si="30"/>
        <v>0</v>
      </c>
    </row>
    <row r="405" spans="1:14" x14ac:dyDescent="0.35">
      <c r="A405" s="7">
        <v>54636</v>
      </c>
      <c r="B405" s="7">
        <f t="shared" si="27"/>
        <v>54635</v>
      </c>
      <c r="I405" s="8">
        <f t="shared" si="28"/>
        <v>0</v>
      </c>
      <c r="J405" s="8">
        <f t="shared" si="29"/>
        <v>0</v>
      </c>
      <c r="K405" s="8">
        <f>SUMIFS(His_Operacoes_acoes[Total],His_Operacoes_acoes[Fimmes],Patrimônio!B405,His_Operacoes_acoes[Operação],"JCP")
+ SUMIFS(His_Operacoes_acoes[Total],His_Operacoes_acoes[Fimmes],Patrimônio!B405,His_Operacoes_acoes[Operação],"Divid.")
+ SUMIFS(His_Operacoes_acoes[Total],His_Operacoes_acoes[Fimmes],Patrimônio!B405,His_Operacoes_acoes[Operação],"Bonif.")</f>
        <v>0</v>
      </c>
      <c r="L405" s="8">
        <f>SUMIFS(His_Operacoes_BDRs[Total],His_Operacoes_BDRs[Operação],"Provento",His_Operacoes_BDRs[fimmês],Patrimônio!B405)</f>
        <v>0</v>
      </c>
      <c r="M405" s="8">
        <f>SUMIFS(His_Operacoes_FIIs[Total],His_Operacoes_FIIs[Operação],"Provento",His_Operacoes_FIIs[fimmês],Patrimônio!B405)</f>
        <v>0</v>
      </c>
      <c r="N405" s="8">
        <f t="shared" si="30"/>
        <v>0</v>
      </c>
    </row>
    <row r="406" spans="1:14" x14ac:dyDescent="0.35">
      <c r="A406" s="7">
        <v>54667</v>
      </c>
      <c r="B406" s="7">
        <f t="shared" si="27"/>
        <v>54666</v>
      </c>
      <c r="I406" s="8">
        <f t="shared" si="28"/>
        <v>0</v>
      </c>
      <c r="J406" s="8">
        <f t="shared" si="29"/>
        <v>0</v>
      </c>
      <c r="K406" s="8">
        <f>SUMIFS(His_Operacoes_acoes[Total],His_Operacoes_acoes[Fimmes],Patrimônio!B406,His_Operacoes_acoes[Operação],"JCP")
+ SUMIFS(His_Operacoes_acoes[Total],His_Operacoes_acoes[Fimmes],Patrimônio!B406,His_Operacoes_acoes[Operação],"Divid.")
+ SUMIFS(His_Operacoes_acoes[Total],His_Operacoes_acoes[Fimmes],Patrimônio!B406,His_Operacoes_acoes[Operação],"Bonif.")</f>
        <v>0</v>
      </c>
      <c r="L406" s="8">
        <f>SUMIFS(His_Operacoes_BDRs[Total],His_Operacoes_BDRs[Operação],"Provento",His_Operacoes_BDRs[fimmês],Patrimônio!B406)</f>
        <v>0</v>
      </c>
      <c r="M406" s="8">
        <f>SUMIFS(His_Operacoes_FIIs[Total],His_Operacoes_FIIs[Operação],"Provento",His_Operacoes_FIIs[fimmês],Patrimônio!B406)</f>
        <v>0</v>
      </c>
      <c r="N406" s="8">
        <f t="shared" si="30"/>
        <v>0</v>
      </c>
    </row>
    <row r="407" spans="1:14" x14ac:dyDescent="0.35">
      <c r="A407" s="7">
        <v>54697</v>
      </c>
      <c r="B407" s="7">
        <f t="shared" si="27"/>
        <v>54696</v>
      </c>
      <c r="I407" s="8">
        <f t="shared" si="28"/>
        <v>0</v>
      </c>
      <c r="J407" s="8">
        <f t="shared" si="29"/>
        <v>0</v>
      </c>
      <c r="K407" s="8">
        <f>SUMIFS(His_Operacoes_acoes[Total],His_Operacoes_acoes[Fimmes],Patrimônio!B407,His_Operacoes_acoes[Operação],"JCP")
+ SUMIFS(His_Operacoes_acoes[Total],His_Operacoes_acoes[Fimmes],Patrimônio!B407,His_Operacoes_acoes[Operação],"Divid.")
+ SUMIFS(His_Operacoes_acoes[Total],His_Operacoes_acoes[Fimmes],Patrimônio!B407,His_Operacoes_acoes[Operação],"Bonif.")</f>
        <v>0</v>
      </c>
      <c r="L407" s="8">
        <f>SUMIFS(His_Operacoes_BDRs[Total],His_Operacoes_BDRs[Operação],"Provento",His_Operacoes_BDRs[fimmês],Patrimônio!B407)</f>
        <v>0</v>
      </c>
      <c r="M407" s="8">
        <f>SUMIFS(His_Operacoes_FIIs[Total],His_Operacoes_FIIs[Operação],"Provento",His_Operacoes_FIIs[fimmês],Patrimônio!B407)</f>
        <v>0</v>
      </c>
      <c r="N407" s="8">
        <f t="shared" si="30"/>
        <v>0</v>
      </c>
    </row>
    <row r="408" spans="1:14" x14ac:dyDescent="0.35">
      <c r="A408" s="7">
        <v>54728</v>
      </c>
      <c r="B408" s="7">
        <f t="shared" si="27"/>
        <v>54727</v>
      </c>
      <c r="I408" s="8">
        <f t="shared" si="28"/>
        <v>0</v>
      </c>
      <c r="J408" s="8">
        <f t="shared" si="29"/>
        <v>0</v>
      </c>
      <c r="K408" s="8">
        <f>SUMIFS(His_Operacoes_acoes[Total],His_Operacoes_acoes[Fimmes],Patrimônio!B408,His_Operacoes_acoes[Operação],"JCP")
+ SUMIFS(His_Operacoes_acoes[Total],His_Operacoes_acoes[Fimmes],Patrimônio!B408,His_Operacoes_acoes[Operação],"Divid.")
+ SUMIFS(His_Operacoes_acoes[Total],His_Operacoes_acoes[Fimmes],Patrimônio!B408,His_Operacoes_acoes[Operação],"Bonif.")</f>
        <v>0</v>
      </c>
      <c r="L408" s="8">
        <f>SUMIFS(His_Operacoes_BDRs[Total],His_Operacoes_BDRs[Operação],"Provento",His_Operacoes_BDRs[fimmês],Patrimônio!B408)</f>
        <v>0</v>
      </c>
      <c r="M408" s="8">
        <f>SUMIFS(His_Operacoes_FIIs[Total],His_Operacoes_FIIs[Operação],"Provento",His_Operacoes_FIIs[fimmês],Patrimônio!B408)</f>
        <v>0</v>
      </c>
      <c r="N408" s="8">
        <f t="shared" si="30"/>
        <v>0</v>
      </c>
    </row>
    <row r="409" spans="1:14" x14ac:dyDescent="0.35">
      <c r="A409" s="7">
        <v>54758</v>
      </c>
      <c r="B409" s="7">
        <f t="shared" si="27"/>
        <v>54757</v>
      </c>
      <c r="I409" s="8">
        <f t="shared" si="28"/>
        <v>0</v>
      </c>
      <c r="J409" s="8">
        <f t="shared" si="29"/>
        <v>0</v>
      </c>
      <c r="K409" s="8">
        <f>SUMIFS(His_Operacoes_acoes[Total],His_Operacoes_acoes[Fimmes],Patrimônio!B409,His_Operacoes_acoes[Operação],"JCP")
+ SUMIFS(His_Operacoes_acoes[Total],His_Operacoes_acoes[Fimmes],Patrimônio!B409,His_Operacoes_acoes[Operação],"Divid.")
+ SUMIFS(His_Operacoes_acoes[Total],His_Operacoes_acoes[Fimmes],Patrimônio!B409,His_Operacoes_acoes[Operação],"Bonif.")</f>
        <v>0</v>
      </c>
      <c r="L409" s="8">
        <f>SUMIFS(His_Operacoes_BDRs[Total],His_Operacoes_BDRs[Operação],"Provento",His_Operacoes_BDRs[fimmês],Patrimônio!B409)</f>
        <v>0</v>
      </c>
      <c r="M409" s="8">
        <f>SUMIFS(His_Operacoes_FIIs[Total],His_Operacoes_FIIs[Operação],"Provento",His_Operacoes_FIIs[fimmês],Patrimônio!B409)</f>
        <v>0</v>
      </c>
      <c r="N409" s="8">
        <f t="shared" si="30"/>
        <v>0</v>
      </c>
    </row>
    <row r="410" spans="1:14" x14ac:dyDescent="0.35">
      <c r="A410" s="7">
        <v>54789</v>
      </c>
      <c r="B410" s="7">
        <f t="shared" si="27"/>
        <v>54788</v>
      </c>
      <c r="I410" s="8">
        <f t="shared" si="28"/>
        <v>0</v>
      </c>
      <c r="J410" s="8">
        <f t="shared" si="29"/>
        <v>0</v>
      </c>
      <c r="K410" s="8">
        <f>SUMIFS(His_Operacoes_acoes[Total],His_Operacoes_acoes[Fimmes],Patrimônio!B410,His_Operacoes_acoes[Operação],"JCP")
+ SUMIFS(His_Operacoes_acoes[Total],His_Operacoes_acoes[Fimmes],Patrimônio!B410,His_Operacoes_acoes[Operação],"Divid.")
+ SUMIFS(His_Operacoes_acoes[Total],His_Operacoes_acoes[Fimmes],Patrimônio!B410,His_Operacoes_acoes[Operação],"Bonif.")</f>
        <v>0</v>
      </c>
      <c r="L410" s="8">
        <f>SUMIFS(His_Operacoes_BDRs[Total],His_Operacoes_BDRs[Operação],"Provento",His_Operacoes_BDRs[fimmês],Patrimônio!B410)</f>
        <v>0</v>
      </c>
      <c r="M410" s="8">
        <f>SUMIFS(His_Operacoes_FIIs[Total],His_Operacoes_FIIs[Operação],"Provento",His_Operacoes_FIIs[fimmês],Patrimônio!B410)</f>
        <v>0</v>
      </c>
      <c r="N410" s="8">
        <f t="shared" si="30"/>
        <v>0</v>
      </c>
    </row>
    <row r="411" spans="1:14" x14ac:dyDescent="0.35">
      <c r="A411" s="7">
        <v>54820</v>
      </c>
      <c r="B411" s="7">
        <f t="shared" si="27"/>
        <v>54819</v>
      </c>
      <c r="I411" s="8">
        <f t="shared" si="28"/>
        <v>0</v>
      </c>
      <c r="J411" s="8">
        <f t="shared" si="29"/>
        <v>0</v>
      </c>
      <c r="K411" s="8">
        <f>SUMIFS(His_Operacoes_acoes[Total],His_Operacoes_acoes[Fimmes],Patrimônio!B411,His_Operacoes_acoes[Operação],"JCP")
+ SUMIFS(His_Operacoes_acoes[Total],His_Operacoes_acoes[Fimmes],Patrimônio!B411,His_Operacoes_acoes[Operação],"Divid.")
+ SUMIFS(His_Operacoes_acoes[Total],His_Operacoes_acoes[Fimmes],Patrimônio!B411,His_Operacoes_acoes[Operação],"Bonif.")</f>
        <v>0</v>
      </c>
      <c r="L411" s="8">
        <f>SUMIFS(His_Operacoes_BDRs[Total],His_Operacoes_BDRs[Operação],"Provento",His_Operacoes_BDRs[fimmês],Patrimônio!B411)</f>
        <v>0</v>
      </c>
      <c r="M411" s="8">
        <f>SUMIFS(His_Operacoes_FIIs[Total],His_Operacoes_FIIs[Operação],"Provento",His_Operacoes_FIIs[fimmês],Patrimônio!B411)</f>
        <v>0</v>
      </c>
      <c r="N411" s="8">
        <f t="shared" si="30"/>
        <v>0</v>
      </c>
    </row>
    <row r="412" spans="1:14" x14ac:dyDescent="0.35">
      <c r="A412" s="7">
        <v>54848</v>
      </c>
      <c r="B412" s="7">
        <f t="shared" si="27"/>
        <v>54847</v>
      </c>
      <c r="I412" s="8">
        <f t="shared" si="28"/>
        <v>0</v>
      </c>
      <c r="J412" s="8">
        <f t="shared" si="29"/>
        <v>0</v>
      </c>
      <c r="K412" s="8">
        <f>SUMIFS(His_Operacoes_acoes[Total],His_Operacoes_acoes[Fimmes],Patrimônio!B412,His_Operacoes_acoes[Operação],"JCP")
+ SUMIFS(His_Operacoes_acoes[Total],His_Operacoes_acoes[Fimmes],Patrimônio!B412,His_Operacoes_acoes[Operação],"Divid.")
+ SUMIFS(His_Operacoes_acoes[Total],His_Operacoes_acoes[Fimmes],Patrimônio!B412,His_Operacoes_acoes[Operação],"Bonif.")</f>
        <v>0</v>
      </c>
      <c r="L412" s="8">
        <f>SUMIFS(His_Operacoes_BDRs[Total],His_Operacoes_BDRs[Operação],"Provento",His_Operacoes_BDRs[fimmês],Patrimônio!B412)</f>
        <v>0</v>
      </c>
      <c r="M412" s="8">
        <f>SUMIFS(His_Operacoes_FIIs[Total],His_Operacoes_FIIs[Operação],"Provento",His_Operacoes_FIIs[fimmês],Patrimônio!B412)</f>
        <v>0</v>
      </c>
      <c r="N412" s="8">
        <f t="shared" si="30"/>
        <v>0</v>
      </c>
    </row>
    <row r="413" spans="1:14" x14ac:dyDescent="0.35">
      <c r="A413" s="7">
        <v>54879</v>
      </c>
      <c r="B413" s="7">
        <f t="shared" si="27"/>
        <v>54878</v>
      </c>
      <c r="I413" s="8">
        <f t="shared" si="28"/>
        <v>0</v>
      </c>
      <c r="J413" s="8">
        <f t="shared" si="29"/>
        <v>0</v>
      </c>
      <c r="K413" s="8">
        <f>SUMIFS(His_Operacoes_acoes[Total],His_Operacoes_acoes[Fimmes],Patrimônio!B413,His_Operacoes_acoes[Operação],"JCP")
+ SUMIFS(His_Operacoes_acoes[Total],His_Operacoes_acoes[Fimmes],Patrimônio!B413,His_Operacoes_acoes[Operação],"Divid.")
+ SUMIFS(His_Operacoes_acoes[Total],His_Operacoes_acoes[Fimmes],Patrimônio!B413,His_Operacoes_acoes[Operação],"Bonif.")</f>
        <v>0</v>
      </c>
      <c r="L413" s="8">
        <f>SUMIFS(His_Operacoes_BDRs[Total],His_Operacoes_BDRs[Operação],"Provento",His_Operacoes_BDRs[fimmês],Patrimônio!B413)</f>
        <v>0</v>
      </c>
      <c r="M413" s="8">
        <f>SUMIFS(His_Operacoes_FIIs[Total],His_Operacoes_FIIs[Operação],"Provento",His_Operacoes_FIIs[fimmês],Patrimônio!B413)</f>
        <v>0</v>
      </c>
      <c r="N413" s="8">
        <f t="shared" si="30"/>
        <v>0</v>
      </c>
    </row>
    <row r="414" spans="1:14" x14ac:dyDescent="0.35">
      <c r="A414" s="7">
        <v>54909</v>
      </c>
      <c r="B414" s="7">
        <f t="shared" si="27"/>
        <v>54908</v>
      </c>
      <c r="I414" s="8">
        <f t="shared" si="28"/>
        <v>0</v>
      </c>
      <c r="J414" s="8">
        <f t="shared" si="29"/>
        <v>0</v>
      </c>
      <c r="K414" s="8">
        <f>SUMIFS(His_Operacoes_acoes[Total],His_Operacoes_acoes[Fimmes],Patrimônio!B414,His_Operacoes_acoes[Operação],"JCP")
+ SUMIFS(His_Operacoes_acoes[Total],His_Operacoes_acoes[Fimmes],Patrimônio!B414,His_Operacoes_acoes[Operação],"Divid.")
+ SUMIFS(His_Operacoes_acoes[Total],His_Operacoes_acoes[Fimmes],Patrimônio!B414,His_Operacoes_acoes[Operação],"Bonif.")</f>
        <v>0</v>
      </c>
      <c r="L414" s="8">
        <f>SUMIFS(His_Operacoes_BDRs[Total],His_Operacoes_BDRs[Operação],"Provento",His_Operacoes_BDRs[fimmês],Patrimônio!B414)</f>
        <v>0</v>
      </c>
      <c r="M414" s="8">
        <f>SUMIFS(His_Operacoes_FIIs[Total],His_Operacoes_FIIs[Operação],"Provento",His_Operacoes_FIIs[fimmês],Patrimônio!B414)</f>
        <v>0</v>
      </c>
      <c r="N414" s="8">
        <f t="shared" si="30"/>
        <v>0</v>
      </c>
    </row>
    <row r="415" spans="1:14" x14ac:dyDescent="0.35">
      <c r="A415" s="7">
        <v>54940</v>
      </c>
      <c r="B415" s="7">
        <f t="shared" si="27"/>
        <v>54939</v>
      </c>
      <c r="I415" s="8">
        <f t="shared" si="28"/>
        <v>0</v>
      </c>
      <c r="J415" s="8">
        <f t="shared" si="29"/>
        <v>0</v>
      </c>
      <c r="K415" s="8">
        <f>SUMIFS(His_Operacoes_acoes[Total],His_Operacoes_acoes[Fimmes],Patrimônio!B415,His_Operacoes_acoes[Operação],"JCP")
+ SUMIFS(His_Operacoes_acoes[Total],His_Operacoes_acoes[Fimmes],Patrimônio!B415,His_Operacoes_acoes[Operação],"Divid.")
+ SUMIFS(His_Operacoes_acoes[Total],His_Operacoes_acoes[Fimmes],Patrimônio!B415,His_Operacoes_acoes[Operação],"Bonif.")</f>
        <v>0</v>
      </c>
      <c r="L415" s="8">
        <f>SUMIFS(His_Operacoes_BDRs[Total],His_Operacoes_BDRs[Operação],"Provento",His_Operacoes_BDRs[fimmês],Patrimônio!B415)</f>
        <v>0</v>
      </c>
      <c r="M415" s="8">
        <f>SUMIFS(His_Operacoes_FIIs[Total],His_Operacoes_FIIs[Operação],"Provento",His_Operacoes_FIIs[fimmês],Patrimônio!B415)</f>
        <v>0</v>
      </c>
      <c r="N415" s="8">
        <f t="shared" si="30"/>
        <v>0</v>
      </c>
    </row>
    <row r="416" spans="1:14" x14ac:dyDescent="0.35">
      <c r="A416" s="7">
        <v>54970</v>
      </c>
      <c r="B416" s="7">
        <f t="shared" si="27"/>
        <v>54969</v>
      </c>
      <c r="I416" s="8">
        <f t="shared" si="28"/>
        <v>0</v>
      </c>
      <c r="J416" s="8">
        <f t="shared" si="29"/>
        <v>0</v>
      </c>
      <c r="K416" s="8">
        <f>SUMIFS(His_Operacoes_acoes[Total],His_Operacoes_acoes[Fimmes],Patrimônio!B416,His_Operacoes_acoes[Operação],"JCP")
+ SUMIFS(His_Operacoes_acoes[Total],His_Operacoes_acoes[Fimmes],Patrimônio!B416,His_Operacoes_acoes[Operação],"Divid.")
+ SUMIFS(His_Operacoes_acoes[Total],His_Operacoes_acoes[Fimmes],Patrimônio!B416,His_Operacoes_acoes[Operação],"Bonif.")</f>
        <v>0</v>
      </c>
      <c r="L416" s="8">
        <f>SUMIFS(His_Operacoes_BDRs[Total],His_Operacoes_BDRs[Operação],"Provento",His_Operacoes_BDRs[fimmês],Patrimônio!B416)</f>
        <v>0</v>
      </c>
      <c r="M416" s="8">
        <f>SUMIFS(His_Operacoes_FIIs[Total],His_Operacoes_FIIs[Operação],"Provento",His_Operacoes_FIIs[fimmês],Patrimônio!B416)</f>
        <v>0</v>
      </c>
      <c r="N416" s="8">
        <f t="shared" si="30"/>
        <v>0</v>
      </c>
    </row>
    <row r="417" spans="1:14" x14ac:dyDescent="0.35">
      <c r="A417" s="7">
        <v>55001</v>
      </c>
      <c r="B417" s="7">
        <f t="shared" si="27"/>
        <v>55000</v>
      </c>
      <c r="I417" s="8">
        <f t="shared" si="28"/>
        <v>0</v>
      </c>
      <c r="J417" s="8">
        <f t="shared" si="29"/>
        <v>0</v>
      </c>
      <c r="K417" s="8">
        <f>SUMIFS(His_Operacoes_acoes[Total],His_Operacoes_acoes[Fimmes],Patrimônio!B417,His_Operacoes_acoes[Operação],"JCP")
+ SUMIFS(His_Operacoes_acoes[Total],His_Operacoes_acoes[Fimmes],Patrimônio!B417,His_Operacoes_acoes[Operação],"Divid.")
+ SUMIFS(His_Operacoes_acoes[Total],His_Operacoes_acoes[Fimmes],Patrimônio!B417,His_Operacoes_acoes[Operação],"Bonif.")</f>
        <v>0</v>
      </c>
      <c r="L417" s="8">
        <f>SUMIFS(His_Operacoes_BDRs[Total],His_Operacoes_BDRs[Operação],"Provento",His_Operacoes_BDRs[fimmês],Patrimônio!B417)</f>
        <v>0</v>
      </c>
      <c r="M417" s="8">
        <f>SUMIFS(His_Operacoes_FIIs[Total],His_Operacoes_FIIs[Operação],"Provento",His_Operacoes_FIIs[fimmês],Patrimônio!B417)</f>
        <v>0</v>
      </c>
      <c r="N417" s="8">
        <f t="shared" si="30"/>
        <v>0</v>
      </c>
    </row>
    <row r="418" spans="1:14" x14ac:dyDescent="0.35">
      <c r="A418" s="7">
        <v>55032</v>
      </c>
      <c r="B418" s="7">
        <f t="shared" si="27"/>
        <v>55031</v>
      </c>
      <c r="I418" s="8">
        <f t="shared" si="28"/>
        <v>0</v>
      </c>
      <c r="J418" s="8">
        <f t="shared" si="29"/>
        <v>0</v>
      </c>
      <c r="K418" s="8">
        <f>SUMIFS(His_Operacoes_acoes[Total],His_Operacoes_acoes[Fimmes],Patrimônio!B418,His_Operacoes_acoes[Operação],"JCP")
+ SUMIFS(His_Operacoes_acoes[Total],His_Operacoes_acoes[Fimmes],Patrimônio!B418,His_Operacoes_acoes[Operação],"Divid.")
+ SUMIFS(His_Operacoes_acoes[Total],His_Operacoes_acoes[Fimmes],Patrimônio!B418,His_Operacoes_acoes[Operação],"Bonif.")</f>
        <v>0</v>
      </c>
      <c r="L418" s="8">
        <f>SUMIFS(His_Operacoes_BDRs[Total],His_Operacoes_BDRs[Operação],"Provento",His_Operacoes_BDRs[fimmês],Patrimônio!B418)</f>
        <v>0</v>
      </c>
      <c r="M418" s="8">
        <f>SUMIFS(His_Operacoes_FIIs[Total],His_Operacoes_FIIs[Operação],"Provento",His_Operacoes_FIIs[fimmês],Patrimônio!B418)</f>
        <v>0</v>
      </c>
      <c r="N418" s="8">
        <f t="shared" si="30"/>
        <v>0</v>
      </c>
    </row>
    <row r="419" spans="1:14" x14ac:dyDescent="0.35">
      <c r="A419" s="7">
        <v>55062</v>
      </c>
      <c r="B419" s="7">
        <f t="shared" si="27"/>
        <v>55061</v>
      </c>
      <c r="I419" s="8">
        <f t="shared" si="28"/>
        <v>0</v>
      </c>
      <c r="J419" s="8">
        <f t="shared" si="29"/>
        <v>0</v>
      </c>
      <c r="K419" s="8">
        <f>SUMIFS(His_Operacoes_acoes[Total],His_Operacoes_acoes[Fimmes],Patrimônio!B419,His_Operacoes_acoes[Operação],"JCP")
+ SUMIFS(His_Operacoes_acoes[Total],His_Operacoes_acoes[Fimmes],Patrimônio!B419,His_Operacoes_acoes[Operação],"Divid.")
+ SUMIFS(His_Operacoes_acoes[Total],His_Operacoes_acoes[Fimmes],Patrimônio!B419,His_Operacoes_acoes[Operação],"Bonif.")</f>
        <v>0</v>
      </c>
      <c r="L419" s="8">
        <f>SUMIFS(His_Operacoes_BDRs[Total],His_Operacoes_BDRs[Operação],"Provento",His_Operacoes_BDRs[fimmês],Patrimônio!B419)</f>
        <v>0</v>
      </c>
      <c r="M419" s="8">
        <f>SUMIFS(His_Operacoes_FIIs[Total],His_Operacoes_FIIs[Operação],"Provento",His_Operacoes_FIIs[fimmês],Patrimônio!B419)</f>
        <v>0</v>
      </c>
      <c r="N419" s="8">
        <f t="shared" si="30"/>
        <v>0</v>
      </c>
    </row>
    <row r="420" spans="1:14" x14ac:dyDescent="0.35">
      <c r="A420" s="7">
        <v>55093</v>
      </c>
      <c r="B420" s="7">
        <f t="shared" si="27"/>
        <v>55092</v>
      </c>
      <c r="I420" s="8">
        <f t="shared" si="28"/>
        <v>0</v>
      </c>
      <c r="J420" s="8">
        <f t="shared" si="29"/>
        <v>0</v>
      </c>
      <c r="K420" s="8">
        <f>SUMIFS(His_Operacoes_acoes[Total],His_Operacoes_acoes[Fimmes],Patrimônio!B420,His_Operacoes_acoes[Operação],"JCP")
+ SUMIFS(His_Operacoes_acoes[Total],His_Operacoes_acoes[Fimmes],Patrimônio!B420,His_Operacoes_acoes[Operação],"Divid.")
+ SUMIFS(His_Operacoes_acoes[Total],His_Operacoes_acoes[Fimmes],Patrimônio!B420,His_Operacoes_acoes[Operação],"Bonif.")</f>
        <v>0</v>
      </c>
      <c r="L420" s="8">
        <f>SUMIFS(His_Operacoes_BDRs[Total],His_Operacoes_BDRs[Operação],"Provento",His_Operacoes_BDRs[fimmês],Patrimônio!B420)</f>
        <v>0</v>
      </c>
      <c r="M420" s="8">
        <f>SUMIFS(His_Operacoes_FIIs[Total],His_Operacoes_FIIs[Operação],"Provento",His_Operacoes_FIIs[fimmês],Patrimônio!B420)</f>
        <v>0</v>
      </c>
      <c r="N420" s="8">
        <f t="shared" si="30"/>
        <v>0</v>
      </c>
    </row>
    <row r="421" spans="1:14" x14ac:dyDescent="0.35">
      <c r="A421" s="7">
        <v>55123</v>
      </c>
      <c r="B421" s="7">
        <f t="shared" si="27"/>
        <v>55122</v>
      </c>
      <c r="I421" s="8">
        <f t="shared" si="28"/>
        <v>0</v>
      </c>
      <c r="J421" s="8">
        <f t="shared" si="29"/>
        <v>0</v>
      </c>
      <c r="K421" s="8">
        <f>SUMIFS(His_Operacoes_acoes[Total],His_Operacoes_acoes[Fimmes],Patrimônio!B421,His_Operacoes_acoes[Operação],"JCP")
+ SUMIFS(His_Operacoes_acoes[Total],His_Operacoes_acoes[Fimmes],Patrimônio!B421,His_Operacoes_acoes[Operação],"Divid.")
+ SUMIFS(His_Operacoes_acoes[Total],His_Operacoes_acoes[Fimmes],Patrimônio!B421,His_Operacoes_acoes[Operação],"Bonif.")</f>
        <v>0</v>
      </c>
      <c r="L421" s="8">
        <f>SUMIFS(His_Operacoes_BDRs[Total],His_Operacoes_BDRs[Operação],"Provento",His_Operacoes_BDRs[fimmês],Patrimônio!B421)</f>
        <v>0</v>
      </c>
      <c r="M421" s="8">
        <f>SUMIFS(His_Operacoes_FIIs[Total],His_Operacoes_FIIs[Operação],"Provento",His_Operacoes_FIIs[fimmês],Patrimônio!B421)</f>
        <v>0</v>
      </c>
      <c r="N421" s="8">
        <f t="shared" si="30"/>
        <v>0</v>
      </c>
    </row>
    <row r="422" spans="1:14" x14ac:dyDescent="0.35">
      <c r="A422" s="7">
        <v>55154</v>
      </c>
      <c r="B422" s="7">
        <f t="shared" si="27"/>
        <v>55153</v>
      </c>
      <c r="I422" s="8">
        <f t="shared" si="28"/>
        <v>0</v>
      </c>
      <c r="J422" s="8">
        <f t="shared" si="29"/>
        <v>0</v>
      </c>
      <c r="K422" s="8">
        <f>SUMIFS(His_Operacoes_acoes[Total],His_Operacoes_acoes[Fimmes],Patrimônio!B422,His_Operacoes_acoes[Operação],"JCP")
+ SUMIFS(His_Operacoes_acoes[Total],His_Operacoes_acoes[Fimmes],Patrimônio!B422,His_Operacoes_acoes[Operação],"Divid.")
+ SUMIFS(His_Operacoes_acoes[Total],His_Operacoes_acoes[Fimmes],Patrimônio!B422,His_Operacoes_acoes[Operação],"Bonif.")</f>
        <v>0</v>
      </c>
      <c r="L422" s="8">
        <f>SUMIFS(His_Operacoes_BDRs[Total],His_Operacoes_BDRs[Operação],"Provento",His_Operacoes_BDRs[fimmês],Patrimônio!B422)</f>
        <v>0</v>
      </c>
      <c r="M422" s="8">
        <f>SUMIFS(His_Operacoes_FIIs[Total],His_Operacoes_FIIs[Operação],"Provento",His_Operacoes_FIIs[fimmês],Patrimônio!B422)</f>
        <v>0</v>
      </c>
      <c r="N422" s="8">
        <f t="shared" si="30"/>
        <v>0</v>
      </c>
    </row>
    <row r="423" spans="1:14" x14ac:dyDescent="0.35">
      <c r="A423" s="7">
        <v>55185</v>
      </c>
      <c r="B423" s="7">
        <f t="shared" si="27"/>
        <v>55184</v>
      </c>
      <c r="I423" s="8">
        <f t="shared" si="28"/>
        <v>0</v>
      </c>
      <c r="J423" s="8">
        <f t="shared" si="29"/>
        <v>0</v>
      </c>
      <c r="K423" s="8">
        <f>SUMIFS(His_Operacoes_acoes[Total],His_Operacoes_acoes[Fimmes],Patrimônio!B423,His_Operacoes_acoes[Operação],"JCP")
+ SUMIFS(His_Operacoes_acoes[Total],His_Operacoes_acoes[Fimmes],Patrimônio!B423,His_Operacoes_acoes[Operação],"Divid.")
+ SUMIFS(His_Operacoes_acoes[Total],His_Operacoes_acoes[Fimmes],Patrimônio!B423,His_Operacoes_acoes[Operação],"Bonif.")</f>
        <v>0</v>
      </c>
      <c r="L423" s="8">
        <f>SUMIFS(His_Operacoes_BDRs[Total],His_Operacoes_BDRs[Operação],"Provento",His_Operacoes_BDRs[fimmês],Patrimônio!B423)</f>
        <v>0</v>
      </c>
      <c r="M423" s="8">
        <f>SUMIFS(His_Operacoes_FIIs[Total],His_Operacoes_FIIs[Operação],"Provento",His_Operacoes_FIIs[fimmês],Patrimônio!B423)</f>
        <v>0</v>
      </c>
      <c r="N423" s="8">
        <f t="shared" si="30"/>
        <v>0</v>
      </c>
    </row>
    <row r="424" spans="1:14" x14ac:dyDescent="0.35">
      <c r="A424" s="7">
        <v>55213</v>
      </c>
      <c r="B424" s="7">
        <f t="shared" si="27"/>
        <v>55212</v>
      </c>
      <c r="I424" s="8">
        <f t="shared" si="28"/>
        <v>0</v>
      </c>
      <c r="J424" s="8">
        <f t="shared" si="29"/>
        <v>0</v>
      </c>
      <c r="K424" s="8">
        <f>SUMIFS(His_Operacoes_acoes[Total],His_Operacoes_acoes[Fimmes],Patrimônio!B424,His_Operacoes_acoes[Operação],"JCP")
+ SUMIFS(His_Operacoes_acoes[Total],His_Operacoes_acoes[Fimmes],Patrimônio!B424,His_Operacoes_acoes[Operação],"Divid.")
+ SUMIFS(His_Operacoes_acoes[Total],His_Operacoes_acoes[Fimmes],Patrimônio!B424,His_Operacoes_acoes[Operação],"Bonif.")</f>
        <v>0</v>
      </c>
      <c r="L424" s="8">
        <f>SUMIFS(His_Operacoes_BDRs[Total],His_Operacoes_BDRs[Operação],"Provento",His_Operacoes_BDRs[fimmês],Patrimônio!B424)</f>
        <v>0</v>
      </c>
      <c r="M424" s="8">
        <f>SUMIFS(His_Operacoes_FIIs[Total],His_Operacoes_FIIs[Operação],"Provento",His_Operacoes_FIIs[fimmês],Patrimônio!B424)</f>
        <v>0</v>
      </c>
      <c r="N424" s="8">
        <f t="shared" si="30"/>
        <v>0</v>
      </c>
    </row>
    <row r="425" spans="1:14" x14ac:dyDescent="0.35">
      <c r="A425" s="7">
        <v>55244</v>
      </c>
      <c r="B425" s="7">
        <f t="shared" si="27"/>
        <v>55243</v>
      </c>
      <c r="I425" s="8">
        <f t="shared" si="28"/>
        <v>0</v>
      </c>
      <c r="J425" s="8">
        <f t="shared" si="29"/>
        <v>0</v>
      </c>
      <c r="K425" s="8">
        <f>SUMIFS(His_Operacoes_acoes[Total],His_Operacoes_acoes[Fimmes],Patrimônio!B425,His_Operacoes_acoes[Operação],"JCP")
+ SUMIFS(His_Operacoes_acoes[Total],His_Operacoes_acoes[Fimmes],Patrimônio!B425,His_Operacoes_acoes[Operação],"Divid.")
+ SUMIFS(His_Operacoes_acoes[Total],His_Operacoes_acoes[Fimmes],Patrimônio!B425,His_Operacoes_acoes[Operação],"Bonif.")</f>
        <v>0</v>
      </c>
      <c r="L425" s="8">
        <f>SUMIFS(His_Operacoes_BDRs[Total],His_Operacoes_BDRs[Operação],"Provento",His_Operacoes_BDRs[fimmês],Patrimônio!B425)</f>
        <v>0</v>
      </c>
      <c r="M425" s="8">
        <f>SUMIFS(His_Operacoes_FIIs[Total],His_Operacoes_FIIs[Operação],"Provento",His_Operacoes_FIIs[fimmês],Patrimônio!B425)</f>
        <v>0</v>
      </c>
      <c r="N425" s="8">
        <f t="shared" si="30"/>
        <v>0</v>
      </c>
    </row>
    <row r="426" spans="1:14" x14ac:dyDescent="0.35">
      <c r="A426" s="7">
        <v>55274</v>
      </c>
      <c r="B426" s="7">
        <f t="shared" si="27"/>
        <v>55273</v>
      </c>
      <c r="I426" s="8">
        <f t="shared" si="28"/>
        <v>0</v>
      </c>
      <c r="J426" s="8">
        <f t="shared" si="29"/>
        <v>0</v>
      </c>
      <c r="K426" s="8">
        <f>SUMIFS(His_Operacoes_acoes[Total],His_Operacoes_acoes[Fimmes],Patrimônio!B426,His_Operacoes_acoes[Operação],"JCP")
+ SUMIFS(His_Operacoes_acoes[Total],His_Operacoes_acoes[Fimmes],Patrimônio!B426,His_Operacoes_acoes[Operação],"Divid.")
+ SUMIFS(His_Operacoes_acoes[Total],His_Operacoes_acoes[Fimmes],Patrimônio!B426,His_Operacoes_acoes[Operação],"Bonif.")</f>
        <v>0</v>
      </c>
      <c r="L426" s="8">
        <f>SUMIFS(His_Operacoes_BDRs[Total],His_Operacoes_BDRs[Operação],"Provento",His_Operacoes_BDRs[fimmês],Patrimônio!B426)</f>
        <v>0</v>
      </c>
      <c r="M426" s="8">
        <f>SUMIFS(His_Operacoes_FIIs[Total],His_Operacoes_FIIs[Operação],"Provento",His_Operacoes_FIIs[fimmês],Patrimônio!B426)</f>
        <v>0</v>
      </c>
      <c r="N426" s="8">
        <f t="shared" si="30"/>
        <v>0</v>
      </c>
    </row>
    <row r="427" spans="1:14" x14ac:dyDescent="0.35">
      <c r="A427" s="7">
        <v>55305</v>
      </c>
      <c r="B427" s="7">
        <f t="shared" si="27"/>
        <v>55304</v>
      </c>
      <c r="I427" s="8">
        <f t="shared" si="28"/>
        <v>0</v>
      </c>
      <c r="J427" s="8">
        <f t="shared" si="29"/>
        <v>0</v>
      </c>
      <c r="K427" s="8">
        <f>SUMIFS(His_Operacoes_acoes[Total],His_Operacoes_acoes[Fimmes],Patrimônio!B427,His_Operacoes_acoes[Operação],"JCP")
+ SUMIFS(His_Operacoes_acoes[Total],His_Operacoes_acoes[Fimmes],Patrimônio!B427,His_Operacoes_acoes[Operação],"Divid.")
+ SUMIFS(His_Operacoes_acoes[Total],His_Operacoes_acoes[Fimmes],Patrimônio!B427,His_Operacoes_acoes[Operação],"Bonif.")</f>
        <v>0</v>
      </c>
      <c r="L427" s="8">
        <f>SUMIFS(His_Operacoes_BDRs[Total],His_Operacoes_BDRs[Operação],"Provento",His_Operacoes_BDRs[fimmês],Patrimônio!B427)</f>
        <v>0</v>
      </c>
      <c r="M427" s="8">
        <f>SUMIFS(His_Operacoes_FIIs[Total],His_Operacoes_FIIs[Operação],"Provento",His_Operacoes_FIIs[fimmês],Patrimônio!B427)</f>
        <v>0</v>
      </c>
      <c r="N427" s="8">
        <f t="shared" si="30"/>
        <v>0</v>
      </c>
    </row>
    <row r="428" spans="1:14" x14ac:dyDescent="0.35">
      <c r="A428" s="7">
        <v>55335</v>
      </c>
      <c r="B428" s="7">
        <f t="shared" si="27"/>
        <v>55334</v>
      </c>
      <c r="I428" s="8">
        <f t="shared" si="28"/>
        <v>0</v>
      </c>
      <c r="J428" s="8">
        <f t="shared" si="29"/>
        <v>0</v>
      </c>
      <c r="K428" s="8">
        <f>SUMIFS(His_Operacoes_acoes[Total],His_Operacoes_acoes[Fimmes],Patrimônio!B428,His_Operacoes_acoes[Operação],"JCP")
+ SUMIFS(His_Operacoes_acoes[Total],His_Operacoes_acoes[Fimmes],Patrimônio!B428,His_Operacoes_acoes[Operação],"Divid.")
+ SUMIFS(His_Operacoes_acoes[Total],His_Operacoes_acoes[Fimmes],Patrimônio!B428,His_Operacoes_acoes[Operação],"Bonif.")</f>
        <v>0</v>
      </c>
      <c r="L428" s="8">
        <f>SUMIFS(His_Operacoes_BDRs[Total],His_Operacoes_BDRs[Operação],"Provento",His_Operacoes_BDRs[fimmês],Patrimônio!B428)</f>
        <v>0</v>
      </c>
      <c r="M428" s="8">
        <f>SUMIFS(His_Operacoes_FIIs[Total],His_Operacoes_FIIs[Operação],"Provento",His_Operacoes_FIIs[fimmês],Patrimônio!B428)</f>
        <v>0</v>
      </c>
      <c r="N428" s="8">
        <f t="shared" si="30"/>
        <v>0</v>
      </c>
    </row>
    <row r="429" spans="1:14" x14ac:dyDescent="0.35">
      <c r="A429" s="7">
        <v>55366</v>
      </c>
      <c r="B429" s="7">
        <f t="shared" si="27"/>
        <v>55365</v>
      </c>
      <c r="I429" s="8">
        <f t="shared" si="28"/>
        <v>0</v>
      </c>
      <c r="J429" s="8">
        <f t="shared" si="29"/>
        <v>0</v>
      </c>
      <c r="K429" s="8">
        <f>SUMIFS(His_Operacoes_acoes[Total],His_Operacoes_acoes[Fimmes],Patrimônio!B429,His_Operacoes_acoes[Operação],"JCP")
+ SUMIFS(His_Operacoes_acoes[Total],His_Operacoes_acoes[Fimmes],Patrimônio!B429,His_Operacoes_acoes[Operação],"Divid.")
+ SUMIFS(His_Operacoes_acoes[Total],His_Operacoes_acoes[Fimmes],Patrimônio!B429,His_Operacoes_acoes[Operação],"Bonif.")</f>
        <v>0</v>
      </c>
      <c r="L429" s="8">
        <f>SUMIFS(His_Operacoes_BDRs[Total],His_Operacoes_BDRs[Operação],"Provento",His_Operacoes_BDRs[fimmês],Patrimônio!B429)</f>
        <v>0</v>
      </c>
      <c r="M429" s="8">
        <f>SUMIFS(His_Operacoes_FIIs[Total],His_Operacoes_FIIs[Operação],"Provento",His_Operacoes_FIIs[fimmês],Patrimônio!B429)</f>
        <v>0</v>
      </c>
      <c r="N429" s="8">
        <f t="shared" si="30"/>
        <v>0</v>
      </c>
    </row>
    <row r="430" spans="1:14" x14ac:dyDescent="0.35">
      <c r="A430" s="7">
        <v>55397</v>
      </c>
      <c r="B430" s="7">
        <f t="shared" si="27"/>
        <v>55396</v>
      </c>
      <c r="I430" s="8">
        <f t="shared" si="28"/>
        <v>0</v>
      </c>
      <c r="J430" s="8">
        <f t="shared" si="29"/>
        <v>0</v>
      </c>
      <c r="K430" s="8">
        <f>SUMIFS(His_Operacoes_acoes[Total],His_Operacoes_acoes[Fimmes],Patrimônio!B430,His_Operacoes_acoes[Operação],"JCP")
+ SUMIFS(His_Operacoes_acoes[Total],His_Operacoes_acoes[Fimmes],Patrimônio!B430,His_Operacoes_acoes[Operação],"Divid.")
+ SUMIFS(His_Operacoes_acoes[Total],His_Operacoes_acoes[Fimmes],Patrimônio!B430,His_Operacoes_acoes[Operação],"Bonif.")</f>
        <v>0</v>
      </c>
      <c r="L430" s="8">
        <f>SUMIFS(His_Operacoes_BDRs[Total],His_Operacoes_BDRs[Operação],"Provento",His_Operacoes_BDRs[fimmês],Patrimônio!B430)</f>
        <v>0</v>
      </c>
      <c r="M430" s="8">
        <f>SUMIFS(His_Operacoes_FIIs[Total],His_Operacoes_FIIs[Operação],"Provento",His_Operacoes_FIIs[fimmês],Patrimônio!B430)</f>
        <v>0</v>
      </c>
      <c r="N430" s="8">
        <f t="shared" si="30"/>
        <v>0</v>
      </c>
    </row>
    <row r="431" spans="1:14" x14ac:dyDescent="0.35">
      <c r="A431" s="7">
        <v>55427</v>
      </c>
      <c r="B431" s="7">
        <f t="shared" si="27"/>
        <v>55426</v>
      </c>
      <c r="I431" s="8">
        <f t="shared" si="28"/>
        <v>0</v>
      </c>
      <c r="J431" s="8">
        <f t="shared" si="29"/>
        <v>0</v>
      </c>
      <c r="K431" s="8">
        <f>SUMIFS(His_Operacoes_acoes[Total],His_Operacoes_acoes[Fimmes],Patrimônio!B431,His_Operacoes_acoes[Operação],"JCP")
+ SUMIFS(His_Operacoes_acoes[Total],His_Operacoes_acoes[Fimmes],Patrimônio!B431,His_Operacoes_acoes[Operação],"Divid.")
+ SUMIFS(His_Operacoes_acoes[Total],His_Operacoes_acoes[Fimmes],Patrimônio!B431,His_Operacoes_acoes[Operação],"Bonif.")</f>
        <v>0</v>
      </c>
      <c r="L431" s="8">
        <f>SUMIFS(His_Operacoes_BDRs[Total],His_Operacoes_BDRs[Operação],"Provento",His_Operacoes_BDRs[fimmês],Patrimônio!B431)</f>
        <v>0</v>
      </c>
      <c r="M431" s="8">
        <f>SUMIFS(His_Operacoes_FIIs[Total],His_Operacoes_FIIs[Operação],"Provento",His_Operacoes_FIIs[fimmês],Patrimônio!B431)</f>
        <v>0</v>
      </c>
      <c r="N431" s="8">
        <f t="shared" si="30"/>
        <v>0</v>
      </c>
    </row>
    <row r="432" spans="1:14" x14ac:dyDescent="0.35">
      <c r="A432" s="7">
        <v>55458</v>
      </c>
      <c r="B432" s="7">
        <f t="shared" si="27"/>
        <v>55457</v>
      </c>
      <c r="I432" s="8">
        <f t="shared" si="28"/>
        <v>0</v>
      </c>
      <c r="J432" s="8">
        <f t="shared" si="29"/>
        <v>0</v>
      </c>
      <c r="K432" s="8">
        <f>SUMIFS(His_Operacoes_acoes[Total],His_Operacoes_acoes[Fimmes],Patrimônio!B432,His_Operacoes_acoes[Operação],"JCP")
+ SUMIFS(His_Operacoes_acoes[Total],His_Operacoes_acoes[Fimmes],Patrimônio!B432,His_Operacoes_acoes[Operação],"Divid.")
+ SUMIFS(His_Operacoes_acoes[Total],His_Operacoes_acoes[Fimmes],Patrimônio!B432,His_Operacoes_acoes[Operação],"Bonif.")</f>
        <v>0</v>
      </c>
      <c r="L432" s="8">
        <f>SUMIFS(His_Operacoes_BDRs[Total],His_Operacoes_BDRs[Operação],"Provento",His_Operacoes_BDRs[fimmês],Patrimônio!B432)</f>
        <v>0</v>
      </c>
      <c r="M432" s="8">
        <f>SUMIFS(His_Operacoes_FIIs[Total],His_Operacoes_FIIs[Operação],"Provento",His_Operacoes_FIIs[fimmês],Patrimônio!B432)</f>
        <v>0</v>
      </c>
      <c r="N432" s="8">
        <f t="shared" si="30"/>
        <v>0</v>
      </c>
    </row>
    <row r="433" spans="1:14" x14ac:dyDescent="0.35">
      <c r="A433" s="7">
        <v>55488</v>
      </c>
      <c r="B433" s="7">
        <f t="shared" si="27"/>
        <v>55487</v>
      </c>
      <c r="I433" s="8">
        <f t="shared" si="28"/>
        <v>0</v>
      </c>
      <c r="J433" s="8">
        <f t="shared" si="29"/>
        <v>0</v>
      </c>
      <c r="K433" s="8">
        <f>SUMIFS(His_Operacoes_acoes[Total],His_Operacoes_acoes[Fimmes],Patrimônio!B433,His_Operacoes_acoes[Operação],"JCP")
+ SUMIFS(His_Operacoes_acoes[Total],His_Operacoes_acoes[Fimmes],Patrimônio!B433,His_Operacoes_acoes[Operação],"Divid.")
+ SUMIFS(His_Operacoes_acoes[Total],His_Operacoes_acoes[Fimmes],Patrimônio!B433,His_Operacoes_acoes[Operação],"Bonif.")</f>
        <v>0</v>
      </c>
      <c r="L433" s="8">
        <f>SUMIFS(His_Operacoes_BDRs[Total],His_Operacoes_BDRs[Operação],"Provento",His_Operacoes_BDRs[fimmês],Patrimônio!B433)</f>
        <v>0</v>
      </c>
      <c r="M433" s="8">
        <f>SUMIFS(His_Operacoes_FIIs[Total],His_Operacoes_FIIs[Operação],"Provento",His_Operacoes_FIIs[fimmês],Patrimônio!B433)</f>
        <v>0</v>
      </c>
      <c r="N433" s="8">
        <f t="shared" si="30"/>
        <v>0</v>
      </c>
    </row>
    <row r="434" spans="1:14" x14ac:dyDescent="0.35">
      <c r="A434" s="7">
        <v>55519</v>
      </c>
      <c r="B434" s="7">
        <f t="shared" si="27"/>
        <v>55518</v>
      </c>
      <c r="I434" s="8">
        <f t="shared" si="28"/>
        <v>0</v>
      </c>
      <c r="J434" s="8">
        <f t="shared" si="29"/>
        <v>0</v>
      </c>
      <c r="K434" s="8">
        <f>SUMIFS(His_Operacoes_acoes[Total],His_Operacoes_acoes[Fimmes],Patrimônio!B434,His_Operacoes_acoes[Operação],"JCP")
+ SUMIFS(His_Operacoes_acoes[Total],His_Operacoes_acoes[Fimmes],Patrimônio!B434,His_Operacoes_acoes[Operação],"Divid.")
+ SUMIFS(His_Operacoes_acoes[Total],His_Operacoes_acoes[Fimmes],Patrimônio!B434,His_Operacoes_acoes[Operação],"Bonif.")</f>
        <v>0</v>
      </c>
      <c r="L434" s="8">
        <f>SUMIFS(His_Operacoes_BDRs[Total],His_Operacoes_BDRs[Operação],"Provento",His_Operacoes_BDRs[fimmês],Patrimônio!B434)</f>
        <v>0</v>
      </c>
      <c r="M434" s="8">
        <f>SUMIFS(His_Operacoes_FIIs[Total],His_Operacoes_FIIs[Operação],"Provento",His_Operacoes_FIIs[fimmês],Patrimônio!B434)</f>
        <v>0</v>
      </c>
      <c r="N434" s="8">
        <f t="shared" si="30"/>
        <v>0</v>
      </c>
    </row>
    <row r="435" spans="1:14" x14ac:dyDescent="0.35">
      <c r="A435" s="7">
        <v>55550</v>
      </c>
      <c r="B435" s="7">
        <f t="shared" si="27"/>
        <v>55549</v>
      </c>
      <c r="I435" s="8">
        <f t="shared" si="28"/>
        <v>0</v>
      </c>
      <c r="J435" s="8">
        <f t="shared" si="29"/>
        <v>0</v>
      </c>
      <c r="K435" s="8">
        <f>SUMIFS(His_Operacoes_acoes[Total],His_Operacoes_acoes[Fimmes],Patrimônio!B435,His_Operacoes_acoes[Operação],"JCP")
+ SUMIFS(His_Operacoes_acoes[Total],His_Operacoes_acoes[Fimmes],Patrimônio!B435,His_Operacoes_acoes[Operação],"Divid.")
+ SUMIFS(His_Operacoes_acoes[Total],His_Operacoes_acoes[Fimmes],Patrimônio!B435,His_Operacoes_acoes[Operação],"Bonif.")</f>
        <v>0</v>
      </c>
      <c r="L435" s="8">
        <f>SUMIFS(His_Operacoes_BDRs[Total],His_Operacoes_BDRs[Operação],"Provento",His_Operacoes_BDRs[fimmês],Patrimônio!B435)</f>
        <v>0</v>
      </c>
      <c r="M435" s="8">
        <f>SUMIFS(His_Operacoes_FIIs[Total],His_Operacoes_FIIs[Operação],"Provento",His_Operacoes_FIIs[fimmês],Patrimônio!B435)</f>
        <v>0</v>
      </c>
      <c r="N435" s="8">
        <f t="shared" si="30"/>
        <v>0</v>
      </c>
    </row>
    <row r="436" spans="1:14" x14ac:dyDescent="0.35">
      <c r="A436" s="7">
        <v>55579</v>
      </c>
      <c r="B436" s="7">
        <f t="shared" si="27"/>
        <v>55578</v>
      </c>
      <c r="I436" s="8">
        <f t="shared" si="28"/>
        <v>0</v>
      </c>
      <c r="J436" s="8">
        <f t="shared" si="29"/>
        <v>0</v>
      </c>
      <c r="K436" s="8">
        <f>SUMIFS(His_Operacoes_acoes[Total],His_Operacoes_acoes[Fimmes],Patrimônio!B436,His_Operacoes_acoes[Operação],"JCP")
+ SUMIFS(His_Operacoes_acoes[Total],His_Operacoes_acoes[Fimmes],Patrimônio!B436,His_Operacoes_acoes[Operação],"Divid.")
+ SUMIFS(His_Operacoes_acoes[Total],His_Operacoes_acoes[Fimmes],Patrimônio!B436,His_Operacoes_acoes[Operação],"Bonif.")</f>
        <v>0</v>
      </c>
      <c r="L436" s="8">
        <f>SUMIFS(His_Operacoes_BDRs[Total],His_Operacoes_BDRs[Operação],"Provento",His_Operacoes_BDRs[fimmês],Patrimônio!B436)</f>
        <v>0</v>
      </c>
      <c r="M436" s="8">
        <f>SUMIFS(His_Operacoes_FIIs[Total],His_Operacoes_FIIs[Operação],"Provento",His_Operacoes_FIIs[fimmês],Patrimônio!B436)</f>
        <v>0</v>
      </c>
      <c r="N436" s="8">
        <f t="shared" si="30"/>
        <v>0</v>
      </c>
    </row>
    <row r="437" spans="1:14" x14ac:dyDescent="0.35">
      <c r="A437" s="7">
        <v>55610</v>
      </c>
      <c r="B437" s="7">
        <f t="shared" si="27"/>
        <v>55609</v>
      </c>
      <c r="I437" s="8">
        <f t="shared" si="28"/>
        <v>0</v>
      </c>
      <c r="J437" s="8">
        <f t="shared" si="29"/>
        <v>0</v>
      </c>
      <c r="K437" s="8">
        <f>SUMIFS(His_Operacoes_acoes[Total],His_Operacoes_acoes[Fimmes],Patrimônio!B437,His_Operacoes_acoes[Operação],"JCP")
+ SUMIFS(His_Operacoes_acoes[Total],His_Operacoes_acoes[Fimmes],Patrimônio!B437,His_Operacoes_acoes[Operação],"Divid.")
+ SUMIFS(His_Operacoes_acoes[Total],His_Operacoes_acoes[Fimmes],Patrimônio!B437,His_Operacoes_acoes[Operação],"Bonif.")</f>
        <v>0</v>
      </c>
      <c r="L437" s="8">
        <f>SUMIFS(His_Operacoes_BDRs[Total],His_Operacoes_BDRs[Operação],"Provento",His_Operacoes_BDRs[fimmês],Patrimônio!B437)</f>
        <v>0</v>
      </c>
      <c r="M437" s="8">
        <f>SUMIFS(His_Operacoes_FIIs[Total],His_Operacoes_FIIs[Operação],"Provento",His_Operacoes_FIIs[fimmês],Patrimônio!B437)</f>
        <v>0</v>
      </c>
      <c r="N437" s="8">
        <f t="shared" si="30"/>
        <v>0</v>
      </c>
    </row>
    <row r="438" spans="1:14" x14ac:dyDescent="0.35">
      <c r="A438" s="7">
        <v>55640</v>
      </c>
      <c r="B438" s="7">
        <f t="shared" si="27"/>
        <v>55639</v>
      </c>
      <c r="I438" s="8">
        <f t="shared" si="28"/>
        <v>0</v>
      </c>
      <c r="J438" s="8">
        <f t="shared" si="29"/>
        <v>0</v>
      </c>
      <c r="K438" s="8">
        <f>SUMIFS(His_Operacoes_acoes[Total],His_Operacoes_acoes[Fimmes],Patrimônio!B438,His_Operacoes_acoes[Operação],"JCP")
+ SUMIFS(His_Operacoes_acoes[Total],His_Operacoes_acoes[Fimmes],Patrimônio!B438,His_Operacoes_acoes[Operação],"Divid.")
+ SUMIFS(His_Operacoes_acoes[Total],His_Operacoes_acoes[Fimmes],Patrimônio!B438,His_Operacoes_acoes[Operação],"Bonif.")</f>
        <v>0</v>
      </c>
      <c r="L438" s="8">
        <f>SUMIFS(His_Operacoes_BDRs[Total],His_Operacoes_BDRs[Operação],"Provento",His_Operacoes_BDRs[fimmês],Patrimônio!B438)</f>
        <v>0</v>
      </c>
      <c r="M438" s="8">
        <f>SUMIFS(His_Operacoes_FIIs[Total],His_Operacoes_FIIs[Operação],"Provento",His_Operacoes_FIIs[fimmês],Patrimônio!B438)</f>
        <v>0</v>
      </c>
      <c r="N438" s="8">
        <f t="shared" si="30"/>
        <v>0</v>
      </c>
    </row>
    <row r="439" spans="1:14" x14ac:dyDescent="0.35">
      <c r="A439" s="7">
        <v>55671</v>
      </c>
      <c r="B439" s="7">
        <f t="shared" si="27"/>
        <v>55670</v>
      </c>
      <c r="I439" s="8">
        <f t="shared" si="28"/>
        <v>0</v>
      </c>
      <c r="J439" s="8">
        <f t="shared" si="29"/>
        <v>0</v>
      </c>
      <c r="K439" s="8">
        <f>SUMIFS(His_Operacoes_acoes[Total],His_Operacoes_acoes[Fimmes],Patrimônio!B439,His_Operacoes_acoes[Operação],"JCP")
+ SUMIFS(His_Operacoes_acoes[Total],His_Operacoes_acoes[Fimmes],Patrimônio!B439,His_Operacoes_acoes[Operação],"Divid.")
+ SUMIFS(His_Operacoes_acoes[Total],His_Operacoes_acoes[Fimmes],Patrimônio!B439,His_Operacoes_acoes[Operação],"Bonif.")</f>
        <v>0</v>
      </c>
      <c r="L439" s="8">
        <f>SUMIFS(His_Operacoes_BDRs[Total],His_Operacoes_BDRs[Operação],"Provento",His_Operacoes_BDRs[fimmês],Patrimônio!B439)</f>
        <v>0</v>
      </c>
      <c r="M439" s="8">
        <f>SUMIFS(His_Operacoes_FIIs[Total],His_Operacoes_FIIs[Operação],"Provento",His_Operacoes_FIIs[fimmês],Patrimônio!B439)</f>
        <v>0</v>
      </c>
      <c r="N439" s="8">
        <f t="shared" si="30"/>
        <v>0</v>
      </c>
    </row>
    <row r="440" spans="1:14" x14ac:dyDescent="0.35">
      <c r="A440" s="7">
        <v>55701</v>
      </c>
      <c r="B440" s="7">
        <f t="shared" si="27"/>
        <v>55700</v>
      </c>
      <c r="I440" s="8">
        <f t="shared" si="28"/>
        <v>0</v>
      </c>
      <c r="J440" s="8">
        <f t="shared" si="29"/>
        <v>0</v>
      </c>
      <c r="K440" s="8">
        <f>SUMIFS(His_Operacoes_acoes[Total],His_Operacoes_acoes[Fimmes],Patrimônio!B440,His_Operacoes_acoes[Operação],"JCP")
+ SUMIFS(His_Operacoes_acoes[Total],His_Operacoes_acoes[Fimmes],Patrimônio!B440,His_Operacoes_acoes[Operação],"Divid.")
+ SUMIFS(His_Operacoes_acoes[Total],His_Operacoes_acoes[Fimmes],Patrimônio!B440,His_Operacoes_acoes[Operação],"Bonif.")</f>
        <v>0</v>
      </c>
      <c r="L440" s="8">
        <f>SUMIFS(His_Operacoes_BDRs[Total],His_Operacoes_BDRs[Operação],"Provento",His_Operacoes_BDRs[fimmês],Patrimônio!B440)</f>
        <v>0</v>
      </c>
      <c r="M440" s="8">
        <f>SUMIFS(His_Operacoes_FIIs[Total],His_Operacoes_FIIs[Operação],"Provento",His_Operacoes_FIIs[fimmês],Patrimônio!B440)</f>
        <v>0</v>
      </c>
      <c r="N440" s="8">
        <f t="shared" si="30"/>
        <v>0</v>
      </c>
    </row>
    <row r="441" spans="1:14" x14ac:dyDescent="0.35">
      <c r="A441" s="7">
        <v>55732</v>
      </c>
      <c r="B441" s="7">
        <f t="shared" si="27"/>
        <v>55731</v>
      </c>
      <c r="I441" s="8">
        <f t="shared" si="28"/>
        <v>0</v>
      </c>
      <c r="J441" s="8">
        <f t="shared" si="29"/>
        <v>0</v>
      </c>
      <c r="K441" s="8">
        <f>SUMIFS(His_Operacoes_acoes[Total],His_Operacoes_acoes[Fimmes],Patrimônio!B441,His_Operacoes_acoes[Operação],"JCP")
+ SUMIFS(His_Operacoes_acoes[Total],His_Operacoes_acoes[Fimmes],Patrimônio!B441,His_Operacoes_acoes[Operação],"Divid.")
+ SUMIFS(His_Operacoes_acoes[Total],His_Operacoes_acoes[Fimmes],Patrimônio!B441,His_Operacoes_acoes[Operação],"Bonif.")</f>
        <v>0</v>
      </c>
      <c r="L441" s="8">
        <f>SUMIFS(His_Operacoes_BDRs[Total],His_Operacoes_BDRs[Operação],"Provento",His_Operacoes_BDRs[fimmês],Patrimônio!B441)</f>
        <v>0</v>
      </c>
      <c r="M441" s="8">
        <f>SUMIFS(His_Operacoes_FIIs[Total],His_Operacoes_FIIs[Operação],"Provento",His_Operacoes_FIIs[fimmês],Patrimônio!B441)</f>
        <v>0</v>
      </c>
      <c r="N441" s="8">
        <f t="shared" si="30"/>
        <v>0</v>
      </c>
    </row>
    <row r="442" spans="1:14" x14ac:dyDescent="0.35">
      <c r="A442" s="7">
        <v>55763</v>
      </c>
      <c r="B442" s="7">
        <f t="shared" si="27"/>
        <v>55762</v>
      </c>
      <c r="I442" s="8">
        <f t="shared" si="28"/>
        <v>0</v>
      </c>
      <c r="J442" s="8">
        <f t="shared" si="29"/>
        <v>0</v>
      </c>
      <c r="K442" s="8">
        <f>SUMIFS(His_Operacoes_acoes[Total],His_Operacoes_acoes[Fimmes],Patrimônio!B442,His_Operacoes_acoes[Operação],"JCP")
+ SUMIFS(His_Operacoes_acoes[Total],His_Operacoes_acoes[Fimmes],Patrimônio!B442,His_Operacoes_acoes[Operação],"Divid.")
+ SUMIFS(His_Operacoes_acoes[Total],His_Operacoes_acoes[Fimmes],Patrimônio!B442,His_Operacoes_acoes[Operação],"Bonif.")</f>
        <v>0</v>
      </c>
      <c r="L442" s="8">
        <f>SUMIFS(His_Operacoes_BDRs[Total],His_Operacoes_BDRs[Operação],"Provento",His_Operacoes_BDRs[fimmês],Patrimônio!B442)</f>
        <v>0</v>
      </c>
      <c r="M442" s="8">
        <f>SUMIFS(His_Operacoes_FIIs[Total],His_Operacoes_FIIs[Operação],"Provento",His_Operacoes_FIIs[fimmês],Patrimônio!B442)</f>
        <v>0</v>
      </c>
      <c r="N442" s="8">
        <f t="shared" si="30"/>
        <v>0</v>
      </c>
    </row>
    <row r="443" spans="1:14" x14ac:dyDescent="0.35">
      <c r="A443" s="7">
        <v>55793</v>
      </c>
      <c r="B443" s="7">
        <f t="shared" si="27"/>
        <v>55792</v>
      </c>
      <c r="I443" s="8">
        <f t="shared" si="28"/>
        <v>0</v>
      </c>
      <c r="J443" s="8">
        <f t="shared" si="29"/>
        <v>0</v>
      </c>
      <c r="K443" s="8">
        <f>SUMIFS(His_Operacoes_acoes[Total],His_Operacoes_acoes[Fimmes],Patrimônio!B443,His_Operacoes_acoes[Operação],"JCP")
+ SUMIFS(His_Operacoes_acoes[Total],His_Operacoes_acoes[Fimmes],Patrimônio!B443,His_Operacoes_acoes[Operação],"Divid.")
+ SUMIFS(His_Operacoes_acoes[Total],His_Operacoes_acoes[Fimmes],Patrimônio!B443,His_Operacoes_acoes[Operação],"Bonif.")</f>
        <v>0</v>
      </c>
      <c r="L443" s="8">
        <f>SUMIFS(His_Operacoes_BDRs[Total],His_Operacoes_BDRs[Operação],"Provento",His_Operacoes_BDRs[fimmês],Patrimônio!B443)</f>
        <v>0</v>
      </c>
      <c r="M443" s="8">
        <f>SUMIFS(His_Operacoes_FIIs[Total],His_Operacoes_FIIs[Operação],"Provento",His_Operacoes_FIIs[fimmês],Patrimônio!B443)</f>
        <v>0</v>
      </c>
      <c r="N443" s="8">
        <f t="shared" si="30"/>
        <v>0</v>
      </c>
    </row>
    <row r="444" spans="1:14" x14ac:dyDescent="0.35">
      <c r="A444" s="7">
        <v>55824</v>
      </c>
      <c r="B444" s="7">
        <f t="shared" si="27"/>
        <v>55823</v>
      </c>
      <c r="I444" s="8">
        <f t="shared" si="28"/>
        <v>0</v>
      </c>
      <c r="J444" s="8">
        <f t="shared" si="29"/>
        <v>0</v>
      </c>
      <c r="K444" s="8">
        <f>SUMIFS(His_Operacoes_acoes[Total],His_Operacoes_acoes[Fimmes],Patrimônio!B444,His_Operacoes_acoes[Operação],"JCP")
+ SUMIFS(His_Operacoes_acoes[Total],His_Operacoes_acoes[Fimmes],Patrimônio!B444,His_Operacoes_acoes[Operação],"Divid.")
+ SUMIFS(His_Operacoes_acoes[Total],His_Operacoes_acoes[Fimmes],Patrimônio!B444,His_Operacoes_acoes[Operação],"Bonif.")</f>
        <v>0</v>
      </c>
      <c r="L444" s="8">
        <f>SUMIFS(His_Operacoes_BDRs[Total],His_Operacoes_BDRs[Operação],"Provento",His_Operacoes_BDRs[fimmês],Patrimônio!B444)</f>
        <v>0</v>
      </c>
      <c r="M444" s="8">
        <f>SUMIFS(His_Operacoes_FIIs[Total],His_Operacoes_FIIs[Operação],"Provento",His_Operacoes_FIIs[fimmês],Patrimônio!B444)</f>
        <v>0</v>
      </c>
      <c r="N444" s="8">
        <f t="shared" si="30"/>
        <v>0</v>
      </c>
    </row>
    <row r="445" spans="1:14" x14ac:dyDescent="0.35">
      <c r="A445" s="7">
        <v>55854</v>
      </c>
      <c r="B445" s="7">
        <f t="shared" si="27"/>
        <v>55853</v>
      </c>
      <c r="I445" s="8">
        <f t="shared" si="28"/>
        <v>0</v>
      </c>
      <c r="J445" s="8">
        <f t="shared" si="29"/>
        <v>0</v>
      </c>
      <c r="K445" s="8">
        <f>SUMIFS(His_Operacoes_acoes[Total],His_Operacoes_acoes[Fimmes],Patrimônio!B445,His_Operacoes_acoes[Operação],"JCP")
+ SUMIFS(His_Operacoes_acoes[Total],His_Operacoes_acoes[Fimmes],Patrimônio!B445,His_Operacoes_acoes[Operação],"Divid.")
+ SUMIFS(His_Operacoes_acoes[Total],His_Operacoes_acoes[Fimmes],Patrimônio!B445,His_Operacoes_acoes[Operação],"Bonif.")</f>
        <v>0</v>
      </c>
      <c r="L445" s="8">
        <f>SUMIFS(His_Operacoes_BDRs[Total],His_Operacoes_BDRs[Operação],"Provento",His_Operacoes_BDRs[fimmês],Patrimônio!B445)</f>
        <v>0</v>
      </c>
      <c r="M445" s="8">
        <f>SUMIFS(His_Operacoes_FIIs[Total],His_Operacoes_FIIs[Operação],"Provento",His_Operacoes_FIIs[fimmês],Patrimônio!B445)</f>
        <v>0</v>
      </c>
      <c r="N445" s="8">
        <f t="shared" si="30"/>
        <v>0</v>
      </c>
    </row>
    <row r="446" spans="1:14" x14ac:dyDescent="0.35">
      <c r="A446" s="7">
        <v>55885</v>
      </c>
      <c r="B446" s="7">
        <f t="shared" si="27"/>
        <v>55884</v>
      </c>
      <c r="I446" s="8">
        <f t="shared" si="28"/>
        <v>0</v>
      </c>
      <c r="J446" s="8">
        <f t="shared" si="29"/>
        <v>0</v>
      </c>
      <c r="K446" s="8">
        <f>SUMIFS(His_Operacoes_acoes[Total],His_Operacoes_acoes[Fimmes],Patrimônio!B446,His_Operacoes_acoes[Operação],"JCP")
+ SUMIFS(His_Operacoes_acoes[Total],His_Operacoes_acoes[Fimmes],Patrimônio!B446,His_Operacoes_acoes[Operação],"Divid.")
+ SUMIFS(His_Operacoes_acoes[Total],His_Operacoes_acoes[Fimmes],Patrimônio!B446,His_Operacoes_acoes[Operação],"Bonif.")</f>
        <v>0</v>
      </c>
      <c r="L446" s="8">
        <f>SUMIFS(His_Operacoes_BDRs[Total],His_Operacoes_BDRs[Operação],"Provento",His_Operacoes_BDRs[fimmês],Patrimônio!B446)</f>
        <v>0</v>
      </c>
      <c r="M446" s="8">
        <f>SUMIFS(His_Operacoes_FIIs[Total],His_Operacoes_FIIs[Operação],"Provento",His_Operacoes_FIIs[fimmês],Patrimônio!B446)</f>
        <v>0</v>
      </c>
      <c r="N446" s="8">
        <f t="shared" si="30"/>
        <v>0</v>
      </c>
    </row>
    <row r="447" spans="1:14" x14ac:dyDescent="0.35">
      <c r="A447" s="7">
        <v>55916</v>
      </c>
      <c r="B447" s="7">
        <f t="shared" si="27"/>
        <v>55915</v>
      </c>
      <c r="I447" s="8">
        <f t="shared" si="28"/>
        <v>0</v>
      </c>
      <c r="J447" s="8">
        <f t="shared" si="29"/>
        <v>0</v>
      </c>
      <c r="K447" s="8">
        <f>SUMIFS(His_Operacoes_acoes[Total],His_Operacoes_acoes[Fimmes],Patrimônio!B447,His_Operacoes_acoes[Operação],"JCP")
+ SUMIFS(His_Operacoes_acoes[Total],His_Operacoes_acoes[Fimmes],Patrimônio!B447,His_Operacoes_acoes[Operação],"Divid.")
+ SUMIFS(His_Operacoes_acoes[Total],His_Operacoes_acoes[Fimmes],Patrimônio!B447,His_Operacoes_acoes[Operação],"Bonif.")</f>
        <v>0</v>
      </c>
      <c r="L447" s="8">
        <f>SUMIFS(His_Operacoes_BDRs[Total],His_Operacoes_BDRs[Operação],"Provento",His_Operacoes_BDRs[fimmês],Patrimônio!B447)</f>
        <v>0</v>
      </c>
      <c r="M447" s="8">
        <f>SUMIFS(His_Operacoes_FIIs[Total],His_Operacoes_FIIs[Operação],"Provento",His_Operacoes_FIIs[fimmês],Patrimônio!B447)</f>
        <v>0</v>
      </c>
      <c r="N447" s="8">
        <f t="shared" si="30"/>
        <v>0</v>
      </c>
    </row>
    <row r="448" spans="1:14" x14ac:dyDescent="0.35">
      <c r="A448" s="7">
        <v>55944</v>
      </c>
      <c r="B448" s="7">
        <f t="shared" si="27"/>
        <v>55943</v>
      </c>
      <c r="I448" s="8">
        <f t="shared" si="28"/>
        <v>0</v>
      </c>
      <c r="J448" s="8">
        <f t="shared" si="29"/>
        <v>0</v>
      </c>
      <c r="K448" s="8">
        <f>SUMIFS(His_Operacoes_acoes[Total],His_Operacoes_acoes[Fimmes],Patrimônio!B448,His_Operacoes_acoes[Operação],"JCP")
+ SUMIFS(His_Operacoes_acoes[Total],His_Operacoes_acoes[Fimmes],Patrimônio!B448,His_Operacoes_acoes[Operação],"Divid.")
+ SUMIFS(His_Operacoes_acoes[Total],His_Operacoes_acoes[Fimmes],Patrimônio!B448,His_Operacoes_acoes[Operação],"Bonif.")</f>
        <v>0</v>
      </c>
      <c r="L448" s="8">
        <f>SUMIFS(His_Operacoes_BDRs[Total],His_Operacoes_BDRs[Operação],"Provento",His_Operacoes_BDRs[fimmês],Patrimônio!B448)</f>
        <v>0</v>
      </c>
      <c r="M448" s="8">
        <f>SUMIFS(His_Operacoes_FIIs[Total],His_Operacoes_FIIs[Operação],"Provento",His_Operacoes_FIIs[fimmês],Patrimônio!B448)</f>
        <v>0</v>
      </c>
      <c r="N448" s="8">
        <f t="shared" si="30"/>
        <v>0</v>
      </c>
    </row>
    <row r="449" spans="1:14" x14ac:dyDescent="0.35">
      <c r="A449" s="7">
        <v>55975</v>
      </c>
      <c r="B449" s="7">
        <f t="shared" si="27"/>
        <v>55974</v>
      </c>
      <c r="I449" s="8">
        <f t="shared" si="28"/>
        <v>0</v>
      </c>
      <c r="J449" s="8">
        <f t="shared" si="29"/>
        <v>0</v>
      </c>
      <c r="K449" s="8">
        <f>SUMIFS(His_Operacoes_acoes[Total],His_Operacoes_acoes[Fimmes],Patrimônio!B449,His_Operacoes_acoes[Operação],"JCP")
+ SUMIFS(His_Operacoes_acoes[Total],His_Operacoes_acoes[Fimmes],Patrimônio!B449,His_Operacoes_acoes[Operação],"Divid.")
+ SUMIFS(His_Operacoes_acoes[Total],His_Operacoes_acoes[Fimmes],Patrimônio!B449,His_Operacoes_acoes[Operação],"Bonif.")</f>
        <v>0</v>
      </c>
      <c r="L449" s="8">
        <f>SUMIFS(His_Operacoes_BDRs[Total],His_Operacoes_BDRs[Operação],"Provento",His_Operacoes_BDRs[fimmês],Patrimônio!B449)</f>
        <v>0</v>
      </c>
      <c r="M449" s="8">
        <f>SUMIFS(His_Operacoes_FIIs[Total],His_Operacoes_FIIs[Operação],"Provento",His_Operacoes_FIIs[fimmês],Patrimônio!B449)</f>
        <v>0</v>
      </c>
      <c r="N449" s="8">
        <f t="shared" si="30"/>
        <v>0</v>
      </c>
    </row>
    <row r="450" spans="1:14" x14ac:dyDescent="0.35">
      <c r="A450" s="7">
        <v>56005</v>
      </c>
      <c r="B450" s="7">
        <f t="shared" si="27"/>
        <v>56004</v>
      </c>
      <c r="I450" s="8">
        <f t="shared" si="28"/>
        <v>0</v>
      </c>
      <c r="J450" s="8">
        <f t="shared" si="29"/>
        <v>0</v>
      </c>
      <c r="K450" s="8">
        <f>SUMIFS(His_Operacoes_acoes[Total],His_Operacoes_acoes[Fimmes],Patrimônio!B450,His_Operacoes_acoes[Operação],"JCP")
+ SUMIFS(His_Operacoes_acoes[Total],His_Operacoes_acoes[Fimmes],Patrimônio!B450,His_Operacoes_acoes[Operação],"Divid.")
+ SUMIFS(His_Operacoes_acoes[Total],His_Operacoes_acoes[Fimmes],Patrimônio!B450,His_Operacoes_acoes[Operação],"Bonif.")</f>
        <v>0</v>
      </c>
      <c r="L450" s="8">
        <f>SUMIFS(His_Operacoes_BDRs[Total],His_Operacoes_BDRs[Operação],"Provento",His_Operacoes_BDRs[fimmês],Patrimônio!B450)</f>
        <v>0</v>
      </c>
      <c r="M450" s="8">
        <f>SUMIFS(His_Operacoes_FIIs[Total],His_Operacoes_FIIs[Operação],"Provento",His_Operacoes_FIIs[fimmês],Patrimônio!B450)</f>
        <v>0</v>
      </c>
      <c r="N450" s="8">
        <f t="shared" si="30"/>
        <v>0</v>
      </c>
    </row>
    <row r="451" spans="1:14" x14ac:dyDescent="0.35">
      <c r="A451" s="7">
        <v>56036</v>
      </c>
      <c r="B451" s="7">
        <f t="shared" ref="B451:B514" si="31">EOMONTH(A451,-1)</f>
        <v>56035</v>
      </c>
      <c r="I451" s="8">
        <f t="shared" ref="I451:I514" si="32">SUM(C451,E451,G451)</f>
        <v>0</v>
      </c>
      <c r="J451" s="8">
        <f t="shared" ref="J451:J514" si="33">SUM(D451,F451,H451)</f>
        <v>0</v>
      </c>
      <c r="K451" s="8">
        <f>SUMIFS(His_Operacoes_acoes[Total],His_Operacoes_acoes[Fimmes],Patrimônio!B451,His_Operacoes_acoes[Operação],"JCP")
+ SUMIFS(His_Operacoes_acoes[Total],His_Operacoes_acoes[Fimmes],Patrimônio!B451,His_Operacoes_acoes[Operação],"Divid.")
+ SUMIFS(His_Operacoes_acoes[Total],His_Operacoes_acoes[Fimmes],Patrimônio!B451,His_Operacoes_acoes[Operação],"Bonif.")</f>
        <v>0</v>
      </c>
      <c r="L451" s="8">
        <f>SUMIFS(His_Operacoes_BDRs[Total],His_Operacoes_BDRs[Operação],"Provento",His_Operacoes_BDRs[fimmês],Patrimônio!B451)</f>
        <v>0</v>
      </c>
      <c r="M451" s="8">
        <f>SUMIFS(His_Operacoes_FIIs[Total],His_Operacoes_FIIs[Operação],"Provento",His_Operacoes_FIIs[fimmês],Patrimônio!B451)</f>
        <v>0</v>
      </c>
      <c r="N451" s="8">
        <f t="shared" ref="N451:N514" si="34">SUM(K451:M451)</f>
        <v>0</v>
      </c>
    </row>
    <row r="452" spans="1:14" x14ac:dyDescent="0.35">
      <c r="A452" s="7">
        <v>56066</v>
      </c>
      <c r="B452" s="7">
        <f t="shared" si="31"/>
        <v>56065</v>
      </c>
      <c r="I452" s="8">
        <f t="shared" si="32"/>
        <v>0</v>
      </c>
      <c r="J452" s="8">
        <f t="shared" si="33"/>
        <v>0</v>
      </c>
      <c r="K452" s="8">
        <f>SUMIFS(His_Operacoes_acoes[Total],His_Operacoes_acoes[Fimmes],Patrimônio!B452,His_Operacoes_acoes[Operação],"JCP")
+ SUMIFS(His_Operacoes_acoes[Total],His_Operacoes_acoes[Fimmes],Patrimônio!B452,His_Operacoes_acoes[Operação],"Divid.")
+ SUMIFS(His_Operacoes_acoes[Total],His_Operacoes_acoes[Fimmes],Patrimônio!B452,His_Operacoes_acoes[Operação],"Bonif.")</f>
        <v>0</v>
      </c>
      <c r="L452" s="8">
        <f>SUMIFS(His_Operacoes_BDRs[Total],His_Operacoes_BDRs[Operação],"Provento",His_Operacoes_BDRs[fimmês],Patrimônio!B452)</f>
        <v>0</v>
      </c>
      <c r="M452" s="8">
        <f>SUMIFS(His_Operacoes_FIIs[Total],His_Operacoes_FIIs[Operação],"Provento",His_Operacoes_FIIs[fimmês],Patrimônio!B452)</f>
        <v>0</v>
      </c>
      <c r="N452" s="8">
        <f t="shared" si="34"/>
        <v>0</v>
      </c>
    </row>
    <row r="453" spans="1:14" x14ac:dyDescent="0.35">
      <c r="A453" s="7">
        <v>56097</v>
      </c>
      <c r="B453" s="7">
        <f t="shared" si="31"/>
        <v>56096</v>
      </c>
      <c r="I453" s="8">
        <f t="shared" si="32"/>
        <v>0</v>
      </c>
      <c r="J453" s="8">
        <f t="shared" si="33"/>
        <v>0</v>
      </c>
      <c r="K453" s="8">
        <f>SUMIFS(His_Operacoes_acoes[Total],His_Operacoes_acoes[Fimmes],Patrimônio!B453,His_Operacoes_acoes[Operação],"JCP")
+ SUMIFS(His_Operacoes_acoes[Total],His_Operacoes_acoes[Fimmes],Patrimônio!B453,His_Operacoes_acoes[Operação],"Divid.")
+ SUMIFS(His_Operacoes_acoes[Total],His_Operacoes_acoes[Fimmes],Patrimônio!B453,His_Operacoes_acoes[Operação],"Bonif.")</f>
        <v>0</v>
      </c>
      <c r="L453" s="8">
        <f>SUMIFS(His_Operacoes_BDRs[Total],His_Operacoes_BDRs[Operação],"Provento",His_Operacoes_BDRs[fimmês],Patrimônio!B453)</f>
        <v>0</v>
      </c>
      <c r="M453" s="8">
        <f>SUMIFS(His_Operacoes_FIIs[Total],His_Operacoes_FIIs[Operação],"Provento",His_Operacoes_FIIs[fimmês],Patrimônio!B453)</f>
        <v>0</v>
      </c>
      <c r="N453" s="8">
        <f t="shared" si="34"/>
        <v>0</v>
      </c>
    </row>
    <row r="454" spans="1:14" x14ac:dyDescent="0.35">
      <c r="A454" s="7">
        <v>56128</v>
      </c>
      <c r="B454" s="7">
        <f t="shared" si="31"/>
        <v>56127</v>
      </c>
      <c r="I454" s="8">
        <f t="shared" si="32"/>
        <v>0</v>
      </c>
      <c r="J454" s="8">
        <f t="shared" si="33"/>
        <v>0</v>
      </c>
      <c r="K454" s="8">
        <f>SUMIFS(His_Operacoes_acoes[Total],His_Operacoes_acoes[Fimmes],Patrimônio!B454,His_Operacoes_acoes[Operação],"JCP")
+ SUMIFS(His_Operacoes_acoes[Total],His_Operacoes_acoes[Fimmes],Patrimônio!B454,His_Operacoes_acoes[Operação],"Divid.")
+ SUMIFS(His_Operacoes_acoes[Total],His_Operacoes_acoes[Fimmes],Patrimônio!B454,His_Operacoes_acoes[Operação],"Bonif.")</f>
        <v>0</v>
      </c>
      <c r="L454" s="8">
        <f>SUMIFS(His_Operacoes_BDRs[Total],His_Operacoes_BDRs[Operação],"Provento",His_Operacoes_BDRs[fimmês],Patrimônio!B454)</f>
        <v>0</v>
      </c>
      <c r="M454" s="8">
        <f>SUMIFS(His_Operacoes_FIIs[Total],His_Operacoes_FIIs[Operação],"Provento",His_Operacoes_FIIs[fimmês],Patrimônio!B454)</f>
        <v>0</v>
      </c>
      <c r="N454" s="8">
        <f t="shared" si="34"/>
        <v>0</v>
      </c>
    </row>
    <row r="455" spans="1:14" x14ac:dyDescent="0.35">
      <c r="A455" s="7">
        <v>56158</v>
      </c>
      <c r="B455" s="7">
        <f t="shared" si="31"/>
        <v>56157</v>
      </c>
      <c r="I455" s="8">
        <f t="shared" si="32"/>
        <v>0</v>
      </c>
      <c r="J455" s="8">
        <f t="shared" si="33"/>
        <v>0</v>
      </c>
      <c r="K455" s="8">
        <f>SUMIFS(His_Operacoes_acoes[Total],His_Operacoes_acoes[Fimmes],Patrimônio!B455,His_Operacoes_acoes[Operação],"JCP")
+ SUMIFS(His_Operacoes_acoes[Total],His_Operacoes_acoes[Fimmes],Patrimônio!B455,His_Operacoes_acoes[Operação],"Divid.")
+ SUMIFS(His_Operacoes_acoes[Total],His_Operacoes_acoes[Fimmes],Patrimônio!B455,His_Operacoes_acoes[Operação],"Bonif.")</f>
        <v>0</v>
      </c>
      <c r="L455" s="8">
        <f>SUMIFS(His_Operacoes_BDRs[Total],His_Operacoes_BDRs[Operação],"Provento",His_Operacoes_BDRs[fimmês],Patrimônio!B455)</f>
        <v>0</v>
      </c>
      <c r="M455" s="8">
        <f>SUMIFS(His_Operacoes_FIIs[Total],His_Operacoes_FIIs[Operação],"Provento",His_Operacoes_FIIs[fimmês],Patrimônio!B455)</f>
        <v>0</v>
      </c>
      <c r="N455" s="8">
        <f t="shared" si="34"/>
        <v>0</v>
      </c>
    </row>
    <row r="456" spans="1:14" x14ac:dyDescent="0.35">
      <c r="A456" s="7">
        <v>56189</v>
      </c>
      <c r="B456" s="7">
        <f t="shared" si="31"/>
        <v>56188</v>
      </c>
      <c r="I456" s="8">
        <f t="shared" si="32"/>
        <v>0</v>
      </c>
      <c r="J456" s="8">
        <f t="shared" si="33"/>
        <v>0</v>
      </c>
      <c r="K456" s="8">
        <f>SUMIFS(His_Operacoes_acoes[Total],His_Operacoes_acoes[Fimmes],Patrimônio!B456,His_Operacoes_acoes[Operação],"JCP")
+ SUMIFS(His_Operacoes_acoes[Total],His_Operacoes_acoes[Fimmes],Patrimônio!B456,His_Operacoes_acoes[Operação],"Divid.")
+ SUMIFS(His_Operacoes_acoes[Total],His_Operacoes_acoes[Fimmes],Patrimônio!B456,His_Operacoes_acoes[Operação],"Bonif.")</f>
        <v>0</v>
      </c>
      <c r="L456" s="8">
        <f>SUMIFS(His_Operacoes_BDRs[Total],His_Operacoes_BDRs[Operação],"Provento",His_Operacoes_BDRs[fimmês],Patrimônio!B456)</f>
        <v>0</v>
      </c>
      <c r="M456" s="8">
        <f>SUMIFS(His_Operacoes_FIIs[Total],His_Operacoes_FIIs[Operação],"Provento",His_Operacoes_FIIs[fimmês],Patrimônio!B456)</f>
        <v>0</v>
      </c>
      <c r="N456" s="8">
        <f t="shared" si="34"/>
        <v>0</v>
      </c>
    </row>
    <row r="457" spans="1:14" x14ac:dyDescent="0.35">
      <c r="A457" s="7">
        <v>56219</v>
      </c>
      <c r="B457" s="7">
        <f t="shared" si="31"/>
        <v>56218</v>
      </c>
      <c r="I457" s="8">
        <f t="shared" si="32"/>
        <v>0</v>
      </c>
      <c r="J457" s="8">
        <f t="shared" si="33"/>
        <v>0</v>
      </c>
      <c r="K457" s="8">
        <f>SUMIFS(His_Operacoes_acoes[Total],His_Operacoes_acoes[Fimmes],Patrimônio!B457,His_Operacoes_acoes[Operação],"JCP")
+ SUMIFS(His_Operacoes_acoes[Total],His_Operacoes_acoes[Fimmes],Patrimônio!B457,His_Operacoes_acoes[Operação],"Divid.")
+ SUMIFS(His_Operacoes_acoes[Total],His_Operacoes_acoes[Fimmes],Patrimônio!B457,His_Operacoes_acoes[Operação],"Bonif.")</f>
        <v>0</v>
      </c>
      <c r="L457" s="8">
        <f>SUMIFS(His_Operacoes_BDRs[Total],His_Operacoes_BDRs[Operação],"Provento",His_Operacoes_BDRs[fimmês],Patrimônio!B457)</f>
        <v>0</v>
      </c>
      <c r="M457" s="8">
        <f>SUMIFS(His_Operacoes_FIIs[Total],His_Operacoes_FIIs[Operação],"Provento",His_Operacoes_FIIs[fimmês],Patrimônio!B457)</f>
        <v>0</v>
      </c>
      <c r="N457" s="8">
        <f t="shared" si="34"/>
        <v>0</v>
      </c>
    </row>
    <row r="458" spans="1:14" x14ac:dyDescent="0.35">
      <c r="A458" s="7">
        <v>56250</v>
      </c>
      <c r="B458" s="7">
        <f t="shared" si="31"/>
        <v>56249</v>
      </c>
      <c r="I458" s="8">
        <f t="shared" si="32"/>
        <v>0</v>
      </c>
      <c r="J458" s="8">
        <f t="shared" si="33"/>
        <v>0</v>
      </c>
      <c r="K458" s="8">
        <f>SUMIFS(His_Operacoes_acoes[Total],His_Operacoes_acoes[Fimmes],Patrimônio!B458,His_Operacoes_acoes[Operação],"JCP")
+ SUMIFS(His_Operacoes_acoes[Total],His_Operacoes_acoes[Fimmes],Patrimônio!B458,His_Operacoes_acoes[Operação],"Divid.")
+ SUMIFS(His_Operacoes_acoes[Total],His_Operacoes_acoes[Fimmes],Patrimônio!B458,His_Operacoes_acoes[Operação],"Bonif.")</f>
        <v>0</v>
      </c>
      <c r="L458" s="8">
        <f>SUMIFS(His_Operacoes_BDRs[Total],His_Operacoes_BDRs[Operação],"Provento",His_Operacoes_BDRs[fimmês],Patrimônio!B458)</f>
        <v>0</v>
      </c>
      <c r="M458" s="8">
        <f>SUMIFS(His_Operacoes_FIIs[Total],His_Operacoes_FIIs[Operação],"Provento",His_Operacoes_FIIs[fimmês],Patrimônio!B458)</f>
        <v>0</v>
      </c>
      <c r="N458" s="8">
        <f t="shared" si="34"/>
        <v>0</v>
      </c>
    </row>
    <row r="459" spans="1:14" x14ac:dyDescent="0.35">
      <c r="A459" s="7">
        <v>56281</v>
      </c>
      <c r="B459" s="7">
        <f t="shared" si="31"/>
        <v>56280</v>
      </c>
      <c r="I459" s="8">
        <f t="shared" si="32"/>
        <v>0</v>
      </c>
      <c r="J459" s="8">
        <f t="shared" si="33"/>
        <v>0</v>
      </c>
      <c r="K459" s="8">
        <f>SUMIFS(His_Operacoes_acoes[Total],His_Operacoes_acoes[Fimmes],Patrimônio!B459,His_Operacoes_acoes[Operação],"JCP")
+ SUMIFS(His_Operacoes_acoes[Total],His_Operacoes_acoes[Fimmes],Patrimônio!B459,His_Operacoes_acoes[Operação],"Divid.")
+ SUMIFS(His_Operacoes_acoes[Total],His_Operacoes_acoes[Fimmes],Patrimônio!B459,His_Operacoes_acoes[Operação],"Bonif.")</f>
        <v>0</v>
      </c>
      <c r="L459" s="8">
        <f>SUMIFS(His_Operacoes_BDRs[Total],His_Operacoes_BDRs[Operação],"Provento",His_Operacoes_BDRs[fimmês],Patrimônio!B459)</f>
        <v>0</v>
      </c>
      <c r="M459" s="8">
        <f>SUMIFS(His_Operacoes_FIIs[Total],His_Operacoes_FIIs[Operação],"Provento",His_Operacoes_FIIs[fimmês],Patrimônio!B459)</f>
        <v>0</v>
      </c>
      <c r="N459" s="8">
        <f t="shared" si="34"/>
        <v>0</v>
      </c>
    </row>
    <row r="460" spans="1:14" x14ac:dyDescent="0.35">
      <c r="A460" s="7">
        <v>56309</v>
      </c>
      <c r="B460" s="7">
        <f t="shared" si="31"/>
        <v>56308</v>
      </c>
      <c r="I460" s="8">
        <f t="shared" si="32"/>
        <v>0</v>
      </c>
      <c r="J460" s="8">
        <f t="shared" si="33"/>
        <v>0</v>
      </c>
      <c r="K460" s="8">
        <f>SUMIFS(His_Operacoes_acoes[Total],His_Operacoes_acoes[Fimmes],Patrimônio!B460,His_Operacoes_acoes[Operação],"JCP")
+ SUMIFS(His_Operacoes_acoes[Total],His_Operacoes_acoes[Fimmes],Patrimônio!B460,His_Operacoes_acoes[Operação],"Divid.")
+ SUMIFS(His_Operacoes_acoes[Total],His_Operacoes_acoes[Fimmes],Patrimônio!B460,His_Operacoes_acoes[Operação],"Bonif.")</f>
        <v>0</v>
      </c>
      <c r="L460" s="8">
        <f>SUMIFS(His_Operacoes_BDRs[Total],His_Operacoes_BDRs[Operação],"Provento",His_Operacoes_BDRs[fimmês],Patrimônio!B460)</f>
        <v>0</v>
      </c>
      <c r="M460" s="8">
        <f>SUMIFS(His_Operacoes_FIIs[Total],His_Operacoes_FIIs[Operação],"Provento",His_Operacoes_FIIs[fimmês],Patrimônio!B460)</f>
        <v>0</v>
      </c>
      <c r="N460" s="8">
        <f t="shared" si="34"/>
        <v>0</v>
      </c>
    </row>
    <row r="461" spans="1:14" x14ac:dyDescent="0.35">
      <c r="A461" s="7">
        <v>56340</v>
      </c>
      <c r="B461" s="7">
        <f t="shared" si="31"/>
        <v>56339</v>
      </c>
      <c r="I461" s="8">
        <f t="shared" si="32"/>
        <v>0</v>
      </c>
      <c r="J461" s="8">
        <f t="shared" si="33"/>
        <v>0</v>
      </c>
      <c r="K461" s="8">
        <f>SUMIFS(His_Operacoes_acoes[Total],His_Operacoes_acoes[Fimmes],Patrimônio!B461,His_Operacoes_acoes[Operação],"JCP")
+ SUMIFS(His_Operacoes_acoes[Total],His_Operacoes_acoes[Fimmes],Patrimônio!B461,His_Operacoes_acoes[Operação],"Divid.")
+ SUMIFS(His_Operacoes_acoes[Total],His_Operacoes_acoes[Fimmes],Patrimônio!B461,His_Operacoes_acoes[Operação],"Bonif.")</f>
        <v>0</v>
      </c>
      <c r="L461" s="8">
        <f>SUMIFS(His_Operacoes_BDRs[Total],His_Operacoes_BDRs[Operação],"Provento",His_Operacoes_BDRs[fimmês],Patrimônio!B461)</f>
        <v>0</v>
      </c>
      <c r="M461" s="8">
        <f>SUMIFS(His_Operacoes_FIIs[Total],His_Operacoes_FIIs[Operação],"Provento",His_Operacoes_FIIs[fimmês],Patrimônio!B461)</f>
        <v>0</v>
      </c>
      <c r="N461" s="8">
        <f t="shared" si="34"/>
        <v>0</v>
      </c>
    </row>
    <row r="462" spans="1:14" x14ac:dyDescent="0.35">
      <c r="A462" s="7">
        <v>56370</v>
      </c>
      <c r="B462" s="7">
        <f t="shared" si="31"/>
        <v>56369</v>
      </c>
      <c r="I462" s="8">
        <f t="shared" si="32"/>
        <v>0</v>
      </c>
      <c r="J462" s="8">
        <f t="shared" si="33"/>
        <v>0</v>
      </c>
      <c r="K462" s="8">
        <f>SUMIFS(His_Operacoes_acoes[Total],His_Operacoes_acoes[Fimmes],Patrimônio!B462,His_Operacoes_acoes[Operação],"JCP")
+ SUMIFS(His_Operacoes_acoes[Total],His_Operacoes_acoes[Fimmes],Patrimônio!B462,His_Operacoes_acoes[Operação],"Divid.")
+ SUMIFS(His_Operacoes_acoes[Total],His_Operacoes_acoes[Fimmes],Patrimônio!B462,His_Operacoes_acoes[Operação],"Bonif.")</f>
        <v>0</v>
      </c>
      <c r="L462" s="8">
        <f>SUMIFS(His_Operacoes_BDRs[Total],His_Operacoes_BDRs[Operação],"Provento",His_Operacoes_BDRs[fimmês],Patrimônio!B462)</f>
        <v>0</v>
      </c>
      <c r="M462" s="8">
        <f>SUMIFS(His_Operacoes_FIIs[Total],His_Operacoes_FIIs[Operação],"Provento",His_Operacoes_FIIs[fimmês],Patrimônio!B462)</f>
        <v>0</v>
      </c>
      <c r="N462" s="8">
        <f t="shared" si="34"/>
        <v>0</v>
      </c>
    </row>
    <row r="463" spans="1:14" x14ac:dyDescent="0.35">
      <c r="A463" s="7">
        <v>56401</v>
      </c>
      <c r="B463" s="7">
        <f t="shared" si="31"/>
        <v>56400</v>
      </c>
      <c r="I463" s="8">
        <f t="shared" si="32"/>
        <v>0</v>
      </c>
      <c r="J463" s="8">
        <f t="shared" si="33"/>
        <v>0</v>
      </c>
      <c r="K463" s="8">
        <f>SUMIFS(His_Operacoes_acoes[Total],His_Operacoes_acoes[Fimmes],Patrimônio!B463,His_Operacoes_acoes[Operação],"JCP")
+ SUMIFS(His_Operacoes_acoes[Total],His_Operacoes_acoes[Fimmes],Patrimônio!B463,His_Operacoes_acoes[Operação],"Divid.")
+ SUMIFS(His_Operacoes_acoes[Total],His_Operacoes_acoes[Fimmes],Patrimônio!B463,His_Operacoes_acoes[Operação],"Bonif.")</f>
        <v>0</v>
      </c>
      <c r="L463" s="8">
        <f>SUMIFS(His_Operacoes_BDRs[Total],His_Operacoes_BDRs[Operação],"Provento",His_Operacoes_BDRs[fimmês],Patrimônio!B463)</f>
        <v>0</v>
      </c>
      <c r="M463" s="8">
        <f>SUMIFS(His_Operacoes_FIIs[Total],His_Operacoes_FIIs[Operação],"Provento",His_Operacoes_FIIs[fimmês],Patrimônio!B463)</f>
        <v>0</v>
      </c>
      <c r="N463" s="8">
        <f t="shared" si="34"/>
        <v>0</v>
      </c>
    </row>
    <row r="464" spans="1:14" x14ac:dyDescent="0.35">
      <c r="A464" s="7">
        <v>56431</v>
      </c>
      <c r="B464" s="7">
        <f t="shared" si="31"/>
        <v>56430</v>
      </c>
      <c r="I464" s="8">
        <f t="shared" si="32"/>
        <v>0</v>
      </c>
      <c r="J464" s="8">
        <f t="shared" si="33"/>
        <v>0</v>
      </c>
      <c r="K464" s="8">
        <f>SUMIFS(His_Operacoes_acoes[Total],His_Operacoes_acoes[Fimmes],Patrimônio!B464,His_Operacoes_acoes[Operação],"JCP")
+ SUMIFS(His_Operacoes_acoes[Total],His_Operacoes_acoes[Fimmes],Patrimônio!B464,His_Operacoes_acoes[Operação],"Divid.")
+ SUMIFS(His_Operacoes_acoes[Total],His_Operacoes_acoes[Fimmes],Patrimônio!B464,His_Operacoes_acoes[Operação],"Bonif.")</f>
        <v>0</v>
      </c>
      <c r="L464" s="8">
        <f>SUMIFS(His_Operacoes_BDRs[Total],His_Operacoes_BDRs[Operação],"Provento",His_Operacoes_BDRs[fimmês],Patrimônio!B464)</f>
        <v>0</v>
      </c>
      <c r="M464" s="8">
        <f>SUMIFS(His_Operacoes_FIIs[Total],His_Operacoes_FIIs[Operação],"Provento",His_Operacoes_FIIs[fimmês],Patrimônio!B464)</f>
        <v>0</v>
      </c>
      <c r="N464" s="8">
        <f t="shared" si="34"/>
        <v>0</v>
      </c>
    </row>
    <row r="465" spans="1:14" x14ac:dyDescent="0.35">
      <c r="A465" s="7">
        <v>56462</v>
      </c>
      <c r="B465" s="7">
        <f t="shared" si="31"/>
        <v>56461</v>
      </c>
      <c r="I465" s="8">
        <f t="shared" si="32"/>
        <v>0</v>
      </c>
      <c r="J465" s="8">
        <f t="shared" si="33"/>
        <v>0</v>
      </c>
      <c r="K465" s="8">
        <f>SUMIFS(His_Operacoes_acoes[Total],His_Operacoes_acoes[Fimmes],Patrimônio!B465,His_Operacoes_acoes[Operação],"JCP")
+ SUMIFS(His_Operacoes_acoes[Total],His_Operacoes_acoes[Fimmes],Patrimônio!B465,His_Operacoes_acoes[Operação],"Divid.")
+ SUMIFS(His_Operacoes_acoes[Total],His_Operacoes_acoes[Fimmes],Patrimônio!B465,His_Operacoes_acoes[Operação],"Bonif.")</f>
        <v>0</v>
      </c>
      <c r="L465" s="8">
        <f>SUMIFS(His_Operacoes_BDRs[Total],His_Operacoes_BDRs[Operação],"Provento",His_Operacoes_BDRs[fimmês],Patrimônio!B465)</f>
        <v>0</v>
      </c>
      <c r="M465" s="8">
        <f>SUMIFS(His_Operacoes_FIIs[Total],His_Operacoes_FIIs[Operação],"Provento",His_Operacoes_FIIs[fimmês],Patrimônio!B465)</f>
        <v>0</v>
      </c>
      <c r="N465" s="8">
        <f t="shared" si="34"/>
        <v>0</v>
      </c>
    </row>
    <row r="466" spans="1:14" x14ac:dyDescent="0.35">
      <c r="A466" s="7">
        <v>56493</v>
      </c>
      <c r="B466" s="7">
        <f t="shared" si="31"/>
        <v>56492</v>
      </c>
      <c r="I466" s="8">
        <f t="shared" si="32"/>
        <v>0</v>
      </c>
      <c r="J466" s="8">
        <f t="shared" si="33"/>
        <v>0</v>
      </c>
      <c r="K466" s="8">
        <f>SUMIFS(His_Operacoes_acoes[Total],His_Operacoes_acoes[Fimmes],Patrimônio!B466,His_Operacoes_acoes[Operação],"JCP")
+ SUMIFS(His_Operacoes_acoes[Total],His_Operacoes_acoes[Fimmes],Patrimônio!B466,His_Operacoes_acoes[Operação],"Divid.")
+ SUMIFS(His_Operacoes_acoes[Total],His_Operacoes_acoes[Fimmes],Patrimônio!B466,His_Operacoes_acoes[Operação],"Bonif.")</f>
        <v>0</v>
      </c>
      <c r="L466" s="8">
        <f>SUMIFS(His_Operacoes_BDRs[Total],His_Operacoes_BDRs[Operação],"Provento",His_Operacoes_BDRs[fimmês],Patrimônio!B466)</f>
        <v>0</v>
      </c>
      <c r="M466" s="8">
        <f>SUMIFS(His_Operacoes_FIIs[Total],His_Operacoes_FIIs[Operação],"Provento",His_Operacoes_FIIs[fimmês],Patrimônio!B466)</f>
        <v>0</v>
      </c>
      <c r="N466" s="8">
        <f t="shared" si="34"/>
        <v>0</v>
      </c>
    </row>
    <row r="467" spans="1:14" x14ac:dyDescent="0.35">
      <c r="A467" s="7">
        <v>56523</v>
      </c>
      <c r="B467" s="7">
        <f t="shared" si="31"/>
        <v>56522</v>
      </c>
      <c r="I467" s="8">
        <f t="shared" si="32"/>
        <v>0</v>
      </c>
      <c r="J467" s="8">
        <f t="shared" si="33"/>
        <v>0</v>
      </c>
      <c r="K467" s="8">
        <f>SUMIFS(His_Operacoes_acoes[Total],His_Operacoes_acoes[Fimmes],Patrimônio!B467,His_Operacoes_acoes[Operação],"JCP")
+ SUMIFS(His_Operacoes_acoes[Total],His_Operacoes_acoes[Fimmes],Patrimônio!B467,His_Operacoes_acoes[Operação],"Divid.")
+ SUMIFS(His_Operacoes_acoes[Total],His_Operacoes_acoes[Fimmes],Patrimônio!B467,His_Operacoes_acoes[Operação],"Bonif.")</f>
        <v>0</v>
      </c>
      <c r="L467" s="8">
        <f>SUMIFS(His_Operacoes_BDRs[Total],His_Operacoes_BDRs[Operação],"Provento",His_Operacoes_BDRs[fimmês],Patrimônio!B467)</f>
        <v>0</v>
      </c>
      <c r="M467" s="8">
        <f>SUMIFS(His_Operacoes_FIIs[Total],His_Operacoes_FIIs[Operação],"Provento",His_Operacoes_FIIs[fimmês],Patrimônio!B467)</f>
        <v>0</v>
      </c>
      <c r="N467" s="8">
        <f t="shared" si="34"/>
        <v>0</v>
      </c>
    </row>
    <row r="468" spans="1:14" x14ac:dyDescent="0.35">
      <c r="A468" s="7">
        <v>56554</v>
      </c>
      <c r="B468" s="7">
        <f t="shared" si="31"/>
        <v>56553</v>
      </c>
      <c r="I468" s="8">
        <f t="shared" si="32"/>
        <v>0</v>
      </c>
      <c r="J468" s="8">
        <f t="shared" si="33"/>
        <v>0</v>
      </c>
      <c r="K468" s="8">
        <f>SUMIFS(His_Operacoes_acoes[Total],His_Operacoes_acoes[Fimmes],Patrimônio!B468,His_Operacoes_acoes[Operação],"JCP")
+ SUMIFS(His_Operacoes_acoes[Total],His_Operacoes_acoes[Fimmes],Patrimônio!B468,His_Operacoes_acoes[Operação],"Divid.")
+ SUMIFS(His_Operacoes_acoes[Total],His_Operacoes_acoes[Fimmes],Patrimônio!B468,His_Operacoes_acoes[Operação],"Bonif.")</f>
        <v>0</v>
      </c>
      <c r="L468" s="8">
        <f>SUMIFS(His_Operacoes_BDRs[Total],His_Operacoes_BDRs[Operação],"Provento",His_Operacoes_BDRs[fimmês],Patrimônio!B468)</f>
        <v>0</v>
      </c>
      <c r="M468" s="8">
        <f>SUMIFS(His_Operacoes_FIIs[Total],His_Operacoes_FIIs[Operação],"Provento",His_Operacoes_FIIs[fimmês],Patrimônio!B468)</f>
        <v>0</v>
      </c>
      <c r="N468" s="8">
        <f t="shared" si="34"/>
        <v>0</v>
      </c>
    </row>
    <row r="469" spans="1:14" x14ac:dyDescent="0.35">
      <c r="A469" s="7">
        <v>56584</v>
      </c>
      <c r="B469" s="7">
        <f t="shared" si="31"/>
        <v>56583</v>
      </c>
      <c r="I469" s="8">
        <f t="shared" si="32"/>
        <v>0</v>
      </c>
      <c r="J469" s="8">
        <f t="shared" si="33"/>
        <v>0</v>
      </c>
      <c r="K469" s="8">
        <f>SUMIFS(His_Operacoes_acoes[Total],His_Operacoes_acoes[Fimmes],Patrimônio!B469,His_Operacoes_acoes[Operação],"JCP")
+ SUMIFS(His_Operacoes_acoes[Total],His_Operacoes_acoes[Fimmes],Patrimônio!B469,His_Operacoes_acoes[Operação],"Divid.")
+ SUMIFS(His_Operacoes_acoes[Total],His_Operacoes_acoes[Fimmes],Patrimônio!B469,His_Operacoes_acoes[Operação],"Bonif.")</f>
        <v>0</v>
      </c>
      <c r="L469" s="8">
        <f>SUMIFS(His_Operacoes_BDRs[Total],His_Operacoes_BDRs[Operação],"Provento",His_Operacoes_BDRs[fimmês],Patrimônio!B469)</f>
        <v>0</v>
      </c>
      <c r="M469" s="8">
        <f>SUMIFS(His_Operacoes_FIIs[Total],His_Operacoes_FIIs[Operação],"Provento",His_Operacoes_FIIs[fimmês],Patrimônio!B469)</f>
        <v>0</v>
      </c>
      <c r="N469" s="8">
        <f t="shared" si="34"/>
        <v>0</v>
      </c>
    </row>
    <row r="470" spans="1:14" x14ac:dyDescent="0.35">
      <c r="A470" s="7">
        <v>56615</v>
      </c>
      <c r="B470" s="7">
        <f t="shared" si="31"/>
        <v>56614</v>
      </c>
      <c r="I470" s="8">
        <f t="shared" si="32"/>
        <v>0</v>
      </c>
      <c r="J470" s="8">
        <f t="shared" si="33"/>
        <v>0</v>
      </c>
      <c r="K470" s="8">
        <f>SUMIFS(His_Operacoes_acoes[Total],His_Operacoes_acoes[Fimmes],Patrimônio!B470,His_Operacoes_acoes[Operação],"JCP")
+ SUMIFS(His_Operacoes_acoes[Total],His_Operacoes_acoes[Fimmes],Patrimônio!B470,His_Operacoes_acoes[Operação],"Divid.")
+ SUMIFS(His_Operacoes_acoes[Total],His_Operacoes_acoes[Fimmes],Patrimônio!B470,His_Operacoes_acoes[Operação],"Bonif.")</f>
        <v>0</v>
      </c>
      <c r="L470" s="8">
        <f>SUMIFS(His_Operacoes_BDRs[Total],His_Operacoes_BDRs[Operação],"Provento",His_Operacoes_BDRs[fimmês],Patrimônio!B470)</f>
        <v>0</v>
      </c>
      <c r="M470" s="8">
        <f>SUMIFS(His_Operacoes_FIIs[Total],His_Operacoes_FIIs[Operação],"Provento",His_Operacoes_FIIs[fimmês],Patrimônio!B470)</f>
        <v>0</v>
      </c>
      <c r="N470" s="8">
        <f t="shared" si="34"/>
        <v>0</v>
      </c>
    </row>
    <row r="471" spans="1:14" x14ac:dyDescent="0.35">
      <c r="A471" s="7">
        <v>56646</v>
      </c>
      <c r="B471" s="7">
        <f t="shared" si="31"/>
        <v>56645</v>
      </c>
      <c r="I471" s="8">
        <f t="shared" si="32"/>
        <v>0</v>
      </c>
      <c r="J471" s="8">
        <f t="shared" si="33"/>
        <v>0</v>
      </c>
      <c r="K471" s="8">
        <f>SUMIFS(His_Operacoes_acoes[Total],His_Operacoes_acoes[Fimmes],Patrimônio!B471,His_Operacoes_acoes[Operação],"JCP")
+ SUMIFS(His_Operacoes_acoes[Total],His_Operacoes_acoes[Fimmes],Patrimônio!B471,His_Operacoes_acoes[Operação],"Divid.")
+ SUMIFS(His_Operacoes_acoes[Total],His_Operacoes_acoes[Fimmes],Patrimônio!B471,His_Operacoes_acoes[Operação],"Bonif.")</f>
        <v>0</v>
      </c>
      <c r="L471" s="8">
        <f>SUMIFS(His_Operacoes_BDRs[Total],His_Operacoes_BDRs[Operação],"Provento",His_Operacoes_BDRs[fimmês],Patrimônio!B471)</f>
        <v>0</v>
      </c>
      <c r="M471" s="8">
        <f>SUMIFS(His_Operacoes_FIIs[Total],His_Operacoes_FIIs[Operação],"Provento",His_Operacoes_FIIs[fimmês],Patrimônio!B471)</f>
        <v>0</v>
      </c>
      <c r="N471" s="8">
        <f t="shared" si="34"/>
        <v>0</v>
      </c>
    </row>
    <row r="472" spans="1:14" x14ac:dyDescent="0.35">
      <c r="A472" s="7">
        <v>56674</v>
      </c>
      <c r="B472" s="7">
        <f t="shared" si="31"/>
        <v>56673</v>
      </c>
      <c r="I472" s="8">
        <f t="shared" si="32"/>
        <v>0</v>
      </c>
      <c r="J472" s="8">
        <f t="shared" si="33"/>
        <v>0</v>
      </c>
      <c r="K472" s="8">
        <f>SUMIFS(His_Operacoes_acoes[Total],His_Operacoes_acoes[Fimmes],Patrimônio!B472,His_Operacoes_acoes[Operação],"JCP")
+ SUMIFS(His_Operacoes_acoes[Total],His_Operacoes_acoes[Fimmes],Patrimônio!B472,His_Operacoes_acoes[Operação],"Divid.")
+ SUMIFS(His_Operacoes_acoes[Total],His_Operacoes_acoes[Fimmes],Patrimônio!B472,His_Operacoes_acoes[Operação],"Bonif.")</f>
        <v>0</v>
      </c>
      <c r="L472" s="8">
        <f>SUMIFS(His_Operacoes_BDRs[Total],His_Operacoes_BDRs[Operação],"Provento",His_Operacoes_BDRs[fimmês],Patrimônio!B472)</f>
        <v>0</v>
      </c>
      <c r="M472" s="8">
        <f>SUMIFS(His_Operacoes_FIIs[Total],His_Operacoes_FIIs[Operação],"Provento",His_Operacoes_FIIs[fimmês],Patrimônio!B472)</f>
        <v>0</v>
      </c>
      <c r="N472" s="8">
        <f t="shared" si="34"/>
        <v>0</v>
      </c>
    </row>
    <row r="473" spans="1:14" x14ac:dyDescent="0.35">
      <c r="A473" s="7">
        <v>56705</v>
      </c>
      <c r="B473" s="7">
        <f t="shared" si="31"/>
        <v>56704</v>
      </c>
      <c r="I473" s="8">
        <f t="shared" si="32"/>
        <v>0</v>
      </c>
      <c r="J473" s="8">
        <f t="shared" si="33"/>
        <v>0</v>
      </c>
      <c r="K473" s="8">
        <f>SUMIFS(His_Operacoes_acoes[Total],His_Operacoes_acoes[Fimmes],Patrimônio!B473,His_Operacoes_acoes[Operação],"JCP")
+ SUMIFS(His_Operacoes_acoes[Total],His_Operacoes_acoes[Fimmes],Patrimônio!B473,His_Operacoes_acoes[Operação],"Divid.")
+ SUMIFS(His_Operacoes_acoes[Total],His_Operacoes_acoes[Fimmes],Patrimônio!B473,His_Operacoes_acoes[Operação],"Bonif.")</f>
        <v>0</v>
      </c>
      <c r="L473" s="8">
        <f>SUMIFS(His_Operacoes_BDRs[Total],His_Operacoes_BDRs[Operação],"Provento",His_Operacoes_BDRs[fimmês],Patrimônio!B473)</f>
        <v>0</v>
      </c>
      <c r="M473" s="8">
        <f>SUMIFS(His_Operacoes_FIIs[Total],His_Operacoes_FIIs[Operação],"Provento",His_Operacoes_FIIs[fimmês],Patrimônio!B473)</f>
        <v>0</v>
      </c>
      <c r="N473" s="8">
        <f t="shared" si="34"/>
        <v>0</v>
      </c>
    </row>
    <row r="474" spans="1:14" x14ac:dyDescent="0.35">
      <c r="A474" s="7">
        <v>56735</v>
      </c>
      <c r="B474" s="7">
        <f t="shared" si="31"/>
        <v>56734</v>
      </c>
      <c r="I474" s="8">
        <f t="shared" si="32"/>
        <v>0</v>
      </c>
      <c r="J474" s="8">
        <f t="shared" si="33"/>
        <v>0</v>
      </c>
      <c r="K474" s="8">
        <f>SUMIFS(His_Operacoes_acoes[Total],His_Operacoes_acoes[Fimmes],Patrimônio!B474,His_Operacoes_acoes[Operação],"JCP")
+ SUMIFS(His_Operacoes_acoes[Total],His_Operacoes_acoes[Fimmes],Patrimônio!B474,His_Operacoes_acoes[Operação],"Divid.")
+ SUMIFS(His_Operacoes_acoes[Total],His_Operacoes_acoes[Fimmes],Patrimônio!B474,His_Operacoes_acoes[Operação],"Bonif.")</f>
        <v>0</v>
      </c>
      <c r="L474" s="8">
        <f>SUMIFS(His_Operacoes_BDRs[Total],His_Operacoes_BDRs[Operação],"Provento",His_Operacoes_BDRs[fimmês],Patrimônio!B474)</f>
        <v>0</v>
      </c>
      <c r="M474" s="8">
        <f>SUMIFS(His_Operacoes_FIIs[Total],His_Operacoes_FIIs[Operação],"Provento",His_Operacoes_FIIs[fimmês],Patrimônio!B474)</f>
        <v>0</v>
      </c>
      <c r="N474" s="8">
        <f t="shared" si="34"/>
        <v>0</v>
      </c>
    </row>
    <row r="475" spans="1:14" x14ac:dyDescent="0.35">
      <c r="A475" s="7">
        <v>56766</v>
      </c>
      <c r="B475" s="7">
        <f t="shared" si="31"/>
        <v>56765</v>
      </c>
      <c r="I475" s="8">
        <f t="shared" si="32"/>
        <v>0</v>
      </c>
      <c r="J475" s="8">
        <f t="shared" si="33"/>
        <v>0</v>
      </c>
      <c r="K475" s="8">
        <f>SUMIFS(His_Operacoes_acoes[Total],His_Operacoes_acoes[Fimmes],Patrimônio!B475,His_Operacoes_acoes[Operação],"JCP")
+ SUMIFS(His_Operacoes_acoes[Total],His_Operacoes_acoes[Fimmes],Patrimônio!B475,His_Operacoes_acoes[Operação],"Divid.")
+ SUMIFS(His_Operacoes_acoes[Total],His_Operacoes_acoes[Fimmes],Patrimônio!B475,His_Operacoes_acoes[Operação],"Bonif.")</f>
        <v>0</v>
      </c>
      <c r="L475" s="8">
        <f>SUMIFS(His_Operacoes_BDRs[Total],His_Operacoes_BDRs[Operação],"Provento",His_Operacoes_BDRs[fimmês],Patrimônio!B475)</f>
        <v>0</v>
      </c>
      <c r="M475" s="8">
        <f>SUMIFS(His_Operacoes_FIIs[Total],His_Operacoes_FIIs[Operação],"Provento",His_Operacoes_FIIs[fimmês],Patrimônio!B475)</f>
        <v>0</v>
      </c>
      <c r="N475" s="8">
        <f t="shared" si="34"/>
        <v>0</v>
      </c>
    </row>
    <row r="476" spans="1:14" x14ac:dyDescent="0.35">
      <c r="A476" s="7">
        <v>56796</v>
      </c>
      <c r="B476" s="7">
        <f t="shared" si="31"/>
        <v>56795</v>
      </c>
      <c r="I476" s="8">
        <f t="shared" si="32"/>
        <v>0</v>
      </c>
      <c r="J476" s="8">
        <f t="shared" si="33"/>
        <v>0</v>
      </c>
      <c r="K476" s="8">
        <f>SUMIFS(His_Operacoes_acoes[Total],His_Operacoes_acoes[Fimmes],Patrimônio!B476,His_Operacoes_acoes[Operação],"JCP")
+ SUMIFS(His_Operacoes_acoes[Total],His_Operacoes_acoes[Fimmes],Patrimônio!B476,His_Operacoes_acoes[Operação],"Divid.")
+ SUMIFS(His_Operacoes_acoes[Total],His_Operacoes_acoes[Fimmes],Patrimônio!B476,His_Operacoes_acoes[Operação],"Bonif.")</f>
        <v>0</v>
      </c>
      <c r="L476" s="8">
        <f>SUMIFS(His_Operacoes_BDRs[Total],His_Operacoes_BDRs[Operação],"Provento",His_Operacoes_BDRs[fimmês],Patrimônio!B476)</f>
        <v>0</v>
      </c>
      <c r="M476" s="8">
        <f>SUMIFS(His_Operacoes_FIIs[Total],His_Operacoes_FIIs[Operação],"Provento",His_Operacoes_FIIs[fimmês],Patrimônio!B476)</f>
        <v>0</v>
      </c>
      <c r="N476" s="8">
        <f t="shared" si="34"/>
        <v>0</v>
      </c>
    </row>
    <row r="477" spans="1:14" x14ac:dyDescent="0.35">
      <c r="A477" s="7">
        <v>56827</v>
      </c>
      <c r="B477" s="7">
        <f t="shared" si="31"/>
        <v>56826</v>
      </c>
      <c r="I477" s="8">
        <f t="shared" si="32"/>
        <v>0</v>
      </c>
      <c r="J477" s="8">
        <f t="shared" si="33"/>
        <v>0</v>
      </c>
      <c r="K477" s="8">
        <f>SUMIFS(His_Operacoes_acoes[Total],His_Operacoes_acoes[Fimmes],Patrimônio!B477,His_Operacoes_acoes[Operação],"JCP")
+ SUMIFS(His_Operacoes_acoes[Total],His_Operacoes_acoes[Fimmes],Patrimônio!B477,His_Operacoes_acoes[Operação],"Divid.")
+ SUMIFS(His_Operacoes_acoes[Total],His_Operacoes_acoes[Fimmes],Patrimônio!B477,His_Operacoes_acoes[Operação],"Bonif.")</f>
        <v>0</v>
      </c>
      <c r="L477" s="8">
        <f>SUMIFS(His_Operacoes_BDRs[Total],His_Operacoes_BDRs[Operação],"Provento",His_Operacoes_BDRs[fimmês],Patrimônio!B477)</f>
        <v>0</v>
      </c>
      <c r="M477" s="8">
        <f>SUMIFS(His_Operacoes_FIIs[Total],His_Operacoes_FIIs[Operação],"Provento",His_Operacoes_FIIs[fimmês],Patrimônio!B477)</f>
        <v>0</v>
      </c>
      <c r="N477" s="8">
        <f t="shared" si="34"/>
        <v>0</v>
      </c>
    </row>
    <row r="478" spans="1:14" x14ac:dyDescent="0.35">
      <c r="A478" s="7">
        <v>56858</v>
      </c>
      <c r="B478" s="7">
        <f t="shared" si="31"/>
        <v>56857</v>
      </c>
      <c r="I478" s="8">
        <f t="shared" si="32"/>
        <v>0</v>
      </c>
      <c r="J478" s="8">
        <f t="shared" si="33"/>
        <v>0</v>
      </c>
      <c r="K478" s="8">
        <f>SUMIFS(His_Operacoes_acoes[Total],His_Operacoes_acoes[Fimmes],Patrimônio!B478,His_Operacoes_acoes[Operação],"JCP")
+ SUMIFS(His_Operacoes_acoes[Total],His_Operacoes_acoes[Fimmes],Patrimônio!B478,His_Operacoes_acoes[Operação],"Divid.")
+ SUMIFS(His_Operacoes_acoes[Total],His_Operacoes_acoes[Fimmes],Patrimônio!B478,His_Operacoes_acoes[Operação],"Bonif.")</f>
        <v>0</v>
      </c>
      <c r="L478" s="8">
        <f>SUMIFS(His_Operacoes_BDRs[Total],His_Operacoes_BDRs[Operação],"Provento",His_Operacoes_BDRs[fimmês],Patrimônio!B478)</f>
        <v>0</v>
      </c>
      <c r="M478" s="8">
        <f>SUMIFS(His_Operacoes_FIIs[Total],His_Operacoes_FIIs[Operação],"Provento",His_Operacoes_FIIs[fimmês],Patrimônio!B478)</f>
        <v>0</v>
      </c>
      <c r="N478" s="8">
        <f t="shared" si="34"/>
        <v>0</v>
      </c>
    </row>
    <row r="479" spans="1:14" x14ac:dyDescent="0.35">
      <c r="A479" s="7">
        <v>56888</v>
      </c>
      <c r="B479" s="7">
        <f t="shared" si="31"/>
        <v>56887</v>
      </c>
      <c r="I479" s="8">
        <f t="shared" si="32"/>
        <v>0</v>
      </c>
      <c r="J479" s="8">
        <f t="shared" si="33"/>
        <v>0</v>
      </c>
      <c r="K479" s="8">
        <f>SUMIFS(His_Operacoes_acoes[Total],His_Operacoes_acoes[Fimmes],Patrimônio!B479,His_Operacoes_acoes[Operação],"JCP")
+ SUMIFS(His_Operacoes_acoes[Total],His_Operacoes_acoes[Fimmes],Patrimônio!B479,His_Operacoes_acoes[Operação],"Divid.")
+ SUMIFS(His_Operacoes_acoes[Total],His_Operacoes_acoes[Fimmes],Patrimônio!B479,His_Operacoes_acoes[Operação],"Bonif.")</f>
        <v>0</v>
      </c>
      <c r="L479" s="8">
        <f>SUMIFS(His_Operacoes_BDRs[Total],His_Operacoes_BDRs[Operação],"Provento",His_Operacoes_BDRs[fimmês],Patrimônio!B479)</f>
        <v>0</v>
      </c>
      <c r="M479" s="8">
        <f>SUMIFS(His_Operacoes_FIIs[Total],His_Operacoes_FIIs[Operação],"Provento",His_Operacoes_FIIs[fimmês],Patrimônio!B479)</f>
        <v>0</v>
      </c>
      <c r="N479" s="8">
        <f t="shared" si="34"/>
        <v>0</v>
      </c>
    </row>
    <row r="480" spans="1:14" x14ac:dyDescent="0.35">
      <c r="A480" s="7">
        <v>56919</v>
      </c>
      <c r="B480" s="7">
        <f t="shared" si="31"/>
        <v>56918</v>
      </c>
      <c r="I480" s="8">
        <f t="shared" si="32"/>
        <v>0</v>
      </c>
      <c r="J480" s="8">
        <f t="shared" si="33"/>
        <v>0</v>
      </c>
      <c r="K480" s="8">
        <f>SUMIFS(His_Operacoes_acoes[Total],His_Operacoes_acoes[Fimmes],Patrimônio!B480,His_Operacoes_acoes[Operação],"JCP")
+ SUMIFS(His_Operacoes_acoes[Total],His_Operacoes_acoes[Fimmes],Patrimônio!B480,His_Operacoes_acoes[Operação],"Divid.")
+ SUMIFS(His_Operacoes_acoes[Total],His_Operacoes_acoes[Fimmes],Patrimônio!B480,His_Operacoes_acoes[Operação],"Bonif.")</f>
        <v>0</v>
      </c>
      <c r="L480" s="8">
        <f>SUMIFS(His_Operacoes_BDRs[Total],His_Operacoes_BDRs[Operação],"Provento",His_Operacoes_BDRs[fimmês],Patrimônio!B480)</f>
        <v>0</v>
      </c>
      <c r="M480" s="8">
        <f>SUMIFS(His_Operacoes_FIIs[Total],His_Operacoes_FIIs[Operação],"Provento",His_Operacoes_FIIs[fimmês],Patrimônio!B480)</f>
        <v>0</v>
      </c>
      <c r="N480" s="8">
        <f t="shared" si="34"/>
        <v>0</v>
      </c>
    </row>
    <row r="481" spans="1:14" x14ac:dyDescent="0.35">
      <c r="A481" s="7">
        <v>56949</v>
      </c>
      <c r="B481" s="7">
        <f t="shared" si="31"/>
        <v>56948</v>
      </c>
      <c r="I481" s="8">
        <f t="shared" si="32"/>
        <v>0</v>
      </c>
      <c r="J481" s="8">
        <f t="shared" si="33"/>
        <v>0</v>
      </c>
      <c r="K481" s="8">
        <f>SUMIFS(His_Operacoes_acoes[Total],His_Operacoes_acoes[Fimmes],Patrimônio!B481,His_Operacoes_acoes[Operação],"JCP")
+ SUMIFS(His_Operacoes_acoes[Total],His_Operacoes_acoes[Fimmes],Patrimônio!B481,His_Operacoes_acoes[Operação],"Divid.")
+ SUMIFS(His_Operacoes_acoes[Total],His_Operacoes_acoes[Fimmes],Patrimônio!B481,His_Operacoes_acoes[Operação],"Bonif.")</f>
        <v>0</v>
      </c>
      <c r="L481" s="8">
        <f>SUMIFS(His_Operacoes_BDRs[Total],His_Operacoes_BDRs[Operação],"Provento",His_Operacoes_BDRs[fimmês],Patrimônio!B481)</f>
        <v>0</v>
      </c>
      <c r="M481" s="8">
        <f>SUMIFS(His_Operacoes_FIIs[Total],His_Operacoes_FIIs[Operação],"Provento",His_Operacoes_FIIs[fimmês],Patrimônio!B481)</f>
        <v>0</v>
      </c>
      <c r="N481" s="8">
        <f t="shared" si="34"/>
        <v>0</v>
      </c>
    </row>
    <row r="482" spans="1:14" x14ac:dyDescent="0.35">
      <c r="A482" s="7">
        <v>56980</v>
      </c>
      <c r="B482" s="7">
        <f t="shared" si="31"/>
        <v>56979</v>
      </c>
      <c r="I482" s="8">
        <f t="shared" si="32"/>
        <v>0</v>
      </c>
      <c r="J482" s="8">
        <f t="shared" si="33"/>
        <v>0</v>
      </c>
      <c r="K482" s="8">
        <f>SUMIFS(His_Operacoes_acoes[Total],His_Operacoes_acoes[Fimmes],Patrimônio!B482,His_Operacoes_acoes[Operação],"JCP")
+ SUMIFS(His_Operacoes_acoes[Total],His_Operacoes_acoes[Fimmes],Patrimônio!B482,His_Operacoes_acoes[Operação],"Divid.")
+ SUMIFS(His_Operacoes_acoes[Total],His_Operacoes_acoes[Fimmes],Patrimônio!B482,His_Operacoes_acoes[Operação],"Bonif.")</f>
        <v>0</v>
      </c>
      <c r="L482" s="8">
        <f>SUMIFS(His_Operacoes_BDRs[Total],His_Operacoes_BDRs[Operação],"Provento",His_Operacoes_BDRs[fimmês],Patrimônio!B482)</f>
        <v>0</v>
      </c>
      <c r="M482" s="8">
        <f>SUMIFS(His_Operacoes_FIIs[Total],His_Operacoes_FIIs[Operação],"Provento",His_Operacoes_FIIs[fimmês],Patrimônio!B482)</f>
        <v>0</v>
      </c>
      <c r="N482" s="8">
        <f t="shared" si="34"/>
        <v>0</v>
      </c>
    </row>
    <row r="483" spans="1:14" x14ac:dyDescent="0.35">
      <c r="A483" s="7">
        <v>57011</v>
      </c>
      <c r="B483" s="7">
        <f t="shared" si="31"/>
        <v>57010</v>
      </c>
      <c r="I483" s="8">
        <f t="shared" si="32"/>
        <v>0</v>
      </c>
      <c r="J483" s="8">
        <f t="shared" si="33"/>
        <v>0</v>
      </c>
      <c r="K483" s="8">
        <f>SUMIFS(His_Operacoes_acoes[Total],His_Operacoes_acoes[Fimmes],Patrimônio!B483,His_Operacoes_acoes[Operação],"JCP")
+ SUMIFS(His_Operacoes_acoes[Total],His_Operacoes_acoes[Fimmes],Patrimônio!B483,His_Operacoes_acoes[Operação],"Divid.")
+ SUMIFS(His_Operacoes_acoes[Total],His_Operacoes_acoes[Fimmes],Patrimônio!B483,His_Operacoes_acoes[Operação],"Bonif.")</f>
        <v>0</v>
      </c>
      <c r="L483" s="8">
        <f>SUMIFS(His_Operacoes_BDRs[Total],His_Operacoes_BDRs[Operação],"Provento",His_Operacoes_BDRs[fimmês],Patrimônio!B483)</f>
        <v>0</v>
      </c>
      <c r="M483" s="8">
        <f>SUMIFS(His_Operacoes_FIIs[Total],His_Operacoes_FIIs[Operação],"Provento",His_Operacoes_FIIs[fimmês],Patrimônio!B483)</f>
        <v>0</v>
      </c>
      <c r="N483" s="8">
        <f t="shared" si="34"/>
        <v>0</v>
      </c>
    </row>
    <row r="484" spans="1:14" x14ac:dyDescent="0.35">
      <c r="A484" s="7">
        <v>57040</v>
      </c>
      <c r="B484" s="7">
        <f t="shared" si="31"/>
        <v>57039</v>
      </c>
      <c r="I484" s="8">
        <f t="shared" si="32"/>
        <v>0</v>
      </c>
      <c r="J484" s="8">
        <f t="shared" si="33"/>
        <v>0</v>
      </c>
      <c r="K484" s="8">
        <f>SUMIFS(His_Operacoes_acoes[Total],His_Operacoes_acoes[Fimmes],Patrimônio!B484,His_Operacoes_acoes[Operação],"JCP")
+ SUMIFS(His_Operacoes_acoes[Total],His_Operacoes_acoes[Fimmes],Patrimônio!B484,His_Operacoes_acoes[Operação],"Divid.")
+ SUMIFS(His_Operacoes_acoes[Total],His_Operacoes_acoes[Fimmes],Patrimônio!B484,His_Operacoes_acoes[Operação],"Bonif.")</f>
        <v>0</v>
      </c>
      <c r="L484" s="8">
        <f>SUMIFS(His_Operacoes_BDRs[Total],His_Operacoes_BDRs[Operação],"Provento",His_Operacoes_BDRs[fimmês],Patrimônio!B484)</f>
        <v>0</v>
      </c>
      <c r="M484" s="8">
        <f>SUMIFS(His_Operacoes_FIIs[Total],His_Operacoes_FIIs[Operação],"Provento",His_Operacoes_FIIs[fimmês],Patrimônio!B484)</f>
        <v>0</v>
      </c>
      <c r="N484" s="8">
        <f t="shared" si="34"/>
        <v>0</v>
      </c>
    </row>
    <row r="485" spans="1:14" x14ac:dyDescent="0.35">
      <c r="A485" s="7">
        <v>57071</v>
      </c>
      <c r="B485" s="7">
        <f t="shared" si="31"/>
        <v>57070</v>
      </c>
      <c r="I485" s="8">
        <f t="shared" si="32"/>
        <v>0</v>
      </c>
      <c r="J485" s="8">
        <f t="shared" si="33"/>
        <v>0</v>
      </c>
      <c r="K485" s="8">
        <f>SUMIFS(His_Operacoes_acoes[Total],His_Operacoes_acoes[Fimmes],Patrimônio!B485,His_Operacoes_acoes[Operação],"JCP")
+ SUMIFS(His_Operacoes_acoes[Total],His_Operacoes_acoes[Fimmes],Patrimônio!B485,His_Operacoes_acoes[Operação],"Divid.")
+ SUMIFS(His_Operacoes_acoes[Total],His_Operacoes_acoes[Fimmes],Patrimônio!B485,His_Operacoes_acoes[Operação],"Bonif.")</f>
        <v>0</v>
      </c>
      <c r="L485" s="8">
        <f>SUMIFS(His_Operacoes_BDRs[Total],His_Operacoes_BDRs[Operação],"Provento",His_Operacoes_BDRs[fimmês],Patrimônio!B485)</f>
        <v>0</v>
      </c>
      <c r="M485" s="8">
        <f>SUMIFS(His_Operacoes_FIIs[Total],His_Operacoes_FIIs[Operação],"Provento",His_Operacoes_FIIs[fimmês],Patrimônio!B485)</f>
        <v>0</v>
      </c>
      <c r="N485" s="8">
        <f t="shared" si="34"/>
        <v>0</v>
      </c>
    </row>
    <row r="486" spans="1:14" x14ac:dyDescent="0.35">
      <c r="A486" s="7">
        <v>57101</v>
      </c>
      <c r="B486" s="7">
        <f t="shared" si="31"/>
        <v>57100</v>
      </c>
      <c r="I486" s="8">
        <f t="shared" si="32"/>
        <v>0</v>
      </c>
      <c r="J486" s="8">
        <f t="shared" si="33"/>
        <v>0</v>
      </c>
      <c r="K486" s="8">
        <f>SUMIFS(His_Operacoes_acoes[Total],His_Operacoes_acoes[Fimmes],Patrimônio!B486,His_Operacoes_acoes[Operação],"JCP")
+ SUMIFS(His_Operacoes_acoes[Total],His_Operacoes_acoes[Fimmes],Patrimônio!B486,His_Operacoes_acoes[Operação],"Divid.")
+ SUMIFS(His_Operacoes_acoes[Total],His_Operacoes_acoes[Fimmes],Patrimônio!B486,His_Operacoes_acoes[Operação],"Bonif.")</f>
        <v>0</v>
      </c>
      <c r="L486" s="8">
        <f>SUMIFS(His_Operacoes_BDRs[Total],His_Operacoes_BDRs[Operação],"Provento",His_Operacoes_BDRs[fimmês],Patrimônio!B486)</f>
        <v>0</v>
      </c>
      <c r="M486" s="8">
        <f>SUMIFS(His_Operacoes_FIIs[Total],His_Operacoes_FIIs[Operação],"Provento",His_Operacoes_FIIs[fimmês],Patrimônio!B486)</f>
        <v>0</v>
      </c>
      <c r="N486" s="8">
        <f t="shared" si="34"/>
        <v>0</v>
      </c>
    </row>
    <row r="487" spans="1:14" x14ac:dyDescent="0.35">
      <c r="A487" s="7">
        <v>57132</v>
      </c>
      <c r="B487" s="7">
        <f t="shared" si="31"/>
        <v>57131</v>
      </c>
      <c r="I487" s="8">
        <f t="shared" si="32"/>
        <v>0</v>
      </c>
      <c r="J487" s="8">
        <f t="shared" si="33"/>
        <v>0</v>
      </c>
      <c r="K487" s="8">
        <f>SUMIFS(His_Operacoes_acoes[Total],His_Operacoes_acoes[Fimmes],Patrimônio!B487,His_Operacoes_acoes[Operação],"JCP")
+ SUMIFS(His_Operacoes_acoes[Total],His_Operacoes_acoes[Fimmes],Patrimônio!B487,His_Operacoes_acoes[Operação],"Divid.")
+ SUMIFS(His_Operacoes_acoes[Total],His_Operacoes_acoes[Fimmes],Patrimônio!B487,His_Operacoes_acoes[Operação],"Bonif.")</f>
        <v>0</v>
      </c>
      <c r="L487" s="8">
        <f>SUMIFS(His_Operacoes_BDRs[Total],His_Operacoes_BDRs[Operação],"Provento",His_Operacoes_BDRs[fimmês],Patrimônio!B487)</f>
        <v>0</v>
      </c>
      <c r="M487" s="8">
        <f>SUMIFS(His_Operacoes_FIIs[Total],His_Operacoes_FIIs[Operação],"Provento",His_Operacoes_FIIs[fimmês],Patrimônio!B487)</f>
        <v>0</v>
      </c>
      <c r="N487" s="8">
        <f t="shared" si="34"/>
        <v>0</v>
      </c>
    </row>
    <row r="488" spans="1:14" x14ac:dyDescent="0.35">
      <c r="A488" s="7">
        <v>57162</v>
      </c>
      <c r="B488" s="7">
        <f t="shared" si="31"/>
        <v>57161</v>
      </c>
      <c r="I488" s="8">
        <f t="shared" si="32"/>
        <v>0</v>
      </c>
      <c r="J488" s="8">
        <f t="shared" si="33"/>
        <v>0</v>
      </c>
      <c r="K488" s="8">
        <f>SUMIFS(His_Operacoes_acoes[Total],His_Operacoes_acoes[Fimmes],Patrimônio!B488,His_Operacoes_acoes[Operação],"JCP")
+ SUMIFS(His_Operacoes_acoes[Total],His_Operacoes_acoes[Fimmes],Patrimônio!B488,His_Operacoes_acoes[Operação],"Divid.")
+ SUMIFS(His_Operacoes_acoes[Total],His_Operacoes_acoes[Fimmes],Patrimônio!B488,His_Operacoes_acoes[Operação],"Bonif.")</f>
        <v>0</v>
      </c>
      <c r="L488" s="8">
        <f>SUMIFS(His_Operacoes_BDRs[Total],His_Operacoes_BDRs[Operação],"Provento",His_Operacoes_BDRs[fimmês],Patrimônio!B488)</f>
        <v>0</v>
      </c>
      <c r="M488" s="8">
        <f>SUMIFS(His_Operacoes_FIIs[Total],His_Operacoes_FIIs[Operação],"Provento",His_Operacoes_FIIs[fimmês],Patrimônio!B488)</f>
        <v>0</v>
      </c>
      <c r="N488" s="8">
        <f t="shared" si="34"/>
        <v>0</v>
      </c>
    </row>
    <row r="489" spans="1:14" x14ac:dyDescent="0.35">
      <c r="A489" s="7">
        <v>57193</v>
      </c>
      <c r="B489" s="7">
        <f t="shared" si="31"/>
        <v>57192</v>
      </c>
      <c r="I489" s="8">
        <f t="shared" si="32"/>
        <v>0</v>
      </c>
      <c r="J489" s="8">
        <f t="shared" si="33"/>
        <v>0</v>
      </c>
      <c r="K489" s="8">
        <f>SUMIFS(His_Operacoes_acoes[Total],His_Operacoes_acoes[Fimmes],Patrimônio!B489,His_Operacoes_acoes[Operação],"JCP")
+ SUMIFS(His_Operacoes_acoes[Total],His_Operacoes_acoes[Fimmes],Patrimônio!B489,His_Operacoes_acoes[Operação],"Divid.")
+ SUMIFS(His_Operacoes_acoes[Total],His_Operacoes_acoes[Fimmes],Patrimônio!B489,His_Operacoes_acoes[Operação],"Bonif.")</f>
        <v>0</v>
      </c>
      <c r="L489" s="8">
        <f>SUMIFS(His_Operacoes_BDRs[Total],His_Operacoes_BDRs[Operação],"Provento",His_Operacoes_BDRs[fimmês],Patrimônio!B489)</f>
        <v>0</v>
      </c>
      <c r="M489" s="8">
        <f>SUMIFS(His_Operacoes_FIIs[Total],His_Operacoes_FIIs[Operação],"Provento",His_Operacoes_FIIs[fimmês],Patrimônio!B489)</f>
        <v>0</v>
      </c>
      <c r="N489" s="8">
        <f t="shared" si="34"/>
        <v>0</v>
      </c>
    </row>
    <row r="490" spans="1:14" x14ac:dyDescent="0.35">
      <c r="A490" s="7">
        <v>57224</v>
      </c>
      <c r="B490" s="7">
        <f t="shared" si="31"/>
        <v>57223</v>
      </c>
      <c r="I490" s="8">
        <f t="shared" si="32"/>
        <v>0</v>
      </c>
      <c r="J490" s="8">
        <f t="shared" si="33"/>
        <v>0</v>
      </c>
      <c r="K490" s="8">
        <f>SUMIFS(His_Operacoes_acoes[Total],His_Operacoes_acoes[Fimmes],Patrimônio!B490,His_Operacoes_acoes[Operação],"JCP")
+ SUMIFS(His_Operacoes_acoes[Total],His_Operacoes_acoes[Fimmes],Patrimônio!B490,His_Operacoes_acoes[Operação],"Divid.")
+ SUMIFS(His_Operacoes_acoes[Total],His_Operacoes_acoes[Fimmes],Patrimônio!B490,His_Operacoes_acoes[Operação],"Bonif.")</f>
        <v>0</v>
      </c>
      <c r="L490" s="8">
        <f>SUMIFS(His_Operacoes_BDRs[Total],His_Operacoes_BDRs[Operação],"Provento",His_Operacoes_BDRs[fimmês],Patrimônio!B490)</f>
        <v>0</v>
      </c>
      <c r="M490" s="8">
        <f>SUMIFS(His_Operacoes_FIIs[Total],His_Operacoes_FIIs[Operação],"Provento",His_Operacoes_FIIs[fimmês],Patrimônio!B490)</f>
        <v>0</v>
      </c>
      <c r="N490" s="8">
        <f t="shared" si="34"/>
        <v>0</v>
      </c>
    </row>
    <row r="491" spans="1:14" x14ac:dyDescent="0.35">
      <c r="A491" s="7">
        <v>57254</v>
      </c>
      <c r="B491" s="7">
        <f t="shared" si="31"/>
        <v>57253</v>
      </c>
      <c r="I491" s="8">
        <f t="shared" si="32"/>
        <v>0</v>
      </c>
      <c r="J491" s="8">
        <f t="shared" si="33"/>
        <v>0</v>
      </c>
      <c r="K491" s="8">
        <f>SUMIFS(His_Operacoes_acoes[Total],His_Operacoes_acoes[Fimmes],Patrimônio!B491,His_Operacoes_acoes[Operação],"JCP")
+ SUMIFS(His_Operacoes_acoes[Total],His_Operacoes_acoes[Fimmes],Patrimônio!B491,His_Operacoes_acoes[Operação],"Divid.")
+ SUMIFS(His_Operacoes_acoes[Total],His_Operacoes_acoes[Fimmes],Patrimônio!B491,His_Operacoes_acoes[Operação],"Bonif.")</f>
        <v>0</v>
      </c>
      <c r="L491" s="8">
        <f>SUMIFS(His_Operacoes_BDRs[Total],His_Operacoes_BDRs[Operação],"Provento",His_Operacoes_BDRs[fimmês],Patrimônio!B491)</f>
        <v>0</v>
      </c>
      <c r="M491" s="8">
        <f>SUMIFS(His_Operacoes_FIIs[Total],His_Operacoes_FIIs[Operação],"Provento",His_Operacoes_FIIs[fimmês],Patrimônio!B491)</f>
        <v>0</v>
      </c>
      <c r="N491" s="8">
        <f t="shared" si="34"/>
        <v>0</v>
      </c>
    </row>
    <row r="492" spans="1:14" x14ac:dyDescent="0.35">
      <c r="A492" s="7">
        <v>57285</v>
      </c>
      <c r="B492" s="7">
        <f t="shared" si="31"/>
        <v>57284</v>
      </c>
      <c r="I492" s="8">
        <f t="shared" si="32"/>
        <v>0</v>
      </c>
      <c r="J492" s="8">
        <f t="shared" si="33"/>
        <v>0</v>
      </c>
      <c r="K492" s="8">
        <f>SUMIFS(His_Operacoes_acoes[Total],His_Operacoes_acoes[Fimmes],Patrimônio!B492,His_Operacoes_acoes[Operação],"JCP")
+ SUMIFS(His_Operacoes_acoes[Total],His_Operacoes_acoes[Fimmes],Patrimônio!B492,His_Operacoes_acoes[Operação],"Divid.")
+ SUMIFS(His_Operacoes_acoes[Total],His_Operacoes_acoes[Fimmes],Patrimônio!B492,His_Operacoes_acoes[Operação],"Bonif.")</f>
        <v>0</v>
      </c>
      <c r="L492" s="8">
        <f>SUMIFS(His_Operacoes_BDRs[Total],His_Operacoes_BDRs[Operação],"Provento",His_Operacoes_BDRs[fimmês],Patrimônio!B492)</f>
        <v>0</v>
      </c>
      <c r="M492" s="8">
        <f>SUMIFS(His_Operacoes_FIIs[Total],His_Operacoes_FIIs[Operação],"Provento",His_Operacoes_FIIs[fimmês],Patrimônio!B492)</f>
        <v>0</v>
      </c>
      <c r="N492" s="8">
        <f t="shared" si="34"/>
        <v>0</v>
      </c>
    </row>
    <row r="493" spans="1:14" x14ac:dyDescent="0.35">
      <c r="A493" s="7">
        <v>57315</v>
      </c>
      <c r="B493" s="7">
        <f t="shared" si="31"/>
        <v>57314</v>
      </c>
      <c r="I493" s="8">
        <f t="shared" si="32"/>
        <v>0</v>
      </c>
      <c r="J493" s="8">
        <f t="shared" si="33"/>
        <v>0</v>
      </c>
      <c r="K493" s="8">
        <f>SUMIFS(His_Operacoes_acoes[Total],His_Operacoes_acoes[Fimmes],Patrimônio!B493,His_Operacoes_acoes[Operação],"JCP")
+ SUMIFS(His_Operacoes_acoes[Total],His_Operacoes_acoes[Fimmes],Patrimônio!B493,His_Operacoes_acoes[Operação],"Divid.")
+ SUMIFS(His_Operacoes_acoes[Total],His_Operacoes_acoes[Fimmes],Patrimônio!B493,His_Operacoes_acoes[Operação],"Bonif.")</f>
        <v>0</v>
      </c>
      <c r="L493" s="8">
        <f>SUMIFS(His_Operacoes_BDRs[Total],His_Operacoes_BDRs[Operação],"Provento",His_Operacoes_BDRs[fimmês],Patrimônio!B493)</f>
        <v>0</v>
      </c>
      <c r="M493" s="8">
        <f>SUMIFS(His_Operacoes_FIIs[Total],His_Operacoes_FIIs[Operação],"Provento",His_Operacoes_FIIs[fimmês],Patrimônio!B493)</f>
        <v>0</v>
      </c>
      <c r="N493" s="8">
        <f t="shared" si="34"/>
        <v>0</v>
      </c>
    </row>
    <row r="494" spans="1:14" x14ac:dyDescent="0.35">
      <c r="A494" s="7">
        <v>57346</v>
      </c>
      <c r="B494" s="7">
        <f t="shared" si="31"/>
        <v>57345</v>
      </c>
      <c r="I494" s="8">
        <f t="shared" si="32"/>
        <v>0</v>
      </c>
      <c r="J494" s="8">
        <f t="shared" si="33"/>
        <v>0</v>
      </c>
      <c r="K494" s="8">
        <f>SUMIFS(His_Operacoes_acoes[Total],His_Operacoes_acoes[Fimmes],Patrimônio!B494,His_Operacoes_acoes[Operação],"JCP")
+ SUMIFS(His_Operacoes_acoes[Total],His_Operacoes_acoes[Fimmes],Patrimônio!B494,His_Operacoes_acoes[Operação],"Divid.")
+ SUMIFS(His_Operacoes_acoes[Total],His_Operacoes_acoes[Fimmes],Patrimônio!B494,His_Operacoes_acoes[Operação],"Bonif.")</f>
        <v>0</v>
      </c>
      <c r="L494" s="8">
        <f>SUMIFS(His_Operacoes_BDRs[Total],His_Operacoes_BDRs[Operação],"Provento",His_Operacoes_BDRs[fimmês],Patrimônio!B494)</f>
        <v>0</v>
      </c>
      <c r="M494" s="8">
        <f>SUMIFS(His_Operacoes_FIIs[Total],His_Operacoes_FIIs[Operação],"Provento",His_Operacoes_FIIs[fimmês],Patrimônio!B494)</f>
        <v>0</v>
      </c>
      <c r="N494" s="8">
        <f t="shared" si="34"/>
        <v>0</v>
      </c>
    </row>
    <row r="495" spans="1:14" x14ac:dyDescent="0.35">
      <c r="A495" s="7">
        <v>57377</v>
      </c>
      <c r="B495" s="7">
        <f t="shared" si="31"/>
        <v>57376</v>
      </c>
      <c r="I495" s="8">
        <f t="shared" si="32"/>
        <v>0</v>
      </c>
      <c r="J495" s="8">
        <f t="shared" si="33"/>
        <v>0</v>
      </c>
      <c r="K495" s="8">
        <f>SUMIFS(His_Operacoes_acoes[Total],His_Operacoes_acoes[Fimmes],Patrimônio!B495,His_Operacoes_acoes[Operação],"JCP")
+ SUMIFS(His_Operacoes_acoes[Total],His_Operacoes_acoes[Fimmes],Patrimônio!B495,His_Operacoes_acoes[Operação],"Divid.")
+ SUMIFS(His_Operacoes_acoes[Total],His_Operacoes_acoes[Fimmes],Patrimônio!B495,His_Operacoes_acoes[Operação],"Bonif.")</f>
        <v>0</v>
      </c>
      <c r="L495" s="8">
        <f>SUMIFS(His_Operacoes_BDRs[Total],His_Operacoes_BDRs[Operação],"Provento",His_Operacoes_BDRs[fimmês],Patrimônio!B495)</f>
        <v>0</v>
      </c>
      <c r="M495" s="8">
        <f>SUMIFS(His_Operacoes_FIIs[Total],His_Operacoes_FIIs[Operação],"Provento",His_Operacoes_FIIs[fimmês],Patrimônio!B495)</f>
        <v>0</v>
      </c>
      <c r="N495" s="8">
        <f t="shared" si="34"/>
        <v>0</v>
      </c>
    </row>
    <row r="496" spans="1:14" x14ac:dyDescent="0.35">
      <c r="A496" s="7">
        <v>57405</v>
      </c>
      <c r="B496" s="7">
        <f t="shared" si="31"/>
        <v>57404</v>
      </c>
      <c r="I496" s="8">
        <f t="shared" si="32"/>
        <v>0</v>
      </c>
      <c r="J496" s="8">
        <f t="shared" si="33"/>
        <v>0</v>
      </c>
      <c r="K496" s="8">
        <f>SUMIFS(His_Operacoes_acoes[Total],His_Operacoes_acoes[Fimmes],Patrimônio!B496,His_Operacoes_acoes[Operação],"JCP")
+ SUMIFS(His_Operacoes_acoes[Total],His_Operacoes_acoes[Fimmes],Patrimônio!B496,His_Operacoes_acoes[Operação],"Divid.")
+ SUMIFS(His_Operacoes_acoes[Total],His_Operacoes_acoes[Fimmes],Patrimônio!B496,His_Operacoes_acoes[Operação],"Bonif.")</f>
        <v>0</v>
      </c>
      <c r="L496" s="8">
        <f>SUMIFS(His_Operacoes_BDRs[Total],His_Operacoes_BDRs[Operação],"Provento",His_Operacoes_BDRs[fimmês],Patrimônio!B496)</f>
        <v>0</v>
      </c>
      <c r="M496" s="8">
        <f>SUMIFS(His_Operacoes_FIIs[Total],His_Operacoes_FIIs[Operação],"Provento",His_Operacoes_FIIs[fimmês],Patrimônio!B496)</f>
        <v>0</v>
      </c>
      <c r="N496" s="8">
        <f t="shared" si="34"/>
        <v>0</v>
      </c>
    </row>
    <row r="497" spans="1:14" x14ac:dyDescent="0.35">
      <c r="A497" s="7">
        <v>57436</v>
      </c>
      <c r="B497" s="7">
        <f t="shared" si="31"/>
        <v>57435</v>
      </c>
      <c r="I497" s="8">
        <f t="shared" si="32"/>
        <v>0</v>
      </c>
      <c r="J497" s="8">
        <f t="shared" si="33"/>
        <v>0</v>
      </c>
      <c r="K497" s="8">
        <f>SUMIFS(His_Operacoes_acoes[Total],His_Operacoes_acoes[Fimmes],Patrimônio!B497,His_Operacoes_acoes[Operação],"JCP")
+ SUMIFS(His_Operacoes_acoes[Total],His_Operacoes_acoes[Fimmes],Patrimônio!B497,His_Operacoes_acoes[Operação],"Divid.")
+ SUMIFS(His_Operacoes_acoes[Total],His_Operacoes_acoes[Fimmes],Patrimônio!B497,His_Operacoes_acoes[Operação],"Bonif.")</f>
        <v>0</v>
      </c>
      <c r="L497" s="8">
        <f>SUMIFS(His_Operacoes_BDRs[Total],His_Operacoes_BDRs[Operação],"Provento",His_Operacoes_BDRs[fimmês],Patrimônio!B497)</f>
        <v>0</v>
      </c>
      <c r="M497" s="8">
        <f>SUMIFS(His_Operacoes_FIIs[Total],His_Operacoes_FIIs[Operação],"Provento",His_Operacoes_FIIs[fimmês],Patrimônio!B497)</f>
        <v>0</v>
      </c>
      <c r="N497" s="8">
        <f t="shared" si="34"/>
        <v>0</v>
      </c>
    </row>
    <row r="498" spans="1:14" x14ac:dyDescent="0.35">
      <c r="A498" s="7">
        <v>57466</v>
      </c>
      <c r="B498" s="7">
        <f t="shared" si="31"/>
        <v>57465</v>
      </c>
      <c r="I498" s="8">
        <f t="shared" si="32"/>
        <v>0</v>
      </c>
      <c r="J498" s="8">
        <f t="shared" si="33"/>
        <v>0</v>
      </c>
      <c r="K498" s="8">
        <f>SUMIFS(His_Operacoes_acoes[Total],His_Operacoes_acoes[Fimmes],Patrimônio!B498,His_Operacoes_acoes[Operação],"JCP")
+ SUMIFS(His_Operacoes_acoes[Total],His_Operacoes_acoes[Fimmes],Patrimônio!B498,His_Operacoes_acoes[Operação],"Divid.")
+ SUMIFS(His_Operacoes_acoes[Total],His_Operacoes_acoes[Fimmes],Patrimônio!B498,His_Operacoes_acoes[Operação],"Bonif.")</f>
        <v>0</v>
      </c>
      <c r="L498" s="8">
        <f>SUMIFS(His_Operacoes_BDRs[Total],His_Operacoes_BDRs[Operação],"Provento",His_Operacoes_BDRs[fimmês],Patrimônio!B498)</f>
        <v>0</v>
      </c>
      <c r="M498" s="8">
        <f>SUMIFS(His_Operacoes_FIIs[Total],His_Operacoes_FIIs[Operação],"Provento",His_Operacoes_FIIs[fimmês],Patrimônio!B498)</f>
        <v>0</v>
      </c>
      <c r="N498" s="8">
        <f t="shared" si="34"/>
        <v>0</v>
      </c>
    </row>
    <row r="499" spans="1:14" x14ac:dyDescent="0.35">
      <c r="A499" s="7">
        <v>57497</v>
      </c>
      <c r="B499" s="7">
        <f t="shared" si="31"/>
        <v>57496</v>
      </c>
      <c r="I499" s="8">
        <f t="shared" si="32"/>
        <v>0</v>
      </c>
      <c r="J499" s="8">
        <f t="shared" si="33"/>
        <v>0</v>
      </c>
      <c r="K499" s="8">
        <f>SUMIFS(His_Operacoes_acoes[Total],His_Operacoes_acoes[Fimmes],Patrimônio!B499,His_Operacoes_acoes[Operação],"JCP")
+ SUMIFS(His_Operacoes_acoes[Total],His_Operacoes_acoes[Fimmes],Patrimônio!B499,His_Operacoes_acoes[Operação],"Divid.")
+ SUMIFS(His_Operacoes_acoes[Total],His_Operacoes_acoes[Fimmes],Patrimônio!B499,His_Operacoes_acoes[Operação],"Bonif.")</f>
        <v>0</v>
      </c>
      <c r="L499" s="8">
        <f>SUMIFS(His_Operacoes_BDRs[Total],His_Operacoes_BDRs[Operação],"Provento",His_Operacoes_BDRs[fimmês],Patrimônio!B499)</f>
        <v>0</v>
      </c>
      <c r="M499" s="8">
        <f>SUMIFS(His_Operacoes_FIIs[Total],His_Operacoes_FIIs[Operação],"Provento",His_Operacoes_FIIs[fimmês],Patrimônio!B499)</f>
        <v>0</v>
      </c>
      <c r="N499" s="8">
        <f t="shared" si="34"/>
        <v>0</v>
      </c>
    </row>
    <row r="500" spans="1:14" x14ac:dyDescent="0.35">
      <c r="A500" s="7">
        <v>57527</v>
      </c>
      <c r="B500" s="7">
        <f t="shared" si="31"/>
        <v>57526</v>
      </c>
      <c r="I500" s="8">
        <f t="shared" si="32"/>
        <v>0</v>
      </c>
      <c r="J500" s="8">
        <f t="shared" si="33"/>
        <v>0</v>
      </c>
      <c r="K500" s="8">
        <f>SUMIFS(His_Operacoes_acoes[Total],His_Operacoes_acoes[Fimmes],Patrimônio!B500,His_Operacoes_acoes[Operação],"JCP")
+ SUMIFS(His_Operacoes_acoes[Total],His_Operacoes_acoes[Fimmes],Patrimônio!B500,His_Operacoes_acoes[Operação],"Divid.")
+ SUMIFS(His_Operacoes_acoes[Total],His_Operacoes_acoes[Fimmes],Patrimônio!B500,His_Operacoes_acoes[Operação],"Bonif.")</f>
        <v>0</v>
      </c>
      <c r="L500" s="8">
        <f>SUMIFS(His_Operacoes_BDRs[Total],His_Operacoes_BDRs[Operação],"Provento",His_Operacoes_BDRs[fimmês],Patrimônio!B500)</f>
        <v>0</v>
      </c>
      <c r="M500" s="8">
        <f>SUMIFS(His_Operacoes_FIIs[Total],His_Operacoes_FIIs[Operação],"Provento",His_Operacoes_FIIs[fimmês],Patrimônio!B500)</f>
        <v>0</v>
      </c>
      <c r="N500" s="8">
        <f t="shared" si="34"/>
        <v>0</v>
      </c>
    </row>
    <row r="501" spans="1:14" x14ac:dyDescent="0.35">
      <c r="A501" s="7">
        <v>57558</v>
      </c>
      <c r="B501" s="7">
        <f t="shared" si="31"/>
        <v>57557</v>
      </c>
      <c r="I501" s="8">
        <f t="shared" si="32"/>
        <v>0</v>
      </c>
      <c r="J501" s="8">
        <f t="shared" si="33"/>
        <v>0</v>
      </c>
      <c r="K501" s="8">
        <f>SUMIFS(His_Operacoes_acoes[Total],His_Operacoes_acoes[Fimmes],Patrimônio!B501,His_Operacoes_acoes[Operação],"JCP")
+ SUMIFS(His_Operacoes_acoes[Total],His_Operacoes_acoes[Fimmes],Patrimônio!B501,His_Operacoes_acoes[Operação],"Divid.")
+ SUMIFS(His_Operacoes_acoes[Total],His_Operacoes_acoes[Fimmes],Patrimônio!B501,His_Operacoes_acoes[Operação],"Bonif.")</f>
        <v>0</v>
      </c>
      <c r="L501" s="8">
        <f>SUMIFS(His_Operacoes_BDRs[Total],His_Operacoes_BDRs[Operação],"Provento",His_Operacoes_BDRs[fimmês],Patrimônio!B501)</f>
        <v>0</v>
      </c>
      <c r="M501" s="8">
        <f>SUMIFS(His_Operacoes_FIIs[Total],His_Operacoes_FIIs[Operação],"Provento",His_Operacoes_FIIs[fimmês],Patrimônio!B501)</f>
        <v>0</v>
      </c>
      <c r="N501" s="8">
        <f t="shared" si="34"/>
        <v>0</v>
      </c>
    </row>
    <row r="502" spans="1:14" x14ac:dyDescent="0.35">
      <c r="A502" s="7">
        <v>57589</v>
      </c>
      <c r="B502" s="7">
        <f t="shared" si="31"/>
        <v>57588</v>
      </c>
      <c r="I502" s="8">
        <f t="shared" si="32"/>
        <v>0</v>
      </c>
      <c r="J502" s="8">
        <f t="shared" si="33"/>
        <v>0</v>
      </c>
      <c r="K502" s="8">
        <f>SUMIFS(His_Operacoes_acoes[Total],His_Operacoes_acoes[Fimmes],Patrimônio!B502,His_Operacoes_acoes[Operação],"JCP")
+ SUMIFS(His_Operacoes_acoes[Total],His_Operacoes_acoes[Fimmes],Patrimônio!B502,His_Operacoes_acoes[Operação],"Divid.")
+ SUMIFS(His_Operacoes_acoes[Total],His_Operacoes_acoes[Fimmes],Patrimônio!B502,His_Operacoes_acoes[Operação],"Bonif.")</f>
        <v>0</v>
      </c>
      <c r="L502" s="8">
        <f>SUMIFS(His_Operacoes_BDRs[Total],His_Operacoes_BDRs[Operação],"Provento",His_Operacoes_BDRs[fimmês],Patrimônio!B502)</f>
        <v>0</v>
      </c>
      <c r="M502" s="8">
        <f>SUMIFS(His_Operacoes_FIIs[Total],His_Operacoes_FIIs[Operação],"Provento",His_Operacoes_FIIs[fimmês],Patrimônio!B502)</f>
        <v>0</v>
      </c>
      <c r="N502" s="8">
        <f t="shared" si="34"/>
        <v>0</v>
      </c>
    </row>
    <row r="503" spans="1:14" x14ac:dyDescent="0.35">
      <c r="A503" s="7">
        <v>57619</v>
      </c>
      <c r="B503" s="7">
        <f t="shared" si="31"/>
        <v>57618</v>
      </c>
      <c r="I503" s="8">
        <f t="shared" si="32"/>
        <v>0</v>
      </c>
      <c r="J503" s="8">
        <f t="shared" si="33"/>
        <v>0</v>
      </c>
      <c r="K503" s="8">
        <f>SUMIFS(His_Operacoes_acoes[Total],His_Operacoes_acoes[Fimmes],Patrimônio!B503,His_Operacoes_acoes[Operação],"JCP")
+ SUMIFS(His_Operacoes_acoes[Total],His_Operacoes_acoes[Fimmes],Patrimônio!B503,His_Operacoes_acoes[Operação],"Divid.")
+ SUMIFS(His_Operacoes_acoes[Total],His_Operacoes_acoes[Fimmes],Patrimônio!B503,His_Operacoes_acoes[Operação],"Bonif.")</f>
        <v>0</v>
      </c>
      <c r="L503" s="8">
        <f>SUMIFS(His_Operacoes_BDRs[Total],His_Operacoes_BDRs[Operação],"Provento",His_Operacoes_BDRs[fimmês],Patrimônio!B503)</f>
        <v>0</v>
      </c>
      <c r="M503" s="8">
        <f>SUMIFS(His_Operacoes_FIIs[Total],His_Operacoes_FIIs[Operação],"Provento",His_Operacoes_FIIs[fimmês],Patrimônio!B503)</f>
        <v>0</v>
      </c>
      <c r="N503" s="8">
        <f t="shared" si="34"/>
        <v>0</v>
      </c>
    </row>
    <row r="504" spans="1:14" x14ac:dyDescent="0.35">
      <c r="A504" s="7">
        <v>57650</v>
      </c>
      <c r="B504" s="7">
        <f t="shared" si="31"/>
        <v>57649</v>
      </c>
      <c r="I504" s="8">
        <f t="shared" si="32"/>
        <v>0</v>
      </c>
      <c r="J504" s="8">
        <f t="shared" si="33"/>
        <v>0</v>
      </c>
      <c r="K504" s="8">
        <f>SUMIFS(His_Operacoes_acoes[Total],His_Operacoes_acoes[Fimmes],Patrimônio!B504,His_Operacoes_acoes[Operação],"JCP")
+ SUMIFS(His_Operacoes_acoes[Total],His_Operacoes_acoes[Fimmes],Patrimônio!B504,His_Operacoes_acoes[Operação],"Divid.")
+ SUMIFS(His_Operacoes_acoes[Total],His_Operacoes_acoes[Fimmes],Patrimônio!B504,His_Operacoes_acoes[Operação],"Bonif.")</f>
        <v>0</v>
      </c>
      <c r="L504" s="8">
        <f>SUMIFS(His_Operacoes_BDRs[Total],His_Operacoes_BDRs[Operação],"Provento",His_Operacoes_BDRs[fimmês],Patrimônio!B504)</f>
        <v>0</v>
      </c>
      <c r="M504" s="8">
        <f>SUMIFS(His_Operacoes_FIIs[Total],His_Operacoes_FIIs[Operação],"Provento",His_Operacoes_FIIs[fimmês],Patrimônio!B504)</f>
        <v>0</v>
      </c>
      <c r="N504" s="8">
        <f t="shared" si="34"/>
        <v>0</v>
      </c>
    </row>
    <row r="505" spans="1:14" x14ac:dyDescent="0.35">
      <c r="A505" s="7">
        <v>57680</v>
      </c>
      <c r="B505" s="7">
        <f t="shared" si="31"/>
        <v>57679</v>
      </c>
      <c r="I505" s="8">
        <f t="shared" si="32"/>
        <v>0</v>
      </c>
      <c r="J505" s="8">
        <f t="shared" si="33"/>
        <v>0</v>
      </c>
      <c r="K505" s="8">
        <f>SUMIFS(His_Operacoes_acoes[Total],His_Operacoes_acoes[Fimmes],Patrimônio!B505,His_Operacoes_acoes[Operação],"JCP")
+ SUMIFS(His_Operacoes_acoes[Total],His_Operacoes_acoes[Fimmes],Patrimônio!B505,His_Operacoes_acoes[Operação],"Divid.")
+ SUMIFS(His_Operacoes_acoes[Total],His_Operacoes_acoes[Fimmes],Patrimônio!B505,His_Operacoes_acoes[Operação],"Bonif.")</f>
        <v>0</v>
      </c>
      <c r="L505" s="8">
        <f>SUMIFS(His_Operacoes_BDRs[Total],His_Operacoes_BDRs[Operação],"Provento",His_Operacoes_BDRs[fimmês],Patrimônio!B505)</f>
        <v>0</v>
      </c>
      <c r="M505" s="8">
        <f>SUMIFS(His_Operacoes_FIIs[Total],His_Operacoes_FIIs[Operação],"Provento",His_Operacoes_FIIs[fimmês],Patrimônio!B505)</f>
        <v>0</v>
      </c>
      <c r="N505" s="8">
        <f t="shared" si="34"/>
        <v>0</v>
      </c>
    </row>
    <row r="506" spans="1:14" x14ac:dyDescent="0.35">
      <c r="A506" s="7">
        <v>57711</v>
      </c>
      <c r="B506" s="7">
        <f t="shared" si="31"/>
        <v>57710</v>
      </c>
      <c r="I506" s="8">
        <f t="shared" si="32"/>
        <v>0</v>
      </c>
      <c r="J506" s="8">
        <f t="shared" si="33"/>
        <v>0</v>
      </c>
      <c r="K506" s="8">
        <f>SUMIFS(His_Operacoes_acoes[Total],His_Operacoes_acoes[Fimmes],Patrimônio!B506,His_Operacoes_acoes[Operação],"JCP")
+ SUMIFS(His_Operacoes_acoes[Total],His_Operacoes_acoes[Fimmes],Patrimônio!B506,His_Operacoes_acoes[Operação],"Divid.")
+ SUMIFS(His_Operacoes_acoes[Total],His_Operacoes_acoes[Fimmes],Patrimônio!B506,His_Operacoes_acoes[Operação],"Bonif.")</f>
        <v>0</v>
      </c>
      <c r="L506" s="8">
        <f>SUMIFS(His_Operacoes_BDRs[Total],His_Operacoes_BDRs[Operação],"Provento",His_Operacoes_BDRs[fimmês],Patrimônio!B506)</f>
        <v>0</v>
      </c>
      <c r="M506" s="8">
        <f>SUMIFS(His_Operacoes_FIIs[Total],His_Operacoes_FIIs[Operação],"Provento",His_Operacoes_FIIs[fimmês],Patrimônio!B506)</f>
        <v>0</v>
      </c>
      <c r="N506" s="8">
        <f t="shared" si="34"/>
        <v>0</v>
      </c>
    </row>
    <row r="507" spans="1:14" x14ac:dyDescent="0.35">
      <c r="A507" s="7">
        <v>57742</v>
      </c>
      <c r="B507" s="7">
        <f t="shared" si="31"/>
        <v>57741</v>
      </c>
      <c r="I507" s="8">
        <f t="shared" si="32"/>
        <v>0</v>
      </c>
      <c r="J507" s="8">
        <f t="shared" si="33"/>
        <v>0</v>
      </c>
      <c r="K507" s="8">
        <f>SUMIFS(His_Operacoes_acoes[Total],His_Operacoes_acoes[Fimmes],Patrimônio!B507,His_Operacoes_acoes[Operação],"JCP")
+ SUMIFS(His_Operacoes_acoes[Total],His_Operacoes_acoes[Fimmes],Patrimônio!B507,His_Operacoes_acoes[Operação],"Divid.")
+ SUMIFS(His_Operacoes_acoes[Total],His_Operacoes_acoes[Fimmes],Patrimônio!B507,His_Operacoes_acoes[Operação],"Bonif.")</f>
        <v>0</v>
      </c>
      <c r="L507" s="8">
        <f>SUMIFS(His_Operacoes_BDRs[Total],His_Operacoes_BDRs[Operação],"Provento",His_Operacoes_BDRs[fimmês],Patrimônio!B507)</f>
        <v>0</v>
      </c>
      <c r="M507" s="8">
        <f>SUMIFS(His_Operacoes_FIIs[Total],His_Operacoes_FIIs[Operação],"Provento",His_Operacoes_FIIs[fimmês],Patrimônio!B507)</f>
        <v>0</v>
      </c>
      <c r="N507" s="8">
        <f t="shared" si="34"/>
        <v>0</v>
      </c>
    </row>
    <row r="508" spans="1:14" x14ac:dyDescent="0.35">
      <c r="A508" s="7">
        <v>57770</v>
      </c>
      <c r="B508" s="7">
        <f t="shared" si="31"/>
        <v>57769</v>
      </c>
      <c r="I508" s="8">
        <f t="shared" si="32"/>
        <v>0</v>
      </c>
      <c r="J508" s="8">
        <f t="shared" si="33"/>
        <v>0</v>
      </c>
      <c r="K508" s="8">
        <f>SUMIFS(His_Operacoes_acoes[Total],His_Operacoes_acoes[Fimmes],Patrimônio!B508,His_Operacoes_acoes[Operação],"JCP")
+ SUMIFS(His_Operacoes_acoes[Total],His_Operacoes_acoes[Fimmes],Patrimônio!B508,His_Operacoes_acoes[Operação],"Divid.")
+ SUMIFS(His_Operacoes_acoes[Total],His_Operacoes_acoes[Fimmes],Patrimônio!B508,His_Operacoes_acoes[Operação],"Bonif.")</f>
        <v>0</v>
      </c>
      <c r="L508" s="8">
        <f>SUMIFS(His_Operacoes_BDRs[Total],His_Operacoes_BDRs[Operação],"Provento",His_Operacoes_BDRs[fimmês],Patrimônio!B508)</f>
        <v>0</v>
      </c>
      <c r="M508" s="8">
        <f>SUMIFS(His_Operacoes_FIIs[Total],His_Operacoes_FIIs[Operação],"Provento",His_Operacoes_FIIs[fimmês],Patrimônio!B508)</f>
        <v>0</v>
      </c>
      <c r="N508" s="8">
        <f t="shared" si="34"/>
        <v>0</v>
      </c>
    </row>
    <row r="509" spans="1:14" x14ac:dyDescent="0.35">
      <c r="A509" s="7">
        <v>57801</v>
      </c>
      <c r="B509" s="7">
        <f t="shared" si="31"/>
        <v>57800</v>
      </c>
      <c r="I509" s="8">
        <f t="shared" si="32"/>
        <v>0</v>
      </c>
      <c r="J509" s="8">
        <f t="shared" si="33"/>
        <v>0</v>
      </c>
      <c r="K509" s="8">
        <f>SUMIFS(His_Operacoes_acoes[Total],His_Operacoes_acoes[Fimmes],Patrimônio!B509,His_Operacoes_acoes[Operação],"JCP")
+ SUMIFS(His_Operacoes_acoes[Total],His_Operacoes_acoes[Fimmes],Patrimônio!B509,His_Operacoes_acoes[Operação],"Divid.")
+ SUMIFS(His_Operacoes_acoes[Total],His_Operacoes_acoes[Fimmes],Patrimônio!B509,His_Operacoes_acoes[Operação],"Bonif.")</f>
        <v>0</v>
      </c>
      <c r="L509" s="8">
        <f>SUMIFS(His_Operacoes_BDRs[Total],His_Operacoes_BDRs[Operação],"Provento",His_Operacoes_BDRs[fimmês],Patrimônio!B509)</f>
        <v>0</v>
      </c>
      <c r="M509" s="8">
        <f>SUMIFS(His_Operacoes_FIIs[Total],His_Operacoes_FIIs[Operação],"Provento",His_Operacoes_FIIs[fimmês],Patrimônio!B509)</f>
        <v>0</v>
      </c>
      <c r="N509" s="8">
        <f t="shared" si="34"/>
        <v>0</v>
      </c>
    </row>
    <row r="510" spans="1:14" x14ac:dyDescent="0.35">
      <c r="A510" s="7">
        <v>57831</v>
      </c>
      <c r="B510" s="7">
        <f t="shared" si="31"/>
        <v>57830</v>
      </c>
      <c r="I510" s="8">
        <f t="shared" si="32"/>
        <v>0</v>
      </c>
      <c r="J510" s="8">
        <f t="shared" si="33"/>
        <v>0</v>
      </c>
      <c r="K510" s="8">
        <f>SUMIFS(His_Operacoes_acoes[Total],His_Operacoes_acoes[Fimmes],Patrimônio!B510,His_Operacoes_acoes[Operação],"JCP")
+ SUMIFS(His_Operacoes_acoes[Total],His_Operacoes_acoes[Fimmes],Patrimônio!B510,His_Operacoes_acoes[Operação],"Divid.")
+ SUMIFS(His_Operacoes_acoes[Total],His_Operacoes_acoes[Fimmes],Patrimônio!B510,His_Operacoes_acoes[Operação],"Bonif.")</f>
        <v>0</v>
      </c>
      <c r="L510" s="8">
        <f>SUMIFS(His_Operacoes_BDRs[Total],His_Operacoes_BDRs[Operação],"Provento",His_Operacoes_BDRs[fimmês],Patrimônio!B510)</f>
        <v>0</v>
      </c>
      <c r="M510" s="8">
        <f>SUMIFS(His_Operacoes_FIIs[Total],His_Operacoes_FIIs[Operação],"Provento",His_Operacoes_FIIs[fimmês],Patrimônio!B510)</f>
        <v>0</v>
      </c>
      <c r="N510" s="8">
        <f t="shared" si="34"/>
        <v>0</v>
      </c>
    </row>
    <row r="511" spans="1:14" x14ac:dyDescent="0.35">
      <c r="A511" s="7">
        <v>57862</v>
      </c>
      <c r="B511" s="7">
        <f t="shared" si="31"/>
        <v>57861</v>
      </c>
      <c r="I511" s="8">
        <f t="shared" si="32"/>
        <v>0</v>
      </c>
      <c r="J511" s="8">
        <f t="shared" si="33"/>
        <v>0</v>
      </c>
      <c r="K511" s="8">
        <f>SUMIFS(His_Operacoes_acoes[Total],His_Operacoes_acoes[Fimmes],Patrimônio!B511,His_Operacoes_acoes[Operação],"JCP")
+ SUMIFS(His_Operacoes_acoes[Total],His_Operacoes_acoes[Fimmes],Patrimônio!B511,His_Operacoes_acoes[Operação],"Divid.")
+ SUMIFS(His_Operacoes_acoes[Total],His_Operacoes_acoes[Fimmes],Patrimônio!B511,His_Operacoes_acoes[Operação],"Bonif.")</f>
        <v>0</v>
      </c>
      <c r="L511" s="8">
        <f>SUMIFS(His_Operacoes_BDRs[Total],His_Operacoes_BDRs[Operação],"Provento",His_Operacoes_BDRs[fimmês],Patrimônio!B511)</f>
        <v>0</v>
      </c>
      <c r="M511" s="8">
        <f>SUMIFS(His_Operacoes_FIIs[Total],His_Operacoes_FIIs[Operação],"Provento",His_Operacoes_FIIs[fimmês],Patrimônio!B511)</f>
        <v>0</v>
      </c>
      <c r="N511" s="8">
        <f t="shared" si="34"/>
        <v>0</v>
      </c>
    </row>
    <row r="512" spans="1:14" x14ac:dyDescent="0.35">
      <c r="A512" s="7">
        <v>57892</v>
      </c>
      <c r="B512" s="7">
        <f t="shared" si="31"/>
        <v>57891</v>
      </c>
      <c r="I512" s="8">
        <f t="shared" si="32"/>
        <v>0</v>
      </c>
      <c r="J512" s="8">
        <f t="shared" si="33"/>
        <v>0</v>
      </c>
      <c r="K512" s="8">
        <f>SUMIFS(His_Operacoes_acoes[Total],His_Operacoes_acoes[Fimmes],Patrimônio!B512,His_Operacoes_acoes[Operação],"JCP")
+ SUMIFS(His_Operacoes_acoes[Total],His_Operacoes_acoes[Fimmes],Patrimônio!B512,His_Operacoes_acoes[Operação],"Divid.")
+ SUMIFS(His_Operacoes_acoes[Total],His_Operacoes_acoes[Fimmes],Patrimônio!B512,His_Operacoes_acoes[Operação],"Bonif.")</f>
        <v>0</v>
      </c>
      <c r="L512" s="8">
        <f>SUMIFS(His_Operacoes_BDRs[Total],His_Operacoes_BDRs[Operação],"Provento",His_Operacoes_BDRs[fimmês],Patrimônio!B512)</f>
        <v>0</v>
      </c>
      <c r="M512" s="8">
        <f>SUMIFS(His_Operacoes_FIIs[Total],His_Operacoes_FIIs[Operação],"Provento",His_Operacoes_FIIs[fimmês],Patrimônio!B512)</f>
        <v>0</v>
      </c>
      <c r="N512" s="8">
        <f t="shared" si="34"/>
        <v>0</v>
      </c>
    </row>
    <row r="513" spans="1:14" x14ac:dyDescent="0.35">
      <c r="A513" s="7">
        <v>57923</v>
      </c>
      <c r="B513" s="7">
        <f t="shared" si="31"/>
        <v>57922</v>
      </c>
      <c r="I513" s="8">
        <f t="shared" si="32"/>
        <v>0</v>
      </c>
      <c r="J513" s="8">
        <f t="shared" si="33"/>
        <v>0</v>
      </c>
      <c r="K513" s="8">
        <f>SUMIFS(His_Operacoes_acoes[Total],His_Operacoes_acoes[Fimmes],Patrimônio!B513,His_Operacoes_acoes[Operação],"JCP")
+ SUMIFS(His_Operacoes_acoes[Total],His_Operacoes_acoes[Fimmes],Patrimônio!B513,His_Operacoes_acoes[Operação],"Divid.")
+ SUMIFS(His_Operacoes_acoes[Total],His_Operacoes_acoes[Fimmes],Patrimônio!B513,His_Operacoes_acoes[Operação],"Bonif.")</f>
        <v>0</v>
      </c>
      <c r="L513" s="8">
        <f>SUMIFS(His_Operacoes_BDRs[Total],His_Operacoes_BDRs[Operação],"Provento",His_Operacoes_BDRs[fimmês],Patrimônio!B513)</f>
        <v>0</v>
      </c>
      <c r="M513" s="8">
        <f>SUMIFS(His_Operacoes_FIIs[Total],His_Operacoes_FIIs[Operação],"Provento",His_Operacoes_FIIs[fimmês],Patrimônio!B513)</f>
        <v>0</v>
      </c>
      <c r="N513" s="8">
        <f t="shared" si="34"/>
        <v>0</v>
      </c>
    </row>
    <row r="514" spans="1:14" x14ac:dyDescent="0.35">
      <c r="A514" s="7">
        <v>57954</v>
      </c>
      <c r="B514" s="7">
        <f t="shared" si="31"/>
        <v>57953</v>
      </c>
      <c r="I514" s="8">
        <f t="shared" si="32"/>
        <v>0</v>
      </c>
      <c r="J514" s="8">
        <f t="shared" si="33"/>
        <v>0</v>
      </c>
      <c r="K514" s="8">
        <f>SUMIFS(His_Operacoes_acoes[Total],His_Operacoes_acoes[Fimmes],Patrimônio!B514,His_Operacoes_acoes[Operação],"JCP")
+ SUMIFS(His_Operacoes_acoes[Total],His_Operacoes_acoes[Fimmes],Patrimônio!B514,His_Operacoes_acoes[Operação],"Divid.")
+ SUMIFS(His_Operacoes_acoes[Total],His_Operacoes_acoes[Fimmes],Patrimônio!B514,His_Operacoes_acoes[Operação],"Bonif.")</f>
        <v>0</v>
      </c>
      <c r="L514" s="8">
        <f>SUMIFS(His_Operacoes_BDRs[Total],His_Operacoes_BDRs[Operação],"Provento",His_Operacoes_BDRs[fimmês],Patrimônio!B514)</f>
        <v>0</v>
      </c>
      <c r="M514" s="8">
        <f>SUMIFS(His_Operacoes_FIIs[Total],His_Operacoes_FIIs[Operação],"Provento",His_Operacoes_FIIs[fimmês],Patrimônio!B514)</f>
        <v>0</v>
      </c>
      <c r="N514" s="8">
        <f t="shared" si="34"/>
        <v>0</v>
      </c>
    </row>
    <row r="515" spans="1:14" x14ac:dyDescent="0.35">
      <c r="A515" s="7">
        <v>57984</v>
      </c>
      <c r="B515" s="7">
        <f t="shared" ref="B515:B578" si="35">EOMONTH(A515,-1)</f>
        <v>57983</v>
      </c>
      <c r="I515" s="8">
        <f t="shared" ref="I515:I578" si="36">SUM(C515,E515,G515)</f>
        <v>0</v>
      </c>
      <c r="J515" s="8">
        <f t="shared" ref="J515:J578" si="37">SUM(D515,F515,H515)</f>
        <v>0</v>
      </c>
      <c r="K515" s="8">
        <f>SUMIFS(His_Operacoes_acoes[Total],His_Operacoes_acoes[Fimmes],Patrimônio!B515,His_Operacoes_acoes[Operação],"JCP")
+ SUMIFS(His_Operacoes_acoes[Total],His_Operacoes_acoes[Fimmes],Patrimônio!B515,His_Operacoes_acoes[Operação],"Divid.")
+ SUMIFS(His_Operacoes_acoes[Total],His_Operacoes_acoes[Fimmes],Patrimônio!B515,His_Operacoes_acoes[Operação],"Bonif.")</f>
        <v>0</v>
      </c>
      <c r="L515" s="8">
        <f>SUMIFS(His_Operacoes_BDRs[Total],His_Operacoes_BDRs[Operação],"Provento",His_Operacoes_BDRs[fimmês],Patrimônio!B515)</f>
        <v>0</v>
      </c>
      <c r="M515" s="8">
        <f>SUMIFS(His_Operacoes_FIIs[Total],His_Operacoes_FIIs[Operação],"Provento",His_Operacoes_FIIs[fimmês],Patrimônio!B515)</f>
        <v>0</v>
      </c>
      <c r="N515" s="8">
        <f t="shared" ref="N515:N578" si="38">SUM(K515:M515)</f>
        <v>0</v>
      </c>
    </row>
    <row r="516" spans="1:14" x14ac:dyDescent="0.35">
      <c r="A516" s="7">
        <v>58015</v>
      </c>
      <c r="B516" s="7">
        <f t="shared" si="35"/>
        <v>58014</v>
      </c>
      <c r="I516" s="8">
        <f t="shared" si="36"/>
        <v>0</v>
      </c>
      <c r="J516" s="8">
        <f t="shared" si="37"/>
        <v>0</v>
      </c>
      <c r="K516" s="8">
        <f>SUMIFS(His_Operacoes_acoes[Total],His_Operacoes_acoes[Fimmes],Patrimônio!B516,His_Operacoes_acoes[Operação],"JCP")
+ SUMIFS(His_Operacoes_acoes[Total],His_Operacoes_acoes[Fimmes],Patrimônio!B516,His_Operacoes_acoes[Operação],"Divid.")
+ SUMIFS(His_Operacoes_acoes[Total],His_Operacoes_acoes[Fimmes],Patrimônio!B516,His_Operacoes_acoes[Operação],"Bonif.")</f>
        <v>0</v>
      </c>
      <c r="L516" s="8">
        <f>SUMIFS(His_Operacoes_BDRs[Total],His_Operacoes_BDRs[Operação],"Provento",His_Operacoes_BDRs[fimmês],Patrimônio!B516)</f>
        <v>0</v>
      </c>
      <c r="M516" s="8">
        <f>SUMIFS(His_Operacoes_FIIs[Total],His_Operacoes_FIIs[Operação],"Provento",His_Operacoes_FIIs[fimmês],Patrimônio!B516)</f>
        <v>0</v>
      </c>
      <c r="N516" s="8">
        <f t="shared" si="38"/>
        <v>0</v>
      </c>
    </row>
    <row r="517" spans="1:14" x14ac:dyDescent="0.35">
      <c r="A517" s="7">
        <v>58045</v>
      </c>
      <c r="B517" s="7">
        <f t="shared" si="35"/>
        <v>58044</v>
      </c>
      <c r="I517" s="8">
        <f t="shared" si="36"/>
        <v>0</v>
      </c>
      <c r="J517" s="8">
        <f t="shared" si="37"/>
        <v>0</v>
      </c>
      <c r="K517" s="8">
        <f>SUMIFS(His_Operacoes_acoes[Total],His_Operacoes_acoes[Fimmes],Patrimônio!B517,His_Operacoes_acoes[Operação],"JCP")
+ SUMIFS(His_Operacoes_acoes[Total],His_Operacoes_acoes[Fimmes],Patrimônio!B517,His_Operacoes_acoes[Operação],"Divid.")
+ SUMIFS(His_Operacoes_acoes[Total],His_Operacoes_acoes[Fimmes],Patrimônio!B517,His_Operacoes_acoes[Operação],"Bonif.")</f>
        <v>0</v>
      </c>
      <c r="L517" s="8">
        <f>SUMIFS(His_Operacoes_BDRs[Total],His_Operacoes_BDRs[Operação],"Provento",His_Operacoes_BDRs[fimmês],Patrimônio!B517)</f>
        <v>0</v>
      </c>
      <c r="M517" s="8">
        <f>SUMIFS(His_Operacoes_FIIs[Total],His_Operacoes_FIIs[Operação],"Provento",His_Operacoes_FIIs[fimmês],Patrimônio!B517)</f>
        <v>0</v>
      </c>
      <c r="N517" s="8">
        <f t="shared" si="38"/>
        <v>0</v>
      </c>
    </row>
    <row r="518" spans="1:14" x14ac:dyDescent="0.35">
      <c r="A518" s="7">
        <v>58076</v>
      </c>
      <c r="B518" s="7">
        <f t="shared" si="35"/>
        <v>58075</v>
      </c>
      <c r="I518" s="8">
        <f t="shared" si="36"/>
        <v>0</v>
      </c>
      <c r="J518" s="8">
        <f t="shared" si="37"/>
        <v>0</v>
      </c>
      <c r="K518" s="8">
        <f>SUMIFS(His_Operacoes_acoes[Total],His_Operacoes_acoes[Fimmes],Patrimônio!B518,His_Operacoes_acoes[Operação],"JCP")
+ SUMIFS(His_Operacoes_acoes[Total],His_Operacoes_acoes[Fimmes],Patrimônio!B518,His_Operacoes_acoes[Operação],"Divid.")
+ SUMIFS(His_Operacoes_acoes[Total],His_Operacoes_acoes[Fimmes],Patrimônio!B518,His_Operacoes_acoes[Operação],"Bonif.")</f>
        <v>0</v>
      </c>
      <c r="L518" s="8">
        <f>SUMIFS(His_Operacoes_BDRs[Total],His_Operacoes_BDRs[Operação],"Provento",His_Operacoes_BDRs[fimmês],Patrimônio!B518)</f>
        <v>0</v>
      </c>
      <c r="M518" s="8">
        <f>SUMIFS(His_Operacoes_FIIs[Total],His_Operacoes_FIIs[Operação],"Provento",His_Operacoes_FIIs[fimmês],Patrimônio!B518)</f>
        <v>0</v>
      </c>
      <c r="N518" s="8">
        <f t="shared" si="38"/>
        <v>0</v>
      </c>
    </row>
    <row r="519" spans="1:14" x14ac:dyDescent="0.35">
      <c r="A519" s="7">
        <v>58107</v>
      </c>
      <c r="B519" s="7">
        <f t="shared" si="35"/>
        <v>58106</v>
      </c>
      <c r="I519" s="8">
        <f t="shared" si="36"/>
        <v>0</v>
      </c>
      <c r="J519" s="8">
        <f t="shared" si="37"/>
        <v>0</v>
      </c>
      <c r="K519" s="8">
        <f>SUMIFS(His_Operacoes_acoes[Total],His_Operacoes_acoes[Fimmes],Patrimônio!B519,His_Operacoes_acoes[Operação],"JCP")
+ SUMIFS(His_Operacoes_acoes[Total],His_Operacoes_acoes[Fimmes],Patrimônio!B519,His_Operacoes_acoes[Operação],"Divid.")
+ SUMIFS(His_Operacoes_acoes[Total],His_Operacoes_acoes[Fimmes],Patrimônio!B519,His_Operacoes_acoes[Operação],"Bonif.")</f>
        <v>0</v>
      </c>
      <c r="L519" s="8">
        <f>SUMIFS(His_Operacoes_BDRs[Total],His_Operacoes_BDRs[Operação],"Provento",His_Operacoes_BDRs[fimmês],Patrimônio!B519)</f>
        <v>0</v>
      </c>
      <c r="M519" s="8">
        <f>SUMIFS(His_Operacoes_FIIs[Total],His_Operacoes_FIIs[Operação],"Provento",His_Operacoes_FIIs[fimmês],Patrimônio!B519)</f>
        <v>0</v>
      </c>
      <c r="N519" s="8">
        <f t="shared" si="38"/>
        <v>0</v>
      </c>
    </row>
    <row r="520" spans="1:14" x14ac:dyDescent="0.35">
      <c r="A520" s="7">
        <v>58135</v>
      </c>
      <c r="B520" s="7">
        <f t="shared" si="35"/>
        <v>58134</v>
      </c>
      <c r="I520" s="8">
        <f t="shared" si="36"/>
        <v>0</v>
      </c>
      <c r="J520" s="8">
        <f t="shared" si="37"/>
        <v>0</v>
      </c>
      <c r="K520" s="8">
        <f>SUMIFS(His_Operacoes_acoes[Total],His_Operacoes_acoes[Fimmes],Patrimônio!B520,His_Operacoes_acoes[Operação],"JCP")
+ SUMIFS(His_Operacoes_acoes[Total],His_Operacoes_acoes[Fimmes],Patrimônio!B520,His_Operacoes_acoes[Operação],"Divid.")
+ SUMIFS(His_Operacoes_acoes[Total],His_Operacoes_acoes[Fimmes],Patrimônio!B520,His_Operacoes_acoes[Operação],"Bonif.")</f>
        <v>0</v>
      </c>
      <c r="L520" s="8">
        <f>SUMIFS(His_Operacoes_BDRs[Total],His_Operacoes_BDRs[Operação],"Provento",His_Operacoes_BDRs[fimmês],Patrimônio!B520)</f>
        <v>0</v>
      </c>
      <c r="M520" s="8">
        <f>SUMIFS(His_Operacoes_FIIs[Total],His_Operacoes_FIIs[Operação],"Provento",His_Operacoes_FIIs[fimmês],Patrimônio!B520)</f>
        <v>0</v>
      </c>
      <c r="N520" s="8">
        <f t="shared" si="38"/>
        <v>0</v>
      </c>
    </row>
    <row r="521" spans="1:14" x14ac:dyDescent="0.35">
      <c r="A521" s="7">
        <v>58166</v>
      </c>
      <c r="B521" s="7">
        <f t="shared" si="35"/>
        <v>58165</v>
      </c>
      <c r="I521" s="8">
        <f t="shared" si="36"/>
        <v>0</v>
      </c>
      <c r="J521" s="8">
        <f t="shared" si="37"/>
        <v>0</v>
      </c>
      <c r="K521" s="8">
        <f>SUMIFS(His_Operacoes_acoes[Total],His_Operacoes_acoes[Fimmes],Patrimônio!B521,His_Operacoes_acoes[Operação],"JCP")
+ SUMIFS(His_Operacoes_acoes[Total],His_Operacoes_acoes[Fimmes],Patrimônio!B521,His_Operacoes_acoes[Operação],"Divid.")
+ SUMIFS(His_Operacoes_acoes[Total],His_Operacoes_acoes[Fimmes],Patrimônio!B521,His_Operacoes_acoes[Operação],"Bonif.")</f>
        <v>0</v>
      </c>
      <c r="L521" s="8">
        <f>SUMIFS(His_Operacoes_BDRs[Total],His_Operacoes_BDRs[Operação],"Provento",His_Operacoes_BDRs[fimmês],Patrimônio!B521)</f>
        <v>0</v>
      </c>
      <c r="M521" s="8">
        <f>SUMIFS(His_Operacoes_FIIs[Total],His_Operacoes_FIIs[Operação],"Provento",His_Operacoes_FIIs[fimmês],Patrimônio!B521)</f>
        <v>0</v>
      </c>
      <c r="N521" s="8">
        <f t="shared" si="38"/>
        <v>0</v>
      </c>
    </row>
    <row r="522" spans="1:14" x14ac:dyDescent="0.35">
      <c r="A522" s="7">
        <v>58196</v>
      </c>
      <c r="B522" s="7">
        <f t="shared" si="35"/>
        <v>58195</v>
      </c>
      <c r="I522" s="8">
        <f t="shared" si="36"/>
        <v>0</v>
      </c>
      <c r="J522" s="8">
        <f t="shared" si="37"/>
        <v>0</v>
      </c>
      <c r="K522" s="8">
        <f>SUMIFS(His_Operacoes_acoes[Total],His_Operacoes_acoes[Fimmes],Patrimônio!B522,His_Operacoes_acoes[Operação],"JCP")
+ SUMIFS(His_Operacoes_acoes[Total],His_Operacoes_acoes[Fimmes],Patrimônio!B522,His_Operacoes_acoes[Operação],"Divid.")
+ SUMIFS(His_Operacoes_acoes[Total],His_Operacoes_acoes[Fimmes],Patrimônio!B522,His_Operacoes_acoes[Operação],"Bonif.")</f>
        <v>0</v>
      </c>
      <c r="L522" s="8">
        <f>SUMIFS(His_Operacoes_BDRs[Total],His_Operacoes_BDRs[Operação],"Provento",His_Operacoes_BDRs[fimmês],Patrimônio!B522)</f>
        <v>0</v>
      </c>
      <c r="M522" s="8">
        <f>SUMIFS(His_Operacoes_FIIs[Total],His_Operacoes_FIIs[Operação],"Provento",His_Operacoes_FIIs[fimmês],Patrimônio!B522)</f>
        <v>0</v>
      </c>
      <c r="N522" s="8">
        <f t="shared" si="38"/>
        <v>0</v>
      </c>
    </row>
    <row r="523" spans="1:14" x14ac:dyDescent="0.35">
      <c r="A523" s="7">
        <v>58227</v>
      </c>
      <c r="B523" s="7">
        <f t="shared" si="35"/>
        <v>58226</v>
      </c>
      <c r="I523" s="8">
        <f t="shared" si="36"/>
        <v>0</v>
      </c>
      <c r="J523" s="8">
        <f t="shared" si="37"/>
        <v>0</v>
      </c>
      <c r="K523" s="8">
        <f>SUMIFS(His_Operacoes_acoes[Total],His_Operacoes_acoes[Fimmes],Patrimônio!B523,His_Operacoes_acoes[Operação],"JCP")
+ SUMIFS(His_Operacoes_acoes[Total],His_Operacoes_acoes[Fimmes],Patrimônio!B523,His_Operacoes_acoes[Operação],"Divid.")
+ SUMIFS(His_Operacoes_acoes[Total],His_Operacoes_acoes[Fimmes],Patrimônio!B523,His_Operacoes_acoes[Operação],"Bonif.")</f>
        <v>0</v>
      </c>
      <c r="L523" s="8">
        <f>SUMIFS(His_Operacoes_BDRs[Total],His_Operacoes_BDRs[Operação],"Provento",His_Operacoes_BDRs[fimmês],Patrimônio!B523)</f>
        <v>0</v>
      </c>
      <c r="M523" s="8">
        <f>SUMIFS(His_Operacoes_FIIs[Total],His_Operacoes_FIIs[Operação],"Provento",His_Operacoes_FIIs[fimmês],Patrimônio!B523)</f>
        <v>0</v>
      </c>
      <c r="N523" s="8">
        <f t="shared" si="38"/>
        <v>0</v>
      </c>
    </row>
    <row r="524" spans="1:14" x14ac:dyDescent="0.35">
      <c r="A524" s="7">
        <v>58257</v>
      </c>
      <c r="B524" s="7">
        <f t="shared" si="35"/>
        <v>58256</v>
      </c>
      <c r="I524" s="8">
        <f t="shared" si="36"/>
        <v>0</v>
      </c>
      <c r="J524" s="8">
        <f t="shared" si="37"/>
        <v>0</v>
      </c>
      <c r="K524" s="8">
        <f>SUMIFS(His_Operacoes_acoes[Total],His_Operacoes_acoes[Fimmes],Patrimônio!B524,His_Operacoes_acoes[Operação],"JCP")
+ SUMIFS(His_Operacoes_acoes[Total],His_Operacoes_acoes[Fimmes],Patrimônio!B524,His_Operacoes_acoes[Operação],"Divid.")
+ SUMIFS(His_Operacoes_acoes[Total],His_Operacoes_acoes[Fimmes],Patrimônio!B524,His_Operacoes_acoes[Operação],"Bonif.")</f>
        <v>0</v>
      </c>
      <c r="L524" s="8">
        <f>SUMIFS(His_Operacoes_BDRs[Total],His_Operacoes_BDRs[Operação],"Provento",His_Operacoes_BDRs[fimmês],Patrimônio!B524)</f>
        <v>0</v>
      </c>
      <c r="M524" s="8">
        <f>SUMIFS(His_Operacoes_FIIs[Total],His_Operacoes_FIIs[Operação],"Provento",His_Operacoes_FIIs[fimmês],Patrimônio!B524)</f>
        <v>0</v>
      </c>
      <c r="N524" s="8">
        <f t="shared" si="38"/>
        <v>0</v>
      </c>
    </row>
    <row r="525" spans="1:14" x14ac:dyDescent="0.35">
      <c r="A525" s="7">
        <v>58288</v>
      </c>
      <c r="B525" s="7">
        <f t="shared" si="35"/>
        <v>58287</v>
      </c>
      <c r="I525" s="8">
        <f t="shared" si="36"/>
        <v>0</v>
      </c>
      <c r="J525" s="8">
        <f t="shared" si="37"/>
        <v>0</v>
      </c>
      <c r="K525" s="8">
        <f>SUMIFS(His_Operacoes_acoes[Total],His_Operacoes_acoes[Fimmes],Patrimônio!B525,His_Operacoes_acoes[Operação],"JCP")
+ SUMIFS(His_Operacoes_acoes[Total],His_Operacoes_acoes[Fimmes],Patrimônio!B525,His_Operacoes_acoes[Operação],"Divid.")
+ SUMIFS(His_Operacoes_acoes[Total],His_Operacoes_acoes[Fimmes],Patrimônio!B525,His_Operacoes_acoes[Operação],"Bonif.")</f>
        <v>0</v>
      </c>
      <c r="L525" s="8">
        <f>SUMIFS(His_Operacoes_BDRs[Total],His_Operacoes_BDRs[Operação],"Provento",His_Operacoes_BDRs[fimmês],Patrimônio!B525)</f>
        <v>0</v>
      </c>
      <c r="M525" s="8">
        <f>SUMIFS(His_Operacoes_FIIs[Total],His_Operacoes_FIIs[Operação],"Provento",His_Operacoes_FIIs[fimmês],Patrimônio!B525)</f>
        <v>0</v>
      </c>
      <c r="N525" s="8">
        <f t="shared" si="38"/>
        <v>0</v>
      </c>
    </row>
    <row r="526" spans="1:14" x14ac:dyDescent="0.35">
      <c r="A526" s="7">
        <v>58319</v>
      </c>
      <c r="B526" s="7">
        <f t="shared" si="35"/>
        <v>58318</v>
      </c>
      <c r="I526" s="8">
        <f t="shared" si="36"/>
        <v>0</v>
      </c>
      <c r="J526" s="8">
        <f t="shared" si="37"/>
        <v>0</v>
      </c>
      <c r="K526" s="8">
        <f>SUMIFS(His_Operacoes_acoes[Total],His_Operacoes_acoes[Fimmes],Patrimônio!B526,His_Operacoes_acoes[Operação],"JCP")
+ SUMIFS(His_Operacoes_acoes[Total],His_Operacoes_acoes[Fimmes],Patrimônio!B526,His_Operacoes_acoes[Operação],"Divid.")
+ SUMIFS(His_Operacoes_acoes[Total],His_Operacoes_acoes[Fimmes],Patrimônio!B526,His_Operacoes_acoes[Operação],"Bonif.")</f>
        <v>0</v>
      </c>
      <c r="L526" s="8">
        <f>SUMIFS(His_Operacoes_BDRs[Total],His_Operacoes_BDRs[Operação],"Provento",His_Operacoes_BDRs[fimmês],Patrimônio!B526)</f>
        <v>0</v>
      </c>
      <c r="M526" s="8">
        <f>SUMIFS(His_Operacoes_FIIs[Total],His_Operacoes_FIIs[Operação],"Provento",His_Operacoes_FIIs[fimmês],Patrimônio!B526)</f>
        <v>0</v>
      </c>
      <c r="N526" s="8">
        <f t="shared" si="38"/>
        <v>0</v>
      </c>
    </row>
    <row r="527" spans="1:14" x14ac:dyDescent="0.35">
      <c r="A527" s="7">
        <v>58349</v>
      </c>
      <c r="B527" s="7">
        <f t="shared" si="35"/>
        <v>58348</v>
      </c>
      <c r="I527" s="8">
        <f t="shared" si="36"/>
        <v>0</v>
      </c>
      <c r="J527" s="8">
        <f t="shared" si="37"/>
        <v>0</v>
      </c>
      <c r="K527" s="8">
        <f>SUMIFS(His_Operacoes_acoes[Total],His_Operacoes_acoes[Fimmes],Patrimônio!B527,His_Operacoes_acoes[Operação],"JCP")
+ SUMIFS(His_Operacoes_acoes[Total],His_Operacoes_acoes[Fimmes],Patrimônio!B527,His_Operacoes_acoes[Operação],"Divid.")
+ SUMIFS(His_Operacoes_acoes[Total],His_Operacoes_acoes[Fimmes],Patrimônio!B527,His_Operacoes_acoes[Operação],"Bonif.")</f>
        <v>0</v>
      </c>
      <c r="L527" s="8">
        <f>SUMIFS(His_Operacoes_BDRs[Total],His_Operacoes_BDRs[Operação],"Provento",His_Operacoes_BDRs[fimmês],Patrimônio!B527)</f>
        <v>0</v>
      </c>
      <c r="M527" s="8">
        <f>SUMIFS(His_Operacoes_FIIs[Total],His_Operacoes_FIIs[Operação],"Provento",His_Operacoes_FIIs[fimmês],Patrimônio!B527)</f>
        <v>0</v>
      </c>
      <c r="N527" s="8">
        <f t="shared" si="38"/>
        <v>0</v>
      </c>
    </row>
    <row r="528" spans="1:14" x14ac:dyDescent="0.35">
      <c r="A528" s="7">
        <v>58380</v>
      </c>
      <c r="B528" s="7">
        <f t="shared" si="35"/>
        <v>58379</v>
      </c>
      <c r="I528" s="8">
        <f t="shared" si="36"/>
        <v>0</v>
      </c>
      <c r="J528" s="8">
        <f t="shared" si="37"/>
        <v>0</v>
      </c>
      <c r="K528" s="8">
        <f>SUMIFS(His_Operacoes_acoes[Total],His_Operacoes_acoes[Fimmes],Patrimônio!B528,His_Operacoes_acoes[Operação],"JCP")
+ SUMIFS(His_Operacoes_acoes[Total],His_Operacoes_acoes[Fimmes],Patrimônio!B528,His_Operacoes_acoes[Operação],"Divid.")
+ SUMIFS(His_Operacoes_acoes[Total],His_Operacoes_acoes[Fimmes],Patrimônio!B528,His_Operacoes_acoes[Operação],"Bonif.")</f>
        <v>0</v>
      </c>
      <c r="L528" s="8">
        <f>SUMIFS(His_Operacoes_BDRs[Total],His_Operacoes_BDRs[Operação],"Provento",His_Operacoes_BDRs[fimmês],Patrimônio!B528)</f>
        <v>0</v>
      </c>
      <c r="M528" s="8">
        <f>SUMIFS(His_Operacoes_FIIs[Total],His_Operacoes_FIIs[Operação],"Provento",His_Operacoes_FIIs[fimmês],Patrimônio!B528)</f>
        <v>0</v>
      </c>
      <c r="N528" s="8">
        <f t="shared" si="38"/>
        <v>0</v>
      </c>
    </row>
    <row r="529" spans="1:14" x14ac:dyDescent="0.35">
      <c r="A529" s="7">
        <v>58410</v>
      </c>
      <c r="B529" s="7">
        <f t="shared" si="35"/>
        <v>58409</v>
      </c>
      <c r="I529" s="8">
        <f t="shared" si="36"/>
        <v>0</v>
      </c>
      <c r="J529" s="8">
        <f t="shared" si="37"/>
        <v>0</v>
      </c>
      <c r="K529" s="8">
        <f>SUMIFS(His_Operacoes_acoes[Total],His_Operacoes_acoes[Fimmes],Patrimônio!B529,His_Operacoes_acoes[Operação],"JCP")
+ SUMIFS(His_Operacoes_acoes[Total],His_Operacoes_acoes[Fimmes],Patrimônio!B529,His_Operacoes_acoes[Operação],"Divid.")
+ SUMIFS(His_Operacoes_acoes[Total],His_Operacoes_acoes[Fimmes],Patrimônio!B529,His_Operacoes_acoes[Operação],"Bonif.")</f>
        <v>0</v>
      </c>
      <c r="L529" s="8">
        <f>SUMIFS(His_Operacoes_BDRs[Total],His_Operacoes_BDRs[Operação],"Provento",His_Operacoes_BDRs[fimmês],Patrimônio!B529)</f>
        <v>0</v>
      </c>
      <c r="M529" s="8">
        <f>SUMIFS(His_Operacoes_FIIs[Total],His_Operacoes_FIIs[Operação],"Provento",His_Operacoes_FIIs[fimmês],Patrimônio!B529)</f>
        <v>0</v>
      </c>
      <c r="N529" s="8">
        <f t="shared" si="38"/>
        <v>0</v>
      </c>
    </row>
    <row r="530" spans="1:14" x14ac:dyDescent="0.35">
      <c r="A530" s="7">
        <v>58441</v>
      </c>
      <c r="B530" s="7">
        <f t="shared" si="35"/>
        <v>58440</v>
      </c>
      <c r="I530" s="8">
        <f t="shared" si="36"/>
        <v>0</v>
      </c>
      <c r="J530" s="8">
        <f t="shared" si="37"/>
        <v>0</v>
      </c>
      <c r="K530" s="8">
        <f>SUMIFS(His_Operacoes_acoes[Total],His_Operacoes_acoes[Fimmes],Patrimônio!B530,His_Operacoes_acoes[Operação],"JCP")
+ SUMIFS(His_Operacoes_acoes[Total],His_Operacoes_acoes[Fimmes],Patrimônio!B530,His_Operacoes_acoes[Operação],"Divid.")
+ SUMIFS(His_Operacoes_acoes[Total],His_Operacoes_acoes[Fimmes],Patrimônio!B530,His_Operacoes_acoes[Operação],"Bonif.")</f>
        <v>0</v>
      </c>
      <c r="L530" s="8">
        <f>SUMIFS(His_Operacoes_BDRs[Total],His_Operacoes_BDRs[Operação],"Provento",His_Operacoes_BDRs[fimmês],Patrimônio!B530)</f>
        <v>0</v>
      </c>
      <c r="M530" s="8">
        <f>SUMIFS(His_Operacoes_FIIs[Total],His_Operacoes_FIIs[Operação],"Provento",His_Operacoes_FIIs[fimmês],Patrimônio!B530)</f>
        <v>0</v>
      </c>
      <c r="N530" s="8">
        <f t="shared" si="38"/>
        <v>0</v>
      </c>
    </row>
    <row r="531" spans="1:14" x14ac:dyDescent="0.35">
      <c r="A531" s="7">
        <v>58472</v>
      </c>
      <c r="B531" s="7">
        <f t="shared" si="35"/>
        <v>58471</v>
      </c>
      <c r="I531" s="8">
        <f t="shared" si="36"/>
        <v>0</v>
      </c>
      <c r="J531" s="8">
        <f t="shared" si="37"/>
        <v>0</v>
      </c>
      <c r="K531" s="8">
        <f>SUMIFS(His_Operacoes_acoes[Total],His_Operacoes_acoes[Fimmes],Patrimônio!B531,His_Operacoes_acoes[Operação],"JCP")
+ SUMIFS(His_Operacoes_acoes[Total],His_Operacoes_acoes[Fimmes],Patrimônio!B531,His_Operacoes_acoes[Operação],"Divid.")
+ SUMIFS(His_Operacoes_acoes[Total],His_Operacoes_acoes[Fimmes],Patrimônio!B531,His_Operacoes_acoes[Operação],"Bonif.")</f>
        <v>0</v>
      </c>
      <c r="L531" s="8">
        <f>SUMIFS(His_Operacoes_BDRs[Total],His_Operacoes_BDRs[Operação],"Provento",His_Operacoes_BDRs[fimmês],Patrimônio!B531)</f>
        <v>0</v>
      </c>
      <c r="M531" s="8">
        <f>SUMIFS(His_Operacoes_FIIs[Total],His_Operacoes_FIIs[Operação],"Provento",His_Operacoes_FIIs[fimmês],Patrimônio!B531)</f>
        <v>0</v>
      </c>
      <c r="N531" s="8">
        <f t="shared" si="38"/>
        <v>0</v>
      </c>
    </row>
    <row r="532" spans="1:14" x14ac:dyDescent="0.35">
      <c r="A532" s="7">
        <v>58501</v>
      </c>
      <c r="B532" s="7">
        <f t="shared" si="35"/>
        <v>58500</v>
      </c>
      <c r="I532" s="8">
        <f t="shared" si="36"/>
        <v>0</v>
      </c>
      <c r="J532" s="8">
        <f t="shared" si="37"/>
        <v>0</v>
      </c>
      <c r="K532" s="8">
        <f>SUMIFS(His_Operacoes_acoes[Total],His_Operacoes_acoes[Fimmes],Patrimônio!B532,His_Operacoes_acoes[Operação],"JCP")
+ SUMIFS(His_Operacoes_acoes[Total],His_Operacoes_acoes[Fimmes],Patrimônio!B532,His_Operacoes_acoes[Operação],"Divid.")
+ SUMIFS(His_Operacoes_acoes[Total],His_Operacoes_acoes[Fimmes],Patrimônio!B532,His_Operacoes_acoes[Operação],"Bonif.")</f>
        <v>0</v>
      </c>
      <c r="L532" s="8">
        <f>SUMIFS(His_Operacoes_BDRs[Total],His_Operacoes_BDRs[Operação],"Provento",His_Operacoes_BDRs[fimmês],Patrimônio!B532)</f>
        <v>0</v>
      </c>
      <c r="M532" s="8">
        <f>SUMIFS(His_Operacoes_FIIs[Total],His_Operacoes_FIIs[Operação],"Provento",His_Operacoes_FIIs[fimmês],Patrimônio!B532)</f>
        <v>0</v>
      </c>
      <c r="N532" s="8">
        <f t="shared" si="38"/>
        <v>0</v>
      </c>
    </row>
    <row r="533" spans="1:14" x14ac:dyDescent="0.35">
      <c r="A533" s="7">
        <v>58532</v>
      </c>
      <c r="B533" s="7">
        <f t="shared" si="35"/>
        <v>58531</v>
      </c>
      <c r="I533" s="8">
        <f t="shared" si="36"/>
        <v>0</v>
      </c>
      <c r="J533" s="8">
        <f t="shared" si="37"/>
        <v>0</v>
      </c>
      <c r="K533" s="8">
        <f>SUMIFS(His_Operacoes_acoes[Total],His_Operacoes_acoes[Fimmes],Patrimônio!B533,His_Operacoes_acoes[Operação],"JCP")
+ SUMIFS(His_Operacoes_acoes[Total],His_Operacoes_acoes[Fimmes],Patrimônio!B533,His_Operacoes_acoes[Operação],"Divid.")
+ SUMIFS(His_Operacoes_acoes[Total],His_Operacoes_acoes[Fimmes],Patrimônio!B533,His_Operacoes_acoes[Operação],"Bonif.")</f>
        <v>0</v>
      </c>
      <c r="L533" s="8">
        <f>SUMIFS(His_Operacoes_BDRs[Total],His_Operacoes_BDRs[Operação],"Provento",His_Operacoes_BDRs[fimmês],Patrimônio!B533)</f>
        <v>0</v>
      </c>
      <c r="M533" s="8">
        <f>SUMIFS(His_Operacoes_FIIs[Total],His_Operacoes_FIIs[Operação],"Provento",His_Operacoes_FIIs[fimmês],Patrimônio!B533)</f>
        <v>0</v>
      </c>
      <c r="N533" s="8">
        <f t="shared" si="38"/>
        <v>0</v>
      </c>
    </row>
    <row r="534" spans="1:14" x14ac:dyDescent="0.35">
      <c r="A534" s="7">
        <v>58562</v>
      </c>
      <c r="B534" s="7">
        <f t="shared" si="35"/>
        <v>58561</v>
      </c>
      <c r="I534" s="8">
        <f t="shared" si="36"/>
        <v>0</v>
      </c>
      <c r="J534" s="8">
        <f t="shared" si="37"/>
        <v>0</v>
      </c>
      <c r="K534" s="8">
        <f>SUMIFS(His_Operacoes_acoes[Total],His_Operacoes_acoes[Fimmes],Patrimônio!B534,His_Operacoes_acoes[Operação],"JCP")
+ SUMIFS(His_Operacoes_acoes[Total],His_Operacoes_acoes[Fimmes],Patrimônio!B534,His_Operacoes_acoes[Operação],"Divid.")
+ SUMIFS(His_Operacoes_acoes[Total],His_Operacoes_acoes[Fimmes],Patrimônio!B534,His_Operacoes_acoes[Operação],"Bonif.")</f>
        <v>0</v>
      </c>
      <c r="L534" s="8">
        <f>SUMIFS(His_Operacoes_BDRs[Total],His_Operacoes_BDRs[Operação],"Provento",His_Operacoes_BDRs[fimmês],Patrimônio!B534)</f>
        <v>0</v>
      </c>
      <c r="M534" s="8">
        <f>SUMIFS(His_Operacoes_FIIs[Total],His_Operacoes_FIIs[Operação],"Provento",His_Operacoes_FIIs[fimmês],Patrimônio!B534)</f>
        <v>0</v>
      </c>
      <c r="N534" s="8">
        <f t="shared" si="38"/>
        <v>0</v>
      </c>
    </row>
    <row r="535" spans="1:14" x14ac:dyDescent="0.35">
      <c r="A535" s="7">
        <v>58593</v>
      </c>
      <c r="B535" s="7">
        <f t="shared" si="35"/>
        <v>58592</v>
      </c>
      <c r="I535" s="8">
        <f t="shared" si="36"/>
        <v>0</v>
      </c>
      <c r="J535" s="8">
        <f t="shared" si="37"/>
        <v>0</v>
      </c>
      <c r="K535" s="8">
        <f>SUMIFS(His_Operacoes_acoes[Total],His_Operacoes_acoes[Fimmes],Patrimônio!B535,His_Operacoes_acoes[Operação],"JCP")
+ SUMIFS(His_Operacoes_acoes[Total],His_Operacoes_acoes[Fimmes],Patrimônio!B535,His_Operacoes_acoes[Operação],"Divid.")
+ SUMIFS(His_Operacoes_acoes[Total],His_Operacoes_acoes[Fimmes],Patrimônio!B535,His_Operacoes_acoes[Operação],"Bonif.")</f>
        <v>0</v>
      </c>
      <c r="L535" s="8">
        <f>SUMIFS(His_Operacoes_BDRs[Total],His_Operacoes_BDRs[Operação],"Provento",His_Operacoes_BDRs[fimmês],Patrimônio!B535)</f>
        <v>0</v>
      </c>
      <c r="M535" s="8">
        <f>SUMIFS(His_Operacoes_FIIs[Total],His_Operacoes_FIIs[Operação],"Provento",His_Operacoes_FIIs[fimmês],Patrimônio!B535)</f>
        <v>0</v>
      </c>
      <c r="N535" s="8">
        <f t="shared" si="38"/>
        <v>0</v>
      </c>
    </row>
    <row r="536" spans="1:14" x14ac:dyDescent="0.35">
      <c r="A536" s="7">
        <v>58623</v>
      </c>
      <c r="B536" s="7">
        <f t="shared" si="35"/>
        <v>58622</v>
      </c>
      <c r="I536" s="8">
        <f t="shared" si="36"/>
        <v>0</v>
      </c>
      <c r="J536" s="8">
        <f t="shared" si="37"/>
        <v>0</v>
      </c>
      <c r="K536" s="8">
        <f>SUMIFS(His_Operacoes_acoes[Total],His_Operacoes_acoes[Fimmes],Patrimônio!B536,His_Operacoes_acoes[Operação],"JCP")
+ SUMIFS(His_Operacoes_acoes[Total],His_Operacoes_acoes[Fimmes],Patrimônio!B536,His_Operacoes_acoes[Operação],"Divid.")
+ SUMIFS(His_Operacoes_acoes[Total],His_Operacoes_acoes[Fimmes],Patrimônio!B536,His_Operacoes_acoes[Operação],"Bonif.")</f>
        <v>0</v>
      </c>
      <c r="L536" s="8">
        <f>SUMIFS(His_Operacoes_BDRs[Total],His_Operacoes_BDRs[Operação],"Provento",His_Operacoes_BDRs[fimmês],Patrimônio!B536)</f>
        <v>0</v>
      </c>
      <c r="M536" s="8">
        <f>SUMIFS(His_Operacoes_FIIs[Total],His_Operacoes_FIIs[Operação],"Provento",His_Operacoes_FIIs[fimmês],Patrimônio!B536)</f>
        <v>0</v>
      </c>
      <c r="N536" s="8">
        <f t="shared" si="38"/>
        <v>0</v>
      </c>
    </row>
    <row r="537" spans="1:14" x14ac:dyDescent="0.35">
      <c r="A537" s="7">
        <v>58654</v>
      </c>
      <c r="B537" s="7">
        <f t="shared" si="35"/>
        <v>58653</v>
      </c>
      <c r="I537" s="8">
        <f t="shared" si="36"/>
        <v>0</v>
      </c>
      <c r="J537" s="8">
        <f t="shared" si="37"/>
        <v>0</v>
      </c>
      <c r="K537" s="8">
        <f>SUMIFS(His_Operacoes_acoes[Total],His_Operacoes_acoes[Fimmes],Patrimônio!B537,His_Operacoes_acoes[Operação],"JCP")
+ SUMIFS(His_Operacoes_acoes[Total],His_Operacoes_acoes[Fimmes],Patrimônio!B537,His_Operacoes_acoes[Operação],"Divid.")
+ SUMIFS(His_Operacoes_acoes[Total],His_Operacoes_acoes[Fimmes],Patrimônio!B537,His_Operacoes_acoes[Operação],"Bonif.")</f>
        <v>0</v>
      </c>
      <c r="L537" s="8">
        <f>SUMIFS(His_Operacoes_BDRs[Total],His_Operacoes_BDRs[Operação],"Provento",His_Operacoes_BDRs[fimmês],Patrimônio!B537)</f>
        <v>0</v>
      </c>
      <c r="M537" s="8">
        <f>SUMIFS(His_Operacoes_FIIs[Total],His_Operacoes_FIIs[Operação],"Provento",His_Operacoes_FIIs[fimmês],Patrimônio!B537)</f>
        <v>0</v>
      </c>
      <c r="N537" s="8">
        <f t="shared" si="38"/>
        <v>0</v>
      </c>
    </row>
    <row r="538" spans="1:14" x14ac:dyDescent="0.35">
      <c r="A538" s="7">
        <v>58685</v>
      </c>
      <c r="B538" s="7">
        <f t="shared" si="35"/>
        <v>58684</v>
      </c>
      <c r="I538" s="8">
        <f t="shared" si="36"/>
        <v>0</v>
      </c>
      <c r="J538" s="8">
        <f t="shared" si="37"/>
        <v>0</v>
      </c>
      <c r="K538" s="8">
        <f>SUMIFS(His_Operacoes_acoes[Total],His_Operacoes_acoes[Fimmes],Patrimônio!B538,His_Operacoes_acoes[Operação],"JCP")
+ SUMIFS(His_Operacoes_acoes[Total],His_Operacoes_acoes[Fimmes],Patrimônio!B538,His_Operacoes_acoes[Operação],"Divid.")
+ SUMIFS(His_Operacoes_acoes[Total],His_Operacoes_acoes[Fimmes],Patrimônio!B538,His_Operacoes_acoes[Operação],"Bonif.")</f>
        <v>0</v>
      </c>
      <c r="L538" s="8">
        <f>SUMIFS(His_Operacoes_BDRs[Total],His_Operacoes_BDRs[Operação],"Provento",His_Operacoes_BDRs[fimmês],Patrimônio!B538)</f>
        <v>0</v>
      </c>
      <c r="M538" s="8">
        <f>SUMIFS(His_Operacoes_FIIs[Total],His_Operacoes_FIIs[Operação],"Provento",His_Operacoes_FIIs[fimmês],Patrimônio!B538)</f>
        <v>0</v>
      </c>
      <c r="N538" s="8">
        <f t="shared" si="38"/>
        <v>0</v>
      </c>
    </row>
    <row r="539" spans="1:14" x14ac:dyDescent="0.35">
      <c r="A539" s="7">
        <v>58715</v>
      </c>
      <c r="B539" s="7">
        <f t="shared" si="35"/>
        <v>58714</v>
      </c>
      <c r="I539" s="8">
        <f t="shared" si="36"/>
        <v>0</v>
      </c>
      <c r="J539" s="8">
        <f t="shared" si="37"/>
        <v>0</v>
      </c>
      <c r="K539" s="8">
        <f>SUMIFS(His_Operacoes_acoes[Total],His_Operacoes_acoes[Fimmes],Patrimônio!B539,His_Operacoes_acoes[Operação],"JCP")
+ SUMIFS(His_Operacoes_acoes[Total],His_Operacoes_acoes[Fimmes],Patrimônio!B539,His_Operacoes_acoes[Operação],"Divid.")
+ SUMIFS(His_Operacoes_acoes[Total],His_Operacoes_acoes[Fimmes],Patrimônio!B539,His_Operacoes_acoes[Operação],"Bonif.")</f>
        <v>0</v>
      </c>
      <c r="L539" s="8">
        <f>SUMIFS(His_Operacoes_BDRs[Total],His_Operacoes_BDRs[Operação],"Provento",His_Operacoes_BDRs[fimmês],Patrimônio!B539)</f>
        <v>0</v>
      </c>
      <c r="M539" s="8">
        <f>SUMIFS(His_Operacoes_FIIs[Total],His_Operacoes_FIIs[Operação],"Provento",His_Operacoes_FIIs[fimmês],Patrimônio!B539)</f>
        <v>0</v>
      </c>
      <c r="N539" s="8">
        <f t="shared" si="38"/>
        <v>0</v>
      </c>
    </row>
    <row r="540" spans="1:14" x14ac:dyDescent="0.35">
      <c r="A540" s="7">
        <v>58746</v>
      </c>
      <c r="B540" s="7">
        <f t="shared" si="35"/>
        <v>58745</v>
      </c>
      <c r="I540" s="8">
        <f t="shared" si="36"/>
        <v>0</v>
      </c>
      <c r="J540" s="8">
        <f t="shared" si="37"/>
        <v>0</v>
      </c>
      <c r="K540" s="8">
        <f>SUMIFS(His_Operacoes_acoes[Total],His_Operacoes_acoes[Fimmes],Patrimônio!B540,His_Operacoes_acoes[Operação],"JCP")
+ SUMIFS(His_Operacoes_acoes[Total],His_Operacoes_acoes[Fimmes],Patrimônio!B540,His_Operacoes_acoes[Operação],"Divid.")
+ SUMIFS(His_Operacoes_acoes[Total],His_Operacoes_acoes[Fimmes],Patrimônio!B540,His_Operacoes_acoes[Operação],"Bonif.")</f>
        <v>0</v>
      </c>
      <c r="L540" s="8">
        <f>SUMIFS(His_Operacoes_BDRs[Total],His_Operacoes_BDRs[Operação],"Provento",His_Operacoes_BDRs[fimmês],Patrimônio!B540)</f>
        <v>0</v>
      </c>
      <c r="M540" s="8">
        <f>SUMIFS(His_Operacoes_FIIs[Total],His_Operacoes_FIIs[Operação],"Provento",His_Operacoes_FIIs[fimmês],Patrimônio!B540)</f>
        <v>0</v>
      </c>
      <c r="N540" s="8">
        <f t="shared" si="38"/>
        <v>0</v>
      </c>
    </row>
    <row r="541" spans="1:14" x14ac:dyDescent="0.35">
      <c r="A541" s="7">
        <v>58776</v>
      </c>
      <c r="B541" s="7">
        <f t="shared" si="35"/>
        <v>58775</v>
      </c>
      <c r="I541" s="8">
        <f t="shared" si="36"/>
        <v>0</v>
      </c>
      <c r="J541" s="8">
        <f t="shared" si="37"/>
        <v>0</v>
      </c>
      <c r="K541" s="8">
        <f>SUMIFS(His_Operacoes_acoes[Total],His_Operacoes_acoes[Fimmes],Patrimônio!B541,His_Operacoes_acoes[Operação],"JCP")
+ SUMIFS(His_Operacoes_acoes[Total],His_Operacoes_acoes[Fimmes],Patrimônio!B541,His_Operacoes_acoes[Operação],"Divid.")
+ SUMIFS(His_Operacoes_acoes[Total],His_Operacoes_acoes[Fimmes],Patrimônio!B541,His_Operacoes_acoes[Operação],"Bonif.")</f>
        <v>0</v>
      </c>
      <c r="L541" s="8">
        <f>SUMIFS(His_Operacoes_BDRs[Total],His_Operacoes_BDRs[Operação],"Provento",His_Operacoes_BDRs[fimmês],Patrimônio!B541)</f>
        <v>0</v>
      </c>
      <c r="M541" s="8">
        <f>SUMIFS(His_Operacoes_FIIs[Total],His_Operacoes_FIIs[Operação],"Provento",His_Operacoes_FIIs[fimmês],Patrimônio!B541)</f>
        <v>0</v>
      </c>
      <c r="N541" s="8">
        <f t="shared" si="38"/>
        <v>0</v>
      </c>
    </row>
    <row r="542" spans="1:14" x14ac:dyDescent="0.35">
      <c r="A542" s="7">
        <v>58807</v>
      </c>
      <c r="B542" s="7">
        <f t="shared" si="35"/>
        <v>58806</v>
      </c>
      <c r="I542" s="8">
        <f t="shared" si="36"/>
        <v>0</v>
      </c>
      <c r="J542" s="8">
        <f t="shared" si="37"/>
        <v>0</v>
      </c>
      <c r="K542" s="8">
        <f>SUMIFS(His_Operacoes_acoes[Total],His_Operacoes_acoes[Fimmes],Patrimônio!B542,His_Operacoes_acoes[Operação],"JCP")
+ SUMIFS(His_Operacoes_acoes[Total],His_Operacoes_acoes[Fimmes],Patrimônio!B542,His_Operacoes_acoes[Operação],"Divid.")
+ SUMIFS(His_Operacoes_acoes[Total],His_Operacoes_acoes[Fimmes],Patrimônio!B542,His_Operacoes_acoes[Operação],"Bonif.")</f>
        <v>0</v>
      </c>
      <c r="L542" s="8">
        <f>SUMIFS(His_Operacoes_BDRs[Total],His_Operacoes_BDRs[Operação],"Provento",His_Operacoes_BDRs[fimmês],Patrimônio!B542)</f>
        <v>0</v>
      </c>
      <c r="M542" s="8">
        <f>SUMIFS(His_Operacoes_FIIs[Total],His_Operacoes_FIIs[Operação],"Provento",His_Operacoes_FIIs[fimmês],Patrimônio!B542)</f>
        <v>0</v>
      </c>
      <c r="N542" s="8">
        <f t="shared" si="38"/>
        <v>0</v>
      </c>
    </row>
    <row r="543" spans="1:14" x14ac:dyDescent="0.35">
      <c r="A543" s="7">
        <v>58838</v>
      </c>
      <c r="B543" s="7">
        <f t="shared" si="35"/>
        <v>58837</v>
      </c>
      <c r="I543" s="8">
        <f t="shared" si="36"/>
        <v>0</v>
      </c>
      <c r="J543" s="8">
        <f t="shared" si="37"/>
        <v>0</v>
      </c>
      <c r="K543" s="8">
        <f>SUMIFS(His_Operacoes_acoes[Total],His_Operacoes_acoes[Fimmes],Patrimônio!B543,His_Operacoes_acoes[Operação],"JCP")
+ SUMIFS(His_Operacoes_acoes[Total],His_Operacoes_acoes[Fimmes],Patrimônio!B543,His_Operacoes_acoes[Operação],"Divid.")
+ SUMIFS(His_Operacoes_acoes[Total],His_Operacoes_acoes[Fimmes],Patrimônio!B543,His_Operacoes_acoes[Operação],"Bonif.")</f>
        <v>0</v>
      </c>
      <c r="L543" s="8">
        <f>SUMIFS(His_Operacoes_BDRs[Total],His_Operacoes_BDRs[Operação],"Provento",His_Operacoes_BDRs[fimmês],Patrimônio!B543)</f>
        <v>0</v>
      </c>
      <c r="M543" s="8">
        <f>SUMIFS(His_Operacoes_FIIs[Total],His_Operacoes_FIIs[Operação],"Provento",His_Operacoes_FIIs[fimmês],Patrimônio!B543)</f>
        <v>0</v>
      </c>
      <c r="N543" s="8">
        <f t="shared" si="38"/>
        <v>0</v>
      </c>
    </row>
    <row r="544" spans="1:14" x14ac:dyDescent="0.35">
      <c r="A544" s="7">
        <v>58866</v>
      </c>
      <c r="B544" s="7">
        <f t="shared" si="35"/>
        <v>58865</v>
      </c>
      <c r="I544" s="8">
        <f t="shared" si="36"/>
        <v>0</v>
      </c>
      <c r="J544" s="8">
        <f t="shared" si="37"/>
        <v>0</v>
      </c>
      <c r="K544" s="8">
        <f>SUMIFS(His_Operacoes_acoes[Total],His_Operacoes_acoes[Fimmes],Patrimônio!B544,His_Operacoes_acoes[Operação],"JCP")
+ SUMIFS(His_Operacoes_acoes[Total],His_Operacoes_acoes[Fimmes],Patrimônio!B544,His_Operacoes_acoes[Operação],"Divid.")
+ SUMIFS(His_Operacoes_acoes[Total],His_Operacoes_acoes[Fimmes],Patrimônio!B544,His_Operacoes_acoes[Operação],"Bonif.")</f>
        <v>0</v>
      </c>
      <c r="L544" s="8">
        <f>SUMIFS(His_Operacoes_BDRs[Total],His_Operacoes_BDRs[Operação],"Provento",His_Operacoes_BDRs[fimmês],Patrimônio!B544)</f>
        <v>0</v>
      </c>
      <c r="M544" s="8">
        <f>SUMIFS(His_Operacoes_FIIs[Total],His_Operacoes_FIIs[Operação],"Provento",His_Operacoes_FIIs[fimmês],Patrimônio!B544)</f>
        <v>0</v>
      </c>
      <c r="N544" s="8">
        <f t="shared" si="38"/>
        <v>0</v>
      </c>
    </row>
    <row r="545" spans="1:14" x14ac:dyDescent="0.35">
      <c r="A545" s="7">
        <v>58897</v>
      </c>
      <c r="B545" s="7">
        <f t="shared" si="35"/>
        <v>58896</v>
      </c>
      <c r="I545" s="8">
        <f t="shared" si="36"/>
        <v>0</v>
      </c>
      <c r="J545" s="8">
        <f t="shared" si="37"/>
        <v>0</v>
      </c>
      <c r="K545" s="8">
        <f>SUMIFS(His_Operacoes_acoes[Total],His_Operacoes_acoes[Fimmes],Patrimônio!B545,His_Operacoes_acoes[Operação],"JCP")
+ SUMIFS(His_Operacoes_acoes[Total],His_Operacoes_acoes[Fimmes],Patrimônio!B545,His_Operacoes_acoes[Operação],"Divid.")
+ SUMIFS(His_Operacoes_acoes[Total],His_Operacoes_acoes[Fimmes],Patrimônio!B545,His_Operacoes_acoes[Operação],"Bonif.")</f>
        <v>0</v>
      </c>
      <c r="L545" s="8">
        <f>SUMIFS(His_Operacoes_BDRs[Total],His_Operacoes_BDRs[Operação],"Provento",His_Operacoes_BDRs[fimmês],Patrimônio!B545)</f>
        <v>0</v>
      </c>
      <c r="M545" s="8">
        <f>SUMIFS(His_Operacoes_FIIs[Total],His_Operacoes_FIIs[Operação],"Provento",His_Operacoes_FIIs[fimmês],Patrimônio!B545)</f>
        <v>0</v>
      </c>
      <c r="N545" s="8">
        <f t="shared" si="38"/>
        <v>0</v>
      </c>
    </row>
    <row r="546" spans="1:14" x14ac:dyDescent="0.35">
      <c r="A546" s="7">
        <v>58927</v>
      </c>
      <c r="B546" s="7">
        <f t="shared" si="35"/>
        <v>58926</v>
      </c>
      <c r="I546" s="8">
        <f t="shared" si="36"/>
        <v>0</v>
      </c>
      <c r="J546" s="8">
        <f t="shared" si="37"/>
        <v>0</v>
      </c>
      <c r="K546" s="8">
        <f>SUMIFS(His_Operacoes_acoes[Total],His_Operacoes_acoes[Fimmes],Patrimônio!B546,His_Operacoes_acoes[Operação],"JCP")
+ SUMIFS(His_Operacoes_acoes[Total],His_Operacoes_acoes[Fimmes],Patrimônio!B546,His_Operacoes_acoes[Operação],"Divid.")
+ SUMIFS(His_Operacoes_acoes[Total],His_Operacoes_acoes[Fimmes],Patrimônio!B546,His_Operacoes_acoes[Operação],"Bonif.")</f>
        <v>0</v>
      </c>
      <c r="L546" s="8">
        <f>SUMIFS(His_Operacoes_BDRs[Total],His_Operacoes_BDRs[Operação],"Provento",His_Operacoes_BDRs[fimmês],Patrimônio!B546)</f>
        <v>0</v>
      </c>
      <c r="M546" s="8">
        <f>SUMIFS(His_Operacoes_FIIs[Total],His_Operacoes_FIIs[Operação],"Provento",His_Operacoes_FIIs[fimmês],Patrimônio!B546)</f>
        <v>0</v>
      </c>
      <c r="N546" s="8">
        <f t="shared" si="38"/>
        <v>0</v>
      </c>
    </row>
    <row r="547" spans="1:14" x14ac:dyDescent="0.35">
      <c r="A547" s="7">
        <v>58958</v>
      </c>
      <c r="B547" s="7">
        <f t="shared" si="35"/>
        <v>58957</v>
      </c>
      <c r="I547" s="8">
        <f t="shared" si="36"/>
        <v>0</v>
      </c>
      <c r="J547" s="8">
        <f t="shared" si="37"/>
        <v>0</v>
      </c>
      <c r="K547" s="8">
        <f>SUMIFS(His_Operacoes_acoes[Total],His_Operacoes_acoes[Fimmes],Patrimônio!B547,His_Operacoes_acoes[Operação],"JCP")
+ SUMIFS(His_Operacoes_acoes[Total],His_Operacoes_acoes[Fimmes],Patrimônio!B547,His_Operacoes_acoes[Operação],"Divid.")
+ SUMIFS(His_Operacoes_acoes[Total],His_Operacoes_acoes[Fimmes],Patrimônio!B547,His_Operacoes_acoes[Operação],"Bonif.")</f>
        <v>0</v>
      </c>
      <c r="L547" s="8">
        <f>SUMIFS(His_Operacoes_BDRs[Total],His_Operacoes_BDRs[Operação],"Provento",His_Operacoes_BDRs[fimmês],Patrimônio!B547)</f>
        <v>0</v>
      </c>
      <c r="M547" s="8">
        <f>SUMIFS(His_Operacoes_FIIs[Total],His_Operacoes_FIIs[Operação],"Provento",His_Operacoes_FIIs[fimmês],Patrimônio!B547)</f>
        <v>0</v>
      </c>
      <c r="N547" s="8">
        <f t="shared" si="38"/>
        <v>0</v>
      </c>
    </row>
    <row r="548" spans="1:14" x14ac:dyDescent="0.35">
      <c r="A548" s="7">
        <v>58988</v>
      </c>
      <c r="B548" s="7">
        <f t="shared" si="35"/>
        <v>58987</v>
      </c>
      <c r="I548" s="8">
        <f t="shared" si="36"/>
        <v>0</v>
      </c>
      <c r="J548" s="8">
        <f t="shared" si="37"/>
        <v>0</v>
      </c>
      <c r="K548" s="8">
        <f>SUMIFS(His_Operacoes_acoes[Total],His_Operacoes_acoes[Fimmes],Patrimônio!B548,His_Operacoes_acoes[Operação],"JCP")
+ SUMIFS(His_Operacoes_acoes[Total],His_Operacoes_acoes[Fimmes],Patrimônio!B548,His_Operacoes_acoes[Operação],"Divid.")
+ SUMIFS(His_Operacoes_acoes[Total],His_Operacoes_acoes[Fimmes],Patrimônio!B548,His_Operacoes_acoes[Operação],"Bonif.")</f>
        <v>0</v>
      </c>
      <c r="L548" s="8">
        <f>SUMIFS(His_Operacoes_BDRs[Total],His_Operacoes_BDRs[Operação],"Provento",His_Operacoes_BDRs[fimmês],Patrimônio!B548)</f>
        <v>0</v>
      </c>
      <c r="M548" s="8">
        <f>SUMIFS(His_Operacoes_FIIs[Total],His_Operacoes_FIIs[Operação],"Provento",His_Operacoes_FIIs[fimmês],Patrimônio!B548)</f>
        <v>0</v>
      </c>
      <c r="N548" s="8">
        <f t="shared" si="38"/>
        <v>0</v>
      </c>
    </row>
    <row r="549" spans="1:14" x14ac:dyDescent="0.35">
      <c r="A549" s="7">
        <v>59019</v>
      </c>
      <c r="B549" s="7">
        <f t="shared" si="35"/>
        <v>59018</v>
      </c>
      <c r="I549" s="8">
        <f t="shared" si="36"/>
        <v>0</v>
      </c>
      <c r="J549" s="8">
        <f t="shared" si="37"/>
        <v>0</v>
      </c>
      <c r="K549" s="8">
        <f>SUMIFS(His_Operacoes_acoes[Total],His_Operacoes_acoes[Fimmes],Patrimônio!B549,His_Operacoes_acoes[Operação],"JCP")
+ SUMIFS(His_Operacoes_acoes[Total],His_Operacoes_acoes[Fimmes],Patrimônio!B549,His_Operacoes_acoes[Operação],"Divid.")
+ SUMIFS(His_Operacoes_acoes[Total],His_Operacoes_acoes[Fimmes],Patrimônio!B549,His_Operacoes_acoes[Operação],"Bonif.")</f>
        <v>0</v>
      </c>
      <c r="L549" s="8">
        <f>SUMIFS(His_Operacoes_BDRs[Total],His_Operacoes_BDRs[Operação],"Provento",His_Operacoes_BDRs[fimmês],Patrimônio!B549)</f>
        <v>0</v>
      </c>
      <c r="M549" s="8">
        <f>SUMIFS(His_Operacoes_FIIs[Total],His_Operacoes_FIIs[Operação],"Provento",His_Operacoes_FIIs[fimmês],Patrimônio!B549)</f>
        <v>0</v>
      </c>
      <c r="N549" s="8">
        <f t="shared" si="38"/>
        <v>0</v>
      </c>
    </row>
    <row r="550" spans="1:14" x14ac:dyDescent="0.35">
      <c r="A550" s="7">
        <v>59050</v>
      </c>
      <c r="B550" s="7">
        <f t="shared" si="35"/>
        <v>59049</v>
      </c>
      <c r="I550" s="8">
        <f t="shared" si="36"/>
        <v>0</v>
      </c>
      <c r="J550" s="8">
        <f t="shared" si="37"/>
        <v>0</v>
      </c>
      <c r="K550" s="8">
        <f>SUMIFS(His_Operacoes_acoes[Total],His_Operacoes_acoes[Fimmes],Patrimônio!B550,His_Operacoes_acoes[Operação],"JCP")
+ SUMIFS(His_Operacoes_acoes[Total],His_Operacoes_acoes[Fimmes],Patrimônio!B550,His_Operacoes_acoes[Operação],"Divid.")
+ SUMIFS(His_Operacoes_acoes[Total],His_Operacoes_acoes[Fimmes],Patrimônio!B550,His_Operacoes_acoes[Operação],"Bonif.")</f>
        <v>0</v>
      </c>
      <c r="L550" s="8">
        <f>SUMIFS(His_Operacoes_BDRs[Total],His_Operacoes_BDRs[Operação],"Provento",His_Operacoes_BDRs[fimmês],Patrimônio!B550)</f>
        <v>0</v>
      </c>
      <c r="M550" s="8">
        <f>SUMIFS(His_Operacoes_FIIs[Total],His_Operacoes_FIIs[Operação],"Provento",His_Operacoes_FIIs[fimmês],Patrimônio!B550)</f>
        <v>0</v>
      </c>
      <c r="N550" s="8">
        <f t="shared" si="38"/>
        <v>0</v>
      </c>
    </row>
    <row r="551" spans="1:14" x14ac:dyDescent="0.35">
      <c r="A551" s="7">
        <v>59080</v>
      </c>
      <c r="B551" s="7">
        <f t="shared" si="35"/>
        <v>59079</v>
      </c>
      <c r="I551" s="8">
        <f t="shared" si="36"/>
        <v>0</v>
      </c>
      <c r="J551" s="8">
        <f t="shared" si="37"/>
        <v>0</v>
      </c>
      <c r="K551" s="8">
        <f>SUMIFS(His_Operacoes_acoes[Total],His_Operacoes_acoes[Fimmes],Patrimônio!B551,His_Operacoes_acoes[Operação],"JCP")
+ SUMIFS(His_Operacoes_acoes[Total],His_Operacoes_acoes[Fimmes],Patrimônio!B551,His_Operacoes_acoes[Operação],"Divid.")
+ SUMIFS(His_Operacoes_acoes[Total],His_Operacoes_acoes[Fimmes],Patrimônio!B551,His_Operacoes_acoes[Operação],"Bonif.")</f>
        <v>0</v>
      </c>
      <c r="L551" s="8">
        <f>SUMIFS(His_Operacoes_BDRs[Total],His_Operacoes_BDRs[Operação],"Provento",His_Operacoes_BDRs[fimmês],Patrimônio!B551)</f>
        <v>0</v>
      </c>
      <c r="M551" s="8">
        <f>SUMIFS(His_Operacoes_FIIs[Total],His_Operacoes_FIIs[Operação],"Provento",His_Operacoes_FIIs[fimmês],Patrimônio!B551)</f>
        <v>0</v>
      </c>
      <c r="N551" s="8">
        <f t="shared" si="38"/>
        <v>0</v>
      </c>
    </row>
    <row r="552" spans="1:14" x14ac:dyDescent="0.35">
      <c r="A552" s="7">
        <v>59111</v>
      </c>
      <c r="B552" s="7">
        <f t="shared" si="35"/>
        <v>59110</v>
      </c>
      <c r="I552" s="8">
        <f t="shared" si="36"/>
        <v>0</v>
      </c>
      <c r="J552" s="8">
        <f t="shared" si="37"/>
        <v>0</v>
      </c>
      <c r="K552" s="8">
        <f>SUMIFS(His_Operacoes_acoes[Total],His_Operacoes_acoes[Fimmes],Patrimônio!B552,His_Operacoes_acoes[Operação],"JCP")
+ SUMIFS(His_Operacoes_acoes[Total],His_Operacoes_acoes[Fimmes],Patrimônio!B552,His_Operacoes_acoes[Operação],"Divid.")
+ SUMIFS(His_Operacoes_acoes[Total],His_Operacoes_acoes[Fimmes],Patrimônio!B552,His_Operacoes_acoes[Operação],"Bonif.")</f>
        <v>0</v>
      </c>
      <c r="L552" s="8">
        <f>SUMIFS(His_Operacoes_BDRs[Total],His_Operacoes_BDRs[Operação],"Provento",His_Operacoes_BDRs[fimmês],Patrimônio!B552)</f>
        <v>0</v>
      </c>
      <c r="M552" s="8">
        <f>SUMIFS(His_Operacoes_FIIs[Total],His_Operacoes_FIIs[Operação],"Provento",His_Operacoes_FIIs[fimmês],Patrimônio!B552)</f>
        <v>0</v>
      </c>
      <c r="N552" s="8">
        <f t="shared" si="38"/>
        <v>0</v>
      </c>
    </row>
    <row r="553" spans="1:14" x14ac:dyDescent="0.35">
      <c r="A553" s="7">
        <v>59141</v>
      </c>
      <c r="B553" s="7">
        <f t="shared" si="35"/>
        <v>59140</v>
      </c>
      <c r="I553" s="8">
        <f t="shared" si="36"/>
        <v>0</v>
      </c>
      <c r="J553" s="8">
        <f t="shared" si="37"/>
        <v>0</v>
      </c>
      <c r="K553" s="8">
        <f>SUMIFS(His_Operacoes_acoes[Total],His_Operacoes_acoes[Fimmes],Patrimônio!B553,His_Operacoes_acoes[Operação],"JCP")
+ SUMIFS(His_Operacoes_acoes[Total],His_Operacoes_acoes[Fimmes],Patrimônio!B553,His_Operacoes_acoes[Operação],"Divid.")
+ SUMIFS(His_Operacoes_acoes[Total],His_Operacoes_acoes[Fimmes],Patrimônio!B553,His_Operacoes_acoes[Operação],"Bonif.")</f>
        <v>0</v>
      </c>
      <c r="L553" s="8">
        <f>SUMIFS(His_Operacoes_BDRs[Total],His_Operacoes_BDRs[Operação],"Provento",His_Operacoes_BDRs[fimmês],Patrimônio!B553)</f>
        <v>0</v>
      </c>
      <c r="M553" s="8">
        <f>SUMIFS(His_Operacoes_FIIs[Total],His_Operacoes_FIIs[Operação],"Provento",His_Operacoes_FIIs[fimmês],Patrimônio!B553)</f>
        <v>0</v>
      </c>
      <c r="N553" s="8">
        <f t="shared" si="38"/>
        <v>0</v>
      </c>
    </row>
    <row r="554" spans="1:14" x14ac:dyDescent="0.35">
      <c r="A554" s="7">
        <v>59172</v>
      </c>
      <c r="B554" s="7">
        <f t="shared" si="35"/>
        <v>59171</v>
      </c>
      <c r="I554" s="8">
        <f t="shared" si="36"/>
        <v>0</v>
      </c>
      <c r="J554" s="8">
        <f t="shared" si="37"/>
        <v>0</v>
      </c>
      <c r="K554" s="8">
        <f>SUMIFS(His_Operacoes_acoes[Total],His_Operacoes_acoes[Fimmes],Patrimônio!B554,His_Operacoes_acoes[Operação],"JCP")
+ SUMIFS(His_Operacoes_acoes[Total],His_Operacoes_acoes[Fimmes],Patrimônio!B554,His_Operacoes_acoes[Operação],"Divid.")
+ SUMIFS(His_Operacoes_acoes[Total],His_Operacoes_acoes[Fimmes],Patrimônio!B554,His_Operacoes_acoes[Operação],"Bonif.")</f>
        <v>0</v>
      </c>
      <c r="L554" s="8">
        <f>SUMIFS(His_Operacoes_BDRs[Total],His_Operacoes_BDRs[Operação],"Provento",His_Operacoes_BDRs[fimmês],Patrimônio!B554)</f>
        <v>0</v>
      </c>
      <c r="M554" s="8">
        <f>SUMIFS(His_Operacoes_FIIs[Total],His_Operacoes_FIIs[Operação],"Provento",His_Operacoes_FIIs[fimmês],Patrimônio!B554)</f>
        <v>0</v>
      </c>
      <c r="N554" s="8">
        <f t="shared" si="38"/>
        <v>0</v>
      </c>
    </row>
    <row r="555" spans="1:14" x14ac:dyDescent="0.35">
      <c r="A555" s="7">
        <v>59203</v>
      </c>
      <c r="B555" s="7">
        <f t="shared" si="35"/>
        <v>59202</v>
      </c>
      <c r="I555" s="8">
        <f t="shared" si="36"/>
        <v>0</v>
      </c>
      <c r="J555" s="8">
        <f t="shared" si="37"/>
        <v>0</v>
      </c>
      <c r="K555" s="8">
        <f>SUMIFS(His_Operacoes_acoes[Total],His_Operacoes_acoes[Fimmes],Patrimônio!B555,His_Operacoes_acoes[Operação],"JCP")
+ SUMIFS(His_Operacoes_acoes[Total],His_Operacoes_acoes[Fimmes],Patrimônio!B555,His_Operacoes_acoes[Operação],"Divid.")
+ SUMIFS(His_Operacoes_acoes[Total],His_Operacoes_acoes[Fimmes],Patrimônio!B555,His_Operacoes_acoes[Operação],"Bonif.")</f>
        <v>0</v>
      </c>
      <c r="L555" s="8">
        <f>SUMIFS(His_Operacoes_BDRs[Total],His_Operacoes_BDRs[Operação],"Provento",His_Operacoes_BDRs[fimmês],Patrimônio!B555)</f>
        <v>0</v>
      </c>
      <c r="M555" s="8">
        <f>SUMIFS(His_Operacoes_FIIs[Total],His_Operacoes_FIIs[Operação],"Provento",His_Operacoes_FIIs[fimmês],Patrimônio!B555)</f>
        <v>0</v>
      </c>
      <c r="N555" s="8">
        <f t="shared" si="38"/>
        <v>0</v>
      </c>
    </row>
    <row r="556" spans="1:14" x14ac:dyDescent="0.35">
      <c r="A556" s="7">
        <v>59231</v>
      </c>
      <c r="B556" s="7">
        <f t="shared" si="35"/>
        <v>59230</v>
      </c>
      <c r="I556" s="8">
        <f t="shared" si="36"/>
        <v>0</v>
      </c>
      <c r="J556" s="8">
        <f t="shared" si="37"/>
        <v>0</v>
      </c>
      <c r="K556" s="8">
        <f>SUMIFS(His_Operacoes_acoes[Total],His_Operacoes_acoes[Fimmes],Patrimônio!B556,His_Operacoes_acoes[Operação],"JCP")
+ SUMIFS(His_Operacoes_acoes[Total],His_Operacoes_acoes[Fimmes],Patrimônio!B556,His_Operacoes_acoes[Operação],"Divid.")
+ SUMIFS(His_Operacoes_acoes[Total],His_Operacoes_acoes[Fimmes],Patrimônio!B556,His_Operacoes_acoes[Operação],"Bonif.")</f>
        <v>0</v>
      </c>
      <c r="L556" s="8">
        <f>SUMIFS(His_Operacoes_BDRs[Total],His_Operacoes_BDRs[Operação],"Provento",His_Operacoes_BDRs[fimmês],Patrimônio!B556)</f>
        <v>0</v>
      </c>
      <c r="M556" s="8">
        <f>SUMIFS(His_Operacoes_FIIs[Total],His_Operacoes_FIIs[Operação],"Provento",His_Operacoes_FIIs[fimmês],Patrimônio!B556)</f>
        <v>0</v>
      </c>
      <c r="N556" s="8">
        <f t="shared" si="38"/>
        <v>0</v>
      </c>
    </row>
    <row r="557" spans="1:14" x14ac:dyDescent="0.35">
      <c r="A557" s="7">
        <v>59262</v>
      </c>
      <c r="B557" s="7">
        <f t="shared" si="35"/>
        <v>59261</v>
      </c>
      <c r="I557" s="8">
        <f t="shared" si="36"/>
        <v>0</v>
      </c>
      <c r="J557" s="8">
        <f t="shared" si="37"/>
        <v>0</v>
      </c>
      <c r="K557" s="8">
        <f>SUMIFS(His_Operacoes_acoes[Total],His_Operacoes_acoes[Fimmes],Patrimônio!B557,His_Operacoes_acoes[Operação],"JCP")
+ SUMIFS(His_Operacoes_acoes[Total],His_Operacoes_acoes[Fimmes],Patrimônio!B557,His_Operacoes_acoes[Operação],"Divid.")
+ SUMIFS(His_Operacoes_acoes[Total],His_Operacoes_acoes[Fimmes],Patrimônio!B557,His_Operacoes_acoes[Operação],"Bonif.")</f>
        <v>0</v>
      </c>
      <c r="L557" s="8">
        <f>SUMIFS(His_Operacoes_BDRs[Total],His_Operacoes_BDRs[Operação],"Provento",His_Operacoes_BDRs[fimmês],Patrimônio!B557)</f>
        <v>0</v>
      </c>
      <c r="M557" s="8">
        <f>SUMIFS(His_Operacoes_FIIs[Total],His_Operacoes_FIIs[Operação],"Provento",His_Operacoes_FIIs[fimmês],Patrimônio!B557)</f>
        <v>0</v>
      </c>
      <c r="N557" s="8">
        <f t="shared" si="38"/>
        <v>0</v>
      </c>
    </row>
    <row r="558" spans="1:14" x14ac:dyDescent="0.35">
      <c r="A558" s="7">
        <v>59292</v>
      </c>
      <c r="B558" s="7">
        <f t="shared" si="35"/>
        <v>59291</v>
      </c>
      <c r="I558" s="8">
        <f t="shared" si="36"/>
        <v>0</v>
      </c>
      <c r="J558" s="8">
        <f t="shared" si="37"/>
        <v>0</v>
      </c>
      <c r="K558" s="8">
        <f>SUMIFS(His_Operacoes_acoes[Total],His_Operacoes_acoes[Fimmes],Patrimônio!B558,His_Operacoes_acoes[Operação],"JCP")
+ SUMIFS(His_Operacoes_acoes[Total],His_Operacoes_acoes[Fimmes],Patrimônio!B558,His_Operacoes_acoes[Operação],"Divid.")
+ SUMIFS(His_Operacoes_acoes[Total],His_Operacoes_acoes[Fimmes],Patrimônio!B558,His_Operacoes_acoes[Operação],"Bonif.")</f>
        <v>0</v>
      </c>
      <c r="L558" s="8">
        <f>SUMIFS(His_Operacoes_BDRs[Total],His_Operacoes_BDRs[Operação],"Provento",His_Operacoes_BDRs[fimmês],Patrimônio!B558)</f>
        <v>0</v>
      </c>
      <c r="M558" s="8">
        <f>SUMIFS(His_Operacoes_FIIs[Total],His_Operacoes_FIIs[Operação],"Provento",His_Operacoes_FIIs[fimmês],Patrimônio!B558)</f>
        <v>0</v>
      </c>
      <c r="N558" s="8">
        <f t="shared" si="38"/>
        <v>0</v>
      </c>
    </row>
    <row r="559" spans="1:14" x14ac:dyDescent="0.35">
      <c r="A559" s="7">
        <v>59323</v>
      </c>
      <c r="B559" s="7">
        <f t="shared" si="35"/>
        <v>59322</v>
      </c>
      <c r="I559" s="8">
        <f t="shared" si="36"/>
        <v>0</v>
      </c>
      <c r="J559" s="8">
        <f t="shared" si="37"/>
        <v>0</v>
      </c>
      <c r="K559" s="8">
        <f>SUMIFS(His_Operacoes_acoes[Total],His_Operacoes_acoes[Fimmes],Patrimônio!B559,His_Operacoes_acoes[Operação],"JCP")
+ SUMIFS(His_Operacoes_acoes[Total],His_Operacoes_acoes[Fimmes],Patrimônio!B559,His_Operacoes_acoes[Operação],"Divid.")
+ SUMIFS(His_Operacoes_acoes[Total],His_Operacoes_acoes[Fimmes],Patrimônio!B559,His_Operacoes_acoes[Operação],"Bonif.")</f>
        <v>0</v>
      </c>
      <c r="L559" s="8">
        <f>SUMIFS(His_Operacoes_BDRs[Total],His_Operacoes_BDRs[Operação],"Provento",His_Operacoes_BDRs[fimmês],Patrimônio!B559)</f>
        <v>0</v>
      </c>
      <c r="M559" s="8">
        <f>SUMIFS(His_Operacoes_FIIs[Total],His_Operacoes_FIIs[Operação],"Provento",His_Operacoes_FIIs[fimmês],Patrimônio!B559)</f>
        <v>0</v>
      </c>
      <c r="N559" s="8">
        <f t="shared" si="38"/>
        <v>0</v>
      </c>
    </row>
    <row r="560" spans="1:14" x14ac:dyDescent="0.35">
      <c r="A560" s="7">
        <v>59353</v>
      </c>
      <c r="B560" s="7">
        <f t="shared" si="35"/>
        <v>59352</v>
      </c>
      <c r="I560" s="8">
        <f t="shared" si="36"/>
        <v>0</v>
      </c>
      <c r="J560" s="8">
        <f t="shared" si="37"/>
        <v>0</v>
      </c>
      <c r="K560" s="8">
        <f>SUMIFS(His_Operacoes_acoes[Total],His_Operacoes_acoes[Fimmes],Patrimônio!B560,His_Operacoes_acoes[Operação],"JCP")
+ SUMIFS(His_Operacoes_acoes[Total],His_Operacoes_acoes[Fimmes],Patrimônio!B560,His_Operacoes_acoes[Operação],"Divid.")
+ SUMIFS(His_Operacoes_acoes[Total],His_Operacoes_acoes[Fimmes],Patrimônio!B560,His_Operacoes_acoes[Operação],"Bonif.")</f>
        <v>0</v>
      </c>
      <c r="L560" s="8">
        <f>SUMIFS(His_Operacoes_BDRs[Total],His_Operacoes_BDRs[Operação],"Provento",His_Operacoes_BDRs[fimmês],Patrimônio!B560)</f>
        <v>0</v>
      </c>
      <c r="M560" s="8">
        <f>SUMIFS(His_Operacoes_FIIs[Total],His_Operacoes_FIIs[Operação],"Provento",His_Operacoes_FIIs[fimmês],Patrimônio!B560)</f>
        <v>0</v>
      </c>
      <c r="N560" s="8">
        <f t="shared" si="38"/>
        <v>0</v>
      </c>
    </row>
    <row r="561" spans="1:14" x14ac:dyDescent="0.35">
      <c r="A561" s="7">
        <v>59384</v>
      </c>
      <c r="B561" s="7">
        <f t="shared" si="35"/>
        <v>59383</v>
      </c>
      <c r="I561" s="8">
        <f t="shared" si="36"/>
        <v>0</v>
      </c>
      <c r="J561" s="8">
        <f t="shared" si="37"/>
        <v>0</v>
      </c>
      <c r="K561" s="8">
        <f>SUMIFS(His_Operacoes_acoes[Total],His_Operacoes_acoes[Fimmes],Patrimônio!B561,His_Operacoes_acoes[Operação],"JCP")
+ SUMIFS(His_Operacoes_acoes[Total],His_Operacoes_acoes[Fimmes],Patrimônio!B561,His_Operacoes_acoes[Operação],"Divid.")
+ SUMIFS(His_Operacoes_acoes[Total],His_Operacoes_acoes[Fimmes],Patrimônio!B561,His_Operacoes_acoes[Operação],"Bonif.")</f>
        <v>0</v>
      </c>
      <c r="L561" s="8">
        <f>SUMIFS(His_Operacoes_BDRs[Total],His_Operacoes_BDRs[Operação],"Provento",His_Operacoes_BDRs[fimmês],Patrimônio!B561)</f>
        <v>0</v>
      </c>
      <c r="M561" s="8">
        <f>SUMIFS(His_Operacoes_FIIs[Total],His_Operacoes_FIIs[Operação],"Provento",His_Operacoes_FIIs[fimmês],Patrimônio!B561)</f>
        <v>0</v>
      </c>
      <c r="N561" s="8">
        <f t="shared" si="38"/>
        <v>0</v>
      </c>
    </row>
    <row r="562" spans="1:14" x14ac:dyDescent="0.35">
      <c r="A562" s="7">
        <v>59415</v>
      </c>
      <c r="B562" s="7">
        <f t="shared" si="35"/>
        <v>59414</v>
      </c>
      <c r="I562" s="8">
        <f t="shared" si="36"/>
        <v>0</v>
      </c>
      <c r="J562" s="8">
        <f t="shared" si="37"/>
        <v>0</v>
      </c>
      <c r="K562" s="8">
        <f>SUMIFS(His_Operacoes_acoes[Total],His_Operacoes_acoes[Fimmes],Patrimônio!B562,His_Operacoes_acoes[Operação],"JCP")
+ SUMIFS(His_Operacoes_acoes[Total],His_Operacoes_acoes[Fimmes],Patrimônio!B562,His_Operacoes_acoes[Operação],"Divid.")
+ SUMIFS(His_Operacoes_acoes[Total],His_Operacoes_acoes[Fimmes],Patrimônio!B562,His_Operacoes_acoes[Operação],"Bonif.")</f>
        <v>0</v>
      </c>
      <c r="L562" s="8">
        <f>SUMIFS(His_Operacoes_BDRs[Total],His_Operacoes_BDRs[Operação],"Provento",His_Operacoes_BDRs[fimmês],Patrimônio!B562)</f>
        <v>0</v>
      </c>
      <c r="M562" s="8">
        <f>SUMIFS(His_Operacoes_FIIs[Total],His_Operacoes_FIIs[Operação],"Provento",His_Operacoes_FIIs[fimmês],Patrimônio!B562)</f>
        <v>0</v>
      </c>
      <c r="N562" s="8">
        <f t="shared" si="38"/>
        <v>0</v>
      </c>
    </row>
    <row r="563" spans="1:14" x14ac:dyDescent="0.35">
      <c r="A563" s="7">
        <v>59445</v>
      </c>
      <c r="B563" s="7">
        <f t="shared" si="35"/>
        <v>59444</v>
      </c>
      <c r="I563" s="8">
        <f t="shared" si="36"/>
        <v>0</v>
      </c>
      <c r="J563" s="8">
        <f t="shared" si="37"/>
        <v>0</v>
      </c>
      <c r="K563" s="8">
        <f>SUMIFS(His_Operacoes_acoes[Total],His_Operacoes_acoes[Fimmes],Patrimônio!B563,His_Operacoes_acoes[Operação],"JCP")
+ SUMIFS(His_Operacoes_acoes[Total],His_Operacoes_acoes[Fimmes],Patrimônio!B563,His_Operacoes_acoes[Operação],"Divid.")
+ SUMIFS(His_Operacoes_acoes[Total],His_Operacoes_acoes[Fimmes],Patrimônio!B563,His_Operacoes_acoes[Operação],"Bonif.")</f>
        <v>0</v>
      </c>
      <c r="L563" s="8">
        <f>SUMIFS(His_Operacoes_BDRs[Total],His_Operacoes_BDRs[Operação],"Provento",His_Operacoes_BDRs[fimmês],Patrimônio!B563)</f>
        <v>0</v>
      </c>
      <c r="M563" s="8">
        <f>SUMIFS(His_Operacoes_FIIs[Total],His_Operacoes_FIIs[Operação],"Provento",His_Operacoes_FIIs[fimmês],Patrimônio!B563)</f>
        <v>0</v>
      </c>
      <c r="N563" s="8">
        <f t="shared" si="38"/>
        <v>0</v>
      </c>
    </row>
    <row r="564" spans="1:14" x14ac:dyDescent="0.35">
      <c r="A564" s="7">
        <v>59476</v>
      </c>
      <c r="B564" s="7">
        <f t="shared" si="35"/>
        <v>59475</v>
      </c>
      <c r="I564" s="8">
        <f t="shared" si="36"/>
        <v>0</v>
      </c>
      <c r="J564" s="8">
        <f t="shared" si="37"/>
        <v>0</v>
      </c>
      <c r="K564" s="8">
        <f>SUMIFS(His_Operacoes_acoes[Total],His_Operacoes_acoes[Fimmes],Patrimônio!B564,His_Operacoes_acoes[Operação],"JCP")
+ SUMIFS(His_Operacoes_acoes[Total],His_Operacoes_acoes[Fimmes],Patrimônio!B564,His_Operacoes_acoes[Operação],"Divid.")
+ SUMIFS(His_Operacoes_acoes[Total],His_Operacoes_acoes[Fimmes],Patrimônio!B564,His_Operacoes_acoes[Operação],"Bonif.")</f>
        <v>0</v>
      </c>
      <c r="L564" s="8">
        <f>SUMIFS(His_Operacoes_BDRs[Total],His_Operacoes_BDRs[Operação],"Provento",His_Operacoes_BDRs[fimmês],Patrimônio!B564)</f>
        <v>0</v>
      </c>
      <c r="M564" s="8">
        <f>SUMIFS(His_Operacoes_FIIs[Total],His_Operacoes_FIIs[Operação],"Provento",His_Operacoes_FIIs[fimmês],Patrimônio!B564)</f>
        <v>0</v>
      </c>
      <c r="N564" s="8">
        <f t="shared" si="38"/>
        <v>0</v>
      </c>
    </row>
    <row r="565" spans="1:14" x14ac:dyDescent="0.35">
      <c r="A565" s="7">
        <v>59506</v>
      </c>
      <c r="B565" s="7">
        <f t="shared" si="35"/>
        <v>59505</v>
      </c>
      <c r="I565" s="8">
        <f t="shared" si="36"/>
        <v>0</v>
      </c>
      <c r="J565" s="8">
        <f t="shared" si="37"/>
        <v>0</v>
      </c>
      <c r="K565" s="8">
        <f>SUMIFS(His_Operacoes_acoes[Total],His_Operacoes_acoes[Fimmes],Patrimônio!B565,His_Operacoes_acoes[Operação],"JCP")
+ SUMIFS(His_Operacoes_acoes[Total],His_Operacoes_acoes[Fimmes],Patrimônio!B565,His_Operacoes_acoes[Operação],"Divid.")
+ SUMIFS(His_Operacoes_acoes[Total],His_Operacoes_acoes[Fimmes],Patrimônio!B565,His_Operacoes_acoes[Operação],"Bonif.")</f>
        <v>0</v>
      </c>
      <c r="L565" s="8">
        <f>SUMIFS(His_Operacoes_BDRs[Total],His_Operacoes_BDRs[Operação],"Provento",His_Operacoes_BDRs[fimmês],Patrimônio!B565)</f>
        <v>0</v>
      </c>
      <c r="M565" s="8">
        <f>SUMIFS(His_Operacoes_FIIs[Total],His_Operacoes_FIIs[Operação],"Provento",His_Operacoes_FIIs[fimmês],Patrimônio!B565)</f>
        <v>0</v>
      </c>
      <c r="N565" s="8">
        <f t="shared" si="38"/>
        <v>0</v>
      </c>
    </row>
    <row r="566" spans="1:14" x14ac:dyDescent="0.35">
      <c r="A566" s="7">
        <v>59537</v>
      </c>
      <c r="B566" s="7">
        <f t="shared" si="35"/>
        <v>59536</v>
      </c>
      <c r="I566" s="8">
        <f t="shared" si="36"/>
        <v>0</v>
      </c>
      <c r="J566" s="8">
        <f t="shared" si="37"/>
        <v>0</v>
      </c>
      <c r="K566" s="8">
        <f>SUMIFS(His_Operacoes_acoes[Total],His_Operacoes_acoes[Fimmes],Patrimônio!B566,His_Operacoes_acoes[Operação],"JCP")
+ SUMIFS(His_Operacoes_acoes[Total],His_Operacoes_acoes[Fimmes],Patrimônio!B566,His_Operacoes_acoes[Operação],"Divid.")
+ SUMIFS(His_Operacoes_acoes[Total],His_Operacoes_acoes[Fimmes],Patrimônio!B566,His_Operacoes_acoes[Operação],"Bonif.")</f>
        <v>0</v>
      </c>
      <c r="L566" s="8">
        <f>SUMIFS(His_Operacoes_BDRs[Total],His_Operacoes_BDRs[Operação],"Provento",His_Operacoes_BDRs[fimmês],Patrimônio!B566)</f>
        <v>0</v>
      </c>
      <c r="M566" s="8">
        <f>SUMIFS(His_Operacoes_FIIs[Total],His_Operacoes_FIIs[Operação],"Provento",His_Operacoes_FIIs[fimmês],Patrimônio!B566)</f>
        <v>0</v>
      </c>
      <c r="N566" s="8">
        <f t="shared" si="38"/>
        <v>0</v>
      </c>
    </row>
    <row r="567" spans="1:14" x14ac:dyDescent="0.35">
      <c r="A567" s="7">
        <v>59568</v>
      </c>
      <c r="B567" s="7">
        <f t="shared" si="35"/>
        <v>59567</v>
      </c>
      <c r="I567" s="8">
        <f t="shared" si="36"/>
        <v>0</v>
      </c>
      <c r="J567" s="8">
        <f t="shared" si="37"/>
        <v>0</v>
      </c>
      <c r="K567" s="8">
        <f>SUMIFS(His_Operacoes_acoes[Total],His_Operacoes_acoes[Fimmes],Patrimônio!B567,His_Operacoes_acoes[Operação],"JCP")
+ SUMIFS(His_Operacoes_acoes[Total],His_Operacoes_acoes[Fimmes],Patrimônio!B567,His_Operacoes_acoes[Operação],"Divid.")
+ SUMIFS(His_Operacoes_acoes[Total],His_Operacoes_acoes[Fimmes],Patrimônio!B567,His_Operacoes_acoes[Operação],"Bonif.")</f>
        <v>0</v>
      </c>
      <c r="L567" s="8">
        <f>SUMIFS(His_Operacoes_BDRs[Total],His_Operacoes_BDRs[Operação],"Provento",His_Operacoes_BDRs[fimmês],Patrimônio!B567)</f>
        <v>0</v>
      </c>
      <c r="M567" s="8">
        <f>SUMIFS(His_Operacoes_FIIs[Total],His_Operacoes_FIIs[Operação],"Provento",His_Operacoes_FIIs[fimmês],Patrimônio!B567)</f>
        <v>0</v>
      </c>
      <c r="N567" s="8">
        <f t="shared" si="38"/>
        <v>0</v>
      </c>
    </row>
    <row r="568" spans="1:14" x14ac:dyDescent="0.35">
      <c r="A568" s="7">
        <v>59596</v>
      </c>
      <c r="B568" s="7">
        <f t="shared" si="35"/>
        <v>59595</v>
      </c>
      <c r="I568" s="8">
        <f t="shared" si="36"/>
        <v>0</v>
      </c>
      <c r="J568" s="8">
        <f t="shared" si="37"/>
        <v>0</v>
      </c>
      <c r="K568" s="8">
        <f>SUMIFS(His_Operacoes_acoes[Total],His_Operacoes_acoes[Fimmes],Patrimônio!B568,His_Operacoes_acoes[Operação],"JCP")
+ SUMIFS(His_Operacoes_acoes[Total],His_Operacoes_acoes[Fimmes],Patrimônio!B568,His_Operacoes_acoes[Operação],"Divid.")
+ SUMIFS(His_Operacoes_acoes[Total],His_Operacoes_acoes[Fimmes],Patrimônio!B568,His_Operacoes_acoes[Operação],"Bonif.")</f>
        <v>0</v>
      </c>
      <c r="L568" s="8">
        <f>SUMIFS(His_Operacoes_BDRs[Total],His_Operacoes_BDRs[Operação],"Provento",His_Operacoes_BDRs[fimmês],Patrimônio!B568)</f>
        <v>0</v>
      </c>
      <c r="M568" s="8">
        <f>SUMIFS(His_Operacoes_FIIs[Total],His_Operacoes_FIIs[Operação],"Provento",His_Operacoes_FIIs[fimmês],Patrimônio!B568)</f>
        <v>0</v>
      </c>
      <c r="N568" s="8">
        <f t="shared" si="38"/>
        <v>0</v>
      </c>
    </row>
    <row r="569" spans="1:14" x14ac:dyDescent="0.35">
      <c r="A569" s="7">
        <v>59627</v>
      </c>
      <c r="B569" s="7">
        <f t="shared" si="35"/>
        <v>59626</v>
      </c>
      <c r="I569" s="8">
        <f t="shared" si="36"/>
        <v>0</v>
      </c>
      <c r="J569" s="8">
        <f t="shared" si="37"/>
        <v>0</v>
      </c>
      <c r="K569" s="8">
        <f>SUMIFS(His_Operacoes_acoes[Total],His_Operacoes_acoes[Fimmes],Patrimônio!B569,His_Operacoes_acoes[Operação],"JCP")
+ SUMIFS(His_Operacoes_acoes[Total],His_Operacoes_acoes[Fimmes],Patrimônio!B569,His_Operacoes_acoes[Operação],"Divid.")
+ SUMIFS(His_Operacoes_acoes[Total],His_Operacoes_acoes[Fimmes],Patrimônio!B569,His_Operacoes_acoes[Operação],"Bonif.")</f>
        <v>0</v>
      </c>
      <c r="L569" s="8">
        <f>SUMIFS(His_Operacoes_BDRs[Total],His_Operacoes_BDRs[Operação],"Provento",His_Operacoes_BDRs[fimmês],Patrimônio!B569)</f>
        <v>0</v>
      </c>
      <c r="M569" s="8">
        <f>SUMIFS(His_Operacoes_FIIs[Total],His_Operacoes_FIIs[Operação],"Provento",His_Operacoes_FIIs[fimmês],Patrimônio!B569)</f>
        <v>0</v>
      </c>
      <c r="N569" s="8">
        <f t="shared" si="38"/>
        <v>0</v>
      </c>
    </row>
    <row r="570" spans="1:14" x14ac:dyDescent="0.35">
      <c r="A570" s="7">
        <v>59657</v>
      </c>
      <c r="B570" s="7">
        <f t="shared" si="35"/>
        <v>59656</v>
      </c>
      <c r="I570" s="8">
        <f t="shared" si="36"/>
        <v>0</v>
      </c>
      <c r="J570" s="8">
        <f t="shared" si="37"/>
        <v>0</v>
      </c>
      <c r="K570" s="8">
        <f>SUMIFS(His_Operacoes_acoes[Total],His_Operacoes_acoes[Fimmes],Patrimônio!B570,His_Operacoes_acoes[Operação],"JCP")
+ SUMIFS(His_Operacoes_acoes[Total],His_Operacoes_acoes[Fimmes],Patrimônio!B570,His_Operacoes_acoes[Operação],"Divid.")
+ SUMIFS(His_Operacoes_acoes[Total],His_Operacoes_acoes[Fimmes],Patrimônio!B570,His_Operacoes_acoes[Operação],"Bonif.")</f>
        <v>0</v>
      </c>
      <c r="L570" s="8">
        <f>SUMIFS(His_Operacoes_BDRs[Total],His_Operacoes_BDRs[Operação],"Provento",His_Operacoes_BDRs[fimmês],Patrimônio!B570)</f>
        <v>0</v>
      </c>
      <c r="M570" s="8">
        <f>SUMIFS(His_Operacoes_FIIs[Total],His_Operacoes_FIIs[Operação],"Provento",His_Operacoes_FIIs[fimmês],Patrimônio!B570)</f>
        <v>0</v>
      </c>
      <c r="N570" s="8">
        <f t="shared" si="38"/>
        <v>0</v>
      </c>
    </row>
    <row r="571" spans="1:14" x14ac:dyDescent="0.35">
      <c r="A571" s="7">
        <v>59688</v>
      </c>
      <c r="B571" s="7">
        <f t="shared" si="35"/>
        <v>59687</v>
      </c>
      <c r="I571" s="8">
        <f t="shared" si="36"/>
        <v>0</v>
      </c>
      <c r="J571" s="8">
        <f t="shared" si="37"/>
        <v>0</v>
      </c>
      <c r="K571" s="8">
        <f>SUMIFS(His_Operacoes_acoes[Total],His_Operacoes_acoes[Fimmes],Patrimônio!B571,His_Operacoes_acoes[Operação],"JCP")
+ SUMIFS(His_Operacoes_acoes[Total],His_Operacoes_acoes[Fimmes],Patrimônio!B571,His_Operacoes_acoes[Operação],"Divid.")
+ SUMIFS(His_Operacoes_acoes[Total],His_Operacoes_acoes[Fimmes],Patrimônio!B571,His_Operacoes_acoes[Operação],"Bonif.")</f>
        <v>0</v>
      </c>
      <c r="L571" s="8">
        <f>SUMIFS(His_Operacoes_BDRs[Total],His_Operacoes_BDRs[Operação],"Provento",His_Operacoes_BDRs[fimmês],Patrimônio!B571)</f>
        <v>0</v>
      </c>
      <c r="M571" s="8">
        <f>SUMIFS(His_Operacoes_FIIs[Total],His_Operacoes_FIIs[Operação],"Provento",His_Operacoes_FIIs[fimmês],Patrimônio!B571)</f>
        <v>0</v>
      </c>
      <c r="N571" s="8">
        <f t="shared" si="38"/>
        <v>0</v>
      </c>
    </row>
    <row r="572" spans="1:14" x14ac:dyDescent="0.35">
      <c r="A572" s="7">
        <v>59718</v>
      </c>
      <c r="B572" s="7">
        <f t="shared" si="35"/>
        <v>59717</v>
      </c>
      <c r="I572" s="8">
        <f t="shared" si="36"/>
        <v>0</v>
      </c>
      <c r="J572" s="8">
        <f t="shared" si="37"/>
        <v>0</v>
      </c>
      <c r="K572" s="8">
        <f>SUMIFS(His_Operacoes_acoes[Total],His_Operacoes_acoes[Fimmes],Patrimônio!B572,His_Operacoes_acoes[Operação],"JCP")
+ SUMIFS(His_Operacoes_acoes[Total],His_Operacoes_acoes[Fimmes],Patrimônio!B572,His_Operacoes_acoes[Operação],"Divid.")
+ SUMIFS(His_Operacoes_acoes[Total],His_Operacoes_acoes[Fimmes],Patrimônio!B572,His_Operacoes_acoes[Operação],"Bonif.")</f>
        <v>0</v>
      </c>
      <c r="L572" s="8">
        <f>SUMIFS(His_Operacoes_BDRs[Total],His_Operacoes_BDRs[Operação],"Provento",His_Operacoes_BDRs[fimmês],Patrimônio!B572)</f>
        <v>0</v>
      </c>
      <c r="M572" s="8">
        <f>SUMIFS(His_Operacoes_FIIs[Total],His_Operacoes_FIIs[Operação],"Provento",His_Operacoes_FIIs[fimmês],Patrimônio!B572)</f>
        <v>0</v>
      </c>
      <c r="N572" s="8">
        <f t="shared" si="38"/>
        <v>0</v>
      </c>
    </row>
    <row r="573" spans="1:14" x14ac:dyDescent="0.35">
      <c r="A573" s="7">
        <v>59749</v>
      </c>
      <c r="B573" s="7">
        <f t="shared" si="35"/>
        <v>59748</v>
      </c>
      <c r="I573" s="8">
        <f t="shared" si="36"/>
        <v>0</v>
      </c>
      <c r="J573" s="8">
        <f t="shared" si="37"/>
        <v>0</v>
      </c>
      <c r="K573" s="8">
        <f>SUMIFS(His_Operacoes_acoes[Total],His_Operacoes_acoes[Fimmes],Patrimônio!B573,His_Operacoes_acoes[Operação],"JCP")
+ SUMIFS(His_Operacoes_acoes[Total],His_Operacoes_acoes[Fimmes],Patrimônio!B573,His_Operacoes_acoes[Operação],"Divid.")
+ SUMIFS(His_Operacoes_acoes[Total],His_Operacoes_acoes[Fimmes],Patrimônio!B573,His_Operacoes_acoes[Operação],"Bonif.")</f>
        <v>0</v>
      </c>
      <c r="L573" s="8">
        <f>SUMIFS(His_Operacoes_BDRs[Total],His_Operacoes_BDRs[Operação],"Provento",His_Operacoes_BDRs[fimmês],Patrimônio!B573)</f>
        <v>0</v>
      </c>
      <c r="M573" s="8">
        <f>SUMIFS(His_Operacoes_FIIs[Total],His_Operacoes_FIIs[Operação],"Provento",His_Operacoes_FIIs[fimmês],Patrimônio!B573)</f>
        <v>0</v>
      </c>
      <c r="N573" s="8">
        <f t="shared" si="38"/>
        <v>0</v>
      </c>
    </row>
    <row r="574" spans="1:14" x14ac:dyDescent="0.35">
      <c r="A574" s="7">
        <v>59780</v>
      </c>
      <c r="B574" s="7">
        <f t="shared" si="35"/>
        <v>59779</v>
      </c>
      <c r="I574" s="8">
        <f t="shared" si="36"/>
        <v>0</v>
      </c>
      <c r="J574" s="8">
        <f t="shared" si="37"/>
        <v>0</v>
      </c>
      <c r="K574" s="8">
        <f>SUMIFS(His_Operacoes_acoes[Total],His_Operacoes_acoes[Fimmes],Patrimônio!B574,His_Operacoes_acoes[Operação],"JCP")
+ SUMIFS(His_Operacoes_acoes[Total],His_Operacoes_acoes[Fimmes],Patrimônio!B574,His_Operacoes_acoes[Operação],"Divid.")
+ SUMIFS(His_Operacoes_acoes[Total],His_Operacoes_acoes[Fimmes],Patrimônio!B574,His_Operacoes_acoes[Operação],"Bonif.")</f>
        <v>0</v>
      </c>
      <c r="L574" s="8">
        <f>SUMIFS(His_Operacoes_BDRs[Total],His_Operacoes_BDRs[Operação],"Provento",His_Operacoes_BDRs[fimmês],Patrimônio!B574)</f>
        <v>0</v>
      </c>
      <c r="M574" s="8">
        <f>SUMIFS(His_Operacoes_FIIs[Total],His_Operacoes_FIIs[Operação],"Provento",His_Operacoes_FIIs[fimmês],Patrimônio!B574)</f>
        <v>0</v>
      </c>
      <c r="N574" s="8">
        <f t="shared" si="38"/>
        <v>0</v>
      </c>
    </row>
    <row r="575" spans="1:14" x14ac:dyDescent="0.35">
      <c r="A575" s="7">
        <v>59810</v>
      </c>
      <c r="B575" s="7">
        <f t="shared" si="35"/>
        <v>59809</v>
      </c>
      <c r="I575" s="8">
        <f t="shared" si="36"/>
        <v>0</v>
      </c>
      <c r="J575" s="8">
        <f t="shared" si="37"/>
        <v>0</v>
      </c>
      <c r="K575" s="8">
        <f>SUMIFS(His_Operacoes_acoes[Total],His_Operacoes_acoes[Fimmes],Patrimônio!B575,His_Operacoes_acoes[Operação],"JCP")
+ SUMIFS(His_Operacoes_acoes[Total],His_Operacoes_acoes[Fimmes],Patrimônio!B575,His_Operacoes_acoes[Operação],"Divid.")
+ SUMIFS(His_Operacoes_acoes[Total],His_Operacoes_acoes[Fimmes],Patrimônio!B575,His_Operacoes_acoes[Operação],"Bonif.")</f>
        <v>0</v>
      </c>
      <c r="L575" s="8">
        <f>SUMIFS(His_Operacoes_BDRs[Total],His_Operacoes_BDRs[Operação],"Provento",His_Operacoes_BDRs[fimmês],Patrimônio!B575)</f>
        <v>0</v>
      </c>
      <c r="M575" s="8">
        <f>SUMIFS(His_Operacoes_FIIs[Total],His_Operacoes_FIIs[Operação],"Provento",His_Operacoes_FIIs[fimmês],Patrimônio!B575)</f>
        <v>0</v>
      </c>
      <c r="N575" s="8">
        <f t="shared" si="38"/>
        <v>0</v>
      </c>
    </row>
    <row r="576" spans="1:14" x14ac:dyDescent="0.35">
      <c r="A576" s="7">
        <v>59841</v>
      </c>
      <c r="B576" s="7">
        <f t="shared" si="35"/>
        <v>59840</v>
      </c>
      <c r="I576" s="8">
        <f t="shared" si="36"/>
        <v>0</v>
      </c>
      <c r="J576" s="8">
        <f t="shared" si="37"/>
        <v>0</v>
      </c>
      <c r="K576" s="8">
        <f>SUMIFS(His_Operacoes_acoes[Total],His_Operacoes_acoes[Fimmes],Patrimônio!B576,His_Operacoes_acoes[Operação],"JCP")
+ SUMIFS(His_Operacoes_acoes[Total],His_Operacoes_acoes[Fimmes],Patrimônio!B576,His_Operacoes_acoes[Operação],"Divid.")
+ SUMIFS(His_Operacoes_acoes[Total],His_Operacoes_acoes[Fimmes],Patrimônio!B576,His_Operacoes_acoes[Operação],"Bonif.")</f>
        <v>0</v>
      </c>
      <c r="L576" s="8">
        <f>SUMIFS(His_Operacoes_BDRs[Total],His_Operacoes_BDRs[Operação],"Provento",His_Operacoes_BDRs[fimmês],Patrimônio!B576)</f>
        <v>0</v>
      </c>
      <c r="M576" s="8">
        <f>SUMIFS(His_Operacoes_FIIs[Total],His_Operacoes_FIIs[Operação],"Provento",His_Operacoes_FIIs[fimmês],Patrimônio!B576)</f>
        <v>0</v>
      </c>
      <c r="N576" s="8">
        <f t="shared" si="38"/>
        <v>0</v>
      </c>
    </row>
    <row r="577" spans="1:14" x14ac:dyDescent="0.35">
      <c r="A577" s="7">
        <v>59871</v>
      </c>
      <c r="B577" s="7">
        <f t="shared" si="35"/>
        <v>59870</v>
      </c>
      <c r="I577" s="8">
        <f t="shared" si="36"/>
        <v>0</v>
      </c>
      <c r="J577" s="8">
        <f t="shared" si="37"/>
        <v>0</v>
      </c>
      <c r="K577" s="8">
        <f>SUMIFS(His_Operacoes_acoes[Total],His_Operacoes_acoes[Fimmes],Patrimônio!B577,His_Operacoes_acoes[Operação],"JCP")
+ SUMIFS(His_Operacoes_acoes[Total],His_Operacoes_acoes[Fimmes],Patrimônio!B577,His_Operacoes_acoes[Operação],"Divid.")
+ SUMIFS(His_Operacoes_acoes[Total],His_Operacoes_acoes[Fimmes],Patrimônio!B577,His_Operacoes_acoes[Operação],"Bonif.")</f>
        <v>0</v>
      </c>
      <c r="L577" s="8">
        <f>SUMIFS(His_Operacoes_BDRs[Total],His_Operacoes_BDRs[Operação],"Provento",His_Operacoes_BDRs[fimmês],Patrimônio!B577)</f>
        <v>0</v>
      </c>
      <c r="M577" s="8">
        <f>SUMIFS(His_Operacoes_FIIs[Total],His_Operacoes_FIIs[Operação],"Provento",His_Operacoes_FIIs[fimmês],Patrimônio!B577)</f>
        <v>0</v>
      </c>
      <c r="N577" s="8">
        <f t="shared" si="38"/>
        <v>0</v>
      </c>
    </row>
    <row r="578" spans="1:14" x14ac:dyDescent="0.35">
      <c r="A578" s="7">
        <v>59902</v>
      </c>
      <c r="B578" s="7">
        <f t="shared" si="35"/>
        <v>59901</v>
      </c>
      <c r="I578" s="8">
        <f t="shared" si="36"/>
        <v>0</v>
      </c>
      <c r="J578" s="8">
        <f t="shared" si="37"/>
        <v>0</v>
      </c>
      <c r="K578" s="8">
        <f>SUMIFS(His_Operacoes_acoes[Total],His_Operacoes_acoes[Fimmes],Patrimônio!B578,His_Operacoes_acoes[Operação],"JCP")
+ SUMIFS(His_Operacoes_acoes[Total],His_Operacoes_acoes[Fimmes],Patrimônio!B578,His_Operacoes_acoes[Operação],"Divid.")
+ SUMIFS(His_Operacoes_acoes[Total],His_Operacoes_acoes[Fimmes],Patrimônio!B578,His_Operacoes_acoes[Operação],"Bonif.")</f>
        <v>0</v>
      </c>
      <c r="L578" s="8">
        <f>SUMIFS(His_Operacoes_BDRs[Total],His_Operacoes_BDRs[Operação],"Provento",His_Operacoes_BDRs[fimmês],Patrimônio!B578)</f>
        <v>0</v>
      </c>
      <c r="M578" s="8">
        <f>SUMIFS(His_Operacoes_FIIs[Total],His_Operacoes_FIIs[Operação],"Provento",His_Operacoes_FIIs[fimmês],Patrimônio!B578)</f>
        <v>0</v>
      </c>
      <c r="N578" s="8">
        <f t="shared" si="38"/>
        <v>0</v>
      </c>
    </row>
    <row r="579" spans="1:14" x14ac:dyDescent="0.35">
      <c r="A579" s="7">
        <v>59933</v>
      </c>
      <c r="B579" s="7">
        <f t="shared" ref="B579:B642" si="39">EOMONTH(A579,-1)</f>
        <v>59932</v>
      </c>
      <c r="I579" s="8">
        <f t="shared" ref="I579:I642" si="40">SUM(C579,E579,G579)</f>
        <v>0</v>
      </c>
      <c r="J579" s="8">
        <f t="shared" ref="J579:J642" si="41">SUM(D579,F579,H579)</f>
        <v>0</v>
      </c>
      <c r="K579" s="8">
        <f>SUMIFS(His_Operacoes_acoes[Total],His_Operacoes_acoes[Fimmes],Patrimônio!B579,His_Operacoes_acoes[Operação],"JCP")
+ SUMIFS(His_Operacoes_acoes[Total],His_Operacoes_acoes[Fimmes],Patrimônio!B579,His_Operacoes_acoes[Operação],"Divid.")
+ SUMIFS(His_Operacoes_acoes[Total],His_Operacoes_acoes[Fimmes],Patrimônio!B579,His_Operacoes_acoes[Operação],"Bonif.")</f>
        <v>0</v>
      </c>
      <c r="L579" s="8">
        <f>SUMIFS(His_Operacoes_BDRs[Total],His_Operacoes_BDRs[Operação],"Provento",His_Operacoes_BDRs[fimmês],Patrimônio!B579)</f>
        <v>0</v>
      </c>
      <c r="M579" s="8">
        <f>SUMIFS(His_Operacoes_FIIs[Total],His_Operacoes_FIIs[Operação],"Provento",His_Operacoes_FIIs[fimmês],Patrimônio!B579)</f>
        <v>0</v>
      </c>
      <c r="N579" s="8">
        <f t="shared" ref="N579:N642" si="42">SUM(K579:M579)</f>
        <v>0</v>
      </c>
    </row>
    <row r="580" spans="1:14" x14ac:dyDescent="0.35">
      <c r="A580" s="7">
        <v>59962</v>
      </c>
      <c r="B580" s="7">
        <f t="shared" si="39"/>
        <v>59961</v>
      </c>
      <c r="I580" s="8">
        <f t="shared" si="40"/>
        <v>0</v>
      </c>
      <c r="J580" s="8">
        <f t="shared" si="41"/>
        <v>0</v>
      </c>
      <c r="K580" s="8">
        <f>SUMIFS(His_Operacoes_acoes[Total],His_Operacoes_acoes[Fimmes],Patrimônio!B580,His_Operacoes_acoes[Operação],"JCP")
+ SUMIFS(His_Operacoes_acoes[Total],His_Operacoes_acoes[Fimmes],Patrimônio!B580,His_Operacoes_acoes[Operação],"Divid.")
+ SUMIFS(His_Operacoes_acoes[Total],His_Operacoes_acoes[Fimmes],Patrimônio!B580,His_Operacoes_acoes[Operação],"Bonif.")</f>
        <v>0</v>
      </c>
      <c r="L580" s="8">
        <f>SUMIFS(His_Operacoes_BDRs[Total],His_Operacoes_BDRs[Operação],"Provento",His_Operacoes_BDRs[fimmês],Patrimônio!B580)</f>
        <v>0</v>
      </c>
      <c r="M580" s="8">
        <f>SUMIFS(His_Operacoes_FIIs[Total],His_Operacoes_FIIs[Operação],"Provento",His_Operacoes_FIIs[fimmês],Patrimônio!B580)</f>
        <v>0</v>
      </c>
      <c r="N580" s="8">
        <f t="shared" si="42"/>
        <v>0</v>
      </c>
    </row>
    <row r="581" spans="1:14" x14ac:dyDescent="0.35">
      <c r="A581" s="7">
        <v>59993</v>
      </c>
      <c r="B581" s="7">
        <f t="shared" si="39"/>
        <v>59992</v>
      </c>
      <c r="I581" s="8">
        <f t="shared" si="40"/>
        <v>0</v>
      </c>
      <c r="J581" s="8">
        <f t="shared" si="41"/>
        <v>0</v>
      </c>
      <c r="K581" s="8">
        <f>SUMIFS(His_Operacoes_acoes[Total],His_Operacoes_acoes[Fimmes],Patrimônio!B581,His_Operacoes_acoes[Operação],"JCP")
+ SUMIFS(His_Operacoes_acoes[Total],His_Operacoes_acoes[Fimmes],Patrimônio!B581,His_Operacoes_acoes[Operação],"Divid.")
+ SUMIFS(His_Operacoes_acoes[Total],His_Operacoes_acoes[Fimmes],Patrimônio!B581,His_Operacoes_acoes[Operação],"Bonif.")</f>
        <v>0</v>
      </c>
      <c r="L581" s="8">
        <f>SUMIFS(His_Operacoes_BDRs[Total],His_Operacoes_BDRs[Operação],"Provento",His_Operacoes_BDRs[fimmês],Patrimônio!B581)</f>
        <v>0</v>
      </c>
      <c r="M581" s="8">
        <f>SUMIFS(His_Operacoes_FIIs[Total],His_Operacoes_FIIs[Operação],"Provento",His_Operacoes_FIIs[fimmês],Patrimônio!B581)</f>
        <v>0</v>
      </c>
      <c r="N581" s="8">
        <f t="shared" si="42"/>
        <v>0</v>
      </c>
    </row>
    <row r="582" spans="1:14" x14ac:dyDescent="0.35">
      <c r="A582" s="7">
        <v>60023</v>
      </c>
      <c r="B582" s="7">
        <f t="shared" si="39"/>
        <v>60022</v>
      </c>
      <c r="I582" s="8">
        <f t="shared" si="40"/>
        <v>0</v>
      </c>
      <c r="J582" s="8">
        <f t="shared" si="41"/>
        <v>0</v>
      </c>
      <c r="K582" s="8">
        <f>SUMIFS(His_Operacoes_acoes[Total],His_Operacoes_acoes[Fimmes],Patrimônio!B582,His_Operacoes_acoes[Operação],"JCP")
+ SUMIFS(His_Operacoes_acoes[Total],His_Operacoes_acoes[Fimmes],Patrimônio!B582,His_Operacoes_acoes[Operação],"Divid.")
+ SUMIFS(His_Operacoes_acoes[Total],His_Operacoes_acoes[Fimmes],Patrimônio!B582,His_Operacoes_acoes[Operação],"Bonif.")</f>
        <v>0</v>
      </c>
      <c r="L582" s="8">
        <f>SUMIFS(His_Operacoes_BDRs[Total],His_Operacoes_BDRs[Operação],"Provento",His_Operacoes_BDRs[fimmês],Patrimônio!B582)</f>
        <v>0</v>
      </c>
      <c r="M582" s="8">
        <f>SUMIFS(His_Operacoes_FIIs[Total],His_Operacoes_FIIs[Operação],"Provento",His_Operacoes_FIIs[fimmês],Patrimônio!B582)</f>
        <v>0</v>
      </c>
      <c r="N582" s="8">
        <f t="shared" si="42"/>
        <v>0</v>
      </c>
    </row>
    <row r="583" spans="1:14" x14ac:dyDescent="0.35">
      <c r="A583" s="7">
        <v>60054</v>
      </c>
      <c r="B583" s="7">
        <f t="shared" si="39"/>
        <v>60053</v>
      </c>
      <c r="I583" s="8">
        <f t="shared" si="40"/>
        <v>0</v>
      </c>
      <c r="J583" s="8">
        <f t="shared" si="41"/>
        <v>0</v>
      </c>
      <c r="K583" s="8">
        <f>SUMIFS(His_Operacoes_acoes[Total],His_Operacoes_acoes[Fimmes],Patrimônio!B583,His_Operacoes_acoes[Operação],"JCP")
+ SUMIFS(His_Operacoes_acoes[Total],His_Operacoes_acoes[Fimmes],Patrimônio!B583,His_Operacoes_acoes[Operação],"Divid.")
+ SUMIFS(His_Operacoes_acoes[Total],His_Operacoes_acoes[Fimmes],Patrimônio!B583,His_Operacoes_acoes[Operação],"Bonif.")</f>
        <v>0</v>
      </c>
      <c r="L583" s="8">
        <f>SUMIFS(His_Operacoes_BDRs[Total],His_Operacoes_BDRs[Operação],"Provento",His_Operacoes_BDRs[fimmês],Patrimônio!B583)</f>
        <v>0</v>
      </c>
      <c r="M583" s="8">
        <f>SUMIFS(His_Operacoes_FIIs[Total],His_Operacoes_FIIs[Operação],"Provento",His_Operacoes_FIIs[fimmês],Patrimônio!B583)</f>
        <v>0</v>
      </c>
      <c r="N583" s="8">
        <f t="shared" si="42"/>
        <v>0</v>
      </c>
    </row>
    <row r="584" spans="1:14" x14ac:dyDescent="0.35">
      <c r="A584" s="7">
        <v>60084</v>
      </c>
      <c r="B584" s="7">
        <f t="shared" si="39"/>
        <v>60083</v>
      </c>
      <c r="I584" s="8">
        <f t="shared" si="40"/>
        <v>0</v>
      </c>
      <c r="J584" s="8">
        <f t="shared" si="41"/>
        <v>0</v>
      </c>
      <c r="K584" s="8">
        <f>SUMIFS(His_Operacoes_acoes[Total],His_Operacoes_acoes[Fimmes],Patrimônio!B584,His_Operacoes_acoes[Operação],"JCP")
+ SUMIFS(His_Operacoes_acoes[Total],His_Operacoes_acoes[Fimmes],Patrimônio!B584,His_Operacoes_acoes[Operação],"Divid.")
+ SUMIFS(His_Operacoes_acoes[Total],His_Operacoes_acoes[Fimmes],Patrimônio!B584,His_Operacoes_acoes[Operação],"Bonif.")</f>
        <v>0</v>
      </c>
      <c r="L584" s="8">
        <f>SUMIFS(His_Operacoes_BDRs[Total],His_Operacoes_BDRs[Operação],"Provento",His_Operacoes_BDRs[fimmês],Patrimônio!B584)</f>
        <v>0</v>
      </c>
      <c r="M584" s="8">
        <f>SUMIFS(His_Operacoes_FIIs[Total],His_Operacoes_FIIs[Operação],"Provento",His_Operacoes_FIIs[fimmês],Patrimônio!B584)</f>
        <v>0</v>
      </c>
      <c r="N584" s="8">
        <f t="shared" si="42"/>
        <v>0</v>
      </c>
    </row>
    <row r="585" spans="1:14" x14ac:dyDescent="0.35">
      <c r="A585" s="7">
        <v>60115</v>
      </c>
      <c r="B585" s="7">
        <f t="shared" si="39"/>
        <v>60114</v>
      </c>
      <c r="I585" s="8">
        <f t="shared" si="40"/>
        <v>0</v>
      </c>
      <c r="J585" s="8">
        <f t="shared" si="41"/>
        <v>0</v>
      </c>
      <c r="K585" s="8">
        <f>SUMIFS(His_Operacoes_acoes[Total],His_Operacoes_acoes[Fimmes],Patrimônio!B585,His_Operacoes_acoes[Operação],"JCP")
+ SUMIFS(His_Operacoes_acoes[Total],His_Operacoes_acoes[Fimmes],Patrimônio!B585,His_Operacoes_acoes[Operação],"Divid.")
+ SUMIFS(His_Operacoes_acoes[Total],His_Operacoes_acoes[Fimmes],Patrimônio!B585,His_Operacoes_acoes[Operação],"Bonif.")</f>
        <v>0</v>
      </c>
      <c r="L585" s="8">
        <f>SUMIFS(His_Operacoes_BDRs[Total],His_Operacoes_BDRs[Operação],"Provento",His_Operacoes_BDRs[fimmês],Patrimônio!B585)</f>
        <v>0</v>
      </c>
      <c r="M585" s="8">
        <f>SUMIFS(His_Operacoes_FIIs[Total],His_Operacoes_FIIs[Operação],"Provento",His_Operacoes_FIIs[fimmês],Patrimônio!B585)</f>
        <v>0</v>
      </c>
      <c r="N585" s="8">
        <f t="shared" si="42"/>
        <v>0</v>
      </c>
    </row>
    <row r="586" spans="1:14" x14ac:dyDescent="0.35">
      <c r="A586" s="7">
        <v>60146</v>
      </c>
      <c r="B586" s="7">
        <f t="shared" si="39"/>
        <v>60145</v>
      </c>
      <c r="I586" s="8">
        <f t="shared" si="40"/>
        <v>0</v>
      </c>
      <c r="J586" s="8">
        <f t="shared" si="41"/>
        <v>0</v>
      </c>
      <c r="K586" s="8">
        <f>SUMIFS(His_Operacoes_acoes[Total],His_Operacoes_acoes[Fimmes],Patrimônio!B586,His_Operacoes_acoes[Operação],"JCP")
+ SUMIFS(His_Operacoes_acoes[Total],His_Operacoes_acoes[Fimmes],Patrimônio!B586,His_Operacoes_acoes[Operação],"Divid.")
+ SUMIFS(His_Operacoes_acoes[Total],His_Operacoes_acoes[Fimmes],Patrimônio!B586,His_Operacoes_acoes[Operação],"Bonif.")</f>
        <v>0</v>
      </c>
      <c r="L586" s="8">
        <f>SUMIFS(His_Operacoes_BDRs[Total],His_Operacoes_BDRs[Operação],"Provento",His_Operacoes_BDRs[fimmês],Patrimônio!B586)</f>
        <v>0</v>
      </c>
      <c r="M586" s="8">
        <f>SUMIFS(His_Operacoes_FIIs[Total],His_Operacoes_FIIs[Operação],"Provento",His_Operacoes_FIIs[fimmês],Patrimônio!B586)</f>
        <v>0</v>
      </c>
      <c r="N586" s="8">
        <f t="shared" si="42"/>
        <v>0</v>
      </c>
    </row>
    <row r="587" spans="1:14" x14ac:dyDescent="0.35">
      <c r="A587" s="7">
        <v>60176</v>
      </c>
      <c r="B587" s="7">
        <f t="shared" si="39"/>
        <v>60175</v>
      </c>
      <c r="I587" s="8">
        <f t="shared" si="40"/>
        <v>0</v>
      </c>
      <c r="J587" s="8">
        <f t="shared" si="41"/>
        <v>0</v>
      </c>
      <c r="K587" s="8">
        <f>SUMIFS(His_Operacoes_acoes[Total],His_Operacoes_acoes[Fimmes],Patrimônio!B587,His_Operacoes_acoes[Operação],"JCP")
+ SUMIFS(His_Operacoes_acoes[Total],His_Operacoes_acoes[Fimmes],Patrimônio!B587,His_Operacoes_acoes[Operação],"Divid.")
+ SUMIFS(His_Operacoes_acoes[Total],His_Operacoes_acoes[Fimmes],Patrimônio!B587,His_Operacoes_acoes[Operação],"Bonif.")</f>
        <v>0</v>
      </c>
      <c r="L587" s="8">
        <f>SUMIFS(His_Operacoes_BDRs[Total],His_Operacoes_BDRs[Operação],"Provento",His_Operacoes_BDRs[fimmês],Patrimônio!B587)</f>
        <v>0</v>
      </c>
      <c r="M587" s="8">
        <f>SUMIFS(His_Operacoes_FIIs[Total],His_Operacoes_FIIs[Operação],"Provento",His_Operacoes_FIIs[fimmês],Patrimônio!B587)</f>
        <v>0</v>
      </c>
      <c r="N587" s="8">
        <f t="shared" si="42"/>
        <v>0</v>
      </c>
    </row>
    <row r="588" spans="1:14" x14ac:dyDescent="0.35">
      <c r="A588" s="7">
        <v>60207</v>
      </c>
      <c r="B588" s="7">
        <f t="shared" si="39"/>
        <v>60206</v>
      </c>
      <c r="I588" s="8">
        <f t="shared" si="40"/>
        <v>0</v>
      </c>
      <c r="J588" s="8">
        <f t="shared" si="41"/>
        <v>0</v>
      </c>
      <c r="K588" s="8">
        <f>SUMIFS(His_Operacoes_acoes[Total],His_Operacoes_acoes[Fimmes],Patrimônio!B588,His_Operacoes_acoes[Operação],"JCP")
+ SUMIFS(His_Operacoes_acoes[Total],His_Operacoes_acoes[Fimmes],Patrimônio!B588,His_Operacoes_acoes[Operação],"Divid.")
+ SUMIFS(His_Operacoes_acoes[Total],His_Operacoes_acoes[Fimmes],Patrimônio!B588,His_Operacoes_acoes[Operação],"Bonif.")</f>
        <v>0</v>
      </c>
      <c r="L588" s="8">
        <f>SUMIFS(His_Operacoes_BDRs[Total],His_Operacoes_BDRs[Operação],"Provento",His_Operacoes_BDRs[fimmês],Patrimônio!B588)</f>
        <v>0</v>
      </c>
      <c r="M588" s="8">
        <f>SUMIFS(His_Operacoes_FIIs[Total],His_Operacoes_FIIs[Operação],"Provento",His_Operacoes_FIIs[fimmês],Patrimônio!B588)</f>
        <v>0</v>
      </c>
      <c r="N588" s="8">
        <f t="shared" si="42"/>
        <v>0</v>
      </c>
    </row>
    <row r="589" spans="1:14" x14ac:dyDescent="0.35">
      <c r="A589" s="7">
        <v>60237</v>
      </c>
      <c r="B589" s="7">
        <f t="shared" si="39"/>
        <v>60236</v>
      </c>
      <c r="I589" s="8">
        <f t="shared" si="40"/>
        <v>0</v>
      </c>
      <c r="J589" s="8">
        <f t="shared" si="41"/>
        <v>0</v>
      </c>
      <c r="K589" s="8">
        <f>SUMIFS(His_Operacoes_acoes[Total],His_Operacoes_acoes[Fimmes],Patrimônio!B589,His_Operacoes_acoes[Operação],"JCP")
+ SUMIFS(His_Operacoes_acoes[Total],His_Operacoes_acoes[Fimmes],Patrimônio!B589,His_Operacoes_acoes[Operação],"Divid.")
+ SUMIFS(His_Operacoes_acoes[Total],His_Operacoes_acoes[Fimmes],Patrimônio!B589,His_Operacoes_acoes[Operação],"Bonif.")</f>
        <v>0</v>
      </c>
      <c r="L589" s="8">
        <f>SUMIFS(His_Operacoes_BDRs[Total],His_Operacoes_BDRs[Operação],"Provento",His_Operacoes_BDRs[fimmês],Patrimônio!B589)</f>
        <v>0</v>
      </c>
      <c r="M589" s="8">
        <f>SUMIFS(His_Operacoes_FIIs[Total],His_Operacoes_FIIs[Operação],"Provento",His_Operacoes_FIIs[fimmês],Patrimônio!B589)</f>
        <v>0</v>
      </c>
      <c r="N589" s="8">
        <f t="shared" si="42"/>
        <v>0</v>
      </c>
    </row>
    <row r="590" spans="1:14" x14ac:dyDescent="0.35">
      <c r="A590" s="7">
        <v>60268</v>
      </c>
      <c r="B590" s="7">
        <f t="shared" si="39"/>
        <v>60267</v>
      </c>
      <c r="I590" s="8">
        <f t="shared" si="40"/>
        <v>0</v>
      </c>
      <c r="J590" s="8">
        <f t="shared" si="41"/>
        <v>0</v>
      </c>
      <c r="K590" s="8">
        <f>SUMIFS(His_Operacoes_acoes[Total],His_Operacoes_acoes[Fimmes],Patrimônio!B590,His_Operacoes_acoes[Operação],"JCP")
+ SUMIFS(His_Operacoes_acoes[Total],His_Operacoes_acoes[Fimmes],Patrimônio!B590,His_Operacoes_acoes[Operação],"Divid.")
+ SUMIFS(His_Operacoes_acoes[Total],His_Operacoes_acoes[Fimmes],Patrimônio!B590,His_Operacoes_acoes[Operação],"Bonif.")</f>
        <v>0</v>
      </c>
      <c r="L590" s="8">
        <f>SUMIFS(His_Operacoes_BDRs[Total],His_Operacoes_BDRs[Operação],"Provento",His_Operacoes_BDRs[fimmês],Patrimônio!B590)</f>
        <v>0</v>
      </c>
      <c r="M590" s="8">
        <f>SUMIFS(His_Operacoes_FIIs[Total],His_Operacoes_FIIs[Operação],"Provento",His_Operacoes_FIIs[fimmês],Patrimônio!B590)</f>
        <v>0</v>
      </c>
      <c r="N590" s="8">
        <f t="shared" si="42"/>
        <v>0</v>
      </c>
    </row>
    <row r="591" spans="1:14" x14ac:dyDescent="0.35">
      <c r="A591" s="7">
        <v>60299</v>
      </c>
      <c r="B591" s="7">
        <f t="shared" si="39"/>
        <v>60298</v>
      </c>
      <c r="I591" s="8">
        <f t="shared" si="40"/>
        <v>0</v>
      </c>
      <c r="J591" s="8">
        <f t="shared" si="41"/>
        <v>0</v>
      </c>
      <c r="K591" s="8">
        <f>SUMIFS(His_Operacoes_acoes[Total],His_Operacoes_acoes[Fimmes],Patrimônio!B591,His_Operacoes_acoes[Operação],"JCP")
+ SUMIFS(His_Operacoes_acoes[Total],His_Operacoes_acoes[Fimmes],Patrimônio!B591,His_Operacoes_acoes[Operação],"Divid.")
+ SUMIFS(His_Operacoes_acoes[Total],His_Operacoes_acoes[Fimmes],Patrimônio!B591,His_Operacoes_acoes[Operação],"Bonif.")</f>
        <v>0</v>
      </c>
      <c r="L591" s="8">
        <f>SUMIFS(His_Operacoes_BDRs[Total],His_Operacoes_BDRs[Operação],"Provento",His_Operacoes_BDRs[fimmês],Patrimônio!B591)</f>
        <v>0</v>
      </c>
      <c r="M591" s="8">
        <f>SUMIFS(His_Operacoes_FIIs[Total],His_Operacoes_FIIs[Operação],"Provento",His_Operacoes_FIIs[fimmês],Patrimônio!B591)</f>
        <v>0</v>
      </c>
      <c r="N591" s="8">
        <f t="shared" si="42"/>
        <v>0</v>
      </c>
    </row>
    <row r="592" spans="1:14" x14ac:dyDescent="0.35">
      <c r="A592" s="7">
        <v>60327</v>
      </c>
      <c r="B592" s="7">
        <f t="shared" si="39"/>
        <v>60326</v>
      </c>
      <c r="I592" s="8">
        <f t="shared" si="40"/>
        <v>0</v>
      </c>
      <c r="J592" s="8">
        <f t="shared" si="41"/>
        <v>0</v>
      </c>
      <c r="K592" s="8">
        <f>SUMIFS(His_Operacoes_acoes[Total],His_Operacoes_acoes[Fimmes],Patrimônio!B592,His_Operacoes_acoes[Operação],"JCP")
+ SUMIFS(His_Operacoes_acoes[Total],His_Operacoes_acoes[Fimmes],Patrimônio!B592,His_Operacoes_acoes[Operação],"Divid.")
+ SUMIFS(His_Operacoes_acoes[Total],His_Operacoes_acoes[Fimmes],Patrimônio!B592,His_Operacoes_acoes[Operação],"Bonif.")</f>
        <v>0</v>
      </c>
      <c r="L592" s="8">
        <f>SUMIFS(His_Operacoes_BDRs[Total],His_Operacoes_BDRs[Operação],"Provento",His_Operacoes_BDRs[fimmês],Patrimônio!B592)</f>
        <v>0</v>
      </c>
      <c r="M592" s="8">
        <f>SUMIFS(His_Operacoes_FIIs[Total],His_Operacoes_FIIs[Operação],"Provento",His_Operacoes_FIIs[fimmês],Patrimônio!B592)</f>
        <v>0</v>
      </c>
      <c r="N592" s="8">
        <f t="shared" si="42"/>
        <v>0</v>
      </c>
    </row>
    <row r="593" spans="1:14" x14ac:dyDescent="0.35">
      <c r="A593" s="7">
        <v>60358</v>
      </c>
      <c r="B593" s="7">
        <f t="shared" si="39"/>
        <v>60357</v>
      </c>
      <c r="I593" s="8">
        <f t="shared" si="40"/>
        <v>0</v>
      </c>
      <c r="J593" s="8">
        <f t="shared" si="41"/>
        <v>0</v>
      </c>
      <c r="K593" s="8">
        <f>SUMIFS(His_Operacoes_acoes[Total],His_Operacoes_acoes[Fimmes],Patrimônio!B593,His_Operacoes_acoes[Operação],"JCP")
+ SUMIFS(His_Operacoes_acoes[Total],His_Operacoes_acoes[Fimmes],Patrimônio!B593,His_Operacoes_acoes[Operação],"Divid.")
+ SUMIFS(His_Operacoes_acoes[Total],His_Operacoes_acoes[Fimmes],Patrimônio!B593,His_Operacoes_acoes[Operação],"Bonif.")</f>
        <v>0</v>
      </c>
      <c r="L593" s="8">
        <f>SUMIFS(His_Operacoes_BDRs[Total],His_Operacoes_BDRs[Operação],"Provento",His_Operacoes_BDRs[fimmês],Patrimônio!B593)</f>
        <v>0</v>
      </c>
      <c r="M593" s="8">
        <f>SUMIFS(His_Operacoes_FIIs[Total],His_Operacoes_FIIs[Operação],"Provento",His_Operacoes_FIIs[fimmês],Patrimônio!B593)</f>
        <v>0</v>
      </c>
      <c r="N593" s="8">
        <f t="shared" si="42"/>
        <v>0</v>
      </c>
    </row>
    <row r="594" spans="1:14" x14ac:dyDescent="0.35">
      <c r="A594" s="7">
        <v>60388</v>
      </c>
      <c r="B594" s="7">
        <f t="shared" si="39"/>
        <v>60387</v>
      </c>
      <c r="I594" s="8">
        <f t="shared" si="40"/>
        <v>0</v>
      </c>
      <c r="J594" s="8">
        <f t="shared" si="41"/>
        <v>0</v>
      </c>
      <c r="K594" s="8">
        <f>SUMIFS(His_Operacoes_acoes[Total],His_Operacoes_acoes[Fimmes],Patrimônio!B594,His_Operacoes_acoes[Operação],"JCP")
+ SUMIFS(His_Operacoes_acoes[Total],His_Operacoes_acoes[Fimmes],Patrimônio!B594,His_Operacoes_acoes[Operação],"Divid.")
+ SUMIFS(His_Operacoes_acoes[Total],His_Operacoes_acoes[Fimmes],Patrimônio!B594,His_Operacoes_acoes[Operação],"Bonif.")</f>
        <v>0</v>
      </c>
      <c r="L594" s="8">
        <f>SUMIFS(His_Operacoes_BDRs[Total],His_Operacoes_BDRs[Operação],"Provento",His_Operacoes_BDRs[fimmês],Patrimônio!B594)</f>
        <v>0</v>
      </c>
      <c r="M594" s="8">
        <f>SUMIFS(His_Operacoes_FIIs[Total],His_Operacoes_FIIs[Operação],"Provento",His_Operacoes_FIIs[fimmês],Patrimônio!B594)</f>
        <v>0</v>
      </c>
      <c r="N594" s="8">
        <f t="shared" si="42"/>
        <v>0</v>
      </c>
    </row>
    <row r="595" spans="1:14" x14ac:dyDescent="0.35">
      <c r="A595" s="7">
        <v>60419</v>
      </c>
      <c r="B595" s="7">
        <f t="shared" si="39"/>
        <v>60418</v>
      </c>
      <c r="I595" s="8">
        <f t="shared" si="40"/>
        <v>0</v>
      </c>
      <c r="J595" s="8">
        <f t="shared" si="41"/>
        <v>0</v>
      </c>
      <c r="K595" s="8">
        <f>SUMIFS(His_Operacoes_acoes[Total],His_Operacoes_acoes[Fimmes],Patrimônio!B595,His_Operacoes_acoes[Operação],"JCP")
+ SUMIFS(His_Operacoes_acoes[Total],His_Operacoes_acoes[Fimmes],Patrimônio!B595,His_Operacoes_acoes[Operação],"Divid.")
+ SUMIFS(His_Operacoes_acoes[Total],His_Operacoes_acoes[Fimmes],Patrimônio!B595,His_Operacoes_acoes[Operação],"Bonif.")</f>
        <v>0</v>
      </c>
      <c r="L595" s="8">
        <f>SUMIFS(His_Operacoes_BDRs[Total],His_Operacoes_BDRs[Operação],"Provento",His_Operacoes_BDRs[fimmês],Patrimônio!B595)</f>
        <v>0</v>
      </c>
      <c r="M595" s="8">
        <f>SUMIFS(His_Operacoes_FIIs[Total],His_Operacoes_FIIs[Operação],"Provento",His_Operacoes_FIIs[fimmês],Patrimônio!B595)</f>
        <v>0</v>
      </c>
      <c r="N595" s="8">
        <f t="shared" si="42"/>
        <v>0</v>
      </c>
    </row>
    <row r="596" spans="1:14" x14ac:dyDescent="0.35">
      <c r="A596" s="7">
        <v>60449</v>
      </c>
      <c r="B596" s="7">
        <f t="shared" si="39"/>
        <v>60448</v>
      </c>
      <c r="I596" s="8">
        <f t="shared" si="40"/>
        <v>0</v>
      </c>
      <c r="J596" s="8">
        <f t="shared" si="41"/>
        <v>0</v>
      </c>
      <c r="K596" s="8">
        <f>SUMIFS(His_Operacoes_acoes[Total],His_Operacoes_acoes[Fimmes],Patrimônio!B596,His_Operacoes_acoes[Operação],"JCP")
+ SUMIFS(His_Operacoes_acoes[Total],His_Operacoes_acoes[Fimmes],Patrimônio!B596,His_Operacoes_acoes[Operação],"Divid.")
+ SUMIFS(His_Operacoes_acoes[Total],His_Operacoes_acoes[Fimmes],Patrimônio!B596,His_Operacoes_acoes[Operação],"Bonif.")</f>
        <v>0</v>
      </c>
      <c r="L596" s="8">
        <f>SUMIFS(His_Operacoes_BDRs[Total],His_Operacoes_BDRs[Operação],"Provento",His_Operacoes_BDRs[fimmês],Patrimônio!B596)</f>
        <v>0</v>
      </c>
      <c r="M596" s="8">
        <f>SUMIFS(His_Operacoes_FIIs[Total],His_Operacoes_FIIs[Operação],"Provento",His_Operacoes_FIIs[fimmês],Patrimônio!B596)</f>
        <v>0</v>
      </c>
      <c r="N596" s="8">
        <f t="shared" si="42"/>
        <v>0</v>
      </c>
    </row>
    <row r="597" spans="1:14" x14ac:dyDescent="0.35">
      <c r="A597" s="7">
        <v>60480</v>
      </c>
      <c r="B597" s="7">
        <f t="shared" si="39"/>
        <v>60479</v>
      </c>
      <c r="I597" s="8">
        <f t="shared" si="40"/>
        <v>0</v>
      </c>
      <c r="J597" s="8">
        <f t="shared" si="41"/>
        <v>0</v>
      </c>
      <c r="K597" s="8">
        <f>SUMIFS(His_Operacoes_acoes[Total],His_Operacoes_acoes[Fimmes],Patrimônio!B597,His_Operacoes_acoes[Operação],"JCP")
+ SUMIFS(His_Operacoes_acoes[Total],His_Operacoes_acoes[Fimmes],Patrimônio!B597,His_Operacoes_acoes[Operação],"Divid.")
+ SUMIFS(His_Operacoes_acoes[Total],His_Operacoes_acoes[Fimmes],Patrimônio!B597,His_Operacoes_acoes[Operação],"Bonif.")</f>
        <v>0</v>
      </c>
      <c r="L597" s="8">
        <f>SUMIFS(His_Operacoes_BDRs[Total],His_Operacoes_BDRs[Operação],"Provento",His_Operacoes_BDRs[fimmês],Patrimônio!B597)</f>
        <v>0</v>
      </c>
      <c r="M597" s="8">
        <f>SUMIFS(His_Operacoes_FIIs[Total],His_Operacoes_FIIs[Operação],"Provento",His_Operacoes_FIIs[fimmês],Patrimônio!B597)</f>
        <v>0</v>
      </c>
      <c r="N597" s="8">
        <f t="shared" si="42"/>
        <v>0</v>
      </c>
    </row>
    <row r="598" spans="1:14" x14ac:dyDescent="0.35">
      <c r="A598" s="7">
        <v>60511</v>
      </c>
      <c r="B598" s="7">
        <f t="shared" si="39"/>
        <v>60510</v>
      </c>
      <c r="I598" s="8">
        <f t="shared" si="40"/>
        <v>0</v>
      </c>
      <c r="J598" s="8">
        <f t="shared" si="41"/>
        <v>0</v>
      </c>
      <c r="K598" s="8">
        <f>SUMIFS(His_Operacoes_acoes[Total],His_Operacoes_acoes[Fimmes],Patrimônio!B598,His_Operacoes_acoes[Operação],"JCP")
+ SUMIFS(His_Operacoes_acoes[Total],His_Operacoes_acoes[Fimmes],Patrimônio!B598,His_Operacoes_acoes[Operação],"Divid.")
+ SUMIFS(His_Operacoes_acoes[Total],His_Operacoes_acoes[Fimmes],Patrimônio!B598,His_Operacoes_acoes[Operação],"Bonif.")</f>
        <v>0</v>
      </c>
      <c r="L598" s="8">
        <f>SUMIFS(His_Operacoes_BDRs[Total],His_Operacoes_BDRs[Operação],"Provento",His_Operacoes_BDRs[fimmês],Patrimônio!B598)</f>
        <v>0</v>
      </c>
      <c r="M598" s="8">
        <f>SUMIFS(His_Operacoes_FIIs[Total],His_Operacoes_FIIs[Operação],"Provento",His_Operacoes_FIIs[fimmês],Patrimônio!B598)</f>
        <v>0</v>
      </c>
      <c r="N598" s="8">
        <f t="shared" si="42"/>
        <v>0</v>
      </c>
    </row>
    <row r="599" spans="1:14" x14ac:dyDescent="0.35">
      <c r="A599" s="7">
        <v>60541</v>
      </c>
      <c r="B599" s="7">
        <f t="shared" si="39"/>
        <v>60540</v>
      </c>
      <c r="I599" s="8">
        <f t="shared" si="40"/>
        <v>0</v>
      </c>
      <c r="J599" s="8">
        <f t="shared" si="41"/>
        <v>0</v>
      </c>
      <c r="K599" s="8">
        <f>SUMIFS(His_Operacoes_acoes[Total],His_Operacoes_acoes[Fimmes],Patrimônio!B599,His_Operacoes_acoes[Operação],"JCP")
+ SUMIFS(His_Operacoes_acoes[Total],His_Operacoes_acoes[Fimmes],Patrimônio!B599,His_Operacoes_acoes[Operação],"Divid.")
+ SUMIFS(His_Operacoes_acoes[Total],His_Operacoes_acoes[Fimmes],Patrimônio!B599,His_Operacoes_acoes[Operação],"Bonif.")</f>
        <v>0</v>
      </c>
      <c r="L599" s="8">
        <f>SUMIFS(His_Operacoes_BDRs[Total],His_Operacoes_BDRs[Operação],"Provento",His_Operacoes_BDRs[fimmês],Patrimônio!B599)</f>
        <v>0</v>
      </c>
      <c r="M599" s="8">
        <f>SUMIFS(His_Operacoes_FIIs[Total],His_Operacoes_FIIs[Operação],"Provento",His_Operacoes_FIIs[fimmês],Patrimônio!B599)</f>
        <v>0</v>
      </c>
      <c r="N599" s="8">
        <f t="shared" si="42"/>
        <v>0</v>
      </c>
    </row>
    <row r="600" spans="1:14" x14ac:dyDescent="0.35">
      <c r="A600" s="7">
        <v>60572</v>
      </c>
      <c r="B600" s="7">
        <f t="shared" si="39"/>
        <v>60571</v>
      </c>
      <c r="I600" s="8">
        <f t="shared" si="40"/>
        <v>0</v>
      </c>
      <c r="J600" s="8">
        <f t="shared" si="41"/>
        <v>0</v>
      </c>
      <c r="K600" s="8">
        <f>SUMIFS(His_Operacoes_acoes[Total],His_Operacoes_acoes[Fimmes],Patrimônio!B600,His_Operacoes_acoes[Operação],"JCP")
+ SUMIFS(His_Operacoes_acoes[Total],His_Operacoes_acoes[Fimmes],Patrimônio!B600,His_Operacoes_acoes[Operação],"Divid.")
+ SUMIFS(His_Operacoes_acoes[Total],His_Operacoes_acoes[Fimmes],Patrimônio!B600,His_Operacoes_acoes[Operação],"Bonif.")</f>
        <v>0</v>
      </c>
      <c r="L600" s="8">
        <f>SUMIFS(His_Operacoes_BDRs[Total],His_Operacoes_BDRs[Operação],"Provento",His_Operacoes_BDRs[fimmês],Patrimônio!B600)</f>
        <v>0</v>
      </c>
      <c r="M600" s="8">
        <f>SUMIFS(His_Operacoes_FIIs[Total],His_Operacoes_FIIs[Operação],"Provento",His_Operacoes_FIIs[fimmês],Patrimônio!B600)</f>
        <v>0</v>
      </c>
      <c r="N600" s="8">
        <f t="shared" si="42"/>
        <v>0</v>
      </c>
    </row>
    <row r="601" spans="1:14" x14ac:dyDescent="0.35">
      <c r="A601" s="7">
        <v>60602</v>
      </c>
      <c r="B601" s="7">
        <f t="shared" si="39"/>
        <v>60601</v>
      </c>
      <c r="I601" s="8">
        <f t="shared" si="40"/>
        <v>0</v>
      </c>
      <c r="J601" s="8">
        <f t="shared" si="41"/>
        <v>0</v>
      </c>
      <c r="K601" s="8">
        <f>SUMIFS(His_Operacoes_acoes[Total],His_Operacoes_acoes[Fimmes],Patrimônio!B601,His_Operacoes_acoes[Operação],"JCP")
+ SUMIFS(His_Operacoes_acoes[Total],His_Operacoes_acoes[Fimmes],Patrimônio!B601,His_Operacoes_acoes[Operação],"Divid.")
+ SUMIFS(His_Operacoes_acoes[Total],His_Operacoes_acoes[Fimmes],Patrimônio!B601,His_Operacoes_acoes[Operação],"Bonif.")</f>
        <v>0</v>
      </c>
      <c r="L601" s="8">
        <f>SUMIFS(His_Operacoes_BDRs[Total],His_Operacoes_BDRs[Operação],"Provento",His_Operacoes_BDRs[fimmês],Patrimônio!B601)</f>
        <v>0</v>
      </c>
      <c r="M601" s="8">
        <f>SUMIFS(His_Operacoes_FIIs[Total],His_Operacoes_FIIs[Operação],"Provento",His_Operacoes_FIIs[fimmês],Patrimônio!B601)</f>
        <v>0</v>
      </c>
      <c r="N601" s="8">
        <f t="shared" si="42"/>
        <v>0</v>
      </c>
    </row>
    <row r="602" spans="1:14" x14ac:dyDescent="0.35">
      <c r="A602" s="7">
        <v>60633</v>
      </c>
      <c r="B602" s="7">
        <f t="shared" si="39"/>
        <v>60632</v>
      </c>
      <c r="I602" s="8">
        <f t="shared" si="40"/>
        <v>0</v>
      </c>
      <c r="J602" s="8">
        <f t="shared" si="41"/>
        <v>0</v>
      </c>
      <c r="K602" s="8">
        <f>SUMIFS(His_Operacoes_acoes[Total],His_Operacoes_acoes[Fimmes],Patrimônio!B602,His_Operacoes_acoes[Operação],"JCP")
+ SUMIFS(His_Operacoes_acoes[Total],His_Operacoes_acoes[Fimmes],Patrimônio!B602,His_Operacoes_acoes[Operação],"Divid.")
+ SUMIFS(His_Operacoes_acoes[Total],His_Operacoes_acoes[Fimmes],Patrimônio!B602,His_Operacoes_acoes[Operação],"Bonif.")</f>
        <v>0</v>
      </c>
      <c r="L602" s="8">
        <f>SUMIFS(His_Operacoes_BDRs[Total],His_Operacoes_BDRs[Operação],"Provento",His_Operacoes_BDRs[fimmês],Patrimônio!B602)</f>
        <v>0</v>
      </c>
      <c r="M602" s="8">
        <f>SUMIFS(His_Operacoes_FIIs[Total],His_Operacoes_FIIs[Operação],"Provento",His_Operacoes_FIIs[fimmês],Patrimônio!B602)</f>
        <v>0</v>
      </c>
      <c r="N602" s="8">
        <f t="shared" si="42"/>
        <v>0</v>
      </c>
    </row>
    <row r="603" spans="1:14" x14ac:dyDescent="0.35">
      <c r="A603" s="7">
        <v>60664</v>
      </c>
      <c r="B603" s="7">
        <f t="shared" si="39"/>
        <v>60663</v>
      </c>
      <c r="I603" s="8">
        <f t="shared" si="40"/>
        <v>0</v>
      </c>
      <c r="J603" s="8">
        <f t="shared" si="41"/>
        <v>0</v>
      </c>
      <c r="K603" s="8">
        <f>SUMIFS(His_Operacoes_acoes[Total],His_Operacoes_acoes[Fimmes],Patrimônio!B603,His_Operacoes_acoes[Operação],"JCP")
+ SUMIFS(His_Operacoes_acoes[Total],His_Operacoes_acoes[Fimmes],Patrimônio!B603,His_Operacoes_acoes[Operação],"Divid.")
+ SUMIFS(His_Operacoes_acoes[Total],His_Operacoes_acoes[Fimmes],Patrimônio!B603,His_Operacoes_acoes[Operação],"Bonif.")</f>
        <v>0</v>
      </c>
      <c r="L603" s="8">
        <f>SUMIFS(His_Operacoes_BDRs[Total],His_Operacoes_BDRs[Operação],"Provento",His_Operacoes_BDRs[fimmês],Patrimônio!B603)</f>
        <v>0</v>
      </c>
      <c r="M603" s="8">
        <f>SUMIFS(His_Operacoes_FIIs[Total],His_Operacoes_FIIs[Operação],"Provento",His_Operacoes_FIIs[fimmês],Patrimônio!B603)</f>
        <v>0</v>
      </c>
      <c r="N603" s="8">
        <f t="shared" si="42"/>
        <v>0</v>
      </c>
    </row>
    <row r="604" spans="1:14" x14ac:dyDescent="0.35">
      <c r="A604" s="7">
        <v>60692</v>
      </c>
      <c r="B604" s="7">
        <f t="shared" si="39"/>
        <v>60691</v>
      </c>
      <c r="I604" s="8">
        <f t="shared" si="40"/>
        <v>0</v>
      </c>
      <c r="J604" s="8">
        <f t="shared" si="41"/>
        <v>0</v>
      </c>
      <c r="K604" s="8">
        <f>SUMIFS(His_Operacoes_acoes[Total],His_Operacoes_acoes[Fimmes],Patrimônio!B604,His_Operacoes_acoes[Operação],"JCP")
+ SUMIFS(His_Operacoes_acoes[Total],His_Operacoes_acoes[Fimmes],Patrimônio!B604,His_Operacoes_acoes[Operação],"Divid.")
+ SUMIFS(His_Operacoes_acoes[Total],His_Operacoes_acoes[Fimmes],Patrimônio!B604,His_Operacoes_acoes[Operação],"Bonif.")</f>
        <v>0</v>
      </c>
      <c r="L604" s="8">
        <f>SUMIFS(His_Operacoes_BDRs[Total],His_Operacoes_BDRs[Operação],"Provento",His_Operacoes_BDRs[fimmês],Patrimônio!B604)</f>
        <v>0</v>
      </c>
      <c r="M604" s="8">
        <f>SUMIFS(His_Operacoes_FIIs[Total],His_Operacoes_FIIs[Operação],"Provento",His_Operacoes_FIIs[fimmês],Patrimônio!B604)</f>
        <v>0</v>
      </c>
      <c r="N604" s="8">
        <f t="shared" si="42"/>
        <v>0</v>
      </c>
    </row>
    <row r="605" spans="1:14" x14ac:dyDescent="0.35">
      <c r="A605" s="7">
        <v>60723</v>
      </c>
      <c r="B605" s="7">
        <f t="shared" si="39"/>
        <v>60722</v>
      </c>
      <c r="I605" s="8">
        <f t="shared" si="40"/>
        <v>0</v>
      </c>
      <c r="J605" s="8">
        <f t="shared" si="41"/>
        <v>0</v>
      </c>
      <c r="K605" s="8">
        <f>SUMIFS(His_Operacoes_acoes[Total],His_Operacoes_acoes[Fimmes],Patrimônio!B605,His_Operacoes_acoes[Operação],"JCP")
+ SUMIFS(His_Operacoes_acoes[Total],His_Operacoes_acoes[Fimmes],Patrimônio!B605,His_Operacoes_acoes[Operação],"Divid.")
+ SUMIFS(His_Operacoes_acoes[Total],His_Operacoes_acoes[Fimmes],Patrimônio!B605,His_Operacoes_acoes[Operação],"Bonif.")</f>
        <v>0</v>
      </c>
      <c r="L605" s="8">
        <f>SUMIFS(His_Operacoes_BDRs[Total],His_Operacoes_BDRs[Operação],"Provento",His_Operacoes_BDRs[fimmês],Patrimônio!B605)</f>
        <v>0</v>
      </c>
      <c r="M605" s="8">
        <f>SUMIFS(His_Operacoes_FIIs[Total],His_Operacoes_FIIs[Operação],"Provento",His_Operacoes_FIIs[fimmês],Patrimônio!B605)</f>
        <v>0</v>
      </c>
      <c r="N605" s="8">
        <f t="shared" si="42"/>
        <v>0</v>
      </c>
    </row>
    <row r="606" spans="1:14" x14ac:dyDescent="0.35">
      <c r="A606" s="7">
        <v>60753</v>
      </c>
      <c r="B606" s="7">
        <f t="shared" si="39"/>
        <v>60752</v>
      </c>
      <c r="I606" s="8">
        <f t="shared" si="40"/>
        <v>0</v>
      </c>
      <c r="J606" s="8">
        <f t="shared" si="41"/>
        <v>0</v>
      </c>
      <c r="K606" s="8">
        <f>SUMIFS(His_Operacoes_acoes[Total],His_Operacoes_acoes[Fimmes],Patrimônio!B606,His_Operacoes_acoes[Operação],"JCP")
+ SUMIFS(His_Operacoes_acoes[Total],His_Operacoes_acoes[Fimmes],Patrimônio!B606,His_Operacoes_acoes[Operação],"Divid.")
+ SUMIFS(His_Operacoes_acoes[Total],His_Operacoes_acoes[Fimmes],Patrimônio!B606,His_Operacoes_acoes[Operação],"Bonif.")</f>
        <v>0</v>
      </c>
      <c r="L606" s="8">
        <f>SUMIFS(His_Operacoes_BDRs[Total],His_Operacoes_BDRs[Operação],"Provento",His_Operacoes_BDRs[fimmês],Patrimônio!B606)</f>
        <v>0</v>
      </c>
      <c r="M606" s="8">
        <f>SUMIFS(His_Operacoes_FIIs[Total],His_Operacoes_FIIs[Operação],"Provento",His_Operacoes_FIIs[fimmês],Patrimônio!B606)</f>
        <v>0</v>
      </c>
      <c r="N606" s="8">
        <f t="shared" si="42"/>
        <v>0</v>
      </c>
    </row>
    <row r="607" spans="1:14" x14ac:dyDescent="0.35">
      <c r="A607" s="7">
        <v>60784</v>
      </c>
      <c r="B607" s="7">
        <f t="shared" si="39"/>
        <v>60783</v>
      </c>
      <c r="I607" s="8">
        <f t="shared" si="40"/>
        <v>0</v>
      </c>
      <c r="J607" s="8">
        <f t="shared" si="41"/>
        <v>0</v>
      </c>
      <c r="K607" s="8">
        <f>SUMIFS(His_Operacoes_acoes[Total],His_Operacoes_acoes[Fimmes],Patrimônio!B607,His_Operacoes_acoes[Operação],"JCP")
+ SUMIFS(His_Operacoes_acoes[Total],His_Operacoes_acoes[Fimmes],Patrimônio!B607,His_Operacoes_acoes[Operação],"Divid.")
+ SUMIFS(His_Operacoes_acoes[Total],His_Operacoes_acoes[Fimmes],Patrimônio!B607,His_Operacoes_acoes[Operação],"Bonif.")</f>
        <v>0</v>
      </c>
      <c r="L607" s="8">
        <f>SUMIFS(His_Operacoes_BDRs[Total],His_Operacoes_BDRs[Operação],"Provento",His_Operacoes_BDRs[fimmês],Patrimônio!B607)</f>
        <v>0</v>
      </c>
      <c r="M607" s="8">
        <f>SUMIFS(His_Operacoes_FIIs[Total],His_Operacoes_FIIs[Operação],"Provento",His_Operacoes_FIIs[fimmês],Patrimônio!B607)</f>
        <v>0</v>
      </c>
      <c r="N607" s="8">
        <f t="shared" si="42"/>
        <v>0</v>
      </c>
    </row>
    <row r="608" spans="1:14" x14ac:dyDescent="0.35">
      <c r="A608" s="7">
        <v>60814</v>
      </c>
      <c r="B608" s="7">
        <f t="shared" si="39"/>
        <v>60813</v>
      </c>
      <c r="I608" s="8">
        <f t="shared" si="40"/>
        <v>0</v>
      </c>
      <c r="J608" s="8">
        <f t="shared" si="41"/>
        <v>0</v>
      </c>
      <c r="K608" s="8">
        <f>SUMIFS(His_Operacoes_acoes[Total],His_Operacoes_acoes[Fimmes],Patrimônio!B608,His_Operacoes_acoes[Operação],"JCP")
+ SUMIFS(His_Operacoes_acoes[Total],His_Operacoes_acoes[Fimmes],Patrimônio!B608,His_Operacoes_acoes[Operação],"Divid.")
+ SUMIFS(His_Operacoes_acoes[Total],His_Operacoes_acoes[Fimmes],Patrimônio!B608,His_Operacoes_acoes[Operação],"Bonif.")</f>
        <v>0</v>
      </c>
      <c r="L608" s="8">
        <f>SUMIFS(His_Operacoes_BDRs[Total],His_Operacoes_BDRs[Operação],"Provento",His_Operacoes_BDRs[fimmês],Patrimônio!B608)</f>
        <v>0</v>
      </c>
      <c r="M608" s="8">
        <f>SUMIFS(His_Operacoes_FIIs[Total],His_Operacoes_FIIs[Operação],"Provento",His_Operacoes_FIIs[fimmês],Patrimônio!B608)</f>
        <v>0</v>
      </c>
      <c r="N608" s="8">
        <f t="shared" si="42"/>
        <v>0</v>
      </c>
    </row>
    <row r="609" spans="1:14" x14ac:dyDescent="0.35">
      <c r="A609" s="7">
        <v>60845</v>
      </c>
      <c r="B609" s="7">
        <f t="shared" si="39"/>
        <v>60844</v>
      </c>
      <c r="I609" s="8">
        <f t="shared" si="40"/>
        <v>0</v>
      </c>
      <c r="J609" s="8">
        <f t="shared" si="41"/>
        <v>0</v>
      </c>
      <c r="K609" s="8">
        <f>SUMIFS(His_Operacoes_acoes[Total],His_Operacoes_acoes[Fimmes],Patrimônio!B609,His_Operacoes_acoes[Operação],"JCP")
+ SUMIFS(His_Operacoes_acoes[Total],His_Operacoes_acoes[Fimmes],Patrimônio!B609,His_Operacoes_acoes[Operação],"Divid.")
+ SUMIFS(His_Operacoes_acoes[Total],His_Operacoes_acoes[Fimmes],Patrimônio!B609,His_Operacoes_acoes[Operação],"Bonif.")</f>
        <v>0</v>
      </c>
      <c r="L609" s="8">
        <f>SUMIFS(His_Operacoes_BDRs[Total],His_Operacoes_BDRs[Operação],"Provento",His_Operacoes_BDRs[fimmês],Patrimônio!B609)</f>
        <v>0</v>
      </c>
      <c r="M609" s="8">
        <f>SUMIFS(His_Operacoes_FIIs[Total],His_Operacoes_FIIs[Operação],"Provento",His_Operacoes_FIIs[fimmês],Patrimônio!B609)</f>
        <v>0</v>
      </c>
      <c r="N609" s="8">
        <f t="shared" si="42"/>
        <v>0</v>
      </c>
    </row>
    <row r="610" spans="1:14" x14ac:dyDescent="0.35">
      <c r="A610" s="7">
        <v>60876</v>
      </c>
      <c r="B610" s="7">
        <f t="shared" si="39"/>
        <v>60875</v>
      </c>
      <c r="I610" s="8">
        <f t="shared" si="40"/>
        <v>0</v>
      </c>
      <c r="J610" s="8">
        <f t="shared" si="41"/>
        <v>0</v>
      </c>
      <c r="K610" s="8">
        <f>SUMIFS(His_Operacoes_acoes[Total],His_Operacoes_acoes[Fimmes],Patrimônio!B610,His_Operacoes_acoes[Operação],"JCP")
+ SUMIFS(His_Operacoes_acoes[Total],His_Operacoes_acoes[Fimmes],Patrimônio!B610,His_Operacoes_acoes[Operação],"Divid.")
+ SUMIFS(His_Operacoes_acoes[Total],His_Operacoes_acoes[Fimmes],Patrimônio!B610,His_Operacoes_acoes[Operação],"Bonif.")</f>
        <v>0</v>
      </c>
      <c r="L610" s="8">
        <f>SUMIFS(His_Operacoes_BDRs[Total],His_Operacoes_BDRs[Operação],"Provento",His_Operacoes_BDRs[fimmês],Patrimônio!B610)</f>
        <v>0</v>
      </c>
      <c r="M610" s="8">
        <f>SUMIFS(His_Operacoes_FIIs[Total],His_Operacoes_FIIs[Operação],"Provento",His_Operacoes_FIIs[fimmês],Patrimônio!B610)</f>
        <v>0</v>
      </c>
      <c r="N610" s="8">
        <f t="shared" si="42"/>
        <v>0</v>
      </c>
    </row>
    <row r="611" spans="1:14" x14ac:dyDescent="0.35">
      <c r="A611" s="7">
        <v>60906</v>
      </c>
      <c r="B611" s="7">
        <f t="shared" si="39"/>
        <v>60905</v>
      </c>
      <c r="I611" s="8">
        <f t="shared" si="40"/>
        <v>0</v>
      </c>
      <c r="J611" s="8">
        <f t="shared" si="41"/>
        <v>0</v>
      </c>
      <c r="K611" s="8">
        <f>SUMIFS(His_Operacoes_acoes[Total],His_Operacoes_acoes[Fimmes],Patrimônio!B611,His_Operacoes_acoes[Operação],"JCP")
+ SUMIFS(His_Operacoes_acoes[Total],His_Operacoes_acoes[Fimmes],Patrimônio!B611,His_Operacoes_acoes[Operação],"Divid.")
+ SUMIFS(His_Operacoes_acoes[Total],His_Operacoes_acoes[Fimmes],Patrimônio!B611,His_Operacoes_acoes[Operação],"Bonif.")</f>
        <v>0</v>
      </c>
      <c r="L611" s="8">
        <f>SUMIFS(His_Operacoes_BDRs[Total],His_Operacoes_BDRs[Operação],"Provento",His_Operacoes_BDRs[fimmês],Patrimônio!B611)</f>
        <v>0</v>
      </c>
      <c r="M611" s="8">
        <f>SUMIFS(His_Operacoes_FIIs[Total],His_Operacoes_FIIs[Operação],"Provento",His_Operacoes_FIIs[fimmês],Patrimônio!B611)</f>
        <v>0</v>
      </c>
      <c r="N611" s="8">
        <f t="shared" si="42"/>
        <v>0</v>
      </c>
    </row>
    <row r="612" spans="1:14" x14ac:dyDescent="0.35">
      <c r="A612" s="7">
        <v>60937</v>
      </c>
      <c r="B612" s="7">
        <f t="shared" si="39"/>
        <v>60936</v>
      </c>
      <c r="I612" s="8">
        <f t="shared" si="40"/>
        <v>0</v>
      </c>
      <c r="J612" s="8">
        <f t="shared" si="41"/>
        <v>0</v>
      </c>
      <c r="K612" s="8">
        <f>SUMIFS(His_Operacoes_acoes[Total],His_Operacoes_acoes[Fimmes],Patrimônio!B612,His_Operacoes_acoes[Operação],"JCP")
+ SUMIFS(His_Operacoes_acoes[Total],His_Operacoes_acoes[Fimmes],Patrimônio!B612,His_Operacoes_acoes[Operação],"Divid.")
+ SUMIFS(His_Operacoes_acoes[Total],His_Operacoes_acoes[Fimmes],Patrimônio!B612,His_Operacoes_acoes[Operação],"Bonif.")</f>
        <v>0</v>
      </c>
      <c r="L612" s="8">
        <f>SUMIFS(His_Operacoes_BDRs[Total],His_Operacoes_BDRs[Operação],"Provento",His_Operacoes_BDRs[fimmês],Patrimônio!B612)</f>
        <v>0</v>
      </c>
      <c r="M612" s="8">
        <f>SUMIFS(His_Operacoes_FIIs[Total],His_Operacoes_FIIs[Operação],"Provento",His_Operacoes_FIIs[fimmês],Patrimônio!B612)</f>
        <v>0</v>
      </c>
      <c r="N612" s="8">
        <f t="shared" si="42"/>
        <v>0</v>
      </c>
    </row>
    <row r="613" spans="1:14" x14ac:dyDescent="0.35">
      <c r="A613" s="7">
        <v>60967</v>
      </c>
      <c r="B613" s="7">
        <f t="shared" si="39"/>
        <v>60966</v>
      </c>
      <c r="I613" s="8">
        <f t="shared" si="40"/>
        <v>0</v>
      </c>
      <c r="J613" s="8">
        <f t="shared" si="41"/>
        <v>0</v>
      </c>
      <c r="K613" s="8">
        <f>SUMIFS(His_Operacoes_acoes[Total],His_Operacoes_acoes[Fimmes],Patrimônio!B613,His_Operacoes_acoes[Operação],"JCP")
+ SUMIFS(His_Operacoes_acoes[Total],His_Operacoes_acoes[Fimmes],Patrimônio!B613,His_Operacoes_acoes[Operação],"Divid.")
+ SUMIFS(His_Operacoes_acoes[Total],His_Operacoes_acoes[Fimmes],Patrimônio!B613,His_Operacoes_acoes[Operação],"Bonif.")</f>
        <v>0</v>
      </c>
      <c r="L613" s="8">
        <f>SUMIFS(His_Operacoes_BDRs[Total],His_Operacoes_BDRs[Operação],"Provento",His_Operacoes_BDRs[fimmês],Patrimônio!B613)</f>
        <v>0</v>
      </c>
      <c r="M613" s="8">
        <f>SUMIFS(His_Operacoes_FIIs[Total],His_Operacoes_FIIs[Operação],"Provento",His_Operacoes_FIIs[fimmês],Patrimônio!B613)</f>
        <v>0</v>
      </c>
      <c r="N613" s="8">
        <f t="shared" si="42"/>
        <v>0</v>
      </c>
    </row>
    <row r="614" spans="1:14" x14ac:dyDescent="0.35">
      <c r="A614" s="7">
        <v>60998</v>
      </c>
      <c r="B614" s="7">
        <f t="shared" si="39"/>
        <v>60997</v>
      </c>
      <c r="I614" s="8">
        <f t="shared" si="40"/>
        <v>0</v>
      </c>
      <c r="J614" s="8">
        <f t="shared" si="41"/>
        <v>0</v>
      </c>
      <c r="K614" s="8">
        <f>SUMIFS(His_Operacoes_acoes[Total],His_Operacoes_acoes[Fimmes],Patrimônio!B614,His_Operacoes_acoes[Operação],"JCP")
+ SUMIFS(His_Operacoes_acoes[Total],His_Operacoes_acoes[Fimmes],Patrimônio!B614,His_Operacoes_acoes[Operação],"Divid.")
+ SUMIFS(His_Operacoes_acoes[Total],His_Operacoes_acoes[Fimmes],Patrimônio!B614,His_Operacoes_acoes[Operação],"Bonif.")</f>
        <v>0</v>
      </c>
      <c r="L614" s="8">
        <f>SUMIFS(His_Operacoes_BDRs[Total],His_Operacoes_BDRs[Operação],"Provento",His_Operacoes_BDRs[fimmês],Patrimônio!B614)</f>
        <v>0</v>
      </c>
      <c r="M614" s="8">
        <f>SUMIFS(His_Operacoes_FIIs[Total],His_Operacoes_FIIs[Operação],"Provento",His_Operacoes_FIIs[fimmês],Patrimônio!B614)</f>
        <v>0</v>
      </c>
      <c r="N614" s="8">
        <f t="shared" si="42"/>
        <v>0</v>
      </c>
    </row>
    <row r="615" spans="1:14" x14ac:dyDescent="0.35">
      <c r="A615" s="7">
        <v>61029</v>
      </c>
      <c r="B615" s="7">
        <f t="shared" si="39"/>
        <v>61028</v>
      </c>
      <c r="I615" s="8">
        <f t="shared" si="40"/>
        <v>0</v>
      </c>
      <c r="J615" s="8">
        <f t="shared" si="41"/>
        <v>0</v>
      </c>
      <c r="K615" s="8">
        <f>SUMIFS(His_Operacoes_acoes[Total],His_Operacoes_acoes[Fimmes],Patrimônio!B615,His_Operacoes_acoes[Operação],"JCP")
+ SUMIFS(His_Operacoes_acoes[Total],His_Operacoes_acoes[Fimmes],Patrimônio!B615,His_Operacoes_acoes[Operação],"Divid.")
+ SUMIFS(His_Operacoes_acoes[Total],His_Operacoes_acoes[Fimmes],Patrimônio!B615,His_Operacoes_acoes[Operação],"Bonif.")</f>
        <v>0</v>
      </c>
      <c r="L615" s="8">
        <f>SUMIFS(His_Operacoes_BDRs[Total],His_Operacoes_BDRs[Operação],"Provento",His_Operacoes_BDRs[fimmês],Patrimônio!B615)</f>
        <v>0</v>
      </c>
      <c r="M615" s="8">
        <f>SUMIFS(His_Operacoes_FIIs[Total],His_Operacoes_FIIs[Operação],"Provento",His_Operacoes_FIIs[fimmês],Patrimônio!B615)</f>
        <v>0</v>
      </c>
      <c r="N615" s="8">
        <f t="shared" si="42"/>
        <v>0</v>
      </c>
    </row>
    <row r="616" spans="1:14" x14ac:dyDescent="0.35">
      <c r="A616" s="7">
        <v>61057</v>
      </c>
      <c r="B616" s="7">
        <f t="shared" si="39"/>
        <v>61056</v>
      </c>
      <c r="I616" s="8">
        <f t="shared" si="40"/>
        <v>0</v>
      </c>
      <c r="J616" s="8">
        <f t="shared" si="41"/>
        <v>0</v>
      </c>
      <c r="K616" s="8">
        <f>SUMIFS(His_Operacoes_acoes[Total],His_Operacoes_acoes[Fimmes],Patrimônio!B616,His_Operacoes_acoes[Operação],"JCP")
+ SUMIFS(His_Operacoes_acoes[Total],His_Operacoes_acoes[Fimmes],Patrimônio!B616,His_Operacoes_acoes[Operação],"Divid.")
+ SUMIFS(His_Operacoes_acoes[Total],His_Operacoes_acoes[Fimmes],Patrimônio!B616,His_Operacoes_acoes[Operação],"Bonif.")</f>
        <v>0</v>
      </c>
      <c r="L616" s="8">
        <f>SUMIFS(His_Operacoes_BDRs[Total],His_Operacoes_BDRs[Operação],"Provento",His_Operacoes_BDRs[fimmês],Patrimônio!B616)</f>
        <v>0</v>
      </c>
      <c r="M616" s="8">
        <f>SUMIFS(His_Operacoes_FIIs[Total],His_Operacoes_FIIs[Operação],"Provento",His_Operacoes_FIIs[fimmês],Patrimônio!B616)</f>
        <v>0</v>
      </c>
      <c r="N616" s="8">
        <f t="shared" si="42"/>
        <v>0</v>
      </c>
    </row>
    <row r="617" spans="1:14" x14ac:dyDescent="0.35">
      <c r="A617" s="7">
        <v>61088</v>
      </c>
      <c r="B617" s="7">
        <f t="shared" si="39"/>
        <v>61087</v>
      </c>
      <c r="I617" s="8">
        <f t="shared" si="40"/>
        <v>0</v>
      </c>
      <c r="J617" s="8">
        <f t="shared" si="41"/>
        <v>0</v>
      </c>
      <c r="K617" s="8">
        <f>SUMIFS(His_Operacoes_acoes[Total],His_Operacoes_acoes[Fimmes],Patrimônio!B617,His_Operacoes_acoes[Operação],"JCP")
+ SUMIFS(His_Operacoes_acoes[Total],His_Operacoes_acoes[Fimmes],Patrimônio!B617,His_Operacoes_acoes[Operação],"Divid.")
+ SUMIFS(His_Operacoes_acoes[Total],His_Operacoes_acoes[Fimmes],Patrimônio!B617,His_Operacoes_acoes[Operação],"Bonif.")</f>
        <v>0</v>
      </c>
      <c r="L617" s="8">
        <f>SUMIFS(His_Operacoes_BDRs[Total],His_Operacoes_BDRs[Operação],"Provento",His_Operacoes_BDRs[fimmês],Patrimônio!B617)</f>
        <v>0</v>
      </c>
      <c r="M617" s="8">
        <f>SUMIFS(His_Operacoes_FIIs[Total],His_Operacoes_FIIs[Operação],"Provento",His_Operacoes_FIIs[fimmês],Patrimônio!B617)</f>
        <v>0</v>
      </c>
      <c r="N617" s="8">
        <f t="shared" si="42"/>
        <v>0</v>
      </c>
    </row>
    <row r="618" spans="1:14" x14ac:dyDescent="0.35">
      <c r="A618" s="7">
        <v>61118</v>
      </c>
      <c r="B618" s="7">
        <f t="shared" si="39"/>
        <v>61117</v>
      </c>
      <c r="I618" s="8">
        <f t="shared" si="40"/>
        <v>0</v>
      </c>
      <c r="J618" s="8">
        <f t="shared" si="41"/>
        <v>0</v>
      </c>
      <c r="K618" s="8">
        <f>SUMIFS(His_Operacoes_acoes[Total],His_Operacoes_acoes[Fimmes],Patrimônio!B618,His_Operacoes_acoes[Operação],"JCP")
+ SUMIFS(His_Operacoes_acoes[Total],His_Operacoes_acoes[Fimmes],Patrimônio!B618,His_Operacoes_acoes[Operação],"Divid.")
+ SUMIFS(His_Operacoes_acoes[Total],His_Operacoes_acoes[Fimmes],Patrimônio!B618,His_Operacoes_acoes[Operação],"Bonif.")</f>
        <v>0</v>
      </c>
      <c r="L618" s="8">
        <f>SUMIFS(His_Operacoes_BDRs[Total],His_Operacoes_BDRs[Operação],"Provento",His_Operacoes_BDRs[fimmês],Patrimônio!B618)</f>
        <v>0</v>
      </c>
      <c r="M618" s="8">
        <f>SUMIFS(His_Operacoes_FIIs[Total],His_Operacoes_FIIs[Operação],"Provento",His_Operacoes_FIIs[fimmês],Patrimônio!B618)</f>
        <v>0</v>
      </c>
      <c r="N618" s="8">
        <f t="shared" si="42"/>
        <v>0</v>
      </c>
    </row>
    <row r="619" spans="1:14" x14ac:dyDescent="0.35">
      <c r="A619" s="7">
        <v>61149</v>
      </c>
      <c r="B619" s="7">
        <f t="shared" si="39"/>
        <v>61148</v>
      </c>
      <c r="I619" s="8">
        <f t="shared" si="40"/>
        <v>0</v>
      </c>
      <c r="J619" s="8">
        <f t="shared" si="41"/>
        <v>0</v>
      </c>
      <c r="K619" s="8">
        <f>SUMIFS(His_Operacoes_acoes[Total],His_Operacoes_acoes[Fimmes],Patrimônio!B619,His_Operacoes_acoes[Operação],"JCP")
+ SUMIFS(His_Operacoes_acoes[Total],His_Operacoes_acoes[Fimmes],Patrimônio!B619,His_Operacoes_acoes[Operação],"Divid.")
+ SUMIFS(His_Operacoes_acoes[Total],His_Operacoes_acoes[Fimmes],Patrimônio!B619,His_Operacoes_acoes[Operação],"Bonif.")</f>
        <v>0</v>
      </c>
      <c r="L619" s="8">
        <f>SUMIFS(His_Operacoes_BDRs[Total],His_Operacoes_BDRs[Operação],"Provento",His_Operacoes_BDRs[fimmês],Patrimônio!B619)</f>
        <v>0</v>
      </c>
      <c r="M619" s="8">
        <f>SUMIFS(His_Operacoes_FIIs[Total],His_Operacoes_FIIs[Operação],"Provento",His_Operacoes_FIIs[fimmês],Patrimônio!B619)</f>
        <v>0</v>
      </c>
      <c r="N619" s="8">
        <f t="shared" si="42"/>
        <v>0</v>
      </c>
    </row>
    <row r="620" spans="1:14" x14ac:dyDescent="0.35">
      <c r="A620" s="7">
        <v>61179</v>
      </c>
      <c r="B620" s="7">
        <f t="shared" si="39"/>
        <v>61178</v>
      </c>
      <c r="I620" s="8">
        <f t="shared" si="40"/>
        <v>0</v>
      </c>
      <c r="J620" s="8">
        <f t="shared" si="41"/>
        <v>0</v>
      </c>
      <c r="K620" s="8">
        <f>SUMIFS(His_Operacoes_acoes[Total],His_Operacoes_acoes[Fimmes],Patrimônio!B620,His_Operacoes_acoes[Operação],"JCP")
+ SUMIFS(His_Operacoes_acoes[Total],His_Operacoes_acoes[Fimmes],Patrimônio!B620,His_Operacoes_acoes[Operação],"Divid.")
+ SUMIFS(His_Operacoes_acoes[Total],His_Operacoes_acoes[Fimmes],Patrimônio!B620,His_Operacoes_acoes[Operação],"Bonif.")</f>
        <v>0</v>
      </c>
      <c r="L620" s="8">
        <f>SUMIFS(His_Operacoes_BDRs[Total],His_Operacoes_BDRs[Operação],"Provento",His_Operacoes_BDRs[fimmês],Patrimônio!B620)</f>
        <v>0</v>
      </c>
      <c r="M620" s="8">
        <f>SUMIFS(His_Operacoes_FIIs[Total],His_Operacoes_FIIs[Operação],"Provento",His_Operacoes_FIIs[fimmês],Patrimônio!B620)</f>
        <v>0</v>
      </c>
      <c r="N620" s="8">
        <f t="shared" si="42"/>
        <v>0</v>
      </c>
    </row>
    <row r="621" spans="1:14" x14ac:dyDescent="0.35">
      <c r="A621" s="7">
        <v>61210</v>
      </c>
      <c r="B621" s="7">
        <f t="shared" si="39"/>
        <v>61209</v>
      </c>
      <c r="I621" s="8">
        <f t="shared" si="40"/>
        <v>0</v>
      </c>
      <c r="J621" s="8">
        <f t="shared" si="41"/>
        <v>0</v>
      </c>
      <c r="K621" s="8">
        <f>SUMIFS(His_Operacoes_acoes[Total],His_Operacoes_acoes[Fimmes],Patrimônio!B621,His_Operacoes_acoes[Operação],"JCP")
+ SUMIFS(His_Operacoes_acoes[Total],His_Operacoes_acoes[Fimmes],Patrimônio!B621,His_Operacoes_acoes[Operação],"Divid.")
+ SUMIFS(His_Operacoes_acoes[Total],His_Operacoes_acoes[Fimmes],Patrimônio!B621,His_Operacoes_acoes[Operação],"Bonif.")</f>
        <v>0</v>
      </c>
      <c r="L621" s="8">
        <f>SUMIFS(His_Operacoes_BDRs[Total],His_Operacoes_BDRs[Operação],"Provento",His_Operacoes_BDRs[fimmês],Patrimônio!B621)</f>
        <v>0</v>
      </c>
      <c r="M621" s="8">
        <f>SUMIFS(His_Operacoes_FIIs[Total],His_Operacoes_FIIs[Operação],"Provento",His_Operacoes_FIIs[fimmês],Patrimônio!B621)</f>
        <v>0</v>
      </c>
      <c r="N621" s="8">
        <f t="shared" si="42"/>
        <v>0</v>
      </c>
    </row>
    <row r="622" spans="1:14" x14ac:dyDescent="0.35">
      <c r="A622" s="7">
        <v>61241</v>
      </c>
      <c r="B622" s="7">
        <f t="shared" si="39"/>
        <v>61240</v>
      </c>
      <c r="I622" s="8">
        <f t="shared" si="40"/>
        <v>0</v>
      </c>
      <c r="J622" s="8">
        <f t="shared" si="41"/>
        <v>0</v>
      </c>
      <c r="K622" s="8">
        <f>SUMIFS(His_Operacoes_acoes[Total],His_Operacoes_acoes[Fimmes],Patrimônio!B622,His_Operacoes_acoes[Operação],"JCP")
+ SUMIFS(His_Operacoes_acoes[Total],His_Operacoes_acoes[Fimmes],Patrimônio!B622,His_Operacoes_acoes[Operação],"Divid.")
+ SUMIFS(His_Operacoes_acoes[Total],His_Operacoes_acoes[Fimmes],Patrimônio!B622,His_Operacoes_acoes[Operação],"Bonif.")</f>
        <v>0</v>
      </c>
      <c r="L622" s="8">
        <f>SUMIFS(His_Operacoes_BDRs[Total],His_Operacoes_BDRs[Operação],"Provento",His_Operacoes_BDRs[fimmês],Patrimônio!B622)</f>
        <v>0</v>
      </c>
      <c r="M622" s="8">
        <f>SUMIFS(His_Operacoes_FIIs[Total],His_Operacoes_FIIs[Operação],"Provento",His_Operacoes_FIIs[fimmês],Patrimônio!B622)</f>
        <v>0</v>
      </c>
      <c r="N622" s="8">
        <f t="shared" si="42"/>
        <v>0</v>
      </c>
    </row>
    <row r="623" spans="1:14" x14ac:dyDescent="0.35">
      <c r="A623" s="7">
        <v>61271</v>
      </c>
      <c r="B623" s="7">
        <f t="shared" si="39"/>
        <v>61270</v>
      </c>
      <c r="I623" s="8">
        <f t="shared" si="40"/>
        <v>0</v>
      </c>
      <c r="J623" s="8">
        <f t="shared" si="41"/>
        <v>0</v>
      </c>
      <c r="K623" s="8">
        <f>SUMIFS(His_Operacoes_acoes[Total],His_Operacoes_acoes[Fimmes],Patrimônio!B623,His_Operacoes_acoes[Operação],"JCP")
+ SUMIFS(His_Operacoes_acoes[Total],His_Operacoes_acoes[Fimmes],Patrimônio!B623,His_Operacoes_acoes[Operação],"Divid.")
+ SUMIFS(His_Operacoes_acoes[Total],His_Operacoes_acoes[Fimmes],Patrimônio!B623,His_Operacoes_acoes[Operação],"Bonif.")</f>
        <v>0</v>
      </c>
      <c r="L623" s="8">
        <f>SUMIFS(His_Operacoes_BDRs[Total],His_Operacoes_BDRs[Operação],"Provento",His_Operacoes_BDRs[fimmês],Patrimônio!B623)</f>
        <v>0</v>
      </c>
      <c r="M623" s="8">
        <f>SUMIFS(His_Operacoes_FIIs[Total],His_Operacoes_FIIs[Operação],"Provento",His_Operacoes_FIIs[fimmês],Patrimônio!B623)</f>
        <v>0</v>
      </c>
      <c r="N623" s="8">
        <f t="shared" si="42"/>
        <v>0</v>
      </c>
    </row>
    <row r="624" spans="1:14" x14ac:dyDescent="0.35">
      <c r="A624" s="7">
        <v>61302</v>
      </c>
      <c r="B624" s="7">
        <f t="shared" si="39"/>
        <v>61301</v>
      </c>
      <c r="I624" s="8">
        <f t="shared" si="40"/>
        <v>0</v>
      </c>
      <c r="J624" s="8">
        <f t="shared" si="41"/>
        <v>0</v>
      </c>
      <c r="K624" s="8">
        <f>SUMIFS(His_Operacoes_acoes[Total],His_Operacoes_acoes[Fimmes],Patrimônio!B624,His_Operacoes_acoes[Operação],"JCP")
+ SUMIFS(His_Operacoes_acoes[Total],His_Operacoes_acoes[Fimmes],Patrimônio!B624,His_Operacoes_acoes[Operação],"Divid.")
+ SUMIFS(His_Operacoes_acoes[Total],His_Operacoes_acoes[Fimmes],Patrimônio!B624,His_Operacoes_acoes[Operação],"Bonif.")</f>
        <v>0</v>
      </c>
      <c r="L624" s="8">
        <f>SUMIFS(His_Operacoes_BDRs[Total],His_Operacoes_BDRs[Operação],"Provento",His_Operacoes_BDRs[fimmês],Patrimônio!B624)</f>
        <v>0</v>
      </c>
      <c r="M624" s="8">
        <f>SUMIFS(His_Operacoes_FIIs[Total],His_Operacoes_FIIs[Operação],"Provento",His_Operacoes_FIIs[fimmês],Patrimônio!B624)</f>
        <v>0</v>
      </c>
      <c r="N624" s="8">
        <f t="shared" si="42"/>
        <v>0</v>
      </c>
    </row>
    <row r="625" spans="1:14" x14ac:dyDescent="0.35">
      <c r="A625" s="7">
        <v>61332</v>
      </c>
      <c r="B625" s="7">
        <f t="shared" si="39"/>
        <v>61331</v>
      </c>
      <c r="I625" s="8">
        <f t="shared" si="40"/>
        <v>0</v>
      </c>
      <c r="J625" s="8">
        <f t="shared" si="41"/>
        <v>0</v>
      </c>
      <c r="K625" s="8">
        <f>SUMIFS(His_Operacoes_acoes[Total],His_Operacoes_acoes[Fimmes],Patrimônio!B625,His_Operacoes_acoes[Operação],"JCP")
+ SUMIFS(His_Operacoes_acoes[Total],His_Operacoes_acoes[Fimmes],Patrimônio!B625,His_Operacoes_acoes[Operação],"Divid.")
+ SUMIFS(His_Operacoes_acoes[Total],His_Operacoes_acoes[Fimmes],Patrimônio!B625,His_Operacoes_acoes[Operação],"Bonif.")</f>
        <v>0</v>
      </c>
      <c r="L625" s="8">
        <f>SUMIFS(His_Operacoes_BDRs[Total],His_Operacoes_BDRs[Operação],"Provento",His_Operacoes_BDRs[fimmês],Patrimônio!B625)</f>
        <v>0</v>
      </c>
      <c r="M625" s="8">
        <f>SUMIFS(His_Operacoes_FIIs[Total],His_Operacoes_FIIs[Operação],"Provento",His_Operacoes_FIIs[fimmês],Patrimônio!B625)</f>
        <v>0</v>
      </c>
      <c r="N625" s="8">
        <f t="shared" si="42"/>
        <v>0</v>
      </c>
    </row>
    <row r="626" spans="1:14" x14ac:dyDescent="0.35">
      <c r="A626" s="7">
        <v>61363</v>
      </c>
      <c r="B626" s="7">
        <f t="shared" si="39"/>
        <v>61362</v>
      </c>
      <c r="I626" s="8">
        <f t="shared" si="40"/>
        <v>0</v>
      </c>
      <c r="J626" s="8">
        <f t="shared" si="41"/>
        <v>0</v>
      </c>
      <c r="K626" s="8">
        <f>SUMIFS(His_Operacoes_acoes[Total],His_Operacoes_acoes[Fimmes],Patrimônio!B626,His_Operacoes_acoes[Operação],"JCP")
+ SUMIFS(His_Operacoes_acoes[Total],His_Operacoes_acoes[Fimmes],Patrimônio!B626,His_Operacoes_acoes[Operação],"Divid.")
+ SUMIFS(His_Operacoes_acoes[Total],His_Operacoes_acoes[Fimmes],Patrimônio!B626,His_Operacoes_acoes[Operação],"Bonif.")</f>
        <v>0</v>
      </c>
      <c r="L626" s="8">
        <f>SUMIFS(His_Operacoes_BDRs[Total],His_Operacoes_BDRs[Operação],"Provento",His_Operacoes_BDRs[fimmês],Patrimônio!B626)</f>
        <v>0</v>
      </c>
      <c r="M626" s="8">
        <f>SUMIFS(His_Operacoes_FIIs[Total],His_Operacoes_FIIs[Operação],"Provento",His_Operacoes_FIIs[fimmês],Patrimônio!B626)</f>
        <v>0</v>
      </c>
      <c r="N626" s="8">
        <f t="shared" si="42"/>
        <v>0</v>
      </c>
    </row>
    <row r="627" spans="1:14" x14ac:dyDescent="0.35">
      <c r="A627" s="7">
        <v>61394</v>
      </c>
      <c r="B627" s="7">
        <f t="shared" si="39"/>
        <v>61393</v>
      </c>
      <c r="I627" s="8">
        <f t="shared" si="40"/>
        <v>0</v>
      </c>
      <c r="J627" s="8">
        <f t="shared" si="41"/>
        <v>0</v>
      </c>
      <c r="K627" s="8">
        <f>SUMIFS(His_Operacoes_acoes[Total],His_Operacoes_acoes[Fimmes],Patrimônio!B627,His_Operacoes_acoes[Operação],"JCP")
+ SUMIFS(His_Operacoes_acoes[Total],His_Operacoes_acoes[Fimmes],Patrimônio!B627,His_Operacoes_acoes[Operação],"Divid.")
+ SUMIFS(His_Operacoes_acoes[Total],His_Operacoes_acoes[Fimmes],Patrimônio!B627,His_Operacoes_acoes[Operação],"Bonif.")</f>
        <v>0</v>
      </c>
      <c r="L627" s="8">
        <f>SUMIFS(His_Operacoes_BDRs[Total],His_Operacoes_BDRs[Operação],"Provento",His_Operacoes_BDRs[fimmês],Patrimônio!B627)</f>
        <v>0</v>
      </c>
      <c r="M627" s="8">
        <f>SUMIFS(His_Operacoes_FIIs[Total],His_Operacoes_FIIs[Operação],"Provento",His_Operacoes_FIIs[fimmês],Patrimônio!B627)</f>
        <v>0</v>
      </c>
      <c r="N627" s="8">
        <f t="shared" si="42"/>
        <v>0</v>
      </c>
    </row>
    <row r="628" spans="1:14" x14ac:dyDescent="0.35">
      <c r="A628" s="7">
        <v>61423</v>
      </c>
      <c r="B628" s="7">
        <f t="shared" si="39"/>
        <v>61422</v>
      </c>
      <c r="I628" s="8">
        <f t="shared" si="40"/>
        <v>0</v>
      </c>
      <c r="J628" s="8">
        <f t="shared" si="41"/>
        <v>0</v>
      </c>
      <c r="K628" s="8">
        <f>SUMIFS(His_Operacoes_acoes[Total],His_Operacoes_acoes[Fimmes],Patrimônio!B628,His_Operacoes_acoes[Operação],"JCP")
+ SUMIFS(His_Operacoes_acoes[Total],His_Operacoes_acoes[Fimmes],Patrimônio!B628,His_Operacoes_acoes[Operação],"Divid.")
+ SUMIFS(His_Operacoes_acoes[Total],His_Operacoes_acoes[Fimmes],Patrimônio!B628,His_Operacoes_acoes[Operação],"Bonif.")</f>
        <v>0</v>
      </c>
      <c r="L628" s="8">
        <f>SUMIFS(His_Operacoes_BDRs[Total],His_Operacoes_BDRs[Operação],"Provento",His_Operacoes_BDRs[fimmês],Patrimônio!B628)</f>
        <v>0</v>
      </c>
      <c r="M628" s="8">
        <f>SUMIFS(His_Operacoes_FIIs[Total],His_Operacoes_FIIs[Operação],"Provento",His_Operacoes_FIIs[fimmês],Patrimônio!B628)</f>
        <v>0</v>
      </c>
      <c r="N628" s="8">
        <f t="shared" si="42"/>
        <v>0</v>
      </c>
    </row>
    <row r="629" spans="1:14" x14ac:dyDescent="0.35">
      <c r="A629" s="7">
        <v>61454</v>
      </c>
      <c r="B629" s="7">
        <f t="shared" si="39"/>
        <v>61453</v>
      </c>
      <c r="I629" s="8">
        <f t="shared" si="40"/>
        <v>0</v>
      </c>
      <c r="J629" s="8">
        <f t="shared" si="41"/>
        <v>0</v>
      </c>
      <c r="K629" s="8">
        <f>SUMIFS(His_Operacoes_acoes[Total],His_Operacoes_acoes[Fimmes],Patrimônio!B629,His_Operacoes_acoes[Operação],"JCP")
+ SUMIFS(His_Operacoes_acoes[Total],His_Operacoes_acoes[Fimmes],Patrimônio!B629,His_Operacoes_acoes[Operação],"Divid.")
+ SUMIFS(His_Operacoes_acoes[Total],His_Operacoes_acoes[Fimmes],Patrimônio!B629,His_Operacoes_acoes[Operação],"Bonif.")</f>
        <v>0</v>
      </c>
      <c r="L629" s="8">
        <f>SUMIFS(His_Operacoes_BDRs[Total],His_Operacoes_BDRs[Operação],"Provento",His_Operacoes_BDRs[fimmês],Patrimônio!B629)</f>
        <v>0</v>
      </c>
      <c r="M629" s="8">
        <f>SUMIFS(His_Operacoes_FIIs[Total],His_Operacoes_FIIs[Operação],"Provento",His_Operacoes_FIIs[fimmês],Patrimônio!B629)</f>
        <v>0</v>
      </c>
      <c r="N629" s="8">
        <f t="shared" si="42"/>
        <v>0</v>
      </c>
    </row>
    <row r="630" spans="1:14" x14ac:dyDescent="0.35">
      <c r="A630" s="7">
        <v>61484</v>
      </c>
      <c r="B630" s="7">
        <f t="shared" si="39"/>
        <v>61483</v>
      </c>
      <c r="I630" s="8">
        <f t="shared" si="40"/>
        <v>0</v>
      </c>
      <c r="J630" s="8">
        <f t="shared" si="41"/>
        <v>0</v>
      </c>
      <c r="K630" s="8">
        <f>SUMIFS(His_Operacoes_acoes[Total],His_Operacoes_acoes[Fimmes],Patrimônio!B630,His_Operacoes_acoes[Operação],"JCP")
+ SUMIFS(His_Operacoes_acoes[Total],His_Operacoes_acoes[Fimmes],Patrimônio!B630,His_Operacoes_acoes[Operação],"Divid.")
+ SUMIFS(His_Operacoes_acoes[Total],His_Operacoes_acoes[Fimmes],Patrimônio!B630,His_Operacoes_acoes[Operação],"Bonif.")</f>
        <v>0</v>
      </c>
      <c r="L630" s="8">
        <f>SUMIFS(His_Operacoes_BDRs[Total],His_Operacoes_BDRs[Operação],"Provento",His_Operacoes_BDRs[fimmês],Patrimônio!B630)</f>
        <v>0</v>
      </c>
      <c r="M630" s="8">
        <f>SUMIFS(His_Operacoes_FIIs[Total],His_Operacoes_FIIs[Operação],"Provento",His_Operacoes_FIIs[fimmês],Patrimônio!B630)</f>
        <v>0</v>
      </c>
      <c r="N630" s="8">
        <f t="shared" si="42"/>
        <v>0</v>
      </c>
    </row>
    <row r="631" spans="1:14" x14ac:dyDescent="0.35">
      <c r="A631" s="7">
        <v>61515</v>
      </c>
      <c r="B631" s="7">
        <f t="shared" si="39"/>
        <v>61514</v>
      </c>
      <c r="I631" s="8">
        <f t="shared" si="40"/>
        <v>0</v>
      </c>
      <c r="J631" s="8">
        <f t="shared" si="41"/>
        <v>0</v>
      </c>
      <c r="K631" s="8">
        <f>SUMIFS(His_Operacoes_acoes[Total],His_Operacoes_acoes[Fimmes],Patrimônio!B631,His_Operacoes_acoes[Operação],"JCP")
+ SUMIFS(His_Operacoes_acoes[Total],His_Operacoes_acoes[Fimmes],Patrimônio!B631,His_Operacoes_acoes[Operação],"Divid.")
+ SUMIFS(His_Operacoes_acoes[Total],His_Operacoes_acoes[Fimmes],Patrimônio!B631,His_Operacoes_acoes[Operação],"Bonif.")</f>
        <v>0</v>
      </c>
      <c r="L631" s="8">
        <f>SUMIFS(His_Operacoes_BDRs[Total],His_Operacoes_BDRs[Operação],"Provento",His_Operacoes_BDRs[fimmês],Patrimônio!B631)</f>
        <v>0</v>
      </c>
      <c r="M631" s="8">
        <f>SUMIFS(His_Operacoes_FIIs[Total],His_Operacoes_FIIs[Operação],"Provento",His_Operacoes_FIIs[fimmês],Patrimônio!B631)</f>
        <v>0</v>
      </c>
      <c r="N631" s="8">
        <f t="shared" si="42"/>
        <v>0</v>
      </c>
    </row>
    <row r="632" spans="1:14" x14ac:dyDescent="0.35">
      <c r="A632" s="7">
        <v>61545</v>
      </c>
      <c r="B632" s="7">
        <f t="shared" si="39"/>
        <v>61544</v>
      </c>
      <c r="I632" s="8">
        <f t="shared" si="40"/>
        <v>0</v>
      </c>
      <c r="J632" s="8">
        <f t="shared" si="41"/>
        <v>0</v>
      </c>
      <c r="K632" s="8">
        <f>SUMIFS(His_Operacoes_acoes[Total],His_Operacoes_acoes[Fimmes],Patrimônio!B632,His_Operacoes_acoes[Operação],"JCP")
+ SUMIFS(His_Operacoes_acoes[Total],His_Operacoes_acoes[Fimmes],Patrimônio!B632,His_Operacoes_acoes[Operação],"Divid.")
+ SUMIFS(His_Operacoes_acoes[Total],His_Operacoes_acoes[Fimmes],Patrimônio!B632,His_Operacoes_acoes[Operação],"Bonif.")</f>
        <v>0</v>
      </c>
      <c r="L632" s="8">
        <f>SUMIFS(His_Operacoes_BDRs[Total],His_Operacoes_BDRs[Operação],"Provento",His_Operacoes_BDRs[fimmês],Patrimônio!B632)</f>
        <v>0</v>
      </c>
      <c r="M632" s="8">
        <f>SUMIFS(His_Operacoes_FIIs[Total],His_Operacoes_FIIs[Operação],"Provento",His_Operacoes_FIIs[fimmês],Patrimônio!B632)</f>
        <v>0</v>
      </c>
      <c r="N632" s="8">
        <f t="shared" si="42"/>
        <v>0</v>
      </c>
    </row>
    <row r="633" spans="1:14" x14ac:dyDescent="0.35">
      <c r="A633" s="7">
        <v>61576</v>
      </c>
      <c r="B633" s="7">
        <f t="shared" si="39"/>
        <v>61575</v>
      </c>
      <c r="I633" s="8">
        <f t="shared" si="40"/>
        <v>0</v>
      </c>
      <c r="J633" s="8">
        <f t="shared" si="41"/>
        <v>0</v>
      </c>
      <c r="K633" s="8">
        <f>SUMIFS(His_Operacoes_acoes[Total],His_Operacoes_acoes[Fimmes],Patrimônio!B633,His_Operacoes_acoes[Operação],"JCP")
+ SUMIFS(His_Operacoes_acoes[Total],His_Operacoes_acoes[Fimmes],Patrimônio!B633,His_Operacoes_acoes[Operação],"Divid.")
+ SUMIFS(His_Operacoes_acoes[Total],His_Operacoes_acoes[Fimmes],Patrimônio!B633,His_Operacoes_acoes[Operação],"Bonif.")</f>
        <v>0</v>
      </c>
      <c r="L633" s="8">
        <f>SUMIFS(His_Operacoes_BDRs[Total],His_Operacoes_BDRs[Operação],"Provento",His_Operacoes_BDRs[fimmês],Patrimônio!B633)</f>
        <v>0</v>
      </c>
      <c r="M633" s="8">
        <f>SUMIFS(His_Operacoes_FIIs[Total],His_Operacoes_FIIs[Operação],"Provento",His_Operacoes_FIIs[fimmês],Patrimônio!B633)</f>
        <v>0</v>
      </c>
      <c r="N633" s="8">
        <f t="shared" si="42"/>
        <v>0</v>
      </c>
    </row>
    <row r="634" spans="1:14" x14ac:dyDescent="0.35">
      <c r="A634" s="7">
        <v>61607</v>
      </c>
      <c r="B634" s="7">
        <f t="shared" si="39"/>
        <v>61606</v>
      </c>
      <c r="I634" s="8">
        <f t="shared" si="40"/>
        <v>0</v>
      </c>
      <c r="J634" s="8">
        <f t="shared" si="41"/>
        <v>0</v>
      </c>
      <c r="K634" s="8">
        <f>SUMIFS(His_Operacoes_acoes[Total],His_Operacoes_acoes[Fimmes],Patrimônio!B634,His_Operacoes_acoes[Operação],"JCP")
+ SUMIFS(His_Operacoes_acoes[Total],His_Operacoes_acoes[Fimmes],Patrimônio!B634,His_Operacoes_acoes[Operação],"Divid.")
+ SUMIFS(His_Operacoes_acoes[Total],His_Operacoes_acoes[Fimmes],Patrimônio!B634,His_Operacoes_acoes[Operação],"Bonif.")</f>
        <v>0</v>
      </c>
      <c r="L634" s="8">
        <f>SUMIFS(His_Operacoes_BDRs[Total],His_Operacoes_BDRs[Operação],"Provento",His_Operacoes_BDRs[fimmês],Patrimônio!B634)</f>
        <v>0</v>
      </c>
      <c r="M634" s="8">
        <f>SUMIFS(His_Operacoes_FIIs[Total],His_Operacoes_FIIs[Operação],"Provento",His_Operacoes_FIIs[fimmês],Patrimônio!B634)</f>
        <v>0</v>
      </c>
      <c r="N634" s="8">
        <f t="shared" si="42"/>
        <v>0</v>
      </c>
    </row>
    <row r="635" spans="1:14" x14ac:dyDescent="0.35">
      <c r="A635" s="7">
        <v>61637</v>
      </c>
      <c r="B635" s="7">
        <f t="shared" si="39"/>
        <v>61636</v>
      </c>
      <c r="I635" s="8">
        <f t="shared" si="40"/>
        <v>0</v>
      </c>
      <c r="J635" s="8">
        <f t="shared" si="41"/>
        <v>0</v>
      </c>
      <c r="K635" s="8">
        <f>SUMIFS(His_Operacoes_acoes[Total],His_Operacoes_acoes[Fimmes],Patrimônio!B635,His_Operacoes_acoes[Operação],"JCP")
+ SUMIFS(His_Operacoes_acoes[Total],His_Operacoes_acoes[Fimmes],Patrimônio!B635,His_Operacoes_acoes[Operação],"Divid.")
+ SUMIFS(His_Operacoes_acoes[Total],His_Operacoes_acoes[Fimmes],Patrimônio!B635,His_Operacoes_acoes[Operação],"Bonif.")</f>
        <v>0</v>
      </c>
      <c r="L635" s="8">
        <f>SUMIFS(His_Operacoes_BDRs[Total],His_Operacoes_BDRs[Operação],"Provento",His_Operacoes_BDRs[fimmês],Patrimônio!B635)</f>
        <v>0</v>
      </c>
      <c r="M635" s="8">
        <f>SUMIFS(His_Operacoes_FIIs[Total],His_Operacoes_FIIs[Operação],"Provento",His_Operacoes_FIIs[fimmês],Patrimônio!B635)</f>
        <v>0</v>
      </c>
      <c r="N635" s="8">
        <f t="shared" si="42"/>
        <v>0</v>
      </c>
    </row>
    <row r="636" spans="1:14" x14ac:dyDescent="0.35">
      <c r="A636" s="7">
        <v>61668</v>
      </c>
      <c r="B636" s="7">
        <f t="shared" si="39"/>
        <v>61667</v>
      </c>
      <c r="I636" s="8">
        <f t="shared" si="40"/>
        <v>0</v>
      </c>
      <c r="J636" s="8">
        <f t="shared" si="41"/>
        <v>0</v>
      </c>
      <c r="K636" s="8">
        <f>SUMIFS(His_Operacoes_acoes[Total],His_Operacoes_acoes[Fimmes],Patrimônio!B636,His_Operacoes_acoes[Operação],"JCP")
+ SUMIFS(His_Operacoes_acoes[Total],His_Operacoes_acoes[Fimmes],Patrimônio!B636,His_Operacoes_acoes[Operação],"Divid.")
+ SUMIFS(His_Operacoes_acoes[Total],His_Operacoes_acoes[Fimmes],Patrimônio!B636,His_Operacoes_acoes[Operação],"Bonif.")</f>
        <v>0</v>
      </c>
      <c r="L636" s="8">
        <f>SUMIFS(His_Operacoes_BDRs[Total],His_Operacoes_BDRs[Operação],"Provento",His_Operacoes_BDRs[fimmês],Patrimônio!B636)</f>
        <v>0</v>
      </c>
      <c r="M636" s="8">
        <f>SUMIFS(His_Operacoes_FIIs[Total],His_Operacoes_FIIs[Operação],"Provento",His_Operacoes_FIIs[fimmês],Patrimônio!B636)</f>
        <v>0</v>
      </c>
      <c r="N636" s="8">
        <f t="shared" si="42"/>
        <v>0</v>
      </c>
    </row>
    <row r="637" spans="1:14" x14ac:dyDescent="0.35">
      <c r="A637" s="7">
        <v>61698</v>
      </c>
      <c r="B637" s="7">
        <f t="shared" si="39"/>
        <v>61697</v>
      </c>
      <c r="I637" s="8">
        <f t="shared" si="40"/>
        <v>0</v>
      </c>
      <c r="J637" s="8">
        <f t="shared" si="41"/>
        <v>0</v>
      </c>
      <c r="K637" s="8">
        <f>SUMIFS(His_Operacoes_acoes[Total],His_Operacoes_acoes[Fimmes],Patrimônio!B637,His_Operacoes_acoes[Operação],"JCP")
+ SUMIFS(His_Operacoes_acoes[Total],His_Operacoes_acoes[Fimmes],Patrimônio!B637,His_Operacoes_acoes[Operação],"Divid.")
+ SUMIFS(His_Operacoes_acoes[Total],His_Operacoes_acoes[Fimmes],Patrimônio!B637,His_Operacoes_acoes[Operação],"Bonif.")</f>
        <v>0</v>
      </c>
      <c r="L637" s="8">
        <f>SUMIFS(His_Operacoes_BDRs[Total],His_Operacoes_BDRs[Operação],"Provento",His_Operacoes_BDRs[fimmês],Patrimônio!B637)</f>
        <v>0</v>
      </c>
      <c r="M637" s="8">
        <f>SUMIFS(His_Operacoes_FIIs[Total],His_Operacoes_FIIs[Operação],"Provento",His_Operacoes_FIIs[fimmês],Patrimônio!B637)</f>
        <v>0</v>
      </c>
      <c r="N637" s="8">
        <f t="shared" si="42"/>
        <v>0</v>
      </c>
    </row>
    <row r="638" spans="1:14" x14ac:dyDescent="0.35">
      <c r="A638" s="7">
        <v>61729</v>
      </c>
      <c r="B638" s="7">
        <f t="shared" si="39"/>
        <v>61728</v>
      </c>
      <c r="I638" s="8">
        <f t="shared" si="40"/>
        <v>0</v>
      </c>
      <c r="J638" s="8">
        <f t="shared" si="41"/>
        <v>0</v>
      </c>
      <c r="K638" s="8">
        <f>SUMIFS(His_Operacoes_acoes[Total],His_Operacoes_acoes[Fimmes],Patrimônio!B638,His_Operacoes_acoes[Operação],"JCP")
+ SUMIFS(His_Operacoes_acoes[Total],His_Operacoes_acoes[Fimmes],Patrimônio!B638,His_Operacoes_acoes[Operação],"Divid.")
+ SUMIFS(His_Operacoes_acoes[Total],His_Operacoes_acoes[Fimmes],Patrimônio!B638,His_Operacoes_acoes[Operação],"Bonif.")</f>
        <v>0</v>
      </c>
      <c r="L638" s="8">
        <f>SUMIFS(His_Operacoes_BDRs[Total],His_Operacoes_BDRs[Operação],"Provento",His_Operacoes_BDRs[fimmês],Patrimônio!B638)</f>
        <v>0</v>
      </c>
      <c r="M638" s="8">
        <f>SUMIFS(His_Operacoes_FIIs[Total],His_Operacoes_FIIs[Operação],"Provento",His_Operacoes_FIIs[fimmês],Patrimônio!B638)</f>
        <v>0</v>
      </c>
      <c r="N638" s="8">
        <f t="shared" si="42"/>
        <v>0</v>
      </c>
    </row>
    <row r="639" spans="1:14" x14ac:dyDescent="0.35">
      <c r="A639" s="7">
        <v>61760</v>
      </c>
      <c r="B639" s="7">
        <f t="shared" si="39"/>
        <v>61759</v>
      </c>
      <c r="I639" s="8">
        <f t="shared" si="40"/>
        <v>0</v>
      </c>
      <c r="J639" s="8">
        <f t="shared" si="41"/>
        <v>0</v>
      </c>
      <c r="K639" s="8">
        <f>SUMIFS(His_Operacoes_acoes[Total],His_Operacoes_acoes[Fimmes],Patrimônio!B639,His_Operacoes_acoes[Operação],"JCP")
+ SUMIFS(His_Operacoes_acoes[Total],His_Operacoes_acoes[Fimmes],Patrimônio!B639,His_Operacoes_acoes[Operação],"Divid.")
+ SUMIFS(His_Operacoes_acoes[Total],His_Operacoes_acoes[Fimmes],Patrimônio!B639,His_Operacoes_acoes[Operação],"Bonif.")</f>
        <v>0</v>
      </c>
      <c r="L639" s="8">
        <f>SUMIFS(His_Operacoes_BDRs[Total],His_Operacoes_BDRs[Operação],"Provento",His_Operacoes_BDRs[fimmês],Patrimônio!B639)</f>
        <v>0</v>
      </c>
      <c r="M639" s="8">
        <f>SUMIFS(His_Operacoes_FIIs[Total],His_Operacoes_FIIs[Operação],"Provento",His_Operacoes_FIIs[fimmês],Patrimônio!B639)</f>
        <v>0</v>
      </c>
      <c r="N639" s="8">
        <f t="shared" si="42"/>
        <v>0</v>
      </c>
    </row>
    <row r="640" spans="1:14" x14ac:dyDescent="0.35">
      <c r="A640" s="7">
        <v>61788</v>
      </c>
      <c r="B640" s="7">
        <f t="shared" si="39"/>
        <v>61787</v>
      </c>
      <c r="I640" s="8">
        <f t="shared" si="40"/>
        <v>0</v>
      </c>
      <c r="J640" s="8">
        <f t="shared" si="41"/>
        <v>0</v>
      </c>
      <c r="K640" s="8">
        <f>SUMIFS(His_Operacoes_acoes[Total],His_Operacoes_acoes[Fimmes],Patrimônio!B640,His_Operacoes_acoes[Operação],"JCP")
+ SUMIFS(His_Operacoes_acoes[Total],His_Operacoes_acoes[Fimmes],Patrimônio!B640,His_Operacoes_acoes[Operação],"Divid.")
+ SUMIFS(His_Operacoes_acoes[Total],His_Operacoes_acoes[Fimmes],Patrimônio!B640,His_Operacoes_acoes[Operação],"Bonif.")</f>
        <v>0</v>
      </c>
      <c r="L640" s="8">
        <f>SUMIFS(His_Operacoes_BDRs[Total],His_Operacoes_BDRs[Operação],"Provento",His_Operacoes_BDRs[fimmês],Patrimônio!B640)</f>
        <v>0</v>
      </c>
      <c r="M640" s="8">
        <f>SUMIFS(His_Operacoes_FIIs[Total],His_Operacoes_FIIs[Operação],"Provento",His_Operacoes_FIIs[fimmês],Patrimônio!B640)</f>
        <v>0</v>
      </c>
      <c r="N640" s="8">
        <f t="shared" si="42"/>
        <v>0</v>
      </c>
    </row>
    <row r="641" spans="1:14" x14ac:dyDescent="0.35">
      <c r="A641" s="7">
        <v>61819</v>
      </c>
      <c r="B641" s="7">
        <f t="shared" si="39"/>
        <v>61818</v>
      </c>
      <c r="I641" s="8">
        <f t="shared" si="40"/>
        <v>0</v>
      </c>
      <c r="J641" s="8">
        <f t="shared" si="41"/>
        <v>0</v>
      </c>
      <c r="K641" s="8">
        <f>SUMIFS(His_Operacoes_acoes[Total],His_Operacoes_acoes[Fimmes],Patrimônio!B641,His_Operacoes_acoes[Operação],"JCP")
+ SUMIFS(His_Operacoes_acoes[Total],His_Operacoes_acoes[Fimmes],Patrimônio!B641,His_Operacoes_acoes[Operação],"Divid.")
+ SUMIFS(His_Operacoes_acoes[Total],His_Operacoes_acoes[Fimmes],Patrimônio!B641,His_Operacoes_acoes[Operação],"Bonif.")</f>
        <v>0</v>
      </c>
      <c r="L641" s="8">
        <f>SUMIFS(His_Operacoes_BDRs[Total],His_Operacoes_BDRs[Operação],"Provento",His_Operacoes_BDRs[fimmês],Patrimônio!B641)</f>
        <v>0</v>
      </c>
      <c r="M641" s="8">
        <f>SUMIFS(His_Operacoes_FIIs[Total],His_Operacoes_FIIs[Operação],"Provento",His_Operacoes_FIIs[fimmês],Patrimônio!B641)</f>
        <v>0</v>
      </c>
      <c r="N641" s="8">
        <f t="shared" si="42"/>
        <v>0</v>
      </c>
    </row>
    <row r="642" spans="1:14" x14ac:dyDescent="0.35">
      <c r="A642" s="7">
        <v>61849</v>
      </c>
      <c r="B642" s="7">
        <f t="shared" si="39"/>
        <v>61848</v>
      </c>
      <c r="I642" s="8">
        <f t="shared" si="40"/>
        <v>0</v>
      </c>
      <c r="J642" s="8">
        <f t="shared" si="41"/>
        <v>0</v>
      </c>
      <c r="K642" s="8">
        <f>SUMIFS(His_Operacoes_acoes[Total],His_Operacoes_acoes[Fimmes],Patrimônio!B642,His_Operacoes_acoes[Operação],"JCP")
+ SUMIFS(His_Operacoes_acoes[Total],His_Operacoes_acoes[Fimmes],Patrimônio!B642,His_Operacoes_acoes[Operação],"Divid.")
+ SUMIFS(His_Operacoes_acoes[Total],His_Operacoes_acoes[Fimmes],Patrimônio!B642,His_Operacoes_acoes[Operação],"Bonif.")</f>
        <v>0</v>
      </c>
      <c r="L642" s="8">
        <f>SUMIFS(His_Operacoes_BDRs[Total],His_Operacoes_BDRs[Operação],"Provento",His_Operacoes_BDRs[fimmês],Patrimônio!B642)</f>
        <v>0</v>
      </c>
      <c r="M642" s="8">
        <f>SUMIFS(His_Operacoes_FIIs[Total],His_Operacoes_FIIs[Operação],"Provento",His_Operacoes_FIIs[fimmês],Patrimônio!B642)</f>
        <v>0</v>
      </c>
      <c r="N642" s="8">
        <f t="shared" si="42"/>
        <v>0</v>
      </c>
    </row>
    <row r="643" spans="1:14" x14ac:dyDescent="0.35">
      <c r="A643" s="7">
        <v>61880</v>
      </c>
      <c r="B643" s="7">
        <f t="shared" ref="B643:B706" si="43">EOMONTH(A643,-1)</f>
        <v>61879</v>
      </c>
      <c r="I643" s="8">
        <f t="shared" ref="I643:I706" si="44">SUM(C643,E643,G643)</f>
        <v>0</v>
      </c>
      <c r="J643" s="8">
        <f t="shared" ref="J643:J706" si="45">SUM(D643,F643,H643)</f>
        <v>0</v>
      </c>
      <c r="K643" s="8">
        <f>SUMIFS(His_Operacoes_acoes[Total],His_Operacoes_acoes[Fimmes],Patrimônio!B643,His_Operacoes_acoes[Operação],"JCP")
+ SUMIFS(His_Operacoes_acoes[Total],His_Operacoes_acoes[Fimmes],Patrimônio!B643,His_Operacoes_acoes[Operação],"Divid.")
+ SUMIFS(His_Operacoes_acoes[Total],His_Operacoes_acoes[Fimmes],Patrimônio!B643,His_Operacoes_acoes[Operação],"Bonif.")</f>
        <v>0</v>
      </c>
      <c r="L643" s="8">
        <f>SUMIFS(His_Operacoes_BDRs[Total],His_Operacoes_BDRs[Operação],"Provento",His_Operacoes_BDRs[fimmês],Patrimônio!B643)</f>
        <v>0</v>
      </c>
      <c r="M643" s="8">
        <f>SUMIFS(His_Operacoes_FIIs[Total],His_Operacoes_FIIs[Operação],"Provento",His_Operacoes_FIIs[fimmês],Patrimônio!B643)</f>
        <v>0</v>
      </c>
      <c r="N643" s="8">
        <f t="shared" ref="N643:N706" si="46">SUM(K643:M643)</f>
        <v>0</v>
      </c>
    </row>
    <row r="644" spans="1:14" x14ac:dyDescent="0.35">
      <c r="A644" s="7">
        <v>61910</v>
      </c>
      <c r="B644" s="7">
        <f t="shared" si="43"/>
        <v>61909</v>
      </c>
      <c r="I644" s="8">
        <f t="shared" si="44"/>
        <v>0</v>
      </c>
      <c r="J644" s="8">
        <f t="shared" si="45"/>
        <v>0</v>
      </c>
      <c r="K644" s="8">
        <f>SUMIFS(His_Operacoes_acoes[Total],His_Operacoes_acoes[Fimmes],Patrimônio!B644,His_Operacoes_acoes[Operação],"JCP")
+ SUMIFS(His_Operacoes_acoes[Total],His_Operacoes_acoes[Fimmes],Patrimônio!B644,His_Operacoes_acoes[Operação],"Divid.")
+ SUMIFS(His_Operacoes_acoes[Total],His_Operacoes_acoes[Fimmes],Patrimônio!B644,His_Operacoes_acoes[Operação],"Bonif.")</f>
        <v>0</v>
      </c>
      <c r="L644" s="8">
        <f>SUMIFS(His_Operacoes_BDRs[Total],His_Operacoes_BDRs[Operação],"Provento",His_Operacoes_BDRs[fimmês],Patrimônio!B644)</f>
        <v>0</v>
      </c>
      <c r="M644" s="8">
        <f>SUMIFS(His_Operacoes_FIIs[Total],His_Operacoes_FIIs[Operação],"Provento",His_Operacoes_FIIs[fimmês],Patrimônio!B644)</f>
        <v>0</v>
      </c>
      <c r="N644" s="8">
        <f t="shared" si="46"/>
        <v>0</v>
      </c>
    </row>
    <row r="645" spans="1:14" x14ac:dyDescent="0.35">
      <c r="A645" s="7">
        <v>61941</v>
      </c>
      <c r="B645" s="7">
        <f t="shared" si="43"/>
        <v>61940</v>
      </c>
      <c r="I645" s="8">
        <f t="shared" si="44"/>
        <v>0</v>
      </c>
      <c r="J645" s="8">
        <f t="shared" si="45"/>
        <v>0</v>
      </c>
      <c r="K645" s="8">
        <f>SUMIFS(His_Operacoes_acoes[Total],His_Operacoes_acoes[Fimmes],Patrimônio!B645,His_Operacoes_acoes[Operação],"JCP")
+ SUMIFS(His_Operacoes_acoes[Total],His_Operacoes_acoes[Fimmes],Patrimônio!B645,His_Operacoes_acoes[Operação],"Divid.")
+ SUMIFS(His_Operacoes_acoes[Total],His_Operacoes_acoes[Fimmes],Patrimônio!B645,His_Operacoes_acoes[Operação],"Bonif.")</f>
        <v>0</v>
      </c>
      <c r="L645" s="8">
        <f>SUMIFS(His_Operacoes_BDRs[Total],His_Operacoes_BDRs[Operação],"Provento",His_Operacoes_BDRs[fimmês],Patrimônio!B645)</f>
        <v>0</v>
      </c>
      <c r="M645" s="8">
        <f>SUMIFS(His_Operacoes_FIIs[Total],His_Operacoes_FIIs[Operação],"Provento",His_Operacoes_FIIs[fimmês],Patrimônio!B645)</f>
        <v>0</v>
      </c>
      <c r="N645" s="8">
        <f t="shared" si="46"/>
        <v>0</v>
      </c>
    </row>
    <row r="646" spans="1:14" x14ac:dyDescent="0.35">
      <c r="A646" s="7">
        <v>61972</v>
      </c>
      <c r="B646" s="7">
        <f t="shared" si="43"/>
        <v>61971</v>
      </c>
      <c r="I646" s="8">
        <f t="shared" si="44"/>
        <v>0</v>
      </c>
      <c r="J646" s="8">
        <f t="shared" si="45"/>
        <v>0</v>
      </c>
      <c r="K646" s="8">
        <f>SUMIFS(His_Operacoes_acoes[Total],His_Operacoes_acoes[Fimmes],Patrimônio!B646,His_Operacoes_acoes[Operação],"JCP")
+ SUMIFS(His_Operacoes_acoes[Total],His_Operacoes_acoes[Fimmes],Patrimônio!B646,His_Operacoes_acoes[Operação],"Divid.")
+ SUMIFS(His_Operacoes_acoes[Total],His_Operacoes_acoes[Fimmes],Patrimônio!B646,His_Operacoes_acoes[Operação],"Bonif.")</f>
        <v>0</v>
      </c>
      <c r="L646" s="8">
        <f>SUMIFS(His_Operacoes_BDRs[Total],His_Operacoes_BDRs[Operação],"Provento",His_Operacoes_BDRs[fimmês],Patrimônio!B646)</f>
        <v>0</v>
      </c>
      <c r="M646" s="8">
        <f>SUMIFS(His_Operacoes_FIIs[Total],His_Operacoes_FIIs[Operação],"Provento",His_Operacoes_FIIs[fimmês],Patrimônio!B646)</f>
        <v>0</v>
      </c>
      <c r="N646" s="8">
        <f t="shared" si="46"/>
        <v>0</v>
      </c>
    </row>
    <row r="647" spans="1:14" x14ac:dyDescent="0.35">
      <c r="A647" s="7">
        <v>62002</v>
      </c>
      <c r="B647" s="7">
        <f t="shared" si="43"/>
        <v>62001</v>
      </c>
      <c r="I647" s="8">
        <f t="shared" si="44"/>
        <v>0</v>
      </c>
      <c r="J647" s="8">
        <f t="shared" si="45"/>
        <v>0</v>
      </c>
      <c r="K647" s="8">
        <f>SUMIFS(His_Operacoes_acoes[Total],His_Operacoes_acoes[Fimmes],Patrimônio!B647,His_Operacoes_acoes[Operação],"JCP")
+ SUMIFS(His_Operacoes_acoes[Total],His_Operacoes_acoes[Fimmes],Patrimônio!B647,His_Operacoes_acoes[Operação],"Divid.")
+ SUMIFS(His_Operacoes_acoes[Total],His_Operacoes_acoes[Fimmes],Patrimônio!B647,His_Operacoes_acoes[Operação],"Bonif.")</f>
        <v>0</v>
      </c>
      <c r="L647" s="8">
        <f>SUMIFS(His_Operacoes_BDRs[Total],His_Operacoes_BDRs[Operação],"Provento",His_Operacoes_BDRs[fimmês],Patrimônio!B647)</f>
        <v>0</v>
      </c>
      <c r="M647" s="8">
        <f>SUMIFS(His_Operacoes_FIIs[Total],His_Operacoes_FIIs[Operação],"Provento",His_Operacoes_FIIs[fimmês],Patrimônio!B647)</f>
        <v>0</v>
      </c>
      <c r="N647" s="8">
        <f t="shared" si="46"/>
        <v>0</v>
      </c>
    </row>
    <row r="648" spans="1:14" x14ac:dyDescent="0.35">
      <c r="A648" s="7">
        <v>62033</v>
      </c>
      <c r="B648" s="7">
        <f t="shared" si="43"/>
        <v>62032</v>
      </c>
      <c r="I648" s="8">
        <f t="shared" si="44"/>
        <v>0</v>
      </c>
      <c r="J648" s="8">
        <f t="shared" si="45"/>
        <v>0</v>
      </c>
      <c r="K648" s="8">
        <f>SUMIFS(His_Operacoes_acoes[Total],His_Operacoes_acoes[Fimmes],Patrimônio!B648,His_Operacoes_acoes[Operação],"JCP")
+ SUMIFS(His_Operacoes_acoes[Total],His_Operacoes_acoes[Fimmes],Patrimônio!B648,His_Operacoes_acoes[Operação],"Divid.")
+ SUMIFS(His_Operacoes_acoes[Total],His_Operacoes_acoes[Fimmes],Patrimônio!B648,His_Operacoes_acoes[Operação],"Bonif.")</f>
        <v>0</v>
      </c>
      <c r="L648" s="8">
        <f>SUMIFS(His_Operacoes_BDRs[Total],His_Operacoes_BDRs[Operação],"Provento",His_Operacoes_BDRs[fimmês],Patrimônio!B648)</f>
        <v>0</v>
      </c>
      <c r="M648" s="8">
        <f>SUMIFS(His_Operacoes_FIIs[Total],His_Operacoes_FIIs[Operação],"Provento",His_Operacoes_FIIs[fimmês],Patrimônio!B648)</f>
        <v>0</v>
      </c>
      <c r="N648" s="8">
        <f t="shared" si="46"/>
        <v>0</v>
      </c>
    </row>
    <row r="649" spans="1:14" x14ac:dyDescent="0.35">
      <c r="A649" s="7">
        <v>62063</v>
      </c>
      <c r="B649" s="7">
        <f t="shared" si="43"/>
        <v>62062</v>
      </c>
      <c r="I649" s="8">
        <f t="shared" si="44"/>
        <v>0</v>
      </c>
      <c r="J649" s="8">
        <f t="shared" si="45"/>
        <v>0</v>
      </c>
      <c r="K649" s="8">
        <f>SUMIFS(His_Operacoes_acoes[Total],His_Operacoes_acoes[Fimmes],Patrimônio!B649,His_Operacoes_acoes[Operação],"JCP")
+ SUMIFS(His_Operacoes_acoes[Total],His_Operacoes_acoes[Fimmes],Patrimônio!B649,His_Operacoes_acoes[Operação],"Divid.")
+ SUMIFS(His_Operacoes_acoes[Total],His_Operacoes_acoes[Fimmes],Patrimônio!B649,His_Operacoes_acoes[Operação],"Bonif.")</f>
        <v>0</v>
      </c>
      <c r="L649" s="8">
        <f>SUMIFS(His_Operacoes_BDRs[Total],His_Operacoes_BDRs[Operação],"Provento",His_Operacoes_BDRs[fimmês],Patrimônio!B649)</f>
        <v>0</v>
      </c>
      <c r="M649" s="8">
        <f>SUMIFS(His_Operacoes_FIIs[Total],His_Operacoes_FIIs[Operação],"Provento",His_Operacoes_FIIs[fimmês],Patrimônio!B649)</f>
        <v>0</v>
      </c>
      <c r="N649" s="8">
        <f t="shared" si="46"/>
        <v>0</v>
      </c>
    </row>
    <row r="650" spans="1:14" x14ac:dyDescent="0.35">
      <c r="A650" s="7">
        <v>62094</v>
      </c>
      <c r="B650" s="7">
        <f t="shared" si="43"/>
        <v>62093</v>
      </c>
      <c r="I650" s="8">
        <f t="shared" si="44"/>
        <v>0</v>
      </c>
      <c r="J650" s="8">
        <f t="shared" si="45"/>
        <v>0</v>
      </c>
      <c r="K650" s="8">
        <f>SUMIFS(His_Operacoes_acoes[Total],His_Operacoes_acoes[Fimmes],Patrimônio!B650,His_Operacoes_acoes[Operação],"JCP")
+ SUMIFS(His_Operacoes_acoes[Total],His_Operacoes_acoes[Fimmes],Patrimônio!B650,His_Operacoes_acoes[Operação],"Divid.")
+ SUMIFS(His_Operacoes_acoes[Total],His_Operacoes_acoes[Fimmes],Patrimônio!B650,His_Operacoes_acoes[Operação],"Bonif.")</f>
        <v>0</v>
      </c>
      <c r="L650" s="8">
        <f>SUMIFS(His_Operacoes_BDRs[Total],His_Operacoes_BDRs[Operação],"Provento",His_Operacoes_BDRs[fimmês],Patrimônio!B650)</f>
        <v>0</v>
      </c>
      <c r="M650" s="8">
        <f>SUMIFS(His_Operacoes_FIIs[Total],His_Operacoes_FIIs[Operação],"Provento",His_Operacoes_FIIs[fimmês],Patrimônio!B650)</f>
        <v>0</v>
      </c>
      <c r="N650" s="8">
        <f t="shared" si="46"/>
        <v>0</v>
      </c>
    </row>
    <row r="651" spans="1:14" x14ac:dyDescent="0.35">
      <c r="A651" s="7">
        <v>62125</v>
      </c>
      <c r="B651" s="7">
        <f t="shared" si="43"/>
        <v>62124</v>
      </c>
      <c r="I651" s="8">
        <f t="shared" si="44"/>
        <v>0</v>
      </c>
      <c r="J651" s="8">
        <f t="shared" si="45"/>
        <v>0</v>
      </c>
      <c r="K651" s="8">
        <f>SUMIFS(His_Operacoes_acoes[Total],His_Operacoes_acoes[Fimmes],Patrimônio!B651,His_Operacoes_acoes[Operação],"JCP")
+ SUMIFS(His_Operacoes_acoes[Total],His_Operacoes_acoes[Fimmes],Patrimônio!B651,His_Operacoes_acoes[Operação],"Divid.")
+ SUMIFS(His_Operacoes_acoes[Total],His_Operacoes_acoes[Fimmes],Patrimônio!B651,His_Operacoes_acoes[Operação],"Bonif.")</f>
        <v>0</v>
      </c>
      <c r="L651" s="8">
        <f>SUMIFS(His_Operacoes_BDRs[Total],His_Operacoes_BDRs[Operação],"Provento",His_Operacoes_BDRs[fimmês],Patrimônio!B651)</f>
        <v>0</v>
      </c>
      <c r="M651" s="8">
        <f>SUMIFS(His_Operacoes_FIIs[Total],His_Operacoes_FIIs[Operação],"Provento",His_Operacoes_FIIs[fimmês],Patrimônio!B651)</f>
        <v>0</v>
      </c>
      <c r="N651" s="8">
        <f t="shared" si="46"/>
        <v>0</v>
      </c>
    </row>
    <row r="652" spans="1:14" x14ac:dyDescent="0.35">
      <c r="A652" s="7">
        <v>62153</v>
      </c>
      <c r="B652" s="7">
        <f t="shared" si="43"/>
        <v>62152</v>
      </c>
      <c r="I652" s="8">
        <f t="shared" si="44"/>
        <v>0</v>
      </c>
      <c r="J652" s="8">
        <f t="shared" si="45"/>
        <v>0</v>
      </c>
      <c r="K652" s="8">
        <f>SUMIFS(His_Operacoes_acoes[Total],His_Operacoes_acoes[Fimmes],Patrimônio!B652,His_Operacoes_acoes[Operação],"JCP")
+ SUMIFS(His_Operacoes_acoes[Total],His_Operacoes_acoes[Fimmes],Patrimônio!B652,His_Operacoes_acoes[Operação],"Divid.")
+ SUMIFS(His_Operacoes_acoes[Total],His_Operacoes_acoes[Fimmes],Patrimônio!B652,His_Operacoes_acoes[Operação],"Bonif.")</f>
        <v>0</v>
      </c>
      <c r="L652" s="8">
        <f>SUMIFS(His_Operacoes_BDRs[Total],His_Operacoes_BDRs[Operação],"Provento",His_Operacoes_BDRs[fimmês],Patrimônio!B652)</f>
        <v>0</v>
      </c>
      <c r="M652" s="8">
        <f>SUMIFS(His_Operacoes_FIIs[Total],His_Operacoes_FIIs[Operação],"Provento",His_Operacoes_FIIs[fimmês],Patrimônio!B652)</f>
        <v>0</v>
      </c>
      <c r="N652" s="8">
        <f t="shared" si="46"/>
        <v>0</v>
      </c>
    </row>
    <row r="653" spans="1:14" x14ac:dyDescent="0.35">
      <c r="A653" s="7">
        <v>62184</v>
      </c>
      <c r="B653" s="7">
        <f t="shared" si="43"/>
        <v>62183</v>
      </c>
      <c r="I653" s="8">
        <f t="shared" si="44"/>
        <v>0</v>
      </c>
      <c r="J653" s="8">
        <f t="shared" si="45"/>
        <v>0</v>
      </c>
      <c r="K653" s="8">
        <f>SUMIFS(His_Operacoes_acoes[Total],His_Operacoes_acoes[Fimmes],Patrimônio!B653,His_Operacoes_acoes[Operação],"JCP")
+ SUMIFS(His_Operacoes_acoes[Total],His_Operacoes_acoes[Fimmes],Patrimônio!B653,His_Operacoes_acoes[Operação],"Divid.")
+ SUMIFS(His_Operacoes_acoes[Total],His_Operacoes_acoes[Fimmes],Patrimônio!B653,His_Operacoes_acoes[Operação],"Bonif.")</f>
        <v>0</v>
      </c>
      <c r="L653" s="8">
        <f>SUMIFS(His_Operacoes_BDRs[Total],His_Operacoes_BDRs[Operação],"Provento",His_Operacoes_BDRs[fimmês],Patrimônio!B653)</f>
        <v>0</v>
      </c>
      <c r="M653" s="8">
        <f>SUMIFS(His_Operacoes_FIIs[Total],His_Operacoes_FIIs[Operação],"Provento",His_Operacoes_FIIs[fimmês],Patrimônio!B653)</f>
        <v>0</v>
      </c>
      <c r="N653" s="8">
        <f t="shared" si="46"/>
        <v>0</v>
      </c>
    </row>
    <row r="654" spans="1:14" x14ac:dyDescent="0.35">
      <c r="A654" s="7">
        <v>62214</v>
      </c>
      <c r="B654" s="7">
        <f t="shared" si="43"/>
        <v>62213</v>
      </c>
      <c r="I654" s="8">
        <f t="shared" si="44"/>
        <v>0</v>
      </c>
      <c r="J654" s="8">
        <f t="shared" si="45"/>
        <v>0</v>
      </c>
      <c r="K654" s="8">
        <f>SUMIFS(His_Operacoes_acoes[Total],His_Operacoes_acoes[Fimmes],Patrimônio!B654,His_Operacoes_acoes[Operação],"JCP")
+ SUMIFS(His_Operacoes_acoes[Total],His_Operacoes_acoes[Fimmes],Patrimônio!B654,His_Operacoes_acoes[Operação],"Divid.")
+ SUMIFS(His_Operacoes_acoes[Total],His_Operacoes_acoes[Fimmes],Patrimônio!B654,His_Operacoes_acoes[Operação],"Bonif.")</f>
        <v>0</v>
      </c>
      <c r="L654" s="8">
        <f>SUMIFS(His_Operacoes_BDRs[Total],His_Operacoes_BDRs[Operação],"Provento",His_Operacoes_BDRs[fimmês],Patrimônio!B654)</f>
        <v>0</v>
      </c>
      <c r="M654" s="8">
        <f>SUMIFS(His_Operacoes_FIIs[Total],His_Operacoes_FIIs[Operação],"Provento",His_Operacoes_FIIs[fimmês],Patrimônio!B654)</f>
        <v>0</v>
      </c>
      <c r="N654" s="8">
        <f t="shared" si="46"/>
        <v>0</v>
      </c>
    </row>
    <row r="655" spans="1:14" x14ac:dyDescent="0.35">
      <c r="A655" s="7">
        <v>62245</v>
      </c>
      <c r="B655" s="7">
        <f t="shared" si="43"/>
        <v>62244</v>
      </c>
      <c r="I655" s="8">
        <f t="shared" si="44"/>
        <v>0</v>
      </c>
      <c r="J655" s="8">
        <f t="shared" si="45"/>
        <v>0</v>
      </c>
      <c r="K655" s="8">
        <f>SUMIFS(His_Operacoes_acoes[Total],His_Operacoes_acoes[Fimmes],Patrimônio!B655,His_Operacoes_acoes[Operação],"JCP")
+ SUMIFS(His_Operacoes_acoes[Total],His_Operacoes_acoes[Fimmes],Patrimônio!B655,His_Operacoes_acoes[Operação],"Divid.")
+ SUMIFS(His_Operacoes_acoes[Total],His_Operacoes_acoes[Fimmes],Patrimônio!B655,His_Operacoes_acoes[Operação],"Bonif.")</f>
        <v>0</v>
      </c>
      <c r="L655" s="8">
        <f>SUMIFS(His_Operacoes_BDRs[Total],His_Operacoes_BDRs[Operação],"Provento",His_Operacoes_BDRs[fimmês],Patrimônio!B655)</f>
        <v>0</v>
      </c>
      <c r="M655" s="8">
        <f>SUMIFS(His_Operacoes_FIIs[Total],His_Operacoes_FIIs[Operação],"Provento",His_Operacoes_FIIs[fimmês],Patrimônio!B655)</f>
        <v>0</v>
      </c>
      <c r="N655" s="8">
        <f t="shared" si="46"/>
        <v>0</v>
      </c>
    </row>
    <row r="656" spans="1:14" x14ac:dyDescent="0.35">
      <c r="A656" s="7">
        <v>62275</v>
      </c>
      <c r="B656" s="7">
        <f t="shared" si="43"/>
        <v>62274</v>
      </c>
      <c r="I656" s="8">
        <f t="shared" si="44"/>
        <v>0</v>
      </c>
      <c r="J656" s="8">
        <f t="shared" si="45"/>
        <v>0</v>
      </c>
      <c r="K656" s="8">
        <f>SUMIFS(His_Operacoes_acoes[Total],His_Operacoes_acoes[Fimmes],Patrimônio!B656,His_Operacoes_acoes[Operação],"JCP")
+ SUMIFS(His_Operacoes_acoes[Total],His_Operacoes_acoes[Fimmes],Patrimônio!B656,His_Operacoes_acoes[Operação],"Divid.")
+ SUMIFS(His_Operacoes_acoes[Total],His_Operacoes_acoes[Fimmes],Patrimônio!B656,His_Operacoes_acoes[Operação],"Bonif.")</f>
        <v>0</v>
      </c>
      <c r="L656" s="8">
        <f>SUMIFS(His_Operacoes_BDRs[Total],His_Operacoes_BDRs[Operação],"Provento",His_Operacoes_BDRs[fimmês],Patrimônio!B656)</f>
        <v>0</v>
      </c>
      <c r="M656" s="8">
        <f>SUMIFS(His_Operacoes_FIIs[Total],His_Operacoes_FIIs[Operação],"Provento",His_Operacoes_FIIs[fimmês],Patrimônio!B656)</f>
        <v>0</v>
      </c>
      <c r="N656" s="8">
        <f t="shared" si="46"/>
        <v>0</v>
      </c>
    </row>
    <row r="657" spans="1:14" x14ac:dyDescent="0.35">
      <c r="A657" s="7">
        <v>62306</v>
      </c>
      <c r="B657" s="7">
        <f t="shared" si="43"/>
        <v>62305</v>
      </c>
      <c r="I657" s="8">
        <f t="shared" si="44"/>
        <v>0</v>
      </c>
      <c r="J657" s="8">
        <f t="shared" si="45"/>
        <v>0</v>
      </c>
      <c r="K657" s="8">
        <f>SUMIFS(His_Operacoes_acoes[Total],His_Operacoes_acoes[Fimmes],Patrimônio!B657,His_Operacoes_acoes[Operação],"JCP")
+ SUMIFS(His_Operacoes_acoes[Total],His_Operacoes_acoes[Fimmes],Patrimônio!B657,His_Operacoes_acoes[Operação],"Divid.")
+ SUMIFS(His_Operacoes_acoes[Total],His_Operacoes_acoes[Fimmes],Patrimônio!B657,His_Operacoes_acoes[Operação],"Bonif.")</f>
        <v>0</v>
      </c>
      <c r="L657" s="8">
        <f>SUMIFS(His_Operacoes_BDRs[Total],His_Operacoes_BDRs[Operação],"Provento",His_Operacoes_BDRs[fimmês],Patrimônio!B657)</f>
        <v>0</v>
      </c>
      <c r="M657" s="8">
        <f>SUMIFS(His_Operacoes_FIIs[Total],His_Operacoes_FIIs[Operação],"Provento",His_Operacoes_FIIs[fimmês],Patrimônio!B657)</f>
        <v>0</v>
      </c>
      <c r="N657" s="8">
        <f t="shared" si="46"/>
        <v>0</v>
      </c>
    </row>
    <row r="658" spans="1:14" x14ac:dyDescent="0.35">
      <c r="A658" s="7">
        <v>62337</v>
      </c>
      <c r="B658" s="7">
        <f t="shared" si="43"/>
        <v>62336</v>
      </c>
      <c r="I658" s="8">
        <f t="shared" si="44"/>
        <v>0</v>
      </c>
      <c r="J658" s="8">
        <f t="shared" si="45"/>
        <v>0</v>
      </c>
      <c r="K658" s="8">
        <f>SUMIFS(His_Operacoes_acoes[Total],His_Operacoes_acoes[Fimmes],Patrimônio!B658,His_Operacoes_acoes[Operação],"JCP")
+ SUMIFS(His_Operacoes_acoes[Total],His_Operacoes_acoes[Fimmes],Patrimônio!B658,His_Operacoes_acoes[Operação],"Divid.")
+ SUMIFS(His_Operacoes_acoes[Total],His_Operacoes_acoes[Fimmes],Patrimônio!B658,His_Operacoes_acoes[Operação],"Bonif.")</f>
        <v>0</v>
      </c>
      <c r="L658" s="8">
        <f>SUMIFS(His_Operacoes_BDRs[Total],His_Operacoes_BDRs[Operação],"Provento",His_Operacoes_BDRs[fimmês],Patrimônio!B658)</f>
        <v>0</v>
      </c>
      <c r="M658" s="8">
        <f>SUMIFS(His_Operacoes_FIIs[Total],His_Operacoes_FIIs[Operação],"Provento",His_Operacoes_FIIs[fimmês],Patrimônio!B658)</f>
        <v>0</v>
      </c>
      <c r="N658" s="8">
        <f t="shared" si="46"/>
        <v>0</v>
      </c>
    </row>
    <row r="659" spans="1:14" x14ac:dyDescent="0.35">
      <c r="A659" s="7">
        <v>62367</v>
      </c>
      <c r="B659" s="7">
        <f t="shared" si="43"/>
        <v>62366</v>
      </c>
      <c r="I659" s="8">
        <f t="shared" si="44"/>
        <v>0</v>
      </c>
      <c r="J659" s="8">
        <f t="shared" si="45"/>
        <v>0</v>
      </c>
      <c r="K659" s="8">
        <f>SUMIFS(His_Operacoes_acoes[Total],His_Operacoes_acoes[Fimmes],Patrimônio!B659,His_Operacoes_acoes[Operação],"JCP")
+ SUMIFS(His_Operacoes_acoes[Total],His_Operacoes_acoes[Fimmes],Patrimônio!B659,His_Operacoes_acoes[Operação],"Divid.")
+ SUMIFS(His_Operacoes_acoes[Total],His_Operacoes_acoes[Fimmes],Patrimônio!B659,His_Operacoes_acoes[Operação],"Bonif.")</f>
        <v>0</v>
      </c>
      <c r="L659" s="8">
        <f>SUMIFS(His_Operacoes_BDRs[Total],His_Operacoes_BDRs[Operação],"Provento",His_Operacoes_BDRs[fimmês],Patrimônio!B659)</f>
        <v>0</v>
      </c>
      <c r="M659" s="8">
        <f>SUMIFS(His_Operacoes_FIIs[Total],His_Operacoes_FIIs[Operação],"Provento",His_Operacoes_FIIs[fimmês],Patrimônio!B659)</f>
        <v>0</v>
      </c>
      <c r="N659" s="8">
        <f t="shared" si="46"/>
        <v>0</v>
      </c>
    </row>
    <row r="660" spans="1:14" x14ac:dyDescent="0.35">
      <c r="A660" s="7">
        <v>62398</v>
      </c>
      <c r="B660" s="7">
        <f t="shared" si="43"/>
        <v>62397</v>
      </c>
      <c r="I660" s="8">
        <f t="shared" si="44"/>
        <v>0</v>
      </c>
      <c r="J660" s="8">
        <f t="shared" si="45"/>
        <v>0</v>
      </c>
      <c r="K660" s="8">
        <f>SUMIFS(His_Operacoes_acoes[Total],His_Operacoes_acoes[Fimmes],Patrimônio!B660,His_Operacoes_acoes[Operação],"JCP")
+ SUMIFS(His_Operacoes_acoes[Total],His_Operacoes_acoes[Fimmes],Patrimônio!B660,His_Operacoes_acoes[Operação],"Divid.")
+ SUMIFS(His_Operacoes_acoes[Total],His_Operacoes_acoes[Fimmes],Patrimônio!B660,His_Operacoes_acoes[Operação],"Bonif.")</f>
        <v>0</v>
      </c>
      <c r="L660" s="8">
        <f>SUMIFS(His_Operacoes_BDRs[Total],His_Operacoes_BDRs[Operação],"Provento",His_Operacoes_BDRs[fimmês],Patrimônio!B660)</f>
        <v>0</v>
      </c>
      <c r="M660" s="8">
        <f>SUMIFS(His_Operacoes_FIIs[Total],His_Operacoes_FIIs[Operação],"Provento",His_Operacoes_FIIs[fimmês],Patrimônio!B660)</f>
        <v>0</v>
      </c>
      <c r="N660" s="8">
        <f t="shared" si="46"/>
        <v>0</v>
      </c>
    </row>
    <row r="661" spans="1:14" x14ac:dyDescent="0.35">
      <c r="A661" s="7">
        <v>62428</v>
      </c>
      <c r="B661" s="7">
        <f t="shared" si="43"/>
        <v>62427</v>
      </c>
      <c r="I661" s="8">
        <f t="shared" si="44"/>
        <v>0</v>
      </c>
      <c r="J661" s="8">
        <f t="shared" si="45"/>
        <v>0</v>
      </c>
      <c r="K661" s="8">
        <f>SUMIFS(His_Operacoes_acoes[Total],His_Operacoes_acoes[Fimmes],Patrimônio!B661,His_Operacoes_acoes[Operação],"JCP")
+ SUMIFS(His_Operacoes_acoes[Total],His_Operacoes_acoes[Fimmes],Patrimônio!B661,His_Operacoes_acoes[Operação],"Divid.")
+ SUMIFS(His_Operacoes_acoes[Total],His_Operacoes_acoes[Fimmes],Patrimônio!B661,His_Operacoes_acoes[Operação],"Bonif.")</f>
        <v>0</v>
      </c>
      <c r="L661" s="8">
        <f>SUMIFS(His_Operacoes_BDRs[Total],His_Operacoes_BDRs[Operação],"Provento",His_Operacoes_BDRs[fimmês],Patrimônio!B661)</f>
        <v>0</v>
      </c>
      <c r="M661" s="8">
        <f>SUMIFS(His_Operacoes_FIIs[Total],His_Operacoes_FIIs[Operação],"Provento",His_Operacoes_FIIs[fimmês],Patrimônio!B661)</f>
        <v>0</v>
      </c>
      <c r="N661" s="8">
        <f t="shared" si="46"/>
        <v>0</v>
      </c>
    </row>
    <row r="662" spans="1:14" x14ac:dyDescent="0.35">
      <c r="A662" s="7">
        <v>62459</v>
      </c>
      <c r="B662" s="7">
        <f t="shared" si="43"/>
        <v>62458</v>
      </c>
      <c r="I662" s="8">
        <f t="shared" si="44"/>
        <v>0</v>
      </c>
      <c r="J662" s="8">
        <f t="shared" si="45"/>
        <v>0</v>
      </c>
      <c r="K662" s="8">
        <f>SUMIFS(His_Operacoes_acoes[Total],His_Operacoes_acoes[Fimmes],Patrimônio!B662,His_Operacoes_acoes[Operação],"JCP")
+ SUMIFS(His_Operacoes_acoes[Total],His_Operacoes_acoes[Fimmes],Patrimônio!B662,His_Operacoes_acoes[Operação],"Divid.")
+ SUMIFS(His_Operacoes_acoes[Total],His_Operacoes_acoes[Fimmes],Patrimônio!B662,His_Operacoes_acoes[Operação],"Bonif.")</f>
        <v>0</v>
      </c>
      <c r="L662" s="8">
        <f>SUMIFS(His_Operacoes_BDRs[Total],His_Operacoes_BDRs[Operação],"Provento",His_Operacoes_BDRs[fimmês],Patrimônio!B662)</f>
        <v>0</v>
      </c>
      <c r="M662" s="8">
        <f>SUMIFS(His_Operacoes_FIIs[Total],His_Operacoes_FIIs[Operação],"Provento",His_Operacoes_FIIs[fimmês],Patrimônio!B662)</f>
        <v>0</v>
      </c>
      <c r="N662" s="8">
        <f t="shared" si="46"/>
        <v>0</v>
      </c>
    </row>
    <row r="663" spans="1:14" x14ac:dyDescent="0.35">
      <c r="A663" s="7">
        <v>62490</v>
      </c>
      <c r="B663" s="7">
        <f t="shared" si="43"/>
        <v>62489</v>
      </c>
      <c r="I663" s="8">
        <f t="shared" si="44"/>
        <v>0</v>
      </c>
      <c r="J663" s="8">
        <f t="shared" si="45"/>
        <v>0</v>
      </c>
      <c r="K663" s="8">
        <f>SUMIFS(His_Operacoes_acoes[Total],His_Operacoes_acoes[Fimmes],Patrimônio!B663,His_Operacoes_acoes[Operação],"JCP")
+ SUMIFS(His_Operacoes_acoes[Total],His_Operacoes_acoes[Fimmes],Patrimônio!B663,His_Operacoes_acoes[Operação],"Divid.")
+ SUMIFS(His_Operacoes_acoes[Total],His_Operacoes_acoes[Fimmes],Patrimônio!B663,His_Operacoes_acoes[Operação],"Bonif.")</f>
        <v>0</v>
      </c>
      <c r="L663" s="8">
        <f>SUMIFS(His_Operacoes_BDRs[Total],His_Operacoes_BDRs[Operação],"Provento",His_Operacoes_BDRs[fimmês],Patrimônio!B663)</f>
        <v>0</v>
      </c>
      <c r="M663" s="8">
        <f>SUMIFS(His_Operacoes_FIIs[Total],His_Operacoes_FIIs[Operação],"Provento",His_Operacoes_FIIs[fimmês],Patrimônio!B663)</f>
        <v>0</v>
      </c>
      <c r="N663" s="8">
        <f t="shared" si="46"/>
        <v>0</v>
      </c>
    </row>
    <row r="664" spans="1:14" x14ac:dyDescent="0.35">
      <c r="A664" s="7">
        <v>62518</v>
      </c>
      <c r="B664" s="7">
        <f t="shared" si="43"/>
        <v>62517</v>
      </c>
      <c r="I664" s="8">
        <f t="shared" si="44"/>
        <v>0</v>
      </c>
      <c r="J664" s="8">
        <f t="shared" si="45"/>
        <v>0</v>
      </c>
      <c r="K664" s="8">
        <f>SUMIFS(His_Operacoes_acoes[Total],His_Operacoes_acoes[Fimmes],Patrimônio!B664,His_Operacoes_acoes[Operação],"JCP")
+ SUMIFS(His_Operacoes_acoes[Total],His_Operacoes_acoes[Fimmes],Patrimônio!B664,His_Operacoes_acoes[Operação],"Divid.")
+ SUMIFS(His_Operacoes_acoes[Total],His_Operacoes_acoes[Fimmes],Patrimônio!B664,His_Operacoes_acoes[Operação],"Bonif.")</f>
        <v>0</v>
      </c>
      <c r="L664" s="8">
        <f>SUMIFS(His_Operacoes_BDRs[Total],His_Operacoes_BDRs[Operação],"Provento",His_Operacoes_BDRs[fimmês],Patrimônio!B664)</f>
        <v>0</v>
      </c>
      <c r="M664" s="8">
        <f>SUMIFS(His_Operacoes_FIIs[Total],His_Operacoes_FIIs[Operação],"Provento",His_Operacoes_FIIs[fimmês],Patrimônio!B664)</f>
        <v>0</v>
      </c>
      <c r="N664" s="8">
        <f t="shared" si="46"/>
        <v>0</v>
      </c>
    </row>
    <row r="665" spans="1:14" x14ac:dyDescent="0.35">
      <c r="A665" s="7">
        <v>62549</v>
      </c>
      <c r="B665" s="7">
        <f t="shared" si="43"/>
        <v>62548</v>
      </c>
      <c r="I665" s="8">
        <f t="shared" si="44"/>
        <v>0</v>
      </c>
      <c r="J665" s="8">
        <f t="shared" si="45"/>
        <v>0</v>
      </c>
      <c r="K665" s="8">
        <f>SUMIFS(His_Operacoes_acoes[Total],His_Operacoes_acoes[Fimmes],Patrimônio!B665,His_Operacoes_acoes[Operação],"JCP")
+ SUMIFS(His_Operacoes_acoes[Total],His_Operacoes_acoes[Fimmes],Patrimônio!B665,His_Operacoes_acoes[Operação],"Divid.")
+ SUMIFS(His_Operacoes_acoes[Total],His_Operacoes_acoes[Fimmes],Patrimônio!B665,His_Operacoes_acoes[Operação],"Bonif.")</f>
        <v>0</v>
      </c>
      <c r="L665" s="8">
        <f>SUMIFS(His_Operacoes_BDRs[Total],His_Operacoes_BDRs[Operação],"Provento",His_Operacoes_BDRs[fimmês],Patrimônio!B665)</f>
        <v>0</v>
      </c>
      <c r="M665" s="8">
        <f>SUMIFS(His_Operacoes_FIIs[Total],His_Operacoes_FIIs[Operação],"Provento",His_Operacoes_FIIs[fimmês],Patrimônio!B665)</f>
        <v>0</v>
      </c>
      <c r="N665" s="8">
        <f t="shared" si="46"/>
        <v>0</v>
      </c>
    </row>
    <row r="666" spans="1:14" x14ac:dyDescent="0.35">
      <c r="A666" s="7">
        <v>62579</v>
      </c>
      <c r="B666" s="7">
        <f t="shared" si="43"/>
        <v>62578</v>
      </c>
      <c r="I666" s="8">
        <f t="shared" si="44"/>
        <v>0</v>
      </c>
      <c r="J666" s="8">
        <f t="shared" si="45"/>
        <v>0</v>
      </c>
      <c r="K666" s="8">
        <f>SUMIFS(His_Operacoes_acoes[Total],His_Operacoes_acoes[Fimmes],Patrimônio!B666,His_Operacoes_acoes[Operação],"JCP")
+ SUMIFS(His_Operacoes_acoes[Total],His_Operacoes_acoes[Fimmes],Patrimônio!B666,His_Operacoes_acoes[Operação],"Divid.")
+ SUMIFS(His_Operacoes_acoes[Total],His_Operacoes_acoes[Fimmes],Patrimônio!B666,His_Operacoes_acoes[Operação],"Bonif.")</f>
        <v>0</v>
      </c>
      <c r="L666" s="8">
        <f>SUMIFS(His_Operacoes_BDRs[Total],His_Operacoes_BDRs[Operação],"Provento",His_Operacoes_BDRs[fimmês],Patrimônio!B666)</f>
        <v>0</v>
      </c>
      <c r="M666" s="8">
        <f>SUMIFS(His_Operacoes_FIIs[Total],His_Operacoes_FIIs[Operação],"Provento",His_Operacoes_FIIs[fimmês],Patrimônio!B666)</f>
        <v>0</v>
      </c>
      <c r="N666" s="8">
        <f t="shared" si="46"/>
        <v>0</v>
      </c>
    </row>
    <row r="667" spans="1:14" x14ac:dyDescent="0.35">
      <c r="A667" s="7">
        <v>62610</v>
      </c>
      <c r="B667" s="7">
        <f t="shared" si="43"/>
        <v>62609</v>
      </c>
      <c r="I667" s="8">
        <f t="shared" si="44"/>
        <v>0</v>
      </c>
      <c r="J667" s="8">
        <f t="shared" si="45"/>
        <v>0</v>
      </c>
      <c r="K667" s="8">
        <f>SUMIFS(His_Operacoes_acoes[Total],His_Operacoes_acoes[Fimmes],Patrimônio!B667,His_Operacoes_acoes[Operação],"JCP")
+ SUMIFS(His_Operacoes_acoes[Total],His_Operacoes_acoes[Fimmes],Patrimônio!B667,His_Operacoes_acoes[Operação],"Divid.")
+ SUMIFS(His_Operacoes_acoes[Total],His_Operacoes_acoes[Fimmes],Patrimônio!B667,His_Operacoes_acoes[Operação],"Bonif.")</f>
        <v>0</v>
      </c>
      <c r="L667" s="8">
        <f>SUMIFS(His_Operacoes_BDRs[Total],His_Operacoes_BDRs[Operação],"Provento",His_Operacoes_BDRs[fimmês],Patrimônio!B667)</f>
        <v>0</v>
      </c>
      <c r="M667" s="8">
        <f>SUMIFS(His_Operacoes_FIIs[Total],His_Operacoes_FIIs[Operação],"Provento",His_Operacoes_FIIs[fimmês],Patrimônio!B667)</f>
        <v>0</v>
      </c>
      <c r="N667" s="8">
        <f t="shared" si="46"/>
        <v>0</v>
      </c>
    </row>
    <row r="668" spans="1:14" x14ac:dyDescent="0.35">
      <c r="A668" s="7">
        <v>62640</v>
      </c>
      <c r="B668" s="7">
        <f t="shared" si="43"/>
        <v>62639</v>
      </c>
      <c r="I668" s="8">
        <f t="shared" si="44"/>
        <v>0</v>
      </c>
      <c r="J668" s="8">
        <f t="shared" si="45"/>
        <v>0</v>
      </c>
      <c r="K668" s="8">
        <f>SUMIFS(His_Operacoes_acoes[Total],His_Operacoes_acoes[Fimmes],Patrimônio!B668,His_Operacoes_acoes[Operação],"JCP")
+ SUMIFS(His_Operacoes_acoes[Total],His_Operacoes_acoes[Fimmes],Patrimônio!B668,His_Operacoes_acoes[Operação],"Divid.")
+ SUMIFS(His_Operacoes_acoes[Total],His_Operacoes_acoes[Fimmes],Patrimônio!B668,His_Operacoes_acoes[Operação],"Bonif.")</f>
        <v>0</v>
      </c>
      <c r="L668" s="8">
        <f>SUMIFS(His_Operacoes_BDRs[Total],His_Operacoes_BDRs[Operação],"Provento",His_Operacoes_BDRs[fimmês],Patrimônio!B668)</f>
        <v>0</v>
      </c>
      <c r="M668" s="8">
        <f>SUMIFS(His_Operacoes_FIIs[Total],His_Operacoes_FIIs[Operação],"Provento",His_Operacoes_FIIs[fimmês],Patrimônio!B668)</f>
        <v>0</v>
      </c>
      <c r="N668" s="8">
        <f t="shared" si="46"/>
        <v>0</v>
      </c>
    </row>
    <row r="669" spans="1:14" x14ac:dyDescent="0.35">
      <c r="A669" s="7">
        <v>62671</v>
      </c>
      <c r="B669" s="7">
        <f t="shared" si="43"/>
        <v>62670</v>
      </c>
      <c r="I669" s="8">
        <f t="shared" si="44"/>
        <v>0</v>
      </c>
      <c r="J669" s="8">
        <f t="shared" si="45"/>
        <v>0</v>
      </c>
      <c r="K669" s="8">
        <f>SUMIFS(His_Operacoes_acoes[Total],His_Operacoes_acoes[Fimmes],Patrimônio!B669,His_Operacoes_acoes[Operação],"JCP")
+ SUMIFS(His_Operacoes_acoes[Total],His_Operacoes_acoes[Fimmes],Patrimônio!B669,His_Operacoes_acoes[Operação],"Divid.")
+ SUMIFS(His_Operacoes_acoes[Total],His_Operacoes_acoes[Fimmes],Patrimônio!B669,His_Operacoes_acoes[Operação],"Bonif.")</f>
        <v>0</v>
      </c>
      <c r="L669" s="8">
        <f>SUMIFS(His_Operacoes_BDRs[Total],His_Operacoes_BDRs[Operação],"Provento",His_Operacoes_BDRs[fimmês],Patrimônio!B669)</f>
        <v>0</v>
      </c>
      <c r="M669" s="8">
        <f>SUMIFS(His_Operacoes_FIIs[Total],His_Operacoes_FIIs[Operação],"Provento",His_Operacoes_FIIs[fimmês],Patrimônio!B669)</f>
        <v>0</v>
      </c>
      <c r="N669" s="8">
        <f t="shared" si="46"/>
        <v>0</v>
      </c>
    </row>
    <row r="670" spans="1:14" x14ac:dyDescent="0.35">
      <c r="A670" s="7">
        <v>62702</v>
      </c>
      <c r="B670" s="7">
        <f t="shared" si="43"/>
        <v>62701</v>
      </c>
      <c r="I670" s="8">
        <f t="shared" si="44"/>
        <v>0</v>
      </c>
      <c r="J670" s="8">
        <f t="shared" si="45"/>
        <v>0</v>
      </c>
      <c r="K670" s="8">
        <f>SUMIFS(His_Operacoes_acoes[Total],His_Operacoes_acoes[Fimmes],Patrimônio!B670,His_Operacoes_acoes[Operação],"JCP")
+ SUMIFS(His_Operacoes_acoes[Total],His_Operacoes_acoes[Fimmes],Patrimônio!B670,His_Operacoes_acoes[Operação],"Divid.")
+ SUMIFS(His_Operacoes_acoes[Total],His_Operacoes_acoes[Fimmes],Patrimônio!B670,His_Operacoes_acoes[Operação],"Bonif.")</f>
        <v>0</v>
      </c>
      <c r="L670" s="8">
        <f>SUMIFS(His_Operacoes_BDRs[Total],His_Operacoes_BDRs[Operação],"Provento",His_Operacoes_BDRs[fimmês],Patrimônio!B670)</f>
        <v>0</v>
      </c>
      <c r="M670" s="8">
        <f>SUMIFS(His_Operacoes_FIIs[Total],His_Operacoes_FIIs[Operação],"Provento",His_Operacoes_FIIs[fimmês],Patrimônio!B670)</f>
        <v>0</v>
      </c>
      <c r="N670" s="8">
        <f t="shared" si="46"/>
        <v>0</v>
      </c>
    </row>
    <row r="671" spans="1:14" x14ac:dyDescent="0.35">
      <c r="A671" s="7">
        <v>62732</v>
      </c>
      <c r="B671" s="7">
        <f t="shared" si="43"/>
        <v>62731</v>
      </c>
      <c r="I671" s="8">
        <f t="shared" si="44"/>
        <v>0</v>
      </c>
      <c r="J671" s="8">
        <f t="shared" si="45"/>
        <v>0</v>
      </c>
      <c r="K671" s="8">
        <f>SUMIFS(His_Operacoes_acoes[Total],His_Operacoes_acoes[Fimmes],Patrimônio!B671,His_Operacoes_acoes[Operação],"JCP")
+ SUMIFS(His_Operacoes_acoes[Total],His_Operacoes_acoes[Fimmes],Patrimônio!B671,His_Operacoes_acoes[Operação],"Divid.")
+ SUMIFS(His_Operacoes_acoes[Total],His_Operacoes_acoes[Fimmes],Patrimônio!B671,His_Operacoes_acoes[Operação],"Bonif.")</f>
        <v>0</v>
      </c>
      <c r="L671" s="8">
        <f>SUMIFS(His_Operacoes_BDRs[Total],His_Operacoes_BDRs[Operação],"Provento",His_Operacoes_BDRs[fimmês],Patrimônio!B671)</f>
        <v>0</v>
      </c>
      <c r="M671" s="8">
        <f>SUMIFS(His_Operacoes_FIIs[Total],His_Operacoes_FIIs[Operação],"Provento",His_Operacoes_FIIs[fimmês],Patrimônio!B671)</f>
        <v>0</v>
      </c>
      <c r="N671" s="8">
        <f t="shared" si="46"/>
        <v>0</v>
      </c>
    </row>
    <row r="672" spans="1:14" x14ac:dyDescent="0.35">
      <c r="A672" s="7">
        <v>62763</v>
      </c>
      <c r="B672" s="7">
        <f t="shared" si="43"/>
        <v>62762</v>
      </c>
      <c r="I672" s="8">
        <f t="shared" si="44"/>
        <v>0</v>
      </c>
      <c r="J672" s="8">
        <f t="shared" si="45"/>
        <v>0</v>
      </c>
      <c r="K672" s="8">
        <f>SUMIFS(His_Operacoes_acoes[Total],His_Operacoes_acoes[Fimmes],Patrimônio!B672,His_Operacoes_acoes[Operação],"JCP")
+ SUMIFS(His_Operacoes_acoes[Total],His_Operacoes_acoes[Fimmes],Patrimônio!B672,His_Operacoes_acoes[Operação],"Divid.")
+ SUMIFS(His_Operacoes_acoes[Total],His_Operacoes_acoes[Fimmes],Patrimônio!B672,His_Operacoes_acoes[Operação],"Bonif.")</f>
        <v>0</v>
      </c>
      <c r="L672" s="8">
        <f>SUMIFS(His_Operacoes_BDRs[Total],His_Operacoes_BDRs[Operação],"Provento",His_Operacoes_BDRs[fimmês],Patrimônio!B672)</f>
        <v>0</v>
      </c>
      <c r="M672" s="8">
        <f>SUMIFS(His_Operacoes_FIIs[Total],His_Operacoes_FIIs[Operação],"Provento",His_Operacoes_FIIs[fimmês],Patrimônio!B672)</f>
        <v>0</v>
      </c>
      <c r="N672" s="8">
        <f t="shared" si="46"/>
        <v>0</v>
      </c>
    </row>
    <row r="673" spans="1:14" x14ac:dyDescent="0.35">
      <c r="A673" s="7">
        <v>62793</v>
      </c>
      <c r="B673" s="7">
        <f t="shared" si="43"/>
        <v>62792</v>
      </c>
      <c r="I673" s="8">
        <f t="shared" si="44"/>
        <v>0</v>
      </c>
      <c r="J673" s="8">
        <f t="shared" si="45"/>
        <v>0</v>
      </c>
      <c r="K673" s="8">
        <f>SUMIFS(His_Operacoes_acoes[Total],His_Operacoes_acoes[Fimmes],Patrimônio!B673,His_Operacoes_acoes[Operação],"JCP")
+ SUMIFS(His_Operacoes_acoes[Total],His_Operacoes_acoes[Fimmes],Patrimônio!B673,His_Operacoes_acoes[Operação],"Divid.")
+ SUMIFS(His_Operacoes_acoes[Total],His_Operacoes_acoes[Fimmes],Patrimônio!B673,His_Operacoes_acoes[Operação],"Bonif.")</f>
        <v>0</v>
      </c>
      <c r="L673" s="8">
        <f>SUMIFS(His_Operacoes_BDRs[Total],His_Operacoes_BDRs[Operação],"Provento",His_Operacoes_BDRs[fimmês],Patrimônio!B673)</f>
        <v>0</v>
      </c>
      <c r="M673" s="8">
        <f>SUMIFS(His_Operacoes_FIIs[Total],His_Operacoes_FIIs[Operação],"Provento",His_Operacoes_FIIs[fimmês],Patrimônio!B673)</f>
        <v>0</v>
      </c>
      <c r="N673" s="8">
        <f t="shared" si="46"/>
        <v>0</v>
      </c>
    </row>
    <row r="674" spans="1:14" x14ac:dyDescent="0.35">
      <c r="A674" s="7">
        <v>62824</v>
      </c>
      <c r="B674" s="7">
        <f t="shared" si="43"/>
        <v>62823</v>
      </c>
      <c r="I674" s="8">
        <f t="shared" si="44"/>
        <v>0</v>
      </c>
      <c r="J674" s="8">
        <f t="shared" si="45"/>
        <v>0</v>
      </c>
      <c r="K674" s="8">
        <f>SUMIFS(His_Operacoes_acoes[Total],His_Operacoes_acoes[Fimmes],Patrimônio!B674,His_Operacoes_acoes[Operação],"JCP")
+ SUMIFS(His_Operacoes_acoes[Total],His_Operacoes_acoes[Fimmes],Patrimônio!B674,His_Operacoes_acoes[Operação],"Divid.")
+ SUMIFS(His_Operacoes_acoes[Total],His_Operacoes_acoes[Fimmes],Patrimônio!B674,His_Operacoes_acoes[Operação],"Bonif.")</f>
        <v>0</v>
      </c>
      <c r="L674" s="8">
        <f>SUMIFS(His_Operacoes_BDRs[Total],His_Operacoes_BDRs[Operação],"Provento",His_Operacoes_BDRs[fimmês],Patrimônio!B674)</f>
        <v>0</v>
      </c>
      <c r="M674" s="8">
        <f>SUMIFS(His_Operacoes_FIIs[Total],His_Operacoes_FIIs[Operação],"Provento",His_Operacoes_FIIs[fimmês],Patrimônio!B674)</f>
        <v>0</v>
      </c>
      <c r="N674" s="8">
        <f t="shared" si="46"/>
        <v>0</v>
      </c>
    </row>
    <row r="675" spans="1:14" x14ac:dyDescent="0.35">
      <c r="A675" s="7">
        <v>62855</v>
      </c>
      <c r="B675" s="7">
        <f t="shared" si="43"/>
        <v>62854</v>
      </c>
      <c r="I675" s="8">
        <f t="shared" si="44"/>
        <v>0</v>
      </c>
      <c r="J675" s="8">
        <f t="shared" si="45"/>
        <v>0</v>
      </c>
      <c r="K675" s="8">
        <f>SUMIFS(His_Operacoes_acoes[Total],His_Operacoes_acoes[Fimmes],Patrimônio!B675,His_Operacoes_acoes[Operação],"JCP")
+ SUMIFS(His_Operacoes_acoes[Total],His_Operacoes_acoes[Fimmes],Patrimônio!B675,His_Operacoes_acoes[Operação],"Divid.")
+ SUMIFS(His_Operacoes_acoes[Total],His_Operacoes_acoes[Fimmes],Patrimônio!B675,His_Operacoes_acoes[Operação],"Bonif.")</f>
        <v>0</v>
      </c>
      <c r="L675" s="8">
        <f>SUMIFS(His_Operacoes_BDRs[Total],His_Operacoes_BDRs[Operação],"Provento",His_Operacoes_BDRs[fimmês],Patrimônio!B675)</f>
        <v>0</v>
      </c>
      <c r="M675" s="8">
        <f>SUMIFS(His_Operacoes_FIIs[Total],His_Operacoes_FIIs[Operação],"Provento",His_Operacoes_FIIs[fimmês],Patrimônio!B675)</f>
        <v>0</v>
      </c>
      <c r="N675" s="8">
        <f t="shared" si="46"/>
        <v>0</v>
      </c>
    </row>
    <row r="676" spans="1:14" x14ac:dyDescent="0.35">
      <c r="A676" s="7">
        <v>62884</v>
      </c>
      <c r="B676" s="7">
        <f t="shared" si="43"/>
        <v>62883</v>
      </c>
      <c r="I676" s="8">
        <f t="shared" si="44"/>
        <v>0</v>
      </c>
      <c r="J676" s="8">
        <f t="shared" si="45"/>
        <v>0</v>
      </c>
      <c r="K676" s="8">
        <f>SUMIFS(His_Operacoes_acoes[Total],His_Operacoes_acoes[Fimmes],Patrimônio!B676,His_Operacoes_acoes[Operação],"JCP")
+ SUMIFS(His_Operacoes_acoes[Total],His_Operacoes_acoes[Fimmes],Patrimônio!B676,His_Operacoes_acoes[Operação],"Divid.")
+ SUMIFS(His_Operacoes_acoes[Total],His_Operacoes_acoes[Fimmes],Patrimônio!B676,His_Operacoes_acoes[Operação],"Bonif.")</f>
        <v>0</v>
      </c>
      <c r="L676" s="8">
        <f>SUMIFS(His_Operacoes_BDRs[Total],His_Operacoes_BDRs[Operação],"Provento",His_Operacoes_BDRs[fimmês],Patrimônio!B676)</f>
        <v>0</v>
      </c>
      <c r="M676" s="8">
        <f>SUMIFS(His_Operacoes_FIIs[Total],His_Operacoes_FIIs[Operação],"Provento",His_Operacoes_FIIs[fimmês],Patrimônio!B676)</f>
        <v>0</v>
      </c>
      <c r="N676" s="8">
        <f t="shared" si="46"/>
        <v>0</v>
      </c>
    </row>
    <row r="677" spans="1:14" x14ac:dyDescent="0.35">
      <c r="A677" s="7">
        <v>62915</v>
      </c>
      <c r="B677" s="7">
        <f t="shared" si="43"/>
        <v>62914</v>
      </c>
      <c r="I677" s="8">
        <f t="shared" si="44"/>
        <v>0</v>
      </c>
      <c r="J677" s="8">
        <f t="shared" si="45"/>
        <v>0</v>
      </c>
      <c r="K677" s="8">
        <f>SUMIFS(His_Operacoes_acoes[Total],His_Operacoes_acoes[Fimmes],Patrimônio!B677,His_Operacoes_acoes[Operação],"JCP")
+ SUMIFS(His_Operacoes_acoes[Total],His_Operacoes_acoes[Fimmes],Patrimônio!B677,His_Operacoes_acoes[Operação],"Divid.")
+ SUMIFS(His_Operacoes_acoes[Total],His_Operacoes_acoes[Fimmes],Patrimônio!B677,His_Operacoes_acoes[Operação],"Bonif.")</f>
        <v>0</v>
      </c>
      <c r="L677" s="8">
        <f>SUMIFS(His_Operacoes_BDRs[Total],His_Operacoes_BDRs[Operação],"Provento",His_Operacoes_BDRs[fimmês],Patrimônio!B677)</f>
        <v>0</v>
      </c>
      <c r="M677" s="8">
        <f>SUMIFS(His_Operacoes_FIIs[Total],His_Operacoes_FIIs[Operação],"Provento",His_Operacoes_FIIs[fimmês],Patrimônio!B677)</f>
        <v>0</v>
      </c>
      <c r="N677" s="8">
        <f t="shared" si="46"/>
        <v>0</v>
      </c>
    </row>
    <row r="678" spans="1:14" x14ac:dyDescent="0.35">
      <c r="A678" s="7">
        <v>62945</v>
      </c>
      <c r="B678" s="7">
        <f t="shared" si="43"/>
        <v>62944</v>
      </c>
      <c r="I678" s="8">
        <f t="shared" si="44"/>
        <v>0</v>
      </c>
      <c r="J678" s="8">
        <f t="shared" si="45"/>
        <v>0</v>
      </c>
      <c r="K678" s="8">
        <f>SUMIFS(His_Operacoes_acoes[Total],His_Operacoes_acoes[Fimmes],Patrimônio!B678,His_Operacoes_acoes[Operação],"JCP")
+ SUMIFS(His_Operacoes_acoes[Total],His_Operacoes_acoes[Fimmes],Patrimônio!B678,His_Operacoes_acoes[Operação],"Divid.")
+ SUMIFS(His_Operacoes_acoes[Total],His_Operacoes_acoes[Fimmes],Patrimônio!B678,His_Operacoes_acoes[Operação],"Bonif.")</f>
        <v>0</v>
      </c>
      <c r="L678" s="8">
        <f>SUMIFS(His_Operacoes_BDRs[Total],His_Operacoes_BDRs[Operação],"Provento",His_Operacoes_BDRs[fimmês],Patrimônio!B678)</f>
        <v>0</v>
      </c>
      <c r="M678" s="8">
        <f>SUMIFS(His_Operacoes_FIIs[Total],His_Operacoes_FIIs[Operação],"Provento",His_Operacoes_FIIs[fimmês],Patrimônio!B678)</f>
        <v>0</v>
      </c>
      <c r="N678" s="8">
        <f t="shared" si="46"/>
        <v>0</v>
      </c>
    </row>
    <row r="679" spans="1:14" x14ac:dyDescent="0.35">
      <c r="A679" s="7">
        <v>62976</v>
      </c>
      <c r="B679" s="7">
        <f t="shared" si="43"/>
        <v>62975</v>
      </c>
      <c r="I679" s="8">
        <f t="shared" si="44"/>
        <v>0</v>
      </c>
      <c r="J679" s="8">
        <f t="shared" si="45"/>
        <v>0</v>
      </c>
      <c r="K679" s="8">
        <f>SUMIFS(His_Operacoes_acoes[Total],His_Operacoes_acoes[Fimmes],Patrimônio!B679,His_Operacoes_acoes[Operação],"JCP")
+ SUMIFS(His_Operacoes_acoes[Total],His_Operacoes_acoes[Fimmes],Patrimônio!B679,His_Operacoes_acoes[Operação],"Divid.")
+ SUMIFS(His_Operacoes_acoes[Total],His_Operacoes_acoes[Fimmes],Patrimônio!B679,His_Operacoes_acoes[Operação],"Bonif.")</f>
        <v>0</v>
      </c>
      <c r="L679" s="8">
        <f>SUMIFS(His_Operacoes_BDRs[Total],His_Operacoes_BDRs[Operação],"Provento",His_Operacoes_BDRs[fimmês],Patrimônio!B679)</f>
        <v>0</v>
      </c>
      <c r="M679" s="8">
        <f>SUMIFS(His_Operacoes_FIIs[Total],His_Operacoes_FIIs[Operação],"Provento",His_Operacoes_FIIs[fimmês],Patrimônio!B679)</f>
        <v>0</v>
      </c>
      <c r="N679" s="8">
        <f t="shared" si="46"/>
        <v>0</v>
      </c>
    </row>
    <row r="680" spans="1:14" x14ac:dyDescent="0.35">
      <c r="A680" s="7">
        <v>63006</v>
      </c>
      <c r="B680" s="7">
        <f t="shared" si="43"/>
        <v>63005</v>
      </c>
      <c r="I680" s="8">
        <f t="shared" si="44"/>
        <v>0</v>
      </c>
      <c r="J680" s="8">
        <f t="shared" si="45"/>
        <v>0</v>
      </c>
      <c r="K680" s="8">
        <f>SUMIFS(His_Operacoes_acoes[Total],His_Operacoes_acoes[Fimmes],Patrimônio!B680,His_Operacoes_acoes[Operação],"JCP")
+ SUMIFS(His_Operacoes_acoes[Total],His_Operacoes_acoes[Fimmes],Patrimônio!B680,His_Operacoes_acoes[Operação],"Divid.")
+ SUMIFS(His_Operacoes_acoes[Total],His_Operacoes_acoes[Fimmes],Patrimônio!B680,His_Operacoes_acoes[Operação],"Bonif.")</f>
        <v>0</v>
      </c>
      <c r="L680" s="8">
        <f>SUMIFS(His_Operacoes_BDRs[Total],His_Operacoes_BDRs[Operação],"Provento",His_Operacoes_BDRs[fimmês],Patrimônio!B680)</f>
        <v>0</v>
      </c>
      <c r="M680" s="8">
        <f>SUMIFS(His_Operacoes_FIIs[Total],His_Operacoes_FIIs[Operação],"Provento",His_Operacoes_FIIs[fimmês],Patrimônio!B680)</f>
        <v>0</v>
      </c>
      <c r="N680" s="8">
        <f t="shared" si="46"/>
        <v>0</v>
      </c>
    </row>
    <row r="681" spans="1:14" x14ac:dyDescent="0.35">
      <c r="A681" s="7">
        <v>63037</v>
      </c>
      <c r="B681" s="7">
        <f t="shared" si="43"/>
        <v>63036</v>
      </c>
      <c r="I681" s="8">
        <f t="shared" si="44"/>
        <v>0</v>
      </c>
      <c r="J681" s="8">
        <f t="shared" si="45"/>
        <v>0</v>
      </c>
      <c r="K681" s="8">
        <f>SUMIFS(His_Operacoes_acoes[Total],His_Operacoes_acoes[Fimmes],Patrimônio!B681,His_Operacoes_acoes[Operação],"JCP")
+ SUMIFS(His_Operacoes_acoes[Total],His_Operacoes_acoes[Fimmes],Patrimônio!B681,His_Operacoes_acoes[Operação],"Divid.")
+ SUMIFS(His_Operacoes_acoes[Total],His_Operacoes_acoes[Fimmes],Patrimônio!B681,His_Operacoes_acoes[Operação],"Bonif.")</f>
        <v>0</v>
      </c>
      <c r="L681" s="8">
        <f>SUMIFS(His_Operacoes_BDRs[Total],His_Operacoes_BDRs[Operação],"Provento",His_Operacoes_BDRs[fimmês],Patrimônio!B681)</f>
        <v>0</v>
      </c>
      <c r="M681" s="8">
        <f>SUMIFS(His_Operacoes_FIIs[Total],His_Operacoes_FIIs[Operação],"Provento",His_Operacoes_FIIs[fimmês],Patrimônio!B681)</f>
        <v>0</v>
      </c>
      <c r="N681" s="8">
        <f t="shared" si="46"/>
        <v>0</v>
      </c>
    </row>
    <row r="682" spans="1:14" x14ac:dyDescent="0.35">
      <c r="A682" s="7">
        <v>63068</v>
      </c>
      <c r="B682" s="7">
        <f t="shared" si="43"/>
        <v>63067</v>
      </c>
      <c r="I682" s="8">
        <f t="shared" si="44"/>
        <v>0</v>
      </c>
      <c r="J682" s="8">
        <f t="shared" si="45"/>
        <v>0</v>
      </c>
      <c r="K682" s="8">
        <f>SUMIFS(His_Operacoes_acoes[Total],His_Operacoes_acoes[Fimmes],Patrimônio!B682,His_Operacoes_acoes[Operação],"JCP")
+ SUMIFS(His_Operacoes_acoes[Total],His_Operacoes_acoes[Fimmes],Patrimônio!B682,His_Operacoes_acoes[Operação],"Divid.")
+ SUMIFS(His_Operacoes_acoes[Total],His_Operacoes_acoes[Fimmes],Patrimônio!B682,His_Operacoes_acoes[Operação],"Bonif.")</f>
        <v>0</v>
      </c>
      <c r="L682" s="8">
        <f>SUMIFS(His_Operacoes_BDRs[Total],His_Operacoes_BDRs[Operação],"Provento",His_Operacoes_BDRs[fimmês],Patrimônio!B682)</f>
        <v>0</v>
      </c>
      <c r="M682" s="8">
        <f>SUMIFS(His_Operacoes_FIIs[Total],His_Operacoes_FIIs[Operação],"Provento",His_Operacoes_FIIs[fimmês],Patrimônio!B682)</f>
        <v>0</v>
      </c>
      <c r="N682" s="8">
        <f t="shared" si="46"/>
        <v>0</v>
      </c>
    </row>
    <row r="683" spans="1:14" x14ac:dyDescent="0.35">
      <c r="A683" s="7">
        <v>63098</v>
      </c>
      <c r="B683" s="7">
        <f t="shared" si="43"/>
        <v>63097</v>
      </c>
      <c r="I683" s="8">
        <f t="shared" si="44"/>
        <v>0</v>
      </c>
      <c r="J683" s="8">
        <f t="shared" si="45"/>
        <v>0</v>
      </c>
      <c r="K683" s="8">
        <f>SUMIFS(His_Operacoes_acoes[Total],His_Operacoes_acoes[Fimmes],Patrimônio!B683,His_Operacoes_acoes[Operação],"JCP")
+ SUMIFS(His_Operacoes_acoes[Total],His_Operacoes_acoes[Fimmes],Patrimônio!B683,His_Operacoes_acoes[Operação],"Divid.")
+ SUMIFS(His_Operacoes_acoes[Total],His_Operacoes_acoes[Fimmes],Patrimônio!B683,His_Operacoes_acoes[Operação],"Bonif.")</f>
        <v>0</v>
      </c>
      <c r="L683" s="8">
        <f>SUMIFS(His_Operacoes_BDRs[Total],His_Operacoes_BDRs[Operação],"Provento",His_Operacoes_BDRs[fimmês],Patrimônio!B683)</f>
        <v>0</v>
      </c>
      <c r="M683" s="8">
        <f>SUMIFS(His_Operacoes_FIIs[Total],His_Operacoes_FIIs[Operação],"Provento",His_Operacoes_FIIs[fimmês],Patrimônio!B683)</f>
        <v>0</v>
      </c>
      <c r="N683" s="8">
        <f t="shared" si="46"/>
        <v>0</v>
      </c>
    </row>
    <row r="684" spans="1:14" x14ac:dyDescent="0.35">
      <c r="A684" s="7">
        <v>63129</v>
      </c>
      <c r="B684" s="7">
        <f t="shared" si="43"/>
        <v>63128</v>
      </c>
      <c r="I684" s="8">
        <f t="shared" si="44"/>
        <v>0</v>
      </c>
      <c r="J684" s="8">
        <f t="shared" si="45"/>
        <v>0</v>
      </c>
      <c r="K684" s="8">
        <f>SUMIFS(His_Operacoes_acoes[Total],His_Operacoes_acoes[Fimmes],Patrimônio!B684,His_Operacoes_acoes[Operação],"JCP")
+ SUMIFS(His_Operacoes_acoes[Total],His_Operacoes_acoes[Fimmes],Patrimônio!B684,His_Operacoes_acoes[Operação],"Divid.")
+ SUMIFS(His_Operacoes_acoes[Total],His_Operacoes_acoes[Fimmes],Patrimônio!B684,His_Operacoes_acoes[Operação],"Bonif.")</f>
        <v>0</v>
      </c>
      <c r="L684" s="8">
        <f>SUMIFS(His_Operacoes_BDRs[Total],His_Operacoes_BDRs[Operação],"Provento",His_Operacoes_BDRs[fimmês],Patrimônio!B684)</f>
        <v>0</v>
      </c>
      <c r="M684" s="8">
        <f>SUMIFS(His_Operacoes_FIIs[Total],His_Operacoes_FIIs[Operação],"Provento",His_Operacoes_FIIs[fimmês],Patrimônio!B684)</f>
        <v>0</v>
      </c>
      <c r="N684" s="8">
        <f t="shared" si="46"/>
        <v>0</v>
      </c>
    </row>
    <row r="685" spans="1:14" x14ac:dyDescent="0.35">
      <c r="A685" s="7">
        <v>63159</v>
      </c>
      <c r="B685" s="7">
        <f t="shared" si="43"/>
        <v>63158</v>
      </c>
      <c r="I685" s="8">
        <f t="shared" si="44"/>
        <v>0</v>
      </c>
      <c r="J685" s="8">
        <f t="shared" si="45"/>
        <v>0</v>
      </c>
      <c r="K685" s="8">
        <f>SUMIFS(His_Operacoes_acoes[Total],His_Operacoes_acoes[Fimmes],Patrimônio!B685,His_Operacoes_acoes[Operação],"JCP")
+ SUMIFS(His_Operacoes_acoes[Total],His_Operacoes_acoes[Fimmes],Patrimônio!B685,His_Operacoes_acoes[Operação],"Divid.")
+ SUMIFS(His_Operacoes_acoes[Total],His_Operacoes_acoes[Fimmes],Patrimônio!B685,His_Operacoes_acoes[Operação],"Bonif.")</f>
        <v>0</v>
      </c>
      <c r="L685" s="8">
        <f>SUMIFS(His_Operacoes_BDRs[Total],His_Operacoes_BDRs[Operação],"Provento",His_Operacoes_BDRs[fimmês],Patrimônio!B685)</f>
        <v>0</v>
      </c>
      <c r="M685" s="8">
        <f>SUMIFS(His_Operacoes_FIIs[Total],His_Operacoes_FIIs[Operação],"Provento",His_Operacoes_FIIs[fimmês],Patrimônio!B685)</f>
        <v>0</v>
      </c>
      <c r="N685" s="8">
        <f t="shared" si="46"/>
        <v>0</v>
      </c>
    </row>
    <row r="686" spans="1:14" x14ac:dyDescent="0.35">
      <c r="A686" s="7">
        <v>63190</v>
      </c>
      <c r="B686" s="7">
        <f t="shared" si="43"/>
        <v>63189</v>
      </c>
      <c r="I686" s="8">
        <f t="shared" si="44"/>
        <v>0</v>
      </c>
      <c r="J686" s="8">
        <f t="shared" si="45"/>
        <v>0</v>
      </c>
      <c r="K686" s="8">
        <f>SUMIFS(His_Operacoes_acoes[Total],His_Operacoes_acoes[Fimmes],Patrimônio!B686,His_Operacoes_acoes[Operação],"JCP")
+ SUMIFS(His_Operacoes_acoes[Total],His_Operacoes_acoes[Fimmes],Patrimônio!B686,His_Operacoes_acoes[Operação],"Divid.")
+ SUMIFS(His_Operacoes_acoes[Total],His_Operacoes_acoes[Fimmes],Patrimônio!B686,His_Operacoes_acoes[Operação],"Bonif.")</f>
        <v>0</v>
      </c>
      <c r="L686" s="8">
        <f>SUMIFS(His_Operacoes_BDRs[Total],His_Operacoes_BDRs[Operação],"Provento",His_Operacoes_BDRs[fimmês],Patrimônio!B686)</f>
        <v>0</v>
      </c>
      <c r="M686" s="8">
        <f>SUMIFS(His_Operacoes_FIIs[Total],His_Operacoes_FIIs[Operação],"Provento",His_Operacoes_FIIs[fimmês],Patrimônio!B686)</f>
        <v>0</v>
      </c>
      <c r="N686" s="8">
        <f t="shared" si="46"/>
        <v>0</v>
      </c>
    </row>
    <row r="687" spans="1:14" x14ac:dyDescent="0.35">
      <c r="A687" s="7">
        <v>63221</v>
      </c>
      <c r="B687" s="7">
        <f t="shared" si="43"/>
        <v>63220</v>
      </c>
      <c r="I687" s="8">
        <f t="shared" si="44"/>
        <v>0</v>
      </c>
      <c r="J687" s="8">
        <f t="shared" si="45"/>
        <v>0</v>
      </c>
      <c r="K687" s="8">
        <f>SUMIFS(His_Operacoes_acoes[Total],His_Operacoes_acoes[Fimmes],Patrimônio!B687,His_Operacoes_acoes[Operação],"JCP")
+ SUMIFS(His_Operacoes_acoes[Total],His_Operacoes_acoes[Fimmes],Patrimônio!B687,His_Operacoes_acoes[Operação],"Divid.")
+ SUMIFS(His_Operacoes_acoes[Total],His_Operacoes_acoes[Fimmes],Patrimônio!B687,His_Operacoes_acoes[Operação],"Bonif.")</f>
        <v>0</v>
      </c>
      <c r="L687" s="8">
        <f>SUMIFS(His_Operacoes_BDRs[Total],His_Operacoes_BDRs[Operação],"Provento",His_Operacoes_BDRs[fimmês],Patrimônio!B687)</f>
        <v>0</v>
      </c>
      <c r="M687" s="8">
        <f>SUMIFS(His_Operacoes_FIIs[Total],His_Operacoes_FIIs[Operação],"Provento",His_Operacoes_FIIs[fimmês],Patrimônio!B687)</f>
        <v>0</v>
      </c>
      <c r="N687" s="8">
        <f t="shared" si="46"/>
        <v>0</v>
      </c>
    </row>
    <row r="688" spans="1:14" x14ac:dyDescent="0.35">
      <c r="A688" s="7">
        <v>63249</v>
      </c>
      <c r="B688" s="7">
        <f t="shared" si="43"/>
        <v>63248</v>
      </c>
      <c r="I688" s="8">
        <f t="shared" si="44"/>
        <v>0</v>
      </c>
      <c r="J688" s="8">
        <f t="shared" si="45"/>
        <v>0</v>
      </c>
      <c r="K688" s="8">
        <f>SUMIFS(His_Operacoes_acoes[Total],His_Operacoes_acoes[Fimmes],Patrimônio!B688,His_Operacoes_acoes[Operação],"JCP")
+ SUMIFS(His_Operacoes_acoes[Total],His_Operacoes_acoes[Fimmes],Patrimônio!B688,His_Operacoes_acoes[Operação],"Divid.")
+ SUMIFS(His_Operacoes_acoes[Total],His_Operacoes_acoes[Fimmes],Patrimônio!B688,His_Operacoes_acoes[Operação],"Bonif.")</f>
        <v>0</v>
      </c>
      <c r="L688" s="8">
        <f>SUMIFS(His_Operacoes_BDRs[Total],His_Operacoes_BDRs[Operação],"Provento",His_Operacoes_BDRs[fimmês],Patrimônio!B688)</f>
        <v>0</v>
      </c>
      <c r="M688" s="8">
        <f>SUMIFS(His_Operacoes_FIIs[Total],His_Operacoes_FIIs[Operação],"Provento",His_Operacoes_FIIs[fimmês],Patrimônio!B688)</f>
        <v>0</v>
      </c>
      <c r="N688" s="8">
        <f t="shared" si="46"/>
        <v>0</v>
      </c>
    </row>
    <row r="689" spans="1:14" x14ac:dyDescent="0.35">
      <c r="A689" s="7">
        <v>63280</v>
      </c>
      <c r="B689" s="7">
        <f t="shared" si="43"/>
        <v>63279</v>
      </c>
      <c r="I689" s="8">
        <f t="shared" si="44"/>
        <v>0</v>
      </c>
      <c r="J689" s="8">
        <f t="shared" si="45"/>
        <v>0</v>
      </c>
      <c r="K689" s="8">
        <f>SUMIFS(His_Operacoes_acoes[Total],His_Operacoes_acoes[Fimmes],Patrimônio!B689,His_Operacoes_acoes[Operação],"JCP")
+ SUMIFS(His_Operacoes_acoes[Total],His_Operacoes_acoes[Fimmes],Patrimônio!B689,His_Operacoes_acoes[Operação],"Divid.")
+ SUMIFS(His_Operacoes_acoes[Total],His_Operacoes_acoes[Fimmes],Patrimônio!B689,His_Operacoes_acoes[Operação],"Bonif.")</f>
        <v>0</v>
      </c>
      <c r="L689" s="8">
        <f>SUMIFS(His_Operacoes_BDRs[Total],His_Operacoes_BDRs[Operação],"Provento",His_Operacoes_BDRs[fimmês],Patrimônio!B689)</f>
        <v>0</v>
      </c>
      <c r="M689" s="8">
        <f>SUMIFS(His_Operacoes_FIIs[Total],His_Operacoes_FIIs[Operação],"Provento",His_Operacoes_FIIs[fimmês],Patrimônio!B689)</f>
        <v>0</v>
      </c>
      <c r="N689" s="8">
        <f t="shared" si="46"/>
        <v>0</v>
      </c>
    </row>
    <row r="690" spans="1:14" x14ac:dyDescent="0.35">
      <c r="A690" s="7">
        <v>63310</v>
      </c>
      <c r="B690" s="7">
        <f t="shared" si="43"/>
        <v>63309</v>
      </c>
      <c r="I690" s="8">
        <f t="shared" si="44"/>
        <v>0</v>
      </c>
      <c r="J690" s="8">
        <f t="shared" si="45"/>
        <v>0</v>
      </c>
      <c r="K690" s="8">
        <f>SUMIFS(His_Operacoes_acoes[Total],His_Operacoes_acoes[Fimmes],Patrimônio!B690,His_Operacoes_acoes[Operação],"JCP")
+ SUMIFS(His_Operacoes_acoes[Total],His_Operacoes_acoes[Fimmes],Patrimônio!B690,His_Operacoes_acoes[Operação],"Divid.")
+ SUMIFS(His_Operacoes_acoes[Total],His_Operacoes_acoes[Fimmes],Patrimônio!B690,His_Operacoes_acoes[Operação],"Bonif.")</f>
        <v>0</v>
      </c>
      <c r="L690" s="8">
        <f>SUMIFS(His_Operacoes_BDRs[Total],His_Operacoes_BDRs[Operação],"Provento",His_Operacoes_BDRs[fimmês],Patrimônio!B690)</f>
        <v>0</v>
      </c>
      <c r="M690" s="8">
        <f>SUMIFS(His_Operacoes_FIIs[Total],His_Operacoes_FIIs[Operação],"Provento",His_Operacoes_FIIs[fimmês],Patrimônio!B690)</f>
        <v>0</v>
      </c>
      <c r="N690" s="8">
        <f t="shared" si="46"/>
        <v>0</v>
      </c>
    </row>
    <row r="691" spans="1:14" x14ac:dyDescent="0.35">
      <c r="A691" s="7">
        <v>63341</v>
      </c>
      <c r="B691" s="7">
        <f t="shared" si="43"/>
        <v>63340</v>
      </c>
      <c r="I691" s="8">
        <f t="shared" si="44"/>
        <v>0</v>
      </c>
      <c r="J691" s="8">
        <f t="shared" si="45"/>
        <v>0</v>
      </c>
      <c r="K691" s="8">
        <f>SUMIFS(His_Operacoes_acoes[Total],His_Operacoes_acoes[Fimmes],Patrimônio!B691,His_Operacoes_acoes[Operação],"JCP")
+ SUMIFS(His_Operacoes_acoes[Total],His_Operacoes_acoes[Fimmes],Patrimônio!B691,His_Operacoes_acoes[Operação],"Divid.")
+ SUMIFS(His_Operacoes_acoes[Total],His_Operacoes_acoes[Fimmes],Patrimônio!B691,His_Operacoes_acoes[Operação],"Bonif.")</f>
        <v>0</v>
      </c>
      <c r="L691" s="8">
        <f>SUMIFS(His_Operacoes_BDRs[Total],His_Operacoes_BDRs[Operação],"Provento",His_Operacoes_BDRs[fimmês],Patrimônio!B691)</f>
        <v>0</v>
      </c>
      <c r="M691" s="8">
        <f>SUMIFS(His_Operacoes_FIIs[Total],His_Operacoes_FIIs[Operação],"Provento",His_Operacoes_FIIs[fimmês],Patrimônio!B691)</f>
        <v>0</v>
      </c>
      <c r="N691" s="8">
        <f t="shared" si="46"/>
        <v>0</v>
      </c>
    </row>
    <row r="692" spans="1:14" x14ac:dyDescent="0.35">
      <c r="A692" s="7">
        <v>63371</v>
      </c>
      <c r="B692" s="7">
        <f t="shared" si="43"/>
        <v>63370</v>
      </c>
      <c r="I692" s="8">
        <f t="shared" si="44"/>
        <v>0</v>
      </c>
      <c r="J692" s="8">
        <f t="shared" si="45"/>
        <v>0</v>
      </c>
      <c r="K692" s="8">
        <f>SUMIFS(His_Operacoes_acoes[Total],His_Operacoes_acoes[Fimmes],Patrimônio!B692,His_Operacoes_acoes[Operação],"JCP")
+ SUMIFS(His_Operacoes_acoes[Total],His_Operacoes_acoes[Fimmes],Patrimônio!B692,His_Operacoes_acoes[Operação],"Divid.")
+ SUMIFS(His_Operacoes_acoes[Total],His_Operacoes_acoes[Fimmes],Patrimônio!B692,His_Operacoes_acoes[Operação],"Bonif.")</f>
        <v>0</v>
      </c>
      <c r="L692" s="8">
        <f>SUMIFS(His_Operacoes_BDRs[Total],His_Operacoes_BDRs[Operação],"Provento",His_Operacoes_BDRs[fimmês],Patrimônio!B692)</f>
        <v>0</v>
      </c>
      <c r="M692" s="8">
        <f>SUMIFS(His_Operacoes_FIIs[Total],His_Operacoes_FIIs[Operação],"Provento",His_Operacoes_FIIs[fimmês],Patrimônio!B692)</f>
        <v>0</v>
      </c>
      <c r="N692" s="8">
        <f t="shared" si="46"/>
        <v>0</v>
      </c>
    </row>
    <row r="693" spans="1:14" x14ac:dyDescent="0.35">
      <c r="A693" s="7">
        <v>63402</v>
      </c>
      <c r="B693" s="7">
        <f t="shared" si="43"/>
        <v>63401</v>
      </c>
      <c r="I693" s="8">
        <f t="shared" si="44"/>
        <v>0</v>
      </c>
      <c r="J693" s="8">
        <f t="shared" si="45"/>
        <v>0</v>
      </c>
      <c r="K693" s="8">
        <f>SUMIFS(His_Operacoes_acoes[Total],His_Operacoes_acoes[Fimmes],Patrimônio!B693,His_Operacoes_acoes[Operação],"JCP")
+ SUMIFS(His_Operacoes_acoes[Total],His_Operacoes_acoes[Fimmes],Patrimônio!B693,His_Operacoes_acoes[Operação],"Divid.")
+ SUMIFS(His_Operacoes_acoes[Total],His_Operacoes_acoes[Fimmes],Patrimônio!B693,His_Operacoes_acoes[Operação],"Bonif.")</f>
        <v>0</v>
      </c>
      <c r="L693" s="8">
        <f>SUMIFS(His_Operacoes_BDRs[Total],His_Operacoes_BDRs[Operação],"Provento",His_Operacoes_BDRs[fimmês],Patrimônio!B693)</f>
        <v>0</v>
      </c>
      <c r="M693" s="8">
        <f>SUMIFS(His_Operacoes_FIIs[Total],His_Operacoes_FIIs[Operação],"Provento",His_Operacoes_FIIs[fimmês],Patrimônio!B693)</f>
        <v>0</v>
      </c>
      <c r="N693" s="8">
        <f t="shared" si="46"/>
        <v>0</v>
      </c>
    </row>
    <row r="694" spans="1:14" x14ac:dyDescent="0.35">
      <c r="A694" s="7">
        <v>63433</v>
      </c>
      <c r="B694" s="7">
        <f t="shared" si="43"/>
        <v>63432</v>
      </c>
      <c r="I694" s="8">
        <f t="shared" si="44"/>
        <v>0</v>
      </c>
      <c r="J694" s="8">
        <f t="shared" si="45"/>
        <v>0</v>
      </c>
      <c r="K694" s="8">
        <f>SUMIFS(His_Operacoes_acoes[Total],His_Operacoes_acoes[Fimmes],Patrimônio!B694,His_Operacoes_acoes[Operação],"JCP")
+ SUMIFS(His_Operacoes_acoes[Total],His_Operacoes_acoes[Fimmes],Patrimônio!B694,His_Operacoes_acoes[Operação],"Divid.")
+ SUMIFS(His_Operacoes_acoes[Total],His_Operacoes_acoes[Fimmes],Patrimônio!B694,His_Operacoes_acoes[Operação],"Bonif.")</f>
        <v>0</v>
      </c>
      <c r="L694" s="8">
        <f>SUMIFS(His_Operacoes_BDRs[Total],His_Operacoes_BDRs[Operação],"Provento",His_Operacoes_BDRs[fimmês],Patrimônio!B694)</f>
        <v>0</v>
      </c>
      <c r="M694" s="8">
        <f>SUMIFS(His_Operacoes_FIIs[Total],His_Operacoes_FIIs[Operação],"Provento",His_Operacoes_FIIs[fimmês],Patrimônio!B694)</f>
        <v>0</v>
      </c>
      <c r="N694" s="8">
        <f t="shared" si="46"/>
        <v>0</v>
      </c>
    </row>
    <row r="695" spans="1:14" x14ac:dyDescent="0.35">
      <c r="A695" s="7">
        <v>63463</v>
      </c>
      <c r="B695" s="7">
        <f t="shared" si="43"/>
        <v>63462</v>
      </c>
      <c r="I695" s="8">
        <f t="shared" si="44"/>
        <v>0</v>
      </c>
      <c r="J695" s="8">
        <f t="shared" si="45"/>
        <v>0</v>
      </c>
      <c r="K695" s="8">
        <f>SUMIFS(His_Operacoes_acoes[Total],His_Operacoes_acoes[Fimmes],Patrimônio!B695,His_Operacoes_acoes[Operação],"JCP")
+ SUMIFS(His_Operacoes_acoes[Total],His_Operacoes_acoes[Fimmes],Patrimônio!B695,His_Operacoes_acoes[Operação],"Divid.")
+ SUMIFS(His_Operacoes_acoes[Total],His_Operacoes_acoes[Fimmes],Patrimônio!B695,His_Operacoes_acoes[Operação],"Bonif.")</f>
        <v>0</v>
      </c>
      <c r="L695" s="8">
        <f>SUMIFS(His_Operacoes_BDRs[Total],His_Operacoes_BDRs[Operação],"Provento",His_Operacoes_BDRs[fimmês],Patrimônio!B695)</f>
        <v>0</v>
      </c>
      <c r="M695" s="8">
        <f>SUMIFS(His_Operacoes_FIIs[Total],His_Operacoes_FIIs[Operação],"Provento",His_Operacoes_FIIs[fimmês],Patrimônio!B695)</f>
        <v>0</v>
      </c>
      <c r="N695" s="8">
        <f t="shared" si="46"/>
        <v>0</v>
      </c>
    </row>
    <row r="696" spans="1:14" x14ac:dyDescent="0.35">
      <c r="A696" s="7">
        <v>63494</v>
      </c>
      <c r="B696" s="7">
        <f t="shared" si="43"/>
        <v>63493</v>
      </c>
      <c r="I696" s="8">
        <f t="shared" si="44"/>
        <v>0</v>
      </c>
      <c r="J696" s="8">
        <f t="shared" si="45"/>
        <v>0</v>
      </c>
      <c r="K696" s="8">
        <f>SUMIFS(His_Operacoes_acoes[Total],His_Operacoes_acoes[Fimmes],Patrimônio!B696,His_Operacoes_acoes[Operação],"JCP")
+ SUMIFS(His_Operacoes_acoes[Total],His_Operacoes_acoes[Fimmes],Patrimônio!B696,His_Operacoes_acoes[Operação],"Divid.")
+ SUMIFS(His_Operacoes_acoes[Total],His_Operacoes_acoes[Fimmes],Patrimônio!B696,His_Operacoes_acoes[Operação],"Bonif.")</f>
        <v>0</v>
      </c>
      <c r="L696" s="8">
        <f>SUMIFS(His_Operacoes_BDRs[Total],His_Operacoes_BDRs[Operação],"Provento",His_Operacoes_BDRs[fimmês],Patrimônio!B696)</f>
        <v>0</v>
      </c>
      <c r="M696" s="8">
        <f>SUMIFS(His_Operacoes_FIIs[Total],His_Operacoes_FIIs[Operação],"Provento",His_Operacoes_FIIs[fimmês],Patrimônio!B696)</f>
        <v>0</v>
      </c>
      <c r="N696" s="8">
        <f t="shared" si="46"/>
        <v>0</v>
      </c>
    </row>
    <row r="697" spans="1:14" x14ac:dyDescent="0.35">
      <c r="A697" s="7">
        <v>63524</v>
      </c>
      <c r="B697" s="7">
        <f t="shared" si="43"/>
        <v>63523</v>
      </c>
      <c r="I697" s="8">
        <f t="shared" si="44"/>
        <v>0</v>
      </c>
      <c r="J697" s="8">
        <f t="shared" si="45"/>
        <v>0</v>
      </c>
      <c r="K697" s="8">
        <f>SUMIFS(His_Operacoes_acoes[Total],His_Operacoes_acoes[Fimmes],Patrimônio!B697,His_Operacoes_acoes[Operação],"JCP")
+ SUMIFS(His_Operacoes_acoes[Total],His_Operacoes_acoes[Fimmes],Patrimônio!B697,His_Operacoes_acoes[Operação],"Divid.")
+ SUMIFS(His_Operacoes_acoes[Total],His_Operacoes_acoes[Fimmes],Patrimônio!B697,His_Operacoes_acoes[Operação],"Bonif.")</f>
        <v>0</v>
      </c>
      <c r="L697" s="8">
        <f>SUMIFS(His_Operacoes_BDRs[Total],His_Operacoes_BDRs[Operação],"Provento",His_Operacoes_BDRs[fimmês],Patrimônio!B697)</f>
        <v>0</v>
      </c>
      <c r="M697" s="8">
        <f>SUMIFS(His_Operacoes_FIIs[Total],His_Operacoes_FIIs[Operação],"Provento",His_Operacoes_FIIs[fimmês],Patrimônio!B697)</f>
        <v>0</v>
      </c>
      <c r="N697" s="8">
        <f t="shared" si="46"/>
        <v>0</v>
      </c>
    </row>
    <row r="698" spans="1:14" x14ac:dyDescent="0.35">
      <c r="A698" s="7">
        <v>63555</v>
      </c>
      <c r="B698" s="7">
        <f t="shared" si="43"/>
        <v>63554</v>
      </c>
      <c r="I698" s="8">
        <f t="shared" si="44"/>
        <v>0</v>
      </c>
      <c r="J698" s="8">
        <f t="shared" si="45"/>
        <v>0</v>
      </c>
      <c r="K698" s="8">
        <f>SUMIFS(His_Operacoes_acoes[Total],His_Operacoes_acoes[Fimmes],Patrimônio!B698,His_Operacoes_acoes[Operação],"JCP")
+ SUMIFS(His_Operacoes_acoes[Total],His_Operacoes_acoes[Fimmes],Patrimônio!B698,His_Operacoes_acoes[Operação],"Divid.")
+ SUMIFS(His_Operacoes_acoes[Total],His_Operacoes_acoes[Fimmes],Patrimônio!B698,His_Operacoes_acoes[Operação],"Bonif.")</f>
        <v>0</v>
      </c>
      <c r="L698" s="8">
        <f>SUMIFS(His_Operacoes_BDRs[Total],His_Operacoes_BDRs[Operação],"Provento",His_Operacoes_BDRs[fimmês],Patrimônio!B698)</f>
        <v>0</v>
      </c>
      <c r="M698" s="8">
        <f>SUMIFS(His_Operacoes_FIIs[Total],His_Operacoes_FIIs[Operação],"Provento",His_Operacoes_FIIs[fimmês],Patrimônio!B698)</f>
        <v>0</v>
      </c>
      <c r="N698" s="8">
        <f t="shared" si="46"/>
        <v>0</v>
      </c>
    </row>
    <row r="699" spans="1:14" x14ac:dyDescent="0.35">
      <c r="A699" s="7">
        <v>63586</v>
      </c>
      <c r="B699" s="7">
        <f t="shared" si="43"/>
        <v>63585</v>
      </c>
      <c r="I699" s="8">
        <f t="shared" si="44"/>
        <v>0</v>
      </c>
      <c r="J699" s="8">
        <f t="shared" si="45"/>
        <v>0</v>
      </c>
      <c r="K699" s="8">
        <f>SUMIFS(His_Operacoes_acoes[Total],His_Operacoes_acoes[Fimmes],Patrimônio!B699,His_Operacoes_acoes[Operação],"JCP")
+ SUMIFS(His_Operacoes_acoes[Total],His_Operacoes_acoes[Fimmes],Patrimônio!B699,His_Operacoes_acoes[Operação],"Divid.")
+ SUMIFS(His_Operacoes_acoes[Total],His_Operacoes_acoes[Fimmes],Patrimônio!B699,His_Operacoes_acoes[Operação],"Bonif.")</f>
        <v>0</v>
      </c>
      <c r="L699" s="8">
        <f>SUMIFS(His_Operacoes_BDRs[Total],His_Operacoes_BDRs[Operação],"Provento",His_Operacoes_BDRs[fimmês],Patrimônio!B699)</f>
        <v>0</v>
      </c>
      <c r="M699" s="8">
        <f>SUMIFS(His_Operacoes_FIIs[Total],His_Operacoes_FIIs[Operação],"Provento",His_Operacoes_FIIs[fimmês],Patrimônio!B699)</f>
        <v>0</v>
      </c>
      <c r="N699" s="8">
        <f t="shared" si="46"/>
        <v>0</v>
      </c>
    </row>
    <row r="700" spans="1:14" x14ac:dyDescent="0.35">
      <c r="A700" s="7">
        <v>63614</v>
      </c>
      <c r="B700" s="7">
        <f t="shared" si="43"/>
        <v>63613</v>
      </c>
      <c r="I700" s="8">
        <f t="shared" si="44"/>
        <v>0</v>
      </c>
      <c r="J700" s="8">
        <f t="shared" si="45"/>
        <v>0</v>
      </c>
      <c r="K700" s="8">
        <f>SUMIFS(His_Operacoes_acoes[Total],His_Operacoes_acoes[Fimmes],Patrimônio!B700,His_Operacoes_acoes[Operação],"JCP")
+ SUMIFS(His_Operacoes_acoes[Total],His_Operacoes_acoes[Fimmes],Patrimônio!B700,His_Operacoes_acoes[Operação],"Divid.")
+ SUMIFS(His_Operacoes_acoes[Total],His_Operacoes_acoes[Fimmes],Patrimônio!B700,His_Operacoes_acoes[Operação],"Bonif.")</f>
        <v>0</v>
      </c>
      <c r="L700" s="8">
        <f>SUMIFS(His_Operacoes_BDRs[Total],His_Operacoes_BDRs[Operação],"Provento",His_Operacoes_BDRs[fimmês],Patrimônio!B700)</f>
        <v>0</v>
      </c>
      <c r="M700" s="8">
        <f>SUMIFS(His_Operacoes_FIIs[Total],His_Operacoes_FIIs[Operação],"Provento",His_Operacoes_FIIs[fimmês],Patrimônio!B700)</f>
        <v>0</v>
      </c>
      <c r="N700" s="8">
        <f t="shared" si="46"/>
        <v>0</v>
      </c>
    </row>
    <row r="701" spans="1:14" x14ac:dyDescent="0.35">
      <c r="A701" s="7">
        <v>63645</v>
      </c>
      <c r="B701" s="7">
        <f t="shared" si="43"/>
        <v>63644</v>
      </c>
      <c r="I701" s="8">
        <f t="shared" si="44"/>
        <v>0</v>
      </c>
      <c r="J701" s="8">
        <f t="shared" si="45"/>
        <v>0</v>
      </c>
      <c r="K701" s="8">
        <f>SUMIFS(His_Operacoes_acoes[Total],His_Operacoes_acoes[Fimmes],Patrimônio!B701,His_Operacoes_acoes[Operação],"JCP")
+ SUMIFS(His_Operacoes_acoes[Total],His_Operacoes_acoes[Fimmes],Patrimônio!B701,His_Operacoes_acoes[Operação],"Divid.")
+ SUMIFS(His_Operacoes_acoes[Total],His_Operacoes_acoes[Fimmes],Patrimônio!B701,His_Operacoes_acoes[Operação],"Bonif.")</f>
        <v>0</v>
      </c>
      <c r="L701" s="8">
        <f>SUMIFS(His_Operacoes_BDRs[Total],His_Operacoes_BDRs[Operação],"Provento",His_Operacoes_BDRs[fimmês],Patrimônio!B701)</f>
        <v>0</v>
      </c>
      <c r="M701" s="8">
        <f>SUMIFS(His_Operacoes_FIIs[Total],His_Operacoes_FIIs[Operação],"Provento",His_Operacoes_FIIs[fimmês],Patrimônio!B701)</f>
        <v>0</v>
      </c>
      <c r="N701" s="8">
        <f t="shared" si="46"/>
        <v>0</v>
      </c>
    </row>
    <row r="702" spans="1:14" x14ac:dyDescent="0.35">
      <c r="A702" s="7">
        <v>63675</v>
      </c>
      <c r="B702" s="7">
        <f t="shared" si="43"/>
        <v>63674</v>
      </c>
      <c r="I702" s="8">
        <f t="shared" si="44"/>
        <v>0</v>
      </c>
      <c r="J702" s="8">
        <f t="shared" si="45"/>
        <v>0</v>
      </c>
      <c r="K702" s="8">
        <f>SUMIFS(His_Operacoes_acoes[Total],His_Operacoes_acoes[Fimmes],Patrimônio!B702,His_Operacoes_acoes[Operação],"JCP")
+ SUMIFS(His_Operacoes_acoes[Total],His_Operacoes_acoes[Fimmes],Patrimônio!B702,His_Operacoes_acoes[Operação],"Divid.")
+ SUMIFS(His_Operacoes_acoes[Total],His_Operacoes_acoes[Fimmes],Patrimônio!B702,His_Operacoes_acoes[Operação],"Bonif.")</f>
        <v>0</v>
      </c>
      <c r="L702" s="8">
        <f>SUMIFS(His_Operacoes_BDRs[Total],His_Operacoes_BDRs[Operação],"Provento",His_Operacoes_BDRs[fimmês],Patrimônio!B702)</f>
        <v>0</v>
      </c>
      <c r="M702" s="8">
        <f>SUMIFS(His_Operacoes_FIIs[Total],His_Operacoes_FIIs[Operação],"Provento",His_Operacoes_FIIs[fimmês],Patrimônio!B702)</f>
        <v>0</v>
      </c>
      <c r="N702" s="8">
        <f t="shared" si="46"/>
        <v>0</v>
      </c>
    </row>
    <row r="703" spans="1:14" x14ac:dyDescent="0.35">
      <c r="A703" s="7">
        <v>63706</v>
      </c>
      <c r="B703" s="7">
        <f t="shared" si="43"/>
        <v>63705</v>
      </c>
      <c r="I703" s="8">
        <f t="shared" si="44"/>
        <v>0</v>
      </c>
      <c r="J703" s="8">
        <f t="shared" si="45"/>
        <v>0</v>
      </c>
      <c r="K703" s="8">
        <f>SUMIFS(His_Operacoes_acoes[Total],His_Operacoes_acoes[Fimmes],Patrimônio!B703,His_Operacoes_acoes[Operação],"JCP")
+ SUMIFS(His_Operacoes_acoes[Total],His_Operacoes_acoes[Fimmes],Patrimônio!B703,His_Operacoes_acoes[Operação],"Divid.")
+ SUMIFS(His_Operacoes_acoes[Total],His_Operacoes_acoes[Fimmes],Patrimônio!B703,His_Operacoes_acoes[Operação],"Bonif.")</f>
        <v>0</v>
      </c>
      <c r="L703" s="8">
        <f>SUMIFS(His_Operacoes_BDRs[Total],His_Operacoes_BDRs[Operação],"Provento",His_Operacoes_BDRs[fimmês],Patrimônio!B703)</f>
        <v>0</v>
      </c>
      <c r="M703" s="8">
        <f>SUMIFS(His_Operacoes_FIIs[Total],His_Operacoes_FIIs[Operação],"Provento",His_Operacoes_FIIs[fimmês],Patrimônio!B703)</f>
        <v>0</v>
      </c>
      <c r="N703" s="8">
        <f t="shared" si="46"/>
        <v>0</v>
      </c>
    </row>
    <row r="704" spans="1:14" x14ac:dyDescent="0.35">
      <c r="A704" s="7">
        <v>63736</v>
      </c>
      <c r="B704" s="7">
        <f t="shared" si="43"/>
        <v>63735</v>
      </c>
      <c r="I704" s="8">
        <f t="shared" si="44"/>
        <v>0</v>
      </c>
      <c r="J704" s="8">
        <f t="shared" si="45"/>
        <v>0</v>
      </c>
      <c r="K704" s="8">
        <f>SUMIFS(His_Operacoes_acoes[Total],His_Operacoes_acoes[Fimmes],Patrimônio!B704,His_Operacoes_acoes[Operação],"JCP")
+ SUMIFS(His_Operacoes_acoes[Total],His_Operacoes_acoes[Fimmes],Patrimônio!B704,His_Operacoes_acoes[Operação],"Divid.")
+ SUMIFS(His_Operacoes_acoes[Total],His_Operacoes_acoes[Fimmes],Patrimônio!B704,His_Operacoes_acoes[Operação],"Bonif.")</f>
        <v>0</v>
      </c>
      <c r="L704" s="8">
        <f>SUMIFS(His_Operacoes_BDRs[Total],His_Operacoes_BDRs[Operação],"Provento",His_Operacoes_BDRs[fimmês],Patrimônio!B704)</f>
        <v>0</v>
      </c>
      <c r="M704" s="8">
        <f>SUMIFS(His_Operacoes_FIIs[Total],His_Operacoes_FIIs[Operação],"Provento",His_Operacoes_FIIs[fimmês],Patrimônio!B704)</f>
        <v>0</v>
      </c>
      <c r="N704" s="8">
        <f t="shared" si="46"/>
        <v>0</v>
      </c>
    </row>
    <row r="705" spans="1:14" x14ac:dyDescent="0.35">
      <c r="A705" s="7">
        <v>63767</v>
      </c>
      <c r="B705" s="7">
        <f t="shared" si="43"/>
        <v>63766</v>
      </c>
      <c r="I705" s="8">
        <f t="shared" si="44"/>
        <v>0</v>
      </c>
      <c r="J705" s="8">
        <f t="shared" si="45"/>
        <v>0</v>
      </c>
      <c r="K705" s="8">
        <f>SUMIFS(His_Operacoes_acoes[Total],His_Operacoes_acoes[Fimmes],Patrimônio!B705,His_Operacoes_acoes[Operação],"JCP")
+ SUMIFS(His_Operacoes_acoes[Total],His_Operacoes_acoes[Fimmes],Patrimônio!B705,His_Operacoes_acoes[Operação],"Divid.")
+ SUMIFS(His_Operacoes_acoes[Total],His_Operacoes_acoes[Fimmes],Patrimônio!B705,His_Operacoes_acoes[Operação],"Bonif.")</f>
        <v>0</v>
      </c>
      <c r="L705" s="8">
        <f>SUMIFS(His_Operacoes_BDRs[Total],His_Operacoes_BDRs[Operação],"Provento",His_Operacoes_BDRs[fimmês],Patrimônio!B705)</f>
        <v>0</v>
      </c>
      <c r="M705" s="8">
        <f>SUMIFS(His_Operacoes_FIIs[Total],His_Operacoes_FIIs[Operação],"Provento",His_Operacoes_FIIs[fimmês],Patrimônio!B705)</f>
        <v>0</v>
      </c>
      <c r="N705" s="8">
        <f t="shared" si="46"/>
        <v>0</v>
      </c>
    </row>
    <row r="706" spans="1:14" x14ac:dyDescent="0.35">
      <c r="A706" s="7">
        <v>63798</v>
      </c>
      <c r="B706" s="7">
        <f t="shared" si="43"/>
        <v>63797</v>
      </c>
      <c r="I706" s="8">
        <f t="shared" si="44"/>
        <v>0</v>
      </c>
      <c r="J706" s="8">
        <f t="shared" si="45"/>
        <v>0</v>
      </c>
      <c r="K706" s="8">
        <f>SUMIFS(His_Operacoes_acoes[Total],His_Operacoes_acoes[Fimmes],Patrimônio!B706,His_Operacoes_acoes[Operação],"JCP")
+ SUMIFS(His_Operacoes_acoes[Total],His_Operacoes_acoes[Fimmes],Patrimônio!B706,His_Operacoes_acoes[Operação],"Divid.")
+ SUMIFS(His_Operacoes_acoes[Total],His_Operacoes_acoes[Fimmes],Patrimônio!B706,His_Operacoes_acoes[Operação],"Bonif.")</f>
        <v>0</v>
      </c>
      <c r="L706" s="8">
        <f>SUMIFS(His_Operacoes_BDRs[Total],His_Operacoes_BDRs[Operação],"Provento",His_Operacoes_BDRs[fimmês],Patrimônio!B706)</f>
        <v>0</v>
      </c>
      <c r="M706" s="8">
        <f>SUMIFS(His_Operacoes_FIIs[Total],His_Operacoes_FIIs[Operação],"Provento",His_Operacoes_FIIs[fimmês],Patrimônio!B706)</f>
        <v>0</v>
      </c>
      <c r="N706" s="8">
        <f t="shared" si="46"/>
        <v>0</v>
      </c>
    </row>
    <row r="707" spans="1:14" x14ac:dyDescent="0.35">
      <c r="A707" s="7">
        <v>63828</v>
      </c>
      <c r="B707" s="7">
        <f t="shared" ref="B707:B770" si="47">EOMONTH(A707,-1)</f>
        <v>63827</v>
      </c>
      <c r="I707" s="8">
        <f t="shared" ref="I707:I770" si="48">SUM(C707,E707,G707)</f>
        <v>0</v>
      </c>
      <c r="J707" s="8">
        <f t="shared" ref="J707:J770" si="49">SUM(D707,F707,H707)</f>
        <v>0</v>
      </c>
      <c r="K707" s="8">
        <f>SUMIFS(His_Operacoes_acoes[Total],His_Operacoes_acoes[Fimmes],Patrimônio!B707,His_Operacoes_acoes[Operação],"JCP")
+ SUMIFS(His_Operacoes_acoes[Total],His_Operacoes_acoes[Fimmes],Patrimônio!B707,His_Operacoes_acoes[Operação],"Divid.")
+ SUMIFS(His_Operacoes_acoes[Total],His_Operacoes_acoes[Fimmes],Patrimônio!B707,His_Operacoes_acoes[Operação],"Bonif.")</f>
        <v>0</v>
      </c>
      <c r="L707" s="8">
        <f>SUMIFS(His_Operacoes_BDRs[Total],His_Operacoes_BDRs[Operação],"Provento",His_Operacoes_BDRs[fimmês],Patrimônio!B707)</f>
        <v>0</v>
      </c>
      <c r="M707" s="8">
        <f>SUMIFS(His_Operacoes_FIIs[Total],His_Operacoes_FIIs[Operação],"Provento",His_Operacoes_FIIs[fimmês],Patrimônio!B707)</f>
        <v>0</v>
      </c>
      <c r="N707" s="8">
        <f t="shared" ref="N707:N770" si="50">SUM(K707:M707)</f>
        <v>0</v>
      </c>
    </row>
    <row r="708" spans="1:14" x14ac:dyDescent="0.35">
      <c r="A708" s="7">
        <v>63859</v>
      </c>
      <c r="B708" s="7">
        <f t="shared" si="47"/>
        <v>63858</v>
      </c>
      <c r="I708" s="8">
        <f t="shared" si="48"/>
        <v>0</v>
      </c>
      <c r="J708" s="8">
        <f t="shared" si="49"/>
        <v>0</v>
      </c>
      <c r="K708" s="8">
        <f>SUMIFS(His_Operacoes_acoes[Total],His_Operacoes_acoes[Fimmes],Patrimônio!B708,His_Operacoes_acoes[Operação],"JCP")
+ SUMIFS(His_Operacoes_acoes[Total],His_Operacoes_acoes[Fimmes],Patrimônio!B708,His_Operacoes_acoes[Operação],"Divid.")
+ SUMIFS(His_Operacoes_acoes[Total],His_Operacoes_acoes[Fimmes],Patrimônio!B708,His_Operacoes_acoes[Operação],"Bonif.")</f>
        <v>0</v>
      </c>
      <c r="L708" s="8">
        <f>SUMIFS(His_Operacoes_BDRs[Total],His_Operacoes_BDRs[Operação],"Provento",His_Operacoes_BDRs[fimmês],Patrimônio!B708)</f>
        <v>0</v>
      </c>
      <c r="M708" s="8">
        <f>SUMIFS(His_Operacoes_FIIs[Total],His_Operacoes_FIIs[Operação],"Provento",His_Operacoes_FIIs[fimmês],Patrimônio!B708)</f>
        <v>0</v>
      </c>
      <c r="N708" s="8">
        <f t="shared" si="50"/>
        <v>0</v>
      </c>
    </row>
    <row r="709" spans="1:14" x14ac:dyDescent="0.35">
      <c r="A709" s="7">
        <v>63889</v>
      </c>
      <c r="B709" s="7">
        <f t="shared" si="47"/>
        <v>63888</v>
      </c>
      <c r="I709" s="8">
        <f t="shared" si="48"/>
        <v>0</v>
      </c>
      <c r="J709" s="8">
        <f t="shared" si="49"/>
        <v>0</v>
      </c>
      <c r="K709" s="8">
        <f>SUMIFS(His_Operacoes_acoes[Total],His_Operacoes_acoes[Fimmes],Patrimônio!B709,His_Operacoes_acoes[Operação],"JCP")
+ SUMIFS(His_Operacoes_acoes[Total],His_Operacoes_acoes[Fimmes],Patrimônio!B709,His_Operacoes_acoes[Operação],"Divid.")
+ SUMIFS(His_Operacoes_acoes[Total],His_Operacoes_acoes[Fimmes],Patrimônio!B709,His_Operacoes_acoes[Operação],"Bonif.")</f>
        <v>0</v>
      </c>
      <c r="L709" s="8">
        <f>SUMIFS(His_Operacoes_BDRs[Total],His_Operacoes_BDRs[Operação],"Provento",His_Operacoes_BDRs[fimmês],Patrimônio!B709)</f>
        <v>0</v>
      </c>
      <c r="M709" s="8">
        <f>SUMIFS(His_Operacoes_FIIs[Total],His_Operacoes_FIIs[Operação],"Provento",His_Operacoes_FIIs[fimmês],Patrimônio!B709)</f>
        <v>0</v>
      </c>
      <c r="N709" s="8">
        <f t="shared" si="50"/>
        <v>0</v>
      </c>
    </row>
    <row r="710" spans="1:14" x14ac:dyDescent="0.35">
      <c r="A710" s="7">
        <v>63920</v>
      </c>
      <c r="B710" s="7">
        <f t="shared" si="47"/>
        <v>63919</v>
      </c>
      <c r="I710" s="8">
        <f t="shared" si="48"/>
        <v>0</v>
      </c>
      <c r="J710" s="8">
        <f t="shared" si="49"/>
        <v>0</v>
      </c>
      <c r="K710" s="8">
        <f>SUMIFS(His_Operacoes_acoes[Total],His_Operacoes_acoes[Fimmes],Patrimônio!B710,His_Operacoes_acoes[Operação],"JCP")
+ SUMIFS(His_Operacoes_acoes[Total],His_Operacoes_acoes[Fimmes],Patrimônio!B710,His_Operacoes_acoes[Operação],"Divid.")
+ SUMIFS(His_Operacoes_acoes[Total],His_Operacoes_acoes[Fimmes],Patrimônio!B710,His_Operacoes_acoes[Operação],"Bonif.")</f>
        <v>0</v>
      </c>
      <c r="L710" s="8">
        <f>SUMIFS(His_Operacoes_BDRs[Total],His_Operacoes_BDRs[Operação],"Provento",His_Operacoes_BDRs[fimmês],Patrimônio!B710)</f>
        <v>0</v>
      </c>
      <c r="M710" s="8">
        <f>SUMIFS(His_Operacoes_FIIs[Total],His_Operacoes_FIIs[Operação],"Provento",His_Operacoes_FIIs[fimmês],Patrimônio!B710)</f>
        <v>0</v>
      </c>
      <c r="N710" s="8">
        <f t="shared" si="50"/>
        <v>0</v>
      </c>
    </row>
    <row r="711" spans="1:14" x14ac:dyDescent="0.35">
      <c r="A711" s="7">
        <v>63951</v>
      </c>
      <c r="B711" s="7">
        <f t="shared" si="47"/>
        <v>63950</v>
      </c>
      <c r="I711" s="8">
        <f t="shared" si="48"/>
        <v>0</v>
      </c>
      <c r="J711" s="8">
        <f t="shared" si="49"/>
        <v>0</v>
      </c>
      <c r="K711" s="8">
        <f>SUMIFS(His_Operacoes_acoes[Total],His_Operacoes_acoes[Fimmes],Patrimônio!B711,His_Operacoes_acoes[Operação],"JCP")
+ SUMIFS(His_Operacoes_acoes[Total],His_Operacoes_acoes[Fimmes],Patrimônio!B711,His_Operacoes_acoes[Operação],"Divid.")
+ SUMIFS(His_Operacoes_acoes[Total],His_Operacoes_acoes[Fimmes],Patrimônio!B711,His_Operacoes_acoes[Operação],"Bonif.")</f>
        <v>0</v>
      </c>
      <c r="L711" s="8">
        <f>SUMIFS(His_Operacoes_BDRs[Total],His_Operacoes_BDRs[Operação],"Provento",His_Operacoes_BDRs[fimmês],Patrimônio!B711)</f>
        <v>0</v>
      </c>
      <c r="M711" s="8">
        <f>SUMIFS(His_Operacoes_FIIs[Total],His_Operacoes_FIIs[Operação],"Provento",His_Operacoes_FIIs[fimmês],Patrimônio!B711)</f>
        <v>0</v>
      </c>
      <c r="N711" s="8">
        <f t="shared" si="50"/>
        <v>0</v>
      </c>
    </row>
    <row r="712" spans="1:14" x14ac:dyDescent="0.35">
      <c r="A712" s="7">
        <v>63979</v>
      </c>
      <c r="B712" s="7">
        <f t="shared" si="47"/>
        <v>63978</v>
      </c>
      <c r="I712" s="8">
        <f t="shared" si="48"/>
        <v>0</v>
      </c>
      <c r="J712" s="8">
        <f t="shared" si="49"/>
        <v>0</v>
      </c>
      <c r="K712" s="8">
        <f>SUMIFS(His_Operacoes_acoes[Total],His_Operacoes_acoes[Fimmes],Patrimônio!B712,His_Operacoes_acoes[Operação],"JCP")
+ SUMIFS(His_Operacoes_acoes[Total],His_Operacoes_acoes[Fimmes],Patrimônio!B712,His_Operacoes_acoes[Operação],"Divid.")
+ SUMIFS(His_Operacoes_acoes[Total],His_Operacoes_acoes[Fimmes],Patrimônio!B712,His_Operacoes_acoes[Operação],"Bonif.")</f>
        <v>0</v>
      </c>
      <c r="L712" s="8">
        <f>SUMIFS(His_Operacoes_BDRs[Total],His_Operacoes_BDRs[Operação],"Provento",His_Operacoes_BDRs[fimmês],Patrimônio!B712)</f>
        <v>0</v>
      </c>
      <c r="M712" s="8">
        <f>SUMIFS(His_Operacoes_FIIs[Total],His_Operacoes_FIIs[Operação],"Provento",His_Operacoes_FIIs[fimmês],Patrimônio!B712)</f>
        <v>0</v>
      </c>
      <c r="N712" s="8">
        <f t="shared" si="50"/>
        <v>0</v>
      </c>
    </row>
    <row r="713" spans="1:14" x14ac:dyDescent="0.35">
      <c r="A713" s="7">
        <v>64010</v>
      </c>
      <c r="B713" s="7">
        <f t="shared" si="47"/>
        <v>64009</v>
      </c>
      <c r="I713" s="8">
        <f t="shared" si="48"/>
        <v>0</v>
      </c>
      <c r="J713" s="8">
        <f t="shared" si="49"/>
        <v>0</v>
      </c>
      <c r="K713" s="8">
        <f>SUMIFS(His_Operacoes_acoes[Total],His_Operacoes_acoes[Fimmes],Patrimônio!B713,His_Operacoes_acoes[Operação],"JCP")
+ SUMIFS(His_Operacoes_acoes[Total],His_Operacoes_acoes[Fimmes],Patrimônio!B713,His_Operacoes_acoes[Operação],"Divid.")
+ SUMIFS(His_Operacoes_acoes[Total],His_Operacoes_acoes[Fimmes],Patrimônio!B713,His_Operacoes_acoes[Operação],"Bonif.")</f>
        <v>0</v>
      </c>
      <c r="L713" s="8">
        <f>SUMIFS(His_Operacoes_BDRs[Total],His_Operacoes_BDRs[Operação],"Provento",His_Operacoes_BDRs[fimmês],Patrimônio!B713)</f>
        <v>0</v>
      </c>
      <c r="M713" s="8">
        <f>SUMIFS(His_Operacoes_FIIs[Total],His_Operacoes_FIIs[Operação],"Provento",His_Operacoes_FIIs[fimmês],Patrimônio!B713)</f>
        <v>0</v>
      </c>
      <c r="N713" s="8">
        <f t="shared" si="50"/>
        <v>0</v>
      </c>
    </row>
    <row r="714" spans="1:14" x14ac:dyDescent="0.35">
      <c r="A714" s="7">
        <v>64040</v>
      </c>
      <c r="B714" s="7">
        <f t="shared" si="47"/>
        <v>64039</v>
      </c>
      <c r="I714" s="8">
        <f t="shared" si="48"/>
        <v>0</v>
      </c>
      <c r="J714" s="8">
        <f t="shared" si="49"/>
        <v>0</v>
      </c>
      <c r="K714" s="8">
        <f>SUMIFS(His_Operacoes_acoes[Total],His_Operacoes_acoes[Fimmes],Patrimônio!B714,His_Operacoes_acoes[Operação],"JCP")
+ SUMIFS(His_Operacoes_acoes[Total],His_Operacoes_acoes[Fimmes],Patrimônio!B714,His_Operacoes_acoes[Operação],"Divid.")
+ SUMIFS(His_Operacoes_acoes[Total],His_Operacoes_acoes[Fimmes],Patrimônio!B714,His_Operacoes_acoes[Operação],"Bonif.")</f>
        <v>0</v>
      </c>
      <c r="L714" s="8">
        <f>SUMIFS(His_Operacoes_BDRs[Total],His_Operacoes_BDRs[Operação],"Provento",His_Operacoes_BDRs[fimmês],Patrimônio!B714)</f>
        <v>0</v>
      </c>
      <c r="M714" s="8">
        <f>SUMIFS(His_Operacoes_FIIs[Total],His_Operacoes_FIIs[Operação],"Provento",His_Operacoes_FIIs[fimmês],Patrimônio!B714)</f>
        <v>0</v>
      </c>
      <c r="N714" s="8">
        <f t="shared" si="50"/>
        <v>0</v>
      </c>
    </row>
    <row r="715" spans="1:14" x14ac:dyDescent="0.35">
      <c r="A715" s="7">
        <v>64071</v>
      </c>
      <c r="B715" s="7">
        <f t="shared" si="47"/>
        <v>64070</v>
      </c>
      <c r="I715" s="8">
        <f t="shared" si="48"/>
        <v>0</v>
      </c>
      <c r="J715" s="8">
        <f t="shared" si="49"/>
        <v>0</v>
      </c>
      <c r="K715" s="8">
        <f>SUMIFS(His_Operacoes_acoes[Total],His_Operacoes_acoes[Fimmes],Patrimônio!B715,His_Operacoes_acoes[Operação],"JCP")
+ SUMIFS(His_Operacoes_acoes[Total],His_Operacoes_acoes[Fimmes],Patrimônio!B715,His_Operacoes_acoes[Operação],"Divid.")
+ SUMIFS(His_Operacoes_acoes[Total],His_Operacoes_acoes[Fimmes],Patrimônio!B715,His_Operacoes_acoes[Operação],"Bonif.")</f>
        <v>0</v>
      </c>
      <c r="L715" s="8">
        <f>SUMIFS(His_Operacoes_BDRs[Total],His_Operacoes_BDRs[Operação],"Provento",His_Operacoes_BDRs[fimmês],Patrimônio!B715)</f>
        <v>0</v>
      </c>
      <c r="M715" s="8">
        <f>SUMIFS(His_Operacoes_FIIs[Total],His_Operacoes_FIIs[Operação],"Provento",His_Operacoes_FIIs[fimmês],Patrimônio!B715)</f>
        <v>0</v>
      </c>
      <c r="N715" s="8">
        <f t="shared" si="50"/>
        <v>0</v>
      </c>
    </row>
    <row r="716" spans="1:14" x14ac:dyDescent="0.35">
      <c r="A716" s="7">
        <v>64101</v>
      </c>
      <c r="B716" s="7">
        <f t="shared" si="47"/>
        <v>64100</v>
      </c>
      <c r="I716" s="8">
        <f t="shared" si="48"/>
        <v>0</v>
      </c>
      <c r="J716" s="8">
        <f t="shared" si="49"/>
        <v>0</v>
      </c>
      <c r="K716" s="8">
        <f>SUMIFS(His_Operacoes_acoes[Total],His_Operacoes_acoes[Fimmes],Patrimônio!B716,His_Operacoes_acoes[Operação],"JCP")
+ SUMIFS(His_Operacoes_acoes[Total],His_Operacoes_acoes[Fimmes],Patrimônio!B716,His_Operacoes_acoes[Operação],"Divid.")
+ SUMIFS(His_Operacoes_acoes[Total],His_Operacoes_acoes[Fimmes],Patrimônio!B716,His_Operacoes_acoes[Operação],"Bonif.")</f>
        <v>0</v>
      </c>
      <c r="L716" s="8">
        <f>SUMIFS(His_Operacoes_BDRs[Total],His_Operacoes_BDRs[Operação],"Provento",His_Operacoes_BDRs[fimmês],Patrimônio!B716)</f>
        <v>0</v>
      </c>
      <c r="M716" s="8">
        <f>SUMIFS(His_Operacoes_FIIs[Total],His_Operacoes_FIIs[Operação],"Provento",His_Operacoes_FIIs[fimmês],Patrimônio!B716)</f>
        <v>0</v>
      </c>
      <c r="N716" s="8">
        <f t="shared" si="50"/>
        <v>0</v>
      </c>
    </row>
    <row r="717" spans="1:14" x14ac:dyDescent="0.35">
      <c r="A717" s="7">
        <v>64132</v>
      </c>
      <c r="B717" s="7">
        <f t="shared" si="47"/>
        <v>64131</v>
      </c>
      <c r="I717" s="8">
        <f t="shared" si="48"/>
        <v>0</v>
      </c>
      <c r="J717" s="8">
        <f t="shared" si="49"/>
        <v>0</v>
      </c>
      <c r="K717" s="8">
        <f>SUMIFS(His_Operacoes_acoes[Total],His_Operacoes_acoes[Fimmes],Patrimônio!B717,His_Operacoes_acoes[Operação],"JCP")
+ SUMIFS(His_Operacoes_acoes[Total],His_Operacoes_acoes[Fimmes],Patrimônio!B717,His_Operacoes_acoes[Operação],"Divid.")
+ SUMIFS(His_Operacoes_acoes[Total],His_Operacoes_acoes[Fimmes],Patrimônio!B717,His_Operacoes_acoes[Operação],"Bonif.")</f>
        <v>0</v>
      </c>
      <c r="L717" s="8">
        <f>SUMIFS(His_Operacoes_BDRs[Total],His_Operacoes_BDRs[Operação],"Provento",His_Operacoes_BDRs[fimmês],Patrimônio!B717)</f>
        <v>0</v>
      </c>
      <c r="M717" s="8">
        <f>SUMIFS(His_Operacoes_FIIs[Total],His_Operacoes_FIIs[Operação],"Provento",His_Operacoes_FIIs[fimmês],Patrimônio!B717)</f>
        <v>0</v>
      </c>
      <c r="N717" s="8">
        <f t="shared" si="50"/>
        <v>0</v>
      </c>
    </row>
    <row r="718" spans="1:14" x14ac:dyDescent="0.35">
      <c r="A718" s="7">
        <v>64163</v>
      </c>
      <c r="B718" s="7">
        <f t="shared" si="47"/>
        <v>64162</v>
      </c>
      <c r="I718" s="8">
        <f t="shared" si="48"/>
        <v>0</v>
      </c>
      <c r="J718" s="8">
        <f t="shared" si="49"/>
        <v>0</v>
      </c>
      <c r="K718" s="8">
        <f>SUMIFS(His_Operacoes_acoes[Total],His_Operacoes_acoes[Fimmes],Patrimônio!B718,His_Operacoes_acoes[Operação],"JCP")
+ SUMIFS(His_Operacoes_acoes[Total],His_Operacoes_acoes[Fimmes],Patrimônio!B718,His_Operacoes_acoes[Operação],"Divid.")
+ SUMIFS(His_Operacoes_acoes[Total],His_Operacoes_acoes[Fimmes],Patrimônio!B718,His_Operacoes_acoes[Operação],"Bonif.")</f>
        <v>0</v>
      </c>
      <c r="L718" s="8">
        <f>SUMIFS(His_Operacoes_BDRs[Total],His_Operacoes_BDRs[Operação],"Provento",His_Operacoes_BDRs[fimmês],Patrimônio!B718)</f>
        <v>0</v>
      </c>
      <c r="M718" s="8">
        <f>SUMIFS(His_Operacoes_FIIs[Total],His_Operacoes_FIIs[Operação],"Provento",His_Operacoes_FIIs[fimmês],Patrimônio!B718)</f>
        <v>0</v>
      </c>
      <c r="N718" s="8">
        <f t="shared" si="50"/>
        <v>0</v>
      </c>
    </row>
    <row r="719" spans="1:14" x14ac:dyDescent="0.35">
      <c r="A719" s="7">
        <v>64193</v>
      </c>
      <c r="B719" s="7">
        <f t="shared" si="47"/>
        <v>64192</v>
      </c>
      <c r="I719" s="8">
        <f t="shared" si="48"/>
        <v>0</v>
      </c>
      <c r="J719" s="8">
        <f t="shared" si="49"/>
        <v>0</v>
      </c>
      <c r="K719" s="8">
        <f>SUMIFS(His_Operacoes_acoes[Total],His_Operacoes_acoes[Fimmes],Patrimônio!B719,His_Operacoes_acoes[Operação],"JCP")
+ SUMIFS(His_Operacoes_acoes[Total],His_Operacoes_acoes[Fimmes],Patrimônio!B719,His_Operacoes_acoes[Operação],"Divid.")
+ SUMIFS(His_Operacoes_acoes[Total],His_Operacoes_acoes[Fimmes],Patrimônio!B719,His_Operacoes_acoes[Operação],"Bonif.")</f>
        <v>0</v>
      </c>
      <c r="L719" s="8">
        <f>SUMIFS(His_Operacoes_BDRs[Total],His_Operacoes_BDRs[Operação],"Provento",His_Operacoes_BDRs[fimmês],Patrimônio!B719)</f>
        <v>0</v>
      </c>
      <c r="M719" s="8">
        <f>SUMIFS(His_Operacoes_FIIs[Total],His_Operacoes_FIIs[Operação],"Provento",His_Operacoes_FIIs[fimmês],Patrimônio!B719)</f>
        <v>0</v>
      </c>
      <c r="N719" s="8">
        <f t="shared" si="50"/>
        <v>0</v>
      </c>
    </row>
    <row r="720" spans="1:14" x14ac:dyDescent="0.35">
      <c r="A720" s="7">
        <v>64224</v>
      </c>
      <c r="B720" s="7">
        <f t="shared" si="47"/>
        <v>64223</v>
      </c>
      <c r="I720" s="8">
        <f t="shared" si="48"/>
        <v>0</v>
      </c>
      <c r="J720" s="8">
        <f t="shared" si="49"/>
        <v>0</v>
      </c>
      <c r="K720" s="8">
        <f>SUMIFS(His_Operacoes_acoes[Total],His_Operacoes_acoes[Fimmes],Patrimônio!B720,His_Operacoes_acoes[Operação],"JCP")
+ SUMIFS(His_Operacoes_acoes[Total],His_Operacoes_acoes[Fimmes],Patrimônio!B720,His_Operacoes_acoes[Operação],"Divid.")
+ SUMIFS(His_Operacoes_acoes[Total],His_Operacoes_acoes[Fimmes],Patrimônio!B720,His_Operacoes_acoes[Operação],"Bonif.")</f>
        <v>0</v>
      </c>
      <c r="L720" s="8">
        <f>SUMIFS(His_Operacoes_BDRs[Total],His_Operacoes_BDRs[Operação],"Provento",His_Operacoes_BDRs[fimmês],Patrimônio!B720)</f>
        <v>0</v>
      </c>
      <c r="M720" s="8">
        <f>SUMIFS(His_Operacoes_FIIs[Total],His_Operacoes_FIIs[Operação],"Provento",His_Operacoes_FIIs[fimmês],Patrimônio!B720)</f>
        <v>0</v>
      </c>
      <c r="N720" s="8">
        <f t="shared" si="50"/>
        <v>0</v>
      </c>
    </row>
    <row r="721" spans="1:14" x14ac:dyDescent="0.35">
      <c r="A721" s="7">
        <v>64254</v>
      </c>
      <c r="B721" s="7">
        <f t="shared" si="47"/>
        <v>64253</v>
      </c>
      <c r="I721" s="8">
        <f t="shared" si="48"/>
        <v>0</v>
      </c>
      <c r="J721" s="8">
        <f t="shared" si="49"/>
        <v>0</v>
      </c>
      <c r="K721" s="8">
        <f>SUMIFS(His_Operacoes_acoes[Total],His_Operacoes_acoes[Fimmes],Patrimônio!B721,His_Operacoes_acoes[Operação],"JCP")
+ SUMIFS(His_Operacoes_acoes[Total],His_Operacoes_acoes[Fimmes],Patrimônio!B721,His_Operacoes_acoes[Operação],"Divid.")
+ SUMIFS(His_Operacoes_acoes[Total],His_Operacoes_acoes[Fimmes],Patrimônio!B721,His_Operacoes_acoes[Operação],"Bonif.")</f>
        <v>0</v>
      </c>
      <c r="L721" s="8">
        <f>SUMIFS(His_Operacoes_BDRs[Total],His_Operacoes_BDRs[Operação],"Provento",His_Operacoes_BDRs[fimmês],Patrimônio!B721)</f>
        <v>0</v>
      </c>
      <c r="M721" s="8">
        <f>SUMIFS(His_Operacoes_FIIs[Total],His_Operacoes_FIIs[Operação],"Provento",His_Operacoes_FIIs[fimmês],Patrimônio!B721)</f>
        <v>0</v>
      </c>
      <c r="N721" s="8">
        <f t="shared" si="50"/>
        <v>0</v>
      </c>
    </row>
    <row r="722" spans="1:14" x14ac:dyDescent="0.35">
      <c r="A722" s="7">
        <v>64285</v>
      </c>
      <c r="B722" s="7">
        <f t="shared" si="47"/>
        <v>64284</v>
      </c>
      <c r="I722" s="8">
        <f t="shared" si="48"/>
        <v>0</v>
      </c>
      <c r="J722" s="8">
        <f t="shared" si="49"/>
        <v>0</v>
      </c>
      <c r="K722" s="8">
        <f>SUMIFS(His_Operacoes_acoes[Total],His_Operacoes_acoes[Fimmes],Patrimônio!B722,His_Operacoes_acoes[Operação],"JCP")
+ SUMIFS(His_Operacoes_acoes[Total],His_Operacoes_acoes[Fimmes],Patrimônio!B722,His_Operacoes_acoes[Operação],"Divid.")
+ SUMIFS(His_Operacoes_acoes[Total],His_Operacoes_acoes[Fimmes],Patrimônio!B722,His_Operacoes_acoes[Operação],"Bonif.")</f>
        <v>0</v>
      </c>
      <c r="L722" s="8">
        <f>SUMIFS(His_Operacoes_BDRs[Total],His_Operacoes_BDRs[Operação],"Provento",His_Operacoes_BDRs[fimmês],Patrimônio!B722)</f>
        <v>0</v>
      </c>
      <c r="M722" s="8">
        <f>SUMIFS(His_Operacoes_FIIs[Total],His_Operacoes_FIIs[Operação],"Provento",His_Operacoes_FIIs[fimmês],Patrimônio!B722)</f>
        <v>0</v>
      </c>
      <c r="N722" s="8">
        <f t="shared" si="50"/>
        <v>0</v>
      </c>
    </row>
    <row r="723" spans="1:14" x14ac:dyDescent="0.35">
      <c r="A723" s="7">
        <v>64316</v>
      </c>
      <c r="B723" s="7">
        <f t="shared" si="47"/>
        <v>64315</v>
      </c>
      <c r="I723" s="8">
        <f t="shared" si="48"/>
        <v>0</v>
      </c>
      <c r="J723" s="8">
        <f t="shared" si="49"/>
        <v>0</v>
      </c>
      <c r="K723" s="8">
        <f>SUMIFS(His_Operacoes_acoes[Total],His_Operacoes_acoes[Fimmes],Patrimônio!B723,His_Operacoes_acoes[Operação],"JCP")
+ SUMIFS(His_Operacoes_acoes[Total],His_Operacoes_acoes[Fimmes],Patrimônio!B723,His_Operacoes_acoes[Operação],"Divid.")
+ SUMIFS(His_Operacoes_acoes[Total],His_Operacoes_acoes[Fimmes],Patrimônio!B723,His_Operacoes_acoes[Operação],"Bonif.")</f>
        <v>0</v>
      </c>
      <c r="L723" s="8">
        <f>SUMIFS(His_Operacoes_BDRs[Total],His_Operacoes_BDRs[Operação],"Provento",His_Operacoes_BDRs[fimmês],Patrimônio!B723)</f>
        <v>0</v>
      </c>
      <c r="M723" s="8">
        <f>SUMIFS(His_Operacoes_FIIs[Total],His_Operacoes_FIIs[Operação],"Provento",His_Operacoes_FIIs[fimmês],Patrimônio!B723)</f>
        <v>0</v>
      </c>
      <c r="N723" s="8">
        <f t="shared" si="50"/>
        <v>0</v>
      </c>
    </row>
    <row r="724" spans="1:14" x14ac:dyDescent="0.35">
      <c r="A724" s="7">
        <v>64345</v>
      </c>
      <c r="B724" s="7">
        <f t="shared" si="47"/>
        <v>64344</v>
      </c>
      <c r="I724" s="8">
        <f t="shared" si="48"/>
        <v>0</v>
      </c>
      <c r="J724" s="8">
        <f t="shared" si="49"/>
        <v>0</v>
      </c>
      <c r="K724" s="8">
        <f>SUMIFS(His_Operacoes_acoes[Total],His_Operacoes_acoes[Fimmes],Patrimônio!B724,His_Operacoes_acoes[Operação],"JCP")
+ SUMIFS(His_Operacoes_acoes[Total],His_Operacoes_acoes[Fimmes],Patrimônio!B724,His_Operacoes_acoes[Operação],"Divid.")
+ SUMIFS(His_Operacoes_acoes[Total],His_Operacoes_acoes[Fimmes],Patrimônio!B724,His_Operacoes_acoes[Operação],"Bonif.")</f>
        <v>0</v>
      </c>
      <c r="L724" s="8">
        <f>SUMIFS(His_Operacoes_BDRs[Total],His_Operacoes_BDRs[Operação],"Provento",His_Operacoes_BDRs[fimmês],Patrimônio!B724)</f>
        <v>0</v>
      </c>
      <c r="M724" s="8">
        <f>SUMIFS(His_Operacoes_FIIs[Total],His_Operacoes_FIIs[Operação],"Provento",His_Operacoes_FIIs[fimmês],Patrimônio!B724)</f>
        <v>0</v>
      </c>
      <c r="N724" s="8">
        <f t="shared" si="50"/>
        <v>0</v>
      </c>
    </row>
    <row r="725" spans="1:14" x14ac:dyDescent="0.35">
      <c r="A725" s="7">
        <v>64376</v>
      </c>
      <c r="B725" s="7">
        <f t="shared" si="47"/>
        <v>64375</v>
      </c>
      <c r="I725" s="8">
        <f t="shared" si="48"/>
        <v>0</v>
      </c>
      <c r="J725" s="8">
        <f t="shared" si="49"/>
        <v>0</v>
      </c>
      <c r="K725" s="8">
        <f>SUMIFS(His_Operacoes_acoes[Total],His_Operacoes_acoes[Fimmes],Patrimônio!B725,His_Operacoes_acoes[Operação],"JCP")
+ SUMIFS(His_Operacoes_acoes[Total],His_Operacoes_acoes[Fimmes],Patrimônio!B725,His_Operacoes_acoes[Operação],"Divid.")
+ SUMIFS(His_Operacoes_acoes[Total],His_Operacoes_acoes[Fimmes],Patrimônio!B725,His_Operacoes_acoes[Operação],"Bonif.")</f>
        <v>0</v>
      </c>
      <c r="L725" s="8">
        <f>SUMIFS(His_Operacoes_BDRs[Total],His_Operacoes_BDRs[Operação],"Provento",His_Operacoes_BDRs[fimmês],Patrimônio!B725)</f>
        <v>0</v>
      </c>
      <c r="M725" s="8">
        <f>SUMIFS(His_Operacoes_FIIs[Total],His_Operacoes_FIIs[Operação],"Provento",His_Operacoes_FIIs[fimmês],Patrimônio!B725)</f>
        <v>0</v>
      </c>
      <c r="N725" s="8">
        <f t="shared" si="50"/>
        <v>0</v>
      </c>
    </row>
    <row r="726" spans="1:14" x14ac:dyDescent="0.35">
      <c r="A726" s="7">
        <v>64406</v>
      </c>
      <c r="B726" s="7">
        <f t="shared" si="47"/>
        <v>64405</v>
      </c>
      <c r="I726" s="8">
        <f t="shared" si="48"/>
        <v>0</v>
      </c>
      <c r="J726" s="8">
        <f t="shared" si="49"/>
        <v>0</v>
      </c>
      <c r="K726" s="8">
        <f>SUMIFS(His_Operacoes_acoes[Total],His_Operacoes_acoes[Fimmes],Patrimônio!B726,His_Operacoes_acoes[Operação],"JCP")
+ SUMIFS(His_Operacoes_acoes[Total],His_Operacoes_acoes[Fimmes],Patrimônio!B726,His_Operacoes_acoes[Operação],"Divid.")
+ SUMIFS(His_Operacoes_acoes[Total],His_Operacoes_acoes[Fimmes],Patrimônio!B726,His_Operacoes_acoes[Operação],"Bonif.")</f>
        <v>0</v>
      </c>
      <c r="L726" s="8">
        <f>SUMIFS(His_Operacoes_BDRs[Total],His_Operacoes_BDRs[Operação],"Provento",His_Operacoes_BDRs[fimmês],Patrimônio!B726)</f>
        <v>0</v>
      </c>
      <c r="M726" s="8">
        <f>SUMIFS(His_Operacoes_FIIs[Total],His_Operacoes_FIIs[Operação],"Provento",His_Operacoes_FIIs[fimmês],Patrimônio!B726)</f>
        <v>0</v>
      </c>
      <c r="N726" s="8">
        <f t="shared" si="50"/>
        <v>0</v>
      </c>
    </row>
    <row r="727" spans="1:14" x14ac:dyDescent="0.35">
      <c r="A727" s="7">
        <v>64437</v>
      </c>
      <c r="B727" s="7">
        <f t="shared" si="47"/>
        <v>64436</v>
      </c>
      <c r="I727" s="8">
        <f t="shared" si="48"/>
        <v>0</v>
      </c>
      <c r="J727" s="8">
        <f t="shared" si="49"/>
        <v>0</v>
      </c>
      <c r="K727" s="8">
        <f>SUMIFS(His_Operacoes_acoes[Total],His_Operacoes_acoes[Fimmes],Patrimônio!B727,His_Operacoes_acoes[Operação],"JCP")
+ SUMIFS(His_Operacoes_acoes[Total],His_Operacoes_acoes[Fimmes],Patrimônio!B727,His_Operacoes_acoes[Operação],"Divid.")
+ SUMIFS(His_Operacoes_acoes[Total],His_Operacoes_acoes[Fimmes],Patrimônio!B727,His_Operacoes_acoes[Operação],"Bonif.")</f>
        <v>0</v>
      </c>
      <c r="L727" s="8">
        <f>SUMIFS(His_Operacoes_BDRs[Total],His_Operacoes_BDRs[Operação],"Provento",His_Operacoes_BDRs[fimmês],Patrimônio!B727)</f>
        <v>0</v>
      </c>
      <c r="M727" s="8">
        <f>SUMIFS(His_Operacoes_FIIs[Total],His_Operacoes_FIIs[Operação],"Provento",His_Operacoes_FIIs[fimmês],Patrimônio!B727)</f>
        <v>0</v>
      </c>
      <c r="N727" s="8">
        <f t="shared" si="50"/>
        <v>0</v>
      </c>
    </row>
    <row r="728" spans="1:14" x14ac:dyDescent="0.35">
      <c r="A728" s="7">
        <v>64467</v>
      </c>
      <c r="B728" s="7">
        <f t="shared" si="47"/>
        <v>64466</v>
      </c>
      <c r="I728" s="8">
        <f t="shared" si="48"/>
        <v>0</v>
      </c>
      <c r="J728" s="8">
        <f t="shared" si="49"/>
        <v>0</v>
      </c>
      <c r="K728" s="8">
        <f>SUMIFS(His_Operacoes_acoes[Total],His_Operacoes_acoes[Fimmes],Patrimônio!B728,His_Operacoes_acoes[Operação],"JCP")
+ SUMIFS(His_Operacoes_acoes[Total],His_Operacoes_acoes[Fimmes],Patrimônio!B728,His_Operacoes_acoes[Operação],"Divid.")
+ SUMIFS(His_Operacoes_acoes[Total],His_Operacoes_acoes[Fimmes],Patrimônio!B728,His_Operacoes_acoes[Operação],"Bonif.")</f>
        <v>0</v>
      </c>
      <c r="L728" s="8">
        <f>SUMIFS(His_Operacoes_BDRs[Total],His_Operacoes_BDRs[Operação],"Provento",His_Operacoes_BDRs[fimmês],Patrimônio!B728)</f>
        <v>0</v>
      </c>
      <c r="M728" s="8">
        <f>SUMIFS(His_Operacoes_FIIs[Total],His_Operacoes_FIIs[Operação],"Provento",His_Operacoes_FIIs[fimmês],Patrimônio!B728)</f>
        <v>0</v>
      </c>
      <c r="N728" s="8">
        <f t="shared" si="50"/>
        <v>0</v>
      </c>
    </row>
    <row r="729" spans="1:14" x14ac:dyDescent="0.35">
      <c r="A729" s="7">
        <v>64498</v>
      </c>
      <c r="B729" s="7">
        <f t="shared" si="47"/>
        <v>64497</v>
      </c>
      <c r="I729" s="8">
        <f t="shared" si="48"/>
        <v>0</v>
      </c>
      <c r="J729" s="8">
        <f t="shared" si="49"/>
        <v>0</v>
      </c>
      <c r="K729" s="8">
        <f>SUMIFS(His_Operacoes_acoes[Total],His_Operacoes_acoes[Fimmes],Patrimônio!B729,His_Operacoes_acoes[Operação],"JCP")
+ SUMIFS(His_Operacoes_acoes[Total],His_Operacoes_acoes[Fimmes],Patrimônio!B729,His_Operacoes_acoes[Operação],"Divid.")
+ SUMIFS(His_Operacoes_acoes[Total],His_Operacoes_acoes[Fimmes],Patrimônio!B729,His_Operacoes_acoes[Operação],"Bonif.")</f>
        <v>0</v>
      </c>
      <c r="L729" s="8">
        <f>SUMIFS(His_Operacoes_BDRs[Total],His_Operacoes_BDRs[Operação],"Provento",His_Operacoes_BDRs[fimmês],Patrimônio!B729)</f>
        <v>0</v>
      </c>
      <c r="M729" s="8">
        <f>SUMIFS(His_Operacoes_FIIs[Total],His_Operacoes_FIIs[Operação],"Provento",His_Operacoes_FIIs[fimmês],Patrimônio!B729)</f>
        <v>0</v>
      </c>
      <c r="N729" s="8">
        <f t="shared" si="50"/>
        <v>0</v>
      </c>
    </row>
    <row r="730" spans="1:14" x14ac:dyDescent="0.35">
      <c r="A730" s="7">
        <v>64529</v>
      </c>
      <c r="B730" s="7">
        <f t="shared" si="47"/>
        <v>64528</v>
      </c>
      <c r="I730" s="8">
        <f t="shared" si="48"/>
        <v>0</v>
      </c>
      <c r="J730" s="8">
        <f t="shared" si="49"/>
        <v>0</v>
      </c>
      <c r="K730" s="8">
        <f>SUMIFS(His_Operacoes_acoes[Total],His_Operacoes_acoes[Fimmes],Patrimônio!B730,His_Operacoes_acoes[Operação],"JCP")
+ SUMIFS(His_Operacoes_acoes[Total],His_Operacoes_acoes[Fimmes],Patrimônio!B730,His_Operacoes_acoes[Operação],"Divid.")
+ SUMIFS(His_Operacoes_acoes[Total],His_Operacoes_acoes[Fimmes],Patrimônio!B730,His_Operacoes_acoes[Operação],"Bonif.")</f>
        <v>0</v>
      </c>
      <c r="L730" s="8">
        <f>SUMIFS(His_Operacoes_BDRs[Total],His_Operacoes_BDRs[Operação],"Provento",His_Operacoes_BDRs[fimmês],Patrimônio!B730)</f>
        <v>0</v>
      </c>
      <c r="M730" s="8">
        <f>SUMIFS(His_Operacoes_FIIs[Total],His_Operacoes_FIIs[Operação],"Provento",His_Operacoes_FIIs[fimmês],Patrimônio!B730)</f>
        <v>0</v>
      </c>
      <c r="N730" s="8">
        <f t="shared" si="50"/>
        <v>0</v>
      </c>
    </row>
    <row r="731" spans="1:14" x14ac:dyDescent="0.35">
      <c r="A731" s="7">
        <v>64559</v>
      </c>
      <c r="B731" s="7">
        <f t="shared" si="47"/>
        <v>64558</v>
      </c>
      <c r="I731" s="8">
        <f t="shared" si="48"/>
        <v>0</v>
      </c>
      <c r="J731" s="8">
        <f t="shared" si="49"/>
        <v>0</v>
      </c>
      <c r="K731" s="8">
        <f>SUMIFS(His_Operacoes_acoes[Total],His_Operacoes_acoes[Fimmes],Patrimônio!B731,His_Operacoes_acoes[Operação],"JCP")
+ SUMIFS(His_Operacoes_acoes[Total],His_Operacoes_acoes[Fimmes],Patrimônio!B731,His_Operacoes_acoes[Operação],"Divid.")
+ SUMIFS(His_Operacoes_acoes[Total],His_Operacoes_acoes[Fimmes],Patrimônio!B731,His_Operacoes_acoes[Operação],"Bonif.")</f>
        <v>0</v>
      </c>
      <c r="L731" s="8">
        <f>SUMIFS(His_Operacoes_BDRs[Total],His_Operacoes_BDRs[Operação],"Provento",His_Operacoes_BDRs[fimmês],Patrimônio!B731)</f>
        <v>0</v>
      </c>
      <c r="M731" s="8">
        <f>SUMIFS(His_Operacoes_FIIs[Total],His_Operacoes_FIIs[Operação],"Provento",His_Operacoes_FIIs[fimmês],Patrimônio!B731)</f>
        <v>0</v>
      </c>
      <c r="N731" s="8">
        <f t="shared" si="50"/>
        <v>0</v>
      </c>
    </row>
    <row r="732" spans="1:14" x14ac:dyDescent="0.35">
      <c r="A732" s="7">
        <v>64590</v>
      </c>
      <c r="B732" s="7">
        <f t="shared" si="47"/>
        <v>64589</v>
      </c>
      <c r="I732" s="8">
        <f t="shared" si="48"/>
        <v>0</v>
      </c>
      <c r="J732" s="8">
        <f t="shared" si="49"/>
        <v>0</v>
      </c>
      <c r="K732" s="8">
        <f>SUMIFS(His_Operacoes_acoes[Total],His_Operacoes_acoes[Fimmes],Patrimônio!B732,His_Operacoes_acoes[Operação],"JCP")
+ SUMIFS(His_Operacoes_acoes[Total],His_Operacoes_acoes[Fimmes],Patrimônio!B732,His_Operacoes_acoes[Operação],"Divid.")
+ SUMIFS(His_Operacoes_acoes[Total],His_Operacoes_acoes[Fimmes],Patrimônio!B732,His_Operacoes_acoes[Operação],"Bonif.")</f>
        <v>0</v>
      </c>
      <c r="L732" s="8">
        <f>SUMIFS(His_Operacoes_BDRs[Total],His_Operacoes_BDRs[Operação],"Provento",His_Operacoes_BDRs[fimmês],Patrimônio!B732)</f>
        <v>0</v>
      </c>
      <c r="M732" s="8">
        <f>SUMIFS(His_Operacoes_FIIs[Total],His_Operacoes_FIIs[Operação],"Provento",His_Operacoes_FIIs[fimmês],Patrimônio!B732)</f>
        <v>0</v>
      </c>
      <c r="N732" s="8">
        <f t="shared" si="50"/>
        <v>0</v>
      </c>
    </row>
    <row r="733" spans="1:14" x14ac:dyDescent="0.35">
      <c r="A733" s="7">
        <v>64620</v>
      </c>
      <c r="B733" s="7">
        <f t="shared" si="47"/>
        <v>64619</v>
      </c>
      <c r="I733" s="8">
        <f t="shared" si="48"/>
        <v>0</v>
      </c>
      <c r="J733" s="8">
        <f t="shared" si="49"/>
        <v>0</v>
      </c>
      <c r="K733" s="8">
        <f>SUMIFS(His_Operacoes_acoes[Total],His_Operacoes_acoes[Fimmes],Patrimônio!B733,His_Operacoes_acoes[Operação],"JCP")
+ SUMIFS(His_Operacoes_acoes[Total],His_Operacoes_acoes[Fimmes],Patrimônio!B733,His_Operacoes_acoes[Operação],"Divid.")
+ SUMIFS(His_Operacoes_acoes[Total],His_Operacoes_acoes[Fimmes],Patrimônio!B733,His_Operacoes_acoes[Operação],"Bonif.")</f>
        <v>0</v>
      </c>
      <c r="L733" s="8">
        <f>SUMIFS(His_Operacoes_BDRs[Total],His_Operacoes_BDRs[Operação],"Provento",His_Operacoes_BDRs[fimmês],Patrimônio!B733)</f>
        <v>0</v>
      </c>
      <c r="M733" s="8">
        <f>SUMIFS(His_Operacoes_FIIs[Total],His_Operacoes_FIIs[Operação],"Provento",His_Operacoes_FIIs[fimmês],Patrimônio!B733)</f>
        <v>0</v>
      </c>
      <c r="N733" s="8">
        <f t="shared" si="50"/>
        <v>0</v>
      </c>
    </row>
    <row r="734" spans="1:14" x14ac:dyDescent="0.35">
      <c r="A734" s="7">
        <v>64651</v>
      </c>
      <c r="B734" s="7">
        <f t="shared" si="47"/>
        <v>64650</v>
      </c>
      <c r="I734" s="8">
        <f t="shared" si="48"/>
        <v>0</v>
      </c>
      <c r="J734" s="8">
        <f t="shared" si="49"/>
        <v>0</v>
      </c>
      <c r="K734" s="8">
        <f>SUMIFS(His_Operacoes_acoes[Total],His_Operacoes_acoes[Fimmes],Patrimônio!B734,His_Operacoes_acoes[Operação],"JCP")
+ SUMIFS(His_Operacoes_acoes[Total],His_Operacoes_acoes[Fimmes],Patrimônio!B734,His_Operacoes_acoes[Operação],"Divid.")
+ SUMIFS(His_Operacoes_acoes[Total],His_Operacoes_acoes[Fimmes],Patrimônio!B734,His_Operacoes_acoes[Operação],"Bonif.")</f>
        <v>0</v>
      </c>
      <c r="L734" s="8">
        <f>SUMIFS(His_Operacoes_BDRs[Total],His_Operacoes_BDRs[Operação],"Provento",His_Operacoes_BDRs[fimmês],Patrimônio!B734)</f>
        <v>0</v>
      </c>
      <c r="M734" s="8">
        <f>SUMIFS(His_Operacoes_FIIs[Total],His_Operacoes_FIIs[Operação],"Provento",His_Operacoes_FIIs[fimmês],Patrimônio!B734)</f>
        <v>0</v>
      </c>
      <c r="N734" s="8">
        <f t="shared" si="50"/>
        <v>0</v>
      </c>
    </row>
    <row r="735" spans="1:14" x14ac:dyDescent="0.35">
      <c r="A735" s="7">
        <v>64682</v>
      </c>
      <c r="B735" s="7">
        <f t="shared" si="47"/>
        <v>64681</v>
      </c>
      <c r="I735" s="8">
        <f t="shared" si="48"/>
        <v>0</v>
      </c>
      <c r="J735" s="8">
        <f t="shared" si="49"/>
        <v>0</v>
      </c>
      <c r="K735" s="8">
        <f>SUMIFS(His_Operacoes_acoes[Total],His_Operacoes_acoes[Fimmes],Patrimônio!B735,His_Operacoes_acoes[Operação],"JCP")
+ SUMIFS(His_Operacoes_acoes[Total],His_Operacoes_acoes[Fimmes],Patrimônio!B735,His_Operacoes_acoes[Operação],"Divid.")
+ SUMIFS(His_Operacoes_acoes[Total],His_Operacoes_acoes[Fimmes],Patrimônio!B735,His_Operacoes_acoes[Operação],"Bonif.")</f>
        <v>0</v>
      </c>
      <c r="L735" s="8">
        <f>SUMIFS(His_Operacoes_BDRs[Total],His_Operacoes_BDRs[Operação],"Provento",His_Operacoes_BDRs[fimmês],Patrimônio!B735)</f>
        <v>0</v>
      </c>
      <c r="M735" s="8">
        <f>SUMIFS(His_Operacoes_FIIs[Total],His_Operacoes_FIIs[Operação],"Provento",His_Operacoes_FIIs[fimmês],Patrimônio!B735)</f>
        <v>0</v>
      </c>
      <c r="N735" s="8">
        <f t="shared" si="50"/>
        <v>0</v>
      </c>
    </row>
    <row r="736" spans="1:14" x14ac:dyDescent="0.35">
      <c r="A736" s="7">
        <v>64710</v>
      </c>
      <c r="B736" s="7">
        <f t="shared" si="47"/>
        <v>64709</v>
      </c>
      <c r="I736" s="8">
        <f t="shared" si="48"/>
        <v>0</v>
      </c>
      <c r="J736" s="8">
        <f t="shared" si="49"/>
        <v>0</v>
      </c>
      <c r="K736" s="8">
        <f>SUMIFS(His_Operacoes_acoes[Total],His_Operacoes_acoes[Fimmes],Patrimônio!B736,His_Operacoes_acoes[Operação],"JCP")
+ SUMIFS(His_Operacoes_acoes[Total],His_Operacoes_acoes[Fimmes],Patrimônio!B736,His_Operacoes_acoes[Operação],"Divid.")
+ SUMIFS(His_Operacoes_acoes[Total],His_Operacoes_acoes[Fimmes],Patrimônio!B736,His_Operacoes_acoes[Operação],"Bonif.")</f>
        <v>0</v>
      </c>
      <c r="L736" s="8">
        <f>SUMIFS(His_Operacoes_BDRs[Total],His_Operacoes_BDRs[Operação],"Provento",His_Operacoes_BDRs[fimmês],Patrimônio!B736)</f>
        <v>0</v>
      </c>
      <c r="M736" s="8">
        <f>SUMIFS(His_Operacoes_FIIs[Total],His_Operacoes_FIIs[Operação],"Provento",His_Operacoes_FIIs[fimmês],Patrimônio!B736)</f>
        <v>0</v>
      </c>
      <c r="N736" s="8">
        <f t="shared" si="50"/>
        <v>0</v>
      </c>
    </row>
    <row r="737" spans="1:14" x14ac:dyDescent="0.35">
      <c r="A737" s="7">
        <v>64741</v>
      </c>
      <c r="B737" s="7">
        <f t="shared" si="47"/>
        <v>64740</v>
      </c>
      <c r="I737" s="8">
        <f t="shared" si="48"/>
        <v>0</v>
      </c>
      <c r="J737" s="8">
        <f t="shared" si="49"/>
        <v>0</v>
      </c>
      <c r="K737" s="8">
        <f>SUMIFS(His_Operacoes_acoes[Total],His_Operacoes_acoes[Fimmes],Patrimônio!B737,His_Operacoes_acoes[Operação],"JCP")
+ SUMIFS(His_Operacoes_acoes[Total],His_Operacoes_acoes[Fimmes],Patrimônio!B737,His_Operacoes_acoes[Operação],"Divid.")
+ SUMIFS(His_Operacoes_acoes[Total],His_Operacoes_acoes[Fimmes],Patrimônio!B737,His_Operacoes_acoes[Operação],"Bonif.")</f>
        <v>0</v>
      </c>
      <c r="L737" s="8">
        <f>SUMIFS(His_Operacoes_BDRs[Total],His_Operacoes_BDRs[Operação],"Provento",His_Operacoes_BDRs[fimmês],Patrimônio!B737)</f>
        <v>0</v>
      </c>
      <c r="M737" s="8">
        <f>SUMIFS(His_Operacoes_FIIs[Total],His_Operacoes_FIIs[Operação],"Provento",His_Operacoes_FIIs[fimmês],Patrimônio!B737)</f>
        <v>0</v>
      </c>
      <c r="N737" s="8">
        <f t="shared" si="50"/>
        <v>0</v>
      </c>
    </row>
    <row r="738" spans="1:14" x14ac:dyDescent="0.35">
      <c r="A738" s="7">
        <v>64771</v>
      </c>
      <c r="B738" s="7">
        <f t="shared" si="47"/>
        <v>64770</v>
      </c>
      <c r="I738" s="8">
        <f t="shared" si="48"/>
        <v>0</v>
      </c>
      <c r="J738" s="8">
        <f t="shared" si="49"/>
        <v>0</v>
      </c>
      <c r="K738" s="8">
        <f>SUMIFS(His_Operacoes_acoes[Total],His_Operacoes_acoes[Fimmes],Patrimônio!B738,His_Operacoes_acoes[Operação],"JCP")
+ SUMIFS(His_Operacoes_acoes[Total],His_Operacoes_acoes[Fimmes],Patrimônio!B738,His_Operacoes_acoes[Operação],"Divid.")
+ SUMIFS(His_Operacoes_acoes[Total],His_Operacoes_acoes[Fimmes],Patrimônio!B738,His_Operacoes_acoes[Operação],"Bonif.")</f>
        <v>0</v>
      </c>
      <c r="L738" s="8">
        <f>SUMIFS(His_Operacoes_BDRs[Total],His_Operacoes_BDRs[Operação],"Provento",His_Operacoes_BDRs[fimmês],Patrimônio!B738)</f>
        <v>0</v>
      </c>
      <c r="M738" s="8">
        <f>SUMIFS(His_Operacoes_FIIs[Total],His_Operacoes_FIIs[Operação],"Provento",His_Operacoes_FIIs[fimmês],Patrimônio!B738)</f>
        <v>0</v>
      </c>
      <c r="N738" s="8">
        <f t="shared" si="50"/>
        <v>0</v>
      </c>
    </row>
    <row r="739" spans="1:14" x14ac:dyDescent="0.35">
      <c r="A739" s="7">
        <v>64802</v>
      </c>
      <c r="B739" s="7">
        <f t="shared" si="47"/>
        <v>64801</v>
      </c>
      <c r="I739" s="8">
        <f t="shared" si="48"/>
        <v>0</v>
      </c>
      <c r="J739" s="8">
        <f t="shared" si="49"/>
        <v>0</v>
      </c>
      <c r="K739" s="8">
        <f>SUMIFS(His_Operacoes_acoes[Total],His_Operacoes_acoes[Fimmes],Patrimônio!B739,His_Operacoes_acoes[Operação],"JCP")
+ SUMIFS(His_Operacoes_acoes[Total],His_Operacoes_acoes[Fimmes],Patrimônio!B739,His_Operacoes_acoes[Operação],"Divid.")
+ SUMIFS(His_Operacoes_acoes[Total],His_Operacoes_acoes[Fimmes],Patrimônio!B739,His_Operacoes_acoes[Operação],"Bonif.")</f>
        <v>0</v>
      </c>
      <c r="L739" s="8">
        <f>SUMIFS(His_Operacoes_BDRs[Total],His_Operacoes_BDRs[Operação],"Provento",His_Operacoes_BDRs[fimmês],Patrimônio!B739)</f>
        <v>0</v>
      </c>
      <c r="M739" s="8">
        <f>SUMIFS(His_Operacoes_FIIs[Total],His_Operacoes_FIIs[Operação],"Provento",His_Operacoes_FIIs[fimmês],Patrimônio!B739)</f>
        <v>0</v>
      </c>
      <c r="N739" s="8">
        <f t="shared" si="50"/>
        <v>0</v>
      </c>
    </row>
    <row r="740" spans="1:14" x14ac:dyDescent="0.35">
      <c r="A740" s="7">
        <v>64832</v>
      </c>
      <c r="B740" s="7">
        <f t="shared" si="47"/>
        <v>64831</v>
      </c>
      <c r="I740" s="8">
        <f t="shared" si="48"/>
        <v>0</v>
      </c>
      <c r="J740" s="8">
        <f t="shared" si="49"/>
        <v>0</v>
      </c>
      <c r="K740" s="8">
        <f>SUMIFS(His_Operacoes_acoes[Total],His_Operacoes_acoes[Fimmes],Patrimônio!B740,His_Operacoes_acoes[Operação],"JCP")
+ SUMIFS(His_Operacoes_acoes[Total],His_Operacoes_acoes[Fimmes],Patrimônio!B740,His_Operacoes_acoes[Operação],"Divid.")
+ SUMIFS(His_Operacoes_acoes[Total],His_Operacoes_acoes[Fimmes],Patrimônio!B740,His_Operacoes_acoes[Operação],"Bonif.")</f>
        <v>0</v>
      </c>
      <c r="L740" s="8">
        <f>SUMIFS(His_Operacoes_BDRs[Total],His_Operacoes_BDRs[Operação],"Provento",His_Operacoes_BDRs[fimmês],Patrimônio!B740)</f>
        <v>0</v>
      </c>
      <c r="M740" s="8">
        <f>SUMIFS(His_Operacoes_FIIs[Total],His_Operacoes_FIIs[Operação],"Provento",His_Operacoes_FIIs[fimmês],Patrimônio!B740)</f>
        <v>0</v>
      </c>
      <c r="N740" s="8">
        <f t="shared" si="50"/>
        <v>0</v>
      </c>
    </row>
    <row r="741" spans="1:14" x14ac:dyDescent="0.35">
      <c r="A741" s="7">
        <v>64863</v>
      </c>
      <c r="B741" s="7">
        <f t="shared" si="47"/>
        <v>64862</v>
      </c>
      <c r="I741" s="8">
        <f t="shared" si="48"/>
        <v>0</v>
      </c>
      <c r="J741" s="8">
        <f t="shared" si="49"/>
        <v>0</v>
      </c>
      <c r="K741" s="8">
        <f>SUMIFS(His_Operacoes_acoes[Total],His_Operacoes_acoes[Fimmes],Patrimônio!B741,His_Operacoes_acoes[Operação],"JCP")
+ SUMIFS(His_Operacoes_acoes[Total],His_Operacoes_acoes[Fimmes],Patrimônio!B741,His_Operacoes_acoes[Operação],"Divid.")
+ SUMIFS(His_Operacoes_acoes[Total],His_Operacoes_acoes[Fimmes],Patrimônio!B741,His_Operacoes_acoes[Operação],"Bonif.")</f>
        <v>0</v>
      </c>
      <c r="L741" s="8">
        <f>SUMIFS(His_Operacoes_BDRs[Total],His_Operacoes_BDRs[Operação],"Provento",His_Operacoes_BDRs[fimmês],Patrimônio!B741)</f>
        <v>0</v>
      </c>
      <c r="M741" s="8">
        <f>SUMIFS(His_Operacoes_FIIs[Total],His_Operacoes_FIIs[Operação],"Provento",His_Operacoes_FIIs[fimmês],Patrimônio!B741)</f>
        <v>0</v>
      </c>
      <c r="N741" s="8">
        <f t="shared" si="50"/>
        <v>0</v>
      </c>
    </row>
    <row r="742" spans="1:14" x14ac:dyDescent="0.35">
      <c r="A742" s="7">
        <v>64894</v>
      </c>
      <c r="B742" s="7">
        <f t="shared" si="47"/>
        <v>64893</v>
      </c>
      <c r="I742" s="8">
        <f t="shared" si="48"/>
        <v>0</v>
      </c>
      <c r="J742" s="8">
        <f t="shared" si="49"/>
        <v>0</v>
      </c>
      <c r="K742" s="8">
        <f>SUMIFS(His_Operacoes_acoes[Total],His_Operacoes_acoes[Fimmes],Patrimônio!B742,His_Operacoes_acoes[Operação],"JCP")
+ SUMIFS(His_Operacoes_acoes[Total],His_Operacoes_acoes[Fimmes],Patrimônio!B742,His_Operacoes_acoes[Operação],"Divid.")
+ SUMIFS(His_Operacoes_acoes[Total],His_Operacoes_acoes[Fimmes],Patrimônio!B742,His_Operacoes_acoes[Operação],"Bonif.")</f>
        <v>0</v>
      </c>
      <c r="L742" s="8">
        <f>SUMIFS(His_Operacoes_BDRs[Total],His_Operacoes_BDRs[Operação],"Provento",His_Operacoes_BDRs[fimmês],Patrimônio!B742)</f>
        <v>0</v>
      </c>
      <c r="M742" s="8">
        <f>SUMIFS(His_Operacoes_FIIs[Total],His_Operacoes_FIIs[Operação],"Provento",His_Operacoes_FIIs[fimmês],Patrimônio!B742)</f>
        <v>0</v>
      </c>
      <c r="N742" s="8">
        <f t="shared" si="50"/>
        <v>0</v>
      </c>
    </row>
    <row r="743" spans="1:14" x14ac:dyDescent="0.35">
      <c r="A743" s="7">
        <v>64924</v>
      </c>
      <c r="B743" s="7">
        <f t="shared" si="47"/>
        <v>64923</v>
      </c>
      <c r="I743" s="8">
        <f t="shared" si="48"/>
        <v>0</v>
      </c>
      <c r="J743" s="8">
        <f t="shared" si="49"/>
        <v>0</v>
      </c>
      <c r="K743" s="8">
        <f>SUMIFS(His_Operacoes_acoes[Total],His_Operacoes_acoes[Fimmes],Patrimônio!B743,His_Operacoes_acoes[Operação],"JCP")
+ SUMIFS(His_Operacoes_acoes[Total],His_Operacoes_acoes[Fimmes],Patrimônio!B743,His_Operacoes_acoes[Operação],"Divid.")
+ SUMIFS(His_Operacoes_acoes[Total],His_Operacoes_acoes[Fimmes],Patrimônio!B743,His_Operacoes_acoes[Operação],"Bonif.")</f>
        <v>0</v>
      </c>
      <c r="L743" s="8">
        <f>SUMIFS(His_Operacoes_BDRs[Total],His_Operacoes_BDRs[Operação],"Provento",His_Operacoes_BDRs[fimmês],Patrimônio!B743)</f>
        <v>0</v>
      </c>
      <c r="M743" s="8">
        <f>SUMIFS(His_Operacoes_FIIs[Total],His_Operacoes_FIIs[Operação],"Provento",His_Operacoes_FIIs[fimmês],Patrimônio!B743)</f>
        <v>0</v>
      </c>
      <c r="N743" s="8">
        <f t="shared" si="50"/>
        <v>0</v>
      </c>
    </row>
    <row r="744" spans="1:14" x14ac:dyDescent="0.35">
      <c r="A744" s="7">
        <v>64955</v>
      </c>
      <c r="B744" s="7">
        <f t="shared" si="47"/>
        <v>64954</v>
      </c>
      <c r="I744" s="8">
        <f t="shared" si="48"/>
        <v>0</v>
      </c>
      <c r="J744" s="8">
        <f t="shared" si="49"/>
        <v>0</v>
      </c>
      <c r="K744" s="8">
        <f>SUMIFS(His_Operacoes_acoes[Total],His_Operacoes_acoes[Fimmes],Patrimônio!B744,His_Operacoes_acoes[Operação],"JCP")
+ SUMIFS(His_Operacoes_acoes[Total],His_Operacoes_acoes[Fimmes],Patrimônio!B744,His_Operacoes_acoes[Operação],"Divid.")
+ SUMIFS(His_Operacoes_acoes[Total],His_Operacoes_acoes[Fimmes],Patrimônio!B744,His_Operacoes_acoes[Operação],"Bonif.")</f>
        <v>0</v>
      </c>
      <c r="L744" s="8">
        <f>SUMIFS(His_Operacoes_BDRs[Total],His_Operacoes_BDRs[Operação],"Provento",His_Operacoes_BDRs[fimmês],Patrimônio!B744)</f>
        <v>0</v>
      </c>
      <c r="M744" s="8">
        <f>SUMIFS(His_Operacoes_FIIs[Total],His_Operacoes_FIIs[Operação],"Provento",His_Operacoes_FIIs[fimmês],Patrimônio!B744)</f>
        <v>0</v>
      </c>
      <c r="N744" s="8">
        <f t="shared" si="50"/>
        <v>0</v>
      </c>
    </row>
    <row r="745" spans="1:14" x14ac:dyDescent="0.35">
      <c r="A745" s="7">
        <v>64985</v>
      </c>
      <c r="B745" s="7">
        <f t="shared" si="47"/>
        <v>64984</v>
      </c>
      <c r="I745" s="8">
        <f t="shared" si="48"/>
        <v>0</v>
      </c>
      <c r="J745" s="8">
        <f t="shared" si="49"/>
        <v>0</v>
      </c>
      <c r="K745" s="8">
        <f>SUMIFS(His_Operacoes_acoes[Total],His_Operacoes_acoes[Fimmes],Patrimônio!B745,His_Operacoes_acoes[Operação],"JCP")
+ SUMIFS(His_Operacoes_acoes[Total],His_Operacoes_acoes[Fimmes],Patrimônio!B745,His_Operacoes_acoes[Operação],"Divid.")
+ SUMIFS(His_Operacoes_acoes[Total],His_Operacoes_acoes[Fimmes],Patrimônio!B745,His_Operacoes_acoes[Operação],"Bonif.")</f>
        <v>0</v>
      </c>
      <c r="L745" s="8">
        <f>SUMIFS(His_Operacoes_BDRs[Total],His_Operacoes_BDRs[Operação],"Provento",His_Operacoes_BDRs[fimmês],Patrimônio!B745)</f>
        <v>0</v>
      </c>
      <c r="M745" s="8">
        <f>SUMIFS(His_Operacoes_FIIs[Total],His_Operacoes_FIIs[Operação],"Provento",His_Operacoes_FIIs[fimmês],Patrimônio!B745)</f>
        <v>0</v>
      </c>
      <c r="N745" s="8">
        <f t="shared" si="50"/>
        <v>0</v>
      </c>
    </row>
    <row r="746" spans="1:14" x14ac:dyDescent="0.35">
      <c r="A746" s="7">
        <v>65016</v>
      </c>
      <c r="B746" s="7">
        <f t="shared" si="47"/>
        <v>65015</v>
      </c>
      <c r="I746" s="8">
        <f t="shared" si="48"/>
        <v>0</v>
      </c>
      <c r="J746" s="8">
        <f t="shared" si="49"/>
        <v>0</v>
      </c>
      <c r="K746" s="8">
        <f>SUMIFS(His_Operacoes_acoes[Total],His_Operacoes_acoes[Fimmes],Patrimônio!B746,His_Operacoes_acoes[Operação],"JCP")
+ SUMIFS(His_Operacoes_acoes[Total],His_Operacoes_acoes[Fimmes],Patrimônio!B746,His_Operacoes_acoes[Operação],"Divid.")
+ SUMIFS(His_Operacoes_acoes[Total],His_Operacoes_acoes[Fimmes],Patrimônio!B746,His_Operacoes_acoes[Operação],"Bonif.")</f>
        <v>0</v>
      </c>
      <c r="L746" s="8">
        <f>SUMIFS(His_Operacoes_BDRs[Total],His_Operacoes_BDRs[Operação],"Provento",His_Operacoes_BDRs[fimmês],Patrimônio!B746)</f>
        <v>0</v>
      </c>
      <c r="M746" s="8">
        <f>SUMIFS(His_Operacoes_FIIs[Total],His_Operacoes_FIIs[Operação],"Provento",His_Operacoes_FIIs[fimmês],Patrimônio!B746)</f>
        <v>0</v>
      </c>
      <c r="N746" s="8">
        <f t="shared" si="50"/>
        <v>0</v>
      </c>
    </row>
    <row r="747" spans="1:14" x14ac:dyDescent="0.35">
      <c r="A747" s="7">
        <v>65047</v>
      </c>
      <c r="B747" s="7">
        <f t="shared" si="47"/>
        <v>65046</v>
      </c>
      <c r="I747" s="8">
        <f t="shared" si="48"/>
        <v>0</v>
      </c>
      <c r="J747" s="8">
        <f t="shared" si="49"/>
        <v>0</v>
      </c>
      <c r="K747" s="8">
        <f>SUMIFS(His_Operacoes_acoes[Total],His_Operacoes_acoes[Fimmes],Patrimônio!B747,His_Operacoes_acoes[Operação],"JCP")
+ SUMIFS(His_Operacoes_acoes[Total],His_Operacoes_acoes[Fimmes],Patrimônio!B747,His_Operacoes_acoes[Operação],"Divid.")
+ SUMIFS(His_Operacoes_acoes[Total],His_Operacoes_acoes[Fimmes],Patrimônio!B747,His_Operacoes_acoes[Operação],"Bonif.")</f>
        <v>0</v>
      </c>
      <c r="L747" s="8">
        <f>SUMIFS(His_Operacoes_BDRs[Total],His_Operacoes_BDRs[Operação],"Provento",His_Operacoes_BDRs[fimmês],Patrimônio!B747)</f>
        <v>0</v>
      </c>
      <c r="M747" s="8">
        <f>SUMIFS(His_Operacoes_FIIs[Total],His_Operacoes_FIIs[Operação],"Provento",His_Operacoes_FIIs[fimmês],Patrimônio!B747)</f>
        <v>0</v>
      </c>
      <c r="N747" s="8">
        <f t="shared" si="50"/>
        <v>0</v>
      </c>
    </row>
    <row r="748" spans="1:14" x14ac:dyDescent="0.35">
      <c r="A748" s="7">
        <v>65075</v>
      </c>
      <c r="B748" s="7">
        <f t="shared" si="47"/>
        <v>65074</v>
      </c>
      <c r="I748" s="8">
        <f t="shared" si="48"/>
        <v>0</v>
      </c>
      <c r="J748" s="8">
        <f t="shared" si="49"/>
        <v>0</v>
      </c>
      <c r="K748" s="8">
        <f>SUMIFS(His_Operacoes_acoes[Total],His_Operacoes_acoes[Fimmes],Patrimônio!B748,His_Operacoes_acoes[Operação],"JCP")
+ SUMIFS(His_Operacoes_acoes[Total],His_Operacoes_acoes[Fimmes],Patrimônio!B748,His_Operacoes_acoes[Operação],"Divid.")
+ SUMIFS(His_Operacoes_acoes[Total],His_Operacoes_acoes[Fimmes],Patrimônio!B748,His_Operacoes_acoes[Operação],"Bonif.")</f>
        <v>0</v>
      </c>
      <c r="L748" s="8">
        <f>SUMIFS(His_Operacoes_BDRs[Total],His_Operacoes_BDRs[Operação],"Provento",His_Operacoes_BDRs[fimmês],Patrimônio!B748)</f>
        <v>0</v>
      </c>
      <c r="M748" s="8">
        <f>SUMIFS(His_Operacoes_FIIs[Total],His_Operacoes_FIIs[Operação],"Provento",His_Operacoes_FIIs[fimmês],Patrimônio!B748)</f>
        <v>0</v>
      </c>
      <c r="N748" s="8">
        <f t="shared" si="50"/>
        <v>0</v>
      </c>
    </row>
    <row r="749" spans="1:14" x14ac:dyDescent="0.35">
      <c r="A749" s="7">
        <v>65106</v>
      </c>
      <c r="B749" s="7">
        <f t="shared" si="47"/>
        <v>65105</v>
      </c>
      <c r="I749" s="8">
        <f t="shared" si="48"/>
        <v>0</v>
      </c>
      <c r="J749" s="8">
        <f t="shared" si="49"/>
        <v>0</v>
      </c>
      <c r="K749" s="8">
        <f>SUMIFS(His_Operacoes_acoes[Total],His_Operacoes_acoes[Fimmes],Patrimônio!B749,His_Operacoes_acoes[Operação],"JCP")
+ SUMIFS(His_Operacoes_acoes[Total],His_Operacoes_acoes[Fimmes],Patrimônio!B749,His_Operacoes_acoes[Operação],"Divid.")
+ SUMIFS(His_Operacoes_acoes[Total],His_Operacoes_acoes[Fimmes],Patrimônio!B749,His_Operacoes_acoes[Operação],"Bonif.")</f>
        <v>0</v>
      </c>
      <c r="L749" s="8">
        <f>SUMIFS(His_Operacoes_BDRs[Total],His_Operacoes_BDRs[Operação],"Provento",His_Operacoes_BDRs[fimmês],Patrimônio!B749)</f>
        <v>0</v>
      </c>
      <c r="M749" s="8">
        <f>SUMIFS(His_Operacoes_FIIs[Total],His_Operacoes_FIIs[Operação],"Provento",His_Operacoes_FIIs[fimmês],Patrimônio!B749)</f>
        <v>0</v>
      </c>
      <c r="N749" s="8">
        <f t="shared" si="50"/>
        <v>0</v>
      </c>
    </row>
    <row r="750" spans="1:14" x14ac:dyDescent="0.35">
      <c r="A750" s="7">
        <v>65136</v>
      </c>
      <c r="B750" s="7">
        <f t="shared" si="47"/>
        <v>65135</v>
      </c>
      <c r="I750" s="8">
        <f t="shared" si="48"/>
        <v>0</v>
      </c>
      <c r="J750" s="8">
        <f t="shared" si="49"/>
        <v>0</v>
      </c>
      <c r="K750" s="8">
        <f>SUMIFS(His_Operacoes_acoes[Total],His_Operacoes_acoes[Fimmes],Patrimônio!B750,His_Operacoes_acoes[Operação],"JCP")
+ SUMIFS(His_Operacoes_acoes[Total],His_Operacoes_acoes[Fimmes],Patrimônio!B750,His_Operacoes_acoes[Operação],"Divid.")
+ SUMIFS(His_Operacoes_acoes[Total],His_Operacoes_acoes[Fimmes],Patrimônio!B750,His_Operacoes_acoes[Operação],"Bonif.")</f>
        <v>0</v>
      </c>
      <c r="L750" s="8">
        <f>SUMIFS(His_Operacoes_BDRs[Total],His_Operacoes_BDRs[Operação],"Provento",His_Operacoes_BDRs[fimmês],Patrimônio!B750)</f>
        <v>0</v>
      </c>
      <c r="M750" s="8">
        <f>SUMIFS(His_Operacoes_FIIs[Total],His_Operacoes_FIIs[Operação],"Provento",His_Operacoes_FIIs[fimmês],Patrimônio!B750)</f>
        <v>0</v>
      </c>
      <c r="N750" s="8">
        <f t="shared" si="50"/>
        <v>0</v>
      </c>
    </row>
    <row r="751" spans="1:14" x14ac:dyDescent="0.35">
      <c r="A751" s="7">
        <v>65167</v>
      </c>
      <c r="B751" s="7">
        <f t="shared" si="47"/>
        <v>65166</v>
      </c>
      <c r="I751" s="8">
        <f t="shared" si="48"/>
        <v>0</v>
      </c>
      <c r="J751" s="8">
        <f t="shared" si="49"/>
        <v>0</v>
      </c>
      <c r="K751" s="8">
        <f>SUMIFS(His_Operacoes_acoes[Total],His_Operacoes_acoes[Fimmes],Patrimônio!B751,His_Operacoes_acoes[Operação],"JCP")
+ SUMIFS(His_Operacoes_acoes[Total],His_Operacoes_acoes[Fimmes],Patrimônio!B751,His_Operacoes_acoes[Operação],"Divid.")
+ SUMIFS(His_Operacoes_acoes[Total],His_Operacoes_acoes[Fimmes],Patrimônio!B751,His_Operacoes_acoes[Operação],"Bonif.")</f>
        <v>0</v>
      </c>
      <c r="L751" s="8">
        <f>SUMIFS(His_Operacoes_BDRs[Total],His_Operacoes_BDRs[Operação],"Provento",His_Operacoes_BDRs[fimmês],Patrimônio!B751)</f>
        <v>0</v>
      </c>
      <c r="M751" s="8">
        <f>SUMIFS(His_Operacoes_FIIs[Total],His_Operacoes_FIIs[Operação],"Provento",His_Operacoes_FIIs[fimmês],Patrimônio!B751)</f>
        <v>0</v>
      </c>
      <c r="N751" s="8">
        <f t="shared" si="50"/>
        <v>0</v>
      </c>
    </row>
    <row r="752" spans="1:14" x14ac:dyDescent="0.35">
      <c r="A752" s="7">
        <v>65197</v>
      </c>
      <c r="B752" s="7">
        <f t="shared" si="47"/>
        <v>65196</v>
      </c>
      <c r="I752" s="8">
        <f t="shared" si="48"/>
        <v>0</v>
      </c>
      <c r="J752" s="8">
        <f t="shared" si="49"/>
        <v>0</v>
      </c>
      <c r="K752" s="8">
        <f>SUMIFS(His_Operacoes_acoes[Total],His_Operacoes_acoes[Fimmes],Patrimônio!B752,His_Operacoes_acoes[Operação],"JCP")
+ SUMIFS(His_Operacoes_acoes[Total],His_Operacoes_acoes[Fimmes],Patrimônio!B752,His_Operacoes_acoes[Operação],"Divid.")
+ SUMIFS(His_Operacoes_acoes[Total],His_Operacoes_acoes[Fimmes],Patrimônio!B752,His_Operacoes_acoes[Operação],"Bonif.")</f>
        <v>0</v>
      </c>
      <c r="L752" s="8">
        <f>SUMIFS(His_Operacoes_BDRs[Total],His_Operacoes_BDRs[Operação],"Provento",His_Operacoes_BDRs[fimmês],Patrimônio!B752)</f>
        <v>0</v>
      </c>
      <c r="M752" s="8">
        <f>SUMIFS(His_Operacoes_FIIs[Total],His_Operacoes_FIIs[Operação],"Provento",His_Operacoes_FIIs[fimmês],Patrimônio!B752)</f>
        <v>0</v>
      </c>
      <c r="N752" s="8">
        <f t="shared" si="50"/>
        <v>0</v>
      </c>
    </row>
    <row r="753" spans="1:14" x14ac:dyDescent="0.35">
      <c r="A753" s="7">
        <v>65228</v>
      </c>
      <c r="B753" s="7">
        <f t="shared" si="47"/>
        <v>65227</v>
      </c>
      <c r="I753" s="8">
        <f t="shared" si="48"/>
        <v>0</v>
      </c>
      <c r="J753" s="8">
        <f t="shared" si="49"/>
        <v>0</v>
      </c>
      <c r="K753" s="8">
        <f>SUMIFS(His_Operacoes_acoes[Total],His_Operacoes_acoes[Fimmes],Patrimônio!B753,His_Operacoes_acoes[Operação],"JCP")
+ SUMIFS(His_Operacoes_acoes[Total],His_Operacoes_acoes[Fimmes],Patrimônio!B753,His_Operacoes_acoes[Operação],"Divid.")
+ SUMIFS(His_Operacoes_acoes[Total],His_Operacoes_acoes[Fimmes],Patrimônio!B753,His_Operacoes_acoes[Operação],"Bonif.")</f>
        <v>0</v>
      </c>
      <c r="L753" s="8">
        <f>SUMIFS(His_Operacoes_BDRs[Total],His_Operacoes_BDRs[Operação],"Provento",His_Operacoes_BDRs[fimmês],Patrimônio!B753)</f>
        <v>0</v>
      </c>
      <c r="M753" s="8">
        <f>SUMIFS(His_Operacoes_FIIs[Total],His_Operacoes_FIIs[Operação],"Provento",His_Operacoes_FIIs[fimmês],Patrimônio!B753)</f>
        <v>0</v>
      </c>
      <c r="N753" s="8">
        <f t="shared" si="50"/>
        <v>0</v>
      </c>
    </row>
    <row r="754" spans="1:14" x14ac:dyDescent="0.35">
      <c r="A754" s="7">
        <v>65259</v>
      </c>
      <c r="B754" s="7">
        <f t="shared" si="47"/>
        <v>65258</v>
      </c>
      <c r="I754" s="8">
        <f t="shared" si="48"/>
        <v>0</v>
      </c>
      <c r="J754" s="8">
        <f t="shared" si="49"/>
        <v>0</v>
      </c>
      <c r="K754" s="8">
        <f>SUMIFS(His_Operacoes_acoes[Total],His_Operacoes_acoes[Fimmes],Patrimônio!B754,His_Operacoes_acoes[Operação],"JCP")
+ SUMIFS(His_Operacoes_acoes[Total],His_Operacoes_acoes[Fimmes],Patrimônio!B754,His_Operacoes_acoes[Operação],"Divid.")
+ SUMIFS(His_Operacoes_acoes[Total],His_Operacoes_acoes[Fimmes],Patrimônio!B754,His_Operacoes_acoes[Operação],"Bonif.")</f>
        <v>0</v>
      </c>
      <c r="L754" s="8">
        <f>SUMIFS(His_Operacoes_BDRs[Total],His_Operacoes_BDRs[Operação],"Provento",His_Operacoes_BDRs[fimmês],Patrimônio!B754)</f>
        <v>0</v>
      </c>
      <c r="M754" s="8">
        <f>SUMIFS(His_Operacoes_FIIs[Total],His_Operacoes_FIIs[Operação],"Provento",His_Operacoes_FIIs[fimmês],Patrimônio!B754)</f>
        <v>0</v>
      </c>
      <c r="N754" s="8">
        <f t="shared" si="50"/>
        <v>0</v>
      </c>
    </row>
    <row r="755" spans="1:14" x14ac:dyDescent="0.35">
      <c r="A755" s="7">
        <v>65289</v>
      </c>
      <c r="B755" s="7">
        <f t="shared" si="47"/>
        <v>65288</v>
      </c>
      <c r="I755" s="8">
        <f t="shared" si="48"/>
        <v>0</v>
      </c>
      <c r="J755" s="8">
        <f t="shared" si="49"/>
        <v>0</v>
      </c>
      <c r="K755" s="8">
        <f>SUMIFS(His_Operacoes_acoes[Total],His_Operacoes_acoes[Fimmes],Patrimônio!B755,His_Operacoes_acoes[Operação],"JCP")
+ SUMIFS(His_Operacoes_acoes[Total],His_Operacoes_acoes[Fimmes],Patrimônio!B755,His_Operacoes_acoes[Operação],"Divid.")
+ SUMIFS(His_Operacoes_acoes[Total],His_Operacoes_acoes[Fimmes],Patrimônio!B755,His_Operacoes_acoes[Operação],"Bonif.")</f>
        <v>0</v>
      </c>
      <c r="L755" s="8">
        <f>SUMIFS(His_Operacoes_BDRs[Total],His_Operacoes_BDRs[Operação],"Provento",His_Operacoes_BDRs[fimmês],Patrimônio!B755)</f>
        <v>0</v>
      </c>
      <c r="M755" s="8">
        <f>SUMIFS(His_Operacoes_FIIs[Total],His_Operacoes_FIIs[Operação],"Provento",His_Operacoes_FIIs[fimmês],Patrimônio!B755)</f>
        <v>0</v>
      </c>
      <c r="N755" s="8">
        <f t="shared" si="50"/>
        <v>0</v>
      </c>
    </row>
    <row r="756" spans="1:14" x14ac:dyDescent="0.35">
      <c r="A756" s="7">
        <v>65320</v>
      </c>
      <c r="B756" s="7">
        <f t="shared" si="47"/>
        <v>65319</v>
      </c>
      <c r="I756" s="8">
        <f t="shared" si="48"/>
        <v>0</v>
      </c>
      <c r="J756" s="8">
        <f t="shared" si="49"/>
        <v>0</v>
      </c>
      <c r="K756" s="8">
        <f>SUMIFS(His_Operacoes_acoes[Total],His_Operacoes_acoes[Fimmes],Patrimônio!B756,His_Operacoes_acoes[Operação],"JCP")
+ SUMIFS(His_Operacoes_acoes[Total],His_Operacoes_acoes[Fimmes],Patrimônio!B756,His_Operacoes_acoes[Operação],"Divid.")
+ SUMIFS(His_Operacoes_acoes[Total],His_Operacoes_acoes[Fimmes],Patrimônio!B756,His_Operacoes_acoes[Operação],"Bonif.")</f>
        <v>0</v>
      </c>
      <c r="L756" s="8">
        <f>SUMIFS(His_Operacoes_BDRs[Total],His_Operacoes_BDRs[Operação],"Provento",His_Operacoes_BDRs[fimmês],Patrimônio!B756)</f>
        <v>0</v>
      </c>
      <c r="M756" s="8">
        <f>SUMIFS(His_Operacoes_FIIs[Total],His_Operacoes_FIIs[Operação],"Provento",His_Operacoes_FIIs[fimmês],Patrimônio!B756)</f>
        <v>0</v>
      </c>
      <c r="N756" s="8">
        <f t="shared" si="50"/>
        <v>0</v>
      </c>
    </row>
    <row r="757" spans="1:14" x14ac:dyDescent="0.35">
      <c r="A757" s="7">
        <v>65350</v>
      </c>
      <c r="B757" s="7">
        <f t="shared" si="47"/>
        <v>65349</v>
      </c>
      <c r="I757" s="8">
        <f t="shared" si="48"/>
        <v>0</v>
      </c>
      <c r="J757" s="8">
        <f t="shared" si="49"/>
        <v>0</v>
      </c>
      <c r="K757" s="8">
        <f>SUMIFS(His_Operacoes_acoes[Total],His_Operacoes_acoes[Fimmes],Patrimônio!B757,His_Operacoes_acoes[Operação],"JCP")
+ SUMIFS(His_Operacoes_acoes[Total],His_Operacoes_acoes[Fimmes],Patrimônio!B757,His_Operacoes_acoes[Operação],"Divid.")
+ SUMIFS(His_Operacoes_acoes[Total],His_Operacoes_acoes[Fimmes],Patrimônio!B757,His_Operacoes_acoes[Operação],"Bonif.")</f>
        <v>0</v>
      </c>
      <c r="L757" s="8">
        <f>SUMIFS(His_Operacoes_BDRs[Total],His_Operacoes_BDRs[Operação],"Provento",His_Operacoes_BDRs[fimmês],Patrimônio!B757)</f>
        <v>0</v>
      </c>
      <c r="M757" s="8">
        <f>SUMIFS(His_Operacoes_FIIs[Total],His_Operacoes_FIIs[Operação],"Provento",His_Operacoes_FIIs[fimmês],Patrimônio!B757)</f>
        <v>0</v>
      </c>
      <c r="N757" s="8">
        <f t="shared" si="50"/>
        <v>0</v>
      </c>
    </row>
    <row r="758" spans="1:14" x14ac:dyDescent="0.35">
      <c r="A758" s="7">
        <v>65381</v>
      </c>
      <c r="B758" s="7">
        <f t="shared" si="47"/>
        <v>65380</v>
      </c>
      <c r="I758" s="8">
        <f t="shared" si="48"/>
        <v>0</v>
      </c>
      <c r="J758" s="8">
        <f t="shared" si="49"/>
        <v>0</v>
      </c>
      <c r="K758" s="8">
        <f>SUMIFS(His_Operacoes_acoes[Total],His_Operacoes_acoes[Fimmes],Patrimônio!B758,His_Operacoes_acoes[Operação],"JCP")
+ SUMIFS(His_Operacoes_acoes[Total],His_Operacoes_acoes[Fimmes],Patrimônio!B758,His_Operacoes_acoes[Operação],"Divid.")
+ SUMIFS(His_Operacoes_acoes[Total],His_Operacoes_acoes[Fimmes],Patrimônio!B758,His_Operacoes_acoes[Operação],"Bonif.")</f>
        <v>0</v>
      </c>
      <c r="L758" s="8">
        <f>SUMIFS(His_Operacoes_BDRs[Total],His_Operacoes_BDRs[Operação],"Provento",His_Operacoes_BDRs[fimmês],Patrimônio!B758)</f>
        <v>0</v>
      </c>
      <c r="M758" s="8">
        <f>SUMIFS(His_Operacoes_FIIs[Total],His_Operacoes_FIIs[Operação],"Provento",His_Operacoes_FIIs[fimmês],Patrimônio!B758)</f>
        <v>0</v>
      </c>
      <c r="N758" s="8">
        <f t="shared" si="50"/>
        <v>0</v>
      </c>
    </row>
    <row r="759" spans="1:14" x14ac:dyDescent="0.35">
      <c r="A759" s="7">
        <v>65412</v>
      </c>
      <c r="B759" s="7">
        <f t="shared" si="47"/>
        <v>65411</v>
      </c>
      <c r="I759" s="8">
        <f t="shared" si="48"/>
        <v>0</v>
      </c>
      <c r="J759" s="8">
        <f t="shared" si="49"/>
        <v>0</v>
      </c>
      <c r="K759" s="8">
        <f>SUMIFS(His_Operacoes_acoes[Total],His_Operacoes_acoes[Fimmes],Patrimônio!B759,His_Operacoes_acoes[Operação],"JCP")
+ SUMIFS(His_Operacoes_acoes[Total],His_Operacoes_acoes[Fimmes],Patrimônio!B759,His_Operacoes_acoes[Operação],"Divid.")
+ SUMIFS(His_Operacoes_acoes[Total],His_Operacoes_acoes[Fimmes],Patrimônio!B759,His_Operacoes_acoes[Operação],"Bonif.")</f>
        <v>0</v>
      </c>
      <c r="L759" s="8">
        <f>SUMIFS(His_Operacoes_BDRs[Total],His_Operacoes_BDRs[Operação],"Provento",His_Operacoes_BDRs[fimmês],Patrimônio!B759)</f>
        <v>0</v>
      </c>
      <c r="M759" s="8">
        <f>SUMIFS(His_Operacoes_FIIs[Total],His_Operacoes_FIIs[Operação],"Provento",His_Operacoes_FIIs[fimmês],Patrimônio!B759)</f>
        <v>0</v>
      </c>
      <c r="N759" s="8">
        <f t="shared" si="50"/>
        <v>0</v>
      </c>
    </row>
    <row r="760" spans="1:14" x14ac:dyDescent="0.35">
      <c r="A760" s="7">
        <v>65440</v>
      </c>
      <c r="B760" s="7">
        <f t="shared" si="47"/>
        <v>65439</v>
      </c>
      <c r="I760" s="8">
        <f t="shared" si="48"/>
        <v>0</v>
      </c>
      <c r="J760" s="8">
        <f t="shared" si="49"/>
        <v>0</v>
      </c>
      <c r="K760" s="8">
        <f>SUMIFS(His_Operacoes_acoes[Total],His_Operacoes_acoes[Fimmes],Patrimônio!B760,His_Operacoes_acoes[Operação],"JCP")
+ SUMIFS(His_Operacoes_acoes[Total],His_Operacoes_acoes[Fimmes],Patrimônio!B760,His_Operacoes_acoes[Operação],"Divid.")
+ SUMIFS(His_Operacoes_acoes[Total],His_Operacoes_acoes[Fimmes],Patrimônio!B760,His_Operacoes_acoes[Operação],"Bonif.")</f>
        <v>0</v>
      </c>
      <c r="L760" s="8">
        <f>SUMIFS(His_Operacoes_BDRs[Total],His_Operacoes_BDRs[Operação],"Provento",His_Operacoes_BDRs[fimmês],Patrimônio!B760)</f>
        <v>0</v>
      </c>
      <c r="M760" s="8">
        <f>SUMIFS(His_Operacoes_FIIs[Total],His_Operacoes_FIIs[Operação],"Provento",His_Operacoes_FIIs[fimmês],Patrimônio!B760)</f>
        <v>0</v>
      </c>
      <c r="N760" s="8">
        <f t="shared" si="50"/>
        <v>0</v>
      </c>
    </row>
    <row r="761" spans="1:14" x14ac:dyDescent="0.35">
      <c r="A761" s="7">
        <v>65471</v>
      </c>
      <c r="B761" s="7">
        <f t="shared" si="47"/>
        <v>65470</v>
      </c>
      <c r="I761" s="8">
        <f t="shared" si="48"/>
        <v>0</v>
      </c>
      <c r="J761" s="8">
        <f t="shared" si="49"/>
        <v>0</v>
      </c>
      <c r="K761" s="8">
        <f>SUMIFS(His_Operacoes_acoes[Total],His_Operacoes_acoes[Fimmes],Patrimônio!B761,His_Operacoes_acoes[Operação],"JCP")
+ SUMIFS(His_Operacoes_acoes[Total],His_Operacoes_acoes[Fimmes],Patrimônio!B761,His_Operacoes_acoes[Operação],"Divid.")
+ SUMIFS(His_Operacoes_acoes[Total],His_Operacoes_acoes[Fimmes],Patrimônio!B761,His_Operacoes_acoes[Operação],"Bonif.")</f>
        <v>0</v>
      </c>
      <c r="L761" s="8">
        <f>SUMIFS(His_Operacoes_BDRs[Total],His_Operacoes_BDRs[Operação],"Provento",His_Operacoes_BDRs[fimmês],Patrimônio!B761)</f>
        <v>0</v>
      </c>
      <c r="M761" s="8">
        <f>SUMIFS(His_Operacoes_FIIs[Total],His_Operacoes_FIIs[Operação],"Provento",His_Operacoes_FIIs[fimmês],Patrimônio!B761)</f>
        <v>0</v>
      </c>
      <c r="N761" s="8">
        <f t="shared" si="50"/>
        <v>0</v>
      </c>
    </row>
    <row r="762" spans="1:14" x14ac:dyDescent="0.35">
      <c r="A762" s="7">
        <v>65501</v>
      </c>
      <c r="B762" s="7">
        <f t="shared" si="47"/>
        <v>65500</v>
      </c>
      <c r="I762" s="8">
        <f t="shared" si="48"/>
        <v>0</v>
      </c>
      <c r="J762" s="8">
        <f t="shared" si="49"/>
        <v>0</v>
      </c>
      <c r="K762" s="8">
        <f>SUMIFS(His_Operacoes_acoes[Total],His_Operacoes_acoes[Fimmes],Patrimônio!B762,His_Operacoes_acoes[Operação],"JCP")
+ SUMIFS(His_Operacoes_acoes[Total],His_Operacoes_acoes[Fimmes],Patrimônio!B762,His_Operacoes_acoes[Operação],"Divid.")
+ SUMIFS(His_Operacoes_acoes[Total],His_Operacoes_acoes[Fimmes],Patrimônio!B762,His_Operacoes_acoes[Operação],"Bonif.")</f>
        <v>0</v>
      </c>
      <c r="L762" s="8">
        <f>SUMIFS(His_Operacoes_BDRs[Total],His_Operacoes_BDRs[Operação],"Provento",His_Operacoes_BDRs[fimmês],Patrimônio!B762)</f>
        <v>0</v>
      </c>
      <c r="M762" s="8">
        <f>SUMIFS(His_Operacoes_FIIs[Total],His_Operacoes_FIIs[Operação],"Provento",His_Operacoes_FIIs[fimmês],Patrimônio!B762)</f>
        <v>0</v>
      </c>
      <c r="N762" s="8">
        <f t="shared" si="50"/>
        <v>0</v>
      </c>
    </row>
    <row r="763" spans="1:14" x14ac:dyDescent="0.35">
      <c r="A763" s="7">
        <v>65532</v>
      </c>
      <c r="B763" s="7">
        <f t="shared" si="47"/>
        <v>65531</v>
      </c>
      <c r="I763" s="8">
        <f t="shared" si="48"/>
        <v>0</v>
      </c>
      <c r="J763" s="8">
        <f t="shared" si="49"/>
        <v>0</v>
      </c>
      <c r="K763" s="8">
        <f>SUMIFS(His_Operacoes_acoes[Total],His_Operacoes_acoes[Fimmes],Patrimônio!B763,His_Operacoes_acoes[Operação],"JCP")
+ SUMIFS(His_Operacoes_acoes[Total],His_Operacoes_acoes[Fimmes],Patrimônio!B763,His_Operacoes_acoes[Operação],"Divid.")
+ SUMIFS(His_Operacoes_acoes[Total],His_Operacoes_acoes[Fimmes],Patrimônio!B763,His_Operacoes_acoes[Operação],"Bonif.")</f>
        <v>0</v>
      </c>
      <c r="L763" s="8">
        <f>SUMIFS(His_Operacoes_BDRs[Total],His_Operacoes_BDRs[Operação],"Provento",His_Operacoes_BDRs[fimmês],Patrimônio!B763)</f>
        <v>0</v>
      </c>
      <c r="M763" s="8">
        <f>SUMIFS(His_Operacoes_FIIs[Total],His_Operacoes_FIIs[Operação],"Provento",His_Operacoes_FIIs[fimmês],Patrimônio!B763)</f>
        <v>0</v>
      </c>
      <c r="N763" s="8">
        <f t="shared" si="50"/>
        <v>0</v>
      </c>
    </row>
    <row r="764" spans="1:14" x14ac:dyDescent="0.35">
      <c r="A764" s="7">
        <v>65562</v>
      </c>
      <c r="B764" s="7">
        <f t="shared" si="47"/>
        <v>65561</v>
      </c>
      <c r="I764" s="8">
        <f t="shared" si="48"/>
        <v>0</v>
      </c>
      <c r="J764" s="8">
        <f t="shared" si="49"/>
        <v>0</v>
      </c>
      <c r="K764" s="8">
        <f>SUMIFS(His_Operacoes_acoes[Total],His_Operacoes_acoes[Fimmes],Patrimônio!B764,His_Operacoes_acoes[Operação],"JCP")
+ SUMIFS(His_Operacoes_acoes[Total],His_Operacoes_acoes[Fimmes],Patrimônio!B764,His_Operacoes_acoes[Operação],"Divid.")
+ SUMIFS(His_Operacoes_acoes[Total],His_Operacoes_acoes[Fimmes],Patrimônio!B764,His_Operacoes_acoes[Operação],"Bonif.")</f>
        <v>0</v>
      </c>
      <c r="L764" s="8">
        <f>SUMIFS(His_Operacoes_BDRs[Total],His_Operacoes_BDRs[Operação],"Provento",His_Operacoes_BDRs[fimmês],Patrimônio!B764)</f>
        <v>0</v>
      </c>
      <c r="M764" s="8">
        <f>SUMIFS(His_Operacoes_FIIs[Total],His_Operacoes_FIIs[Operação],"Provento",His_Operacoes_FIIs[fimmês],Patrimônio!B764)</f>
        <v>0</v>
      </c>
      <c r="N764" s="8">
        <f t="shared" si="50"/>
        <v>0</v>
      </c>
    </row>
    <row r="765" spans="1:14" x14ac:dyDescent="0.35">
      <c r="A765" s="7">
        <v>65593</v>
      </c>
      <c r="B765" s="7">
        <f t="shared" si="47"/>
        <v>65592</v>
      </c>
      <c r="I765" s="8">
        <f t="shared" si="48"/>
        <v>0</v>
      </c>
      <c r="J765" s="8">
        <f t="shared" si="49"/>
        <v>0</v>
      </c>
      <c r="K765" s="8">
        <f>SUMIFS(His_Operacoes_acoes[Total],His_Operacoes_acoes[Fimmes],Patrimônio!B765,His_Operacoes_acoes[Operação],"JCP")
+ SUMIFS(His_Operacoes_acoes[Total],His_Operacoes_acoes[Fimmes],Patrimônio!B765,His_Operacoes_acoes[Operação],"Divid.")
+ SUMIFS(His_Operacoes_acoes[Total],His_Operacoes_acoes[Fimmes],Patrimônio!B765,His_Operacoes_acoes[Operação],"Bonif.")</f>
        <v>0</v>
      </c>
      <c r="L765" s="8">
        <f>SUMIFS(His_Operacoes_BDRs[Total],His_Operacoes_BDRs[Operação],"Provento",His_Operacoes_BDRs[fimmês],Patrimônio!B765)</f>
        <v>0</v>
      </c>
      <c r="M765" s="8">
        <f>SUMIFS(His_Operacoes_FIIs[Total],His_Operacoes_FIIs[Operação],"Provento",His_Operacoes_FIIs[fimmês],Patrimônio!B765)</f>
        <v>0</v>
      </c>
      <c r="N765" s="8">
        <f t="shared" si="50"/>
        <v>0</v>
      </c>
    </row>
    <row r="766" spans="1:14" x14ac:dyDescent="0.35">
      <c r="A766" s="7">
        <v>65624</v>
      </c>
      <c r="B766" s="7">
        <f t="shared" si="47"/>
        <v>65623</v>
      </c>
      <c r="I766" s="8">
        <f t="shared" si="48"/>
        <v>0</v>
      </c>
      <c r="J766" s="8">
        <f t="shared" si="49"/>
        <v>0</v>
      </c>
      <c r="K766" s="8">
        <f>SUMIFS(His_Operacoes_acoes[Total],His_Operacoes_acoes[Fimmes],Patrimônio!B766,His_Operacoes_acoes[Operação],"JCP")
+ SUMIFS(His_Operacoes_acoes[Total],His_Operacoes_acoes[Fimmes],Patrimônio!B766,His_Operacoes_acoes[Operação],"Divid.")
+ SUMIFS(His_Operacoes_acoes[Total],His_Operacoes_acoes[Fimmes],Patrimônio!B766,His_Operacoes_acoes[Operação],"Bonif.")</f>
        <v>0</v>
      </c>
      <c r="L766" s="8">
        <f>SUMIFS(His_Operacoes_BDRs[Total],His_Operacoes_BDRs[Operação],"Provento",His_Operacoes_BDRs[fimmês],Patrimônio!B766)</f>
        <v>0</v>
      </c>
      <c r="M766" s="8">
        <f>SUMIFS(His_Operacoes_FIIs[Total],His_Operacoes_FIIs[Operação],"Provento",His_Operacoes_FIIs[fimmês],Patrimônio!B766)</f>
        <v>0</v>
      </c>
      <c r="N766" s="8">
        <f t="shared" si="50"/>
        <v>0</v>
      </c>
    </row>
    <row r="767" spans="1:14" x14ac:dyDescent="0.35">
      <c r="A767" s="7">
        <v>65654</v>
      </c>
      <c r="B767" s="7">
        <f t="shared" si="47"/>
        <v>65653</v>
      </c>
      <c r="I767" s="8">
        <f t="shared" si="48"/>
        <v>0</v>
      </c>
      <c r="J767" s="8">
        <f t="shared" si="49"/>
        <v>0</v>
      </c>
      <c r="K767" s="8">
        <f>SUMIFS(His_Operacoes_acoes[Total],His_Operacoes_acoes[Fimmes],Patrimônio!B767,His_Operacoes_acoes[Operação],"JCP")
+ SUMIFS(His_Operacoes_acoes[Total],His_Operacoes_acoes[Fimmes],Patrimônio!B767,His_Operacoes_acoes[Operação],"Divid.")
+ SUMIFS(His_Operacoes_acoes[Total],His_Operacoes_acoes[Fimmes],Patrimônio!B767,His_Operacoes_acoes[Operação],"Bonif.")</f>
        <v>0</v>
      </c>
      <c r="L767" s="8">
        <f>SUMIFS(His_Operacoes_BDRs[Total],His_Operacoes_BDRs[Operação],"Provento",His_Operacoes_BDRs[fimmês],Patrimônio!B767)</f>
        <v>0</v>
      </c>
      <c r="M767" s="8">
        <f>SUMIFS(His_Operacoes_FIIs[Total],His_Operacoes_FIIs[Operação],"Provento",His_Operacoes_FIIs[fimmês],Patrimônio!B767)</f>
        <v>0</v>
      </c>
      <c r="N767" s="8">
        <f t="shared" si="50"/>
        <v>0</v>
      </c>
    </row>
    <row r="768" spans="1:14" x14ac:dyDescent="0.35">
      <c r="A768" s="7">
        <v>65685</v>
      </c>
      <c r="B768" s="7">
        <f t="shared" si="47"/>
        <v>65684</v>
      </c>
      <c r="I768" s="8">
        <f t="shared" si="48"/>
        <v>0</v>
      </c>
      <c r="J768" s="8">
        <f t="shared" si="49"/>
        <v>0</v>
      </c>
      <c r="K768" s="8">
        <f>SUMIFS(His_Operacoes_acoes[Total],His_Operacoes_acoes[Fimmes],Patrimônio!B768,His_Operacoes_acoes[Operação],"JCP")
+ SUMIFS(His_Operacoes_acoes[Total],His_Operacoes_acoes[Fimmes],Patrimônio!B768,His_Operacoes_acoes[Operação],"Divid.")
+ SUMIFS(His_Operacoes_acoes[Total],His_Operacoes_acoes[Fimmes],Patrimônio!B768,His_Operacoes_acoes[Operação],"Bonif.")</f>
        <v>0</v>
      </c>
      <c r="L768" s="8">
        <f>SUMIFS(His_Operacoes_BDRs[Total],His_Operacoes_BDRs[Operação],"Provento",His_Operacoes_BDRs[fimmês],Patrimônio!B768)</f>
        <v>0</v>
      </c>
      <c r="M768" s="8">
        <f>SUMIFS(His_Operacoes_FIIs[Total],His_Operacoes_FIIs[Operação],"Provento",His_Operacoes_FIIs[fimmês],Patrimônio!B768)</f>
        <v>0</v>
      </c>
      <c r="N768" s="8">
        <f t="shared" si="50"/>
        <v>0</v>
      </c>
    </row>
    <row r="769" spans="1:14" x14ac:dyDescent="0.35">
      <c r="A769" s="7">
        <v>65715</v>
      </c>
      <c r="B769" s="7">
        <f t="shared" si="47"/>
        <v>65714</v>
      </c>
      <c r="I769" s="8">
        <f t="shared" si="48"/>
        <v>0</v>
      </c>
      <c r="J769" s="8">
        <f t="shared" si="49"/>
        <v>0</v>
      </c>
      <c r="K769" s="8">
        <f>SUMIFS(His_Operacoes_acoes[Total],His_Operacoes_acoes[Fimmes],Patrimônio!B769,His_Operacoes_acoes[Operação],"JCP")
+ SUMIFS(His_Operacoes_acoes[Total],His_Operacoes_acoes[Fimmes],Patrimônio!B769,His_Operacoes_acoes[Operação],"Divid.")
+ SUMIFS(His_Operacoes_acoes[Total],His_Operacoes_acoes[Fimmes],Patrimônio!B769,His_Operacoes_acoes[Operação],"Bonif.")</f>
        <v>0</v>
      </c>
      <c r="L769" s="8">
        <f>SUMIFS(His_Operacoes_BDRs[Total],His_Operacoes_BDRs[Operação],"Provento",His_Operacoes_BDRs[fimmês],Patrimônio!B769)</f>
        <v>0</v>
      </c>
      <c r="M769" s="8">
        <f>SUMIFS(His_Operacoes_FIIs[Total],His_Operacoes_FIIs[Operação],"Provento",His_Operacoes_FIIs[fimmês],Patrimônio!B769)</f>
        <v>0</v>
      </c>
      <c r="N769" s="8">
        <f t="shared" si="50"/>
        <v>0</v>
      </c>
    </row>
    <row r="770" spans="1:14" x14ac:dyDescent="0.35">
      <c r="A770" s="7">
        <v>65746</v>
      </c>
      <c r="B770" s="7">
        <f t="shared" si="47"/>
        <v>65745</v>
      </c>
      <c r="I770" s="8">
        <f t="shared" si="48"/>
        <v>0</v>
      </c>
      <c r="J770" s="8">
        <f t="shared" si="49"/>
        <v>0</v>
      </c>
      <c r="K770" s="8">
        <f>SUMIFS(His_Operacoes_acoes[Total],His_Operacoes_acoes[Fimmes],Patrimônio!B770,His_Operacoes_acoes[Operação],"JCP")
+ SUMIFS(His_Operacoes_acoes[Total],His_Operacoes_acoes[Fimmes],Patrimônio!B770,His_Operacoes_acoes[Operação],"Divid.")
+ SUMIFS(His_Operacoes_acoes[Total],His_Operacoes_acoes[Fimmes],Patrimônio!B770,His_Operacoes_acoes[Operação],"Bonif.")</f>
        <v>0</v>
      </c>
      <c r="L770" s="8">
        <f>SUMIFS(His_Operacoes_BDRs[Total],His_Operacoes_BDRs[Operação],"Provento",His_Operacoes_BDRs[fimmês],Patrimônio!B770)</f>
        <v>0</v>
      </c>
      <c r="M770" s="8">
        <f>SUMIFS(His_Operacoes_FIIs[Total],His_Operacoes_FIIs[Operação],"Provento",His_Operacoes_FIIs[fimmês],Patrimônio!B770)</f>
        <v>0</v>
      </c>
      <c r="N770" s="8">
        <f t="shared" si="50"/>
        <v>0</v>
      </c>
    </row>
    <row r="771" spans="1:14" x14ac:dyDescent="0.35">
      <c r="A771" s="7">
        <v>65777</v>
      </c>
      <c r="B771" s="7">
        <f t="shared" ref="B771:B834" si="51">EOMONTH(A771,-1)</f>
        <v>65776</v>
      </c>
      <c r="I771" s="8">
        <f t="shared" ref="I771:I834" si="52">SUM(C771,E771,G771)</f>
        <v>0</v>
      </c>
      <c r="J771" s="8">
        <f t="shared" ref="J771:J834" si="53">SUM(D771,F771,H771)</f>
        <v>0</v>
      </c>
      <c r="K771" s="8">
        <f>SUMIFS(His_Operacoes_acoes[Total],His_Operacoes_acoes[Fimmes],Patrimônio!B771,His_Operacoes_acoes[Operação],"JCP")
+ SUMIFS(His_Operacoes_acoes[Total],His_Operacoes_acoes[Fimmes],Patrimônio!B771,His_Operacoes_acoes[Operação],"Divid.")
+ SUMIFS(His_Operacoes_acoes[Total],His_Operacoes_acoes[Fimmes],Patrimônio!B771,His_Operacoes_acoes[Operação],"Bonif.")</f>
        <v>0</v>
      </c>
      <c r="L771" s="8">
        <f>SUMIFS(His_Operacoes_BDRs[Total],His_Operacoes_BDRs[Operação],"Provento",His_Operacoes_BDRs[fimmês],Patrimônio!B771)</f>
        <v>0</v>
      </c>
      <c r="M771" s="8">
        <f>SUMIFS(His_Operacoes_FIIs[Total],His_Operacoes_FIIs[Operação],"Provento",His_Operacoes_FIIs[fimmês],Patrimônio!B771)</f>
        <v>0</v>
      </c>
      <c r="N771" s="8">
        <f t="shared" ref="N771:N834" si="54">SUM(K771:M771)</f>
        <v>0</v>
      </c>
    </row>
    <row r="772" spans="1:14" x14ac:dyDescent="0.35">
      <c r="A772" s="7">
        <v>65806</v>
      </c>
      <c r="B772" s="7">
        <f t="shared" si="51"/>
        <v>65805</v>
      </c>
      <c r="I772" s="8">
        <f t="shared" si="52"/>
        <v>0</v>
      </c>
      <c r="J772" s="8">
        <f t="shared" si="53"/>
        <v>0</v>
      </c>
      <c r="K772" s="8">
        <f>SUMIFS(His_Operacoes_acoes[Total],His_Operacoes_acoes[Fimmes],Patrimônio!B772,His_Operacoes_acoes[Operação],"JCP")
+ SUMIFS(His_Operacoes_acoes[Total],His_Operacoes_acoes[Fimmes],Patrimônio!B772,His_Operacoes_acoes[Operação],"Divid.")
+ SUMIFS(His_Operacoes_acoes[Total],His_Operacoes_acoes[Fimmes],Patrimônio!B772,His_Operacoes_acoes[Operação],"Bonif.")</f>
        <v>0</v>
      </c>
      <c r="L772" s="8">
        <f>SUMIFS(His_Operacoes_BDRs[Total],His_Operacoes_BDRs[Operação],"Provento",His_Operacoes_BDRs[fimmês],Patrimônio!B772)</f>
        <v>0</v>
      </c>
      <c r="M772" s="8">
        <f>SUMIFS(His_Operacoes_FIIs[Total],His_Operacoes_FIIs[Operação],"Provento",His_Operacoes_FIIs[fimmês],Patrimônio!B772)</f>
        <v>0</v>
      </c>
      <c r="N772" s="8">
        <f t="shared" si="54"/>
        <v>0</v>
      </c>
    </row>
    <row r="773" spans="1:14" x14ac:dyDescent="0.35">
      <c r="A773" s="7">
        <v>65837</v>
      </c>
      <c r="B773" s="7">
        <f t="shared" si="51"/>
        <v>65836</v>
      </c>
      <c r="I773" s="8">
        <f t="shared" si="52"/>
        <v>0</v>
      </c>
      <c r="J773" s="8">
        <f t="shared" si="53"/>
        <v>0</v>
      </c>
      <c r="K773" s="8">
        <f>SUMIFS(His_Operacoes_acoes[Total],His_Operacoes_acoes[Fimmes],Patrimônio!B773,His_Operacoes_acoes[Operação],"JCP")
+ SUMIFS(His_Operacoes_acoes[Total],His_Operacoes_acoes[Fimmes],Patrimônio!B773,His_Operacoes_acoes[Operação],"Divid.")
+ SUMIFS(His_Operacoes_acoes[Total],His_Operacoes_acoes[Fimmes],Patrimônio!B773,His_Operacoes_acoes[Operação],"Bonif.")</f>
        <v>0</v>
      </c>
      <c r="L773" s="8">
        <f>SUMIFS(His_Operacoes_BDRs[Total],His_Operacoes_BDRs[Operação],"Provento",His_Operacoes_BDRs[fimmês],Patrimônio!B773)</f>
        <v>0</v>
      </c>
      <c r="M773" s="8">
        <f>SUMIFS(His_Operacoes_FIIs[Total],His_Operacoes_FIIs[Operação],"Provento",His_Operacoes_FIIs[fimmês],Patrimônio!B773)</f>
        <v>0</v>
      </c>
      <c r="N773" s="8">
        <f t="shared" si="54"/>
        <v>0</v>
      </c>
    </row>
    <row r="774" spans="1:14" x14ac:dyDescent="0.35">
      <c r="A774" s="7">
        <v>65867</v>
      </c>
      <c r="B774" s="7">
        <f t="shared" si="51"/>
        <v>65866</v>
      </c>
      <c r="I774" s="8">
        <f t="shared" si="52"/>
        <v>0</v>
      </c>
      <c r="J774" s="8">
        <f t="shared" si="53"/>
        <v>0</v>
      </c>
      <c r="K774" s="8">
        <f>SUMIFS(His_Operacoes_acoes[Total],His_Operacoes_acoes[Fimmes],Patrimônio!B774,His_Operacoes_acoes[Operação],"JCP")
+ SUMIFS(His_Operacoes_acoes[Total],His_Operacoes_acoes[Fimmes],Patrimônio!B774,His_Operacoes_acoes[Operação],"Divid.")
+ SUMIFS(His_Operacoes_acoes[Total],His_Operacoes_acoes[Fimmes],Patrimônio!B774,His_Operacoes_acoes[Operação],"Bonif.")</f>
        <v>0</v>
      </c>
      <c r="L774" s="8">
        <f>SUMIFS(His_Operacoes_BDRs[Total],His_Operacoes_BDRs[Operação],"Provento",His_Operacoes_BDRs[fimmês],Patrimônio!B774)</f>
        <v>0</v>
      </c>
      <c r="M774" s="8">
        <f>SUMIFS(His_Operacoes_FIIs[Total],His_Operacoes_FIIs[Operação],"Provento",His_Operacoes_FIIs[fimmês],Patrimônio!B774)</f>
        <v>0</v>
      </c>
      <c r="N774" s="8">
        <f t="shared" si="54"/>
        <v>0</v>
      </c>
    </row>
    <row r="775" spans="1:14" x14ac:dyDescent="0.35">
      <c r="A775" s="7">
        <v>65898</v>
      </c>
      <c r="B775" s="7">
        <f t="shared" si="51"/>
        <v>65897</v>
      </c>
      <c r="I775" s="8">
        <f t="shared" si="52"/>
        <v>0</v>
      </c>
      <c r="J775" s="8">
        <f t="shared" si="53"/>
        <v>0</v>
      </c>
      <c r="K775" s="8">
        <f>SUMIFS(His_Operacoes_acoes[Total],His_Operacoes_acoes[Fimmes],Patrimônio!B775,His_Operacoes_acoes[Operação],"JCP")
+ SUMIFS(His_Operacoes_acoes[Total],His_Operacoes_acoes[Fimmes],Patrimônio!B775,His_Operacoes_acoes[Operação],"Divid.")
+ SUMIFS(His_Operacoes_acoes[Total],His_Operacoes_acoes[Fimmes],Patrimônio!B775,His_Operacoes_acoes[Operação],"Bonif.")</f>
        <v>0</v>
      </c>
      <c r="L775" s="8">
        <f>SUMIFS(His_Operacoes_BDRs[Total],His_Operacoes_BDRs[Operação],"Provento",His_Operacoes_BDRs[fimmês],Patrimônio!B775)</f>
        <v>0</v>
      </c>
      <c r="M775" s="8">
        <f>SUMIFS(His_Operacoes_FIIs[Total],His_Operacoes_FIIs[Operação],"Provento",His_Operacoes_FIIs[fimmês],Patrimônio!B775)</f>
        <v>0</v>
      </c>
      <c r="N775" s="8">
        <f t="shared" si="54"/>
        <v>0</v>
      </c>
    </row>
    <row r="776" spans="1:14" x14ac:dyDescent="0.35">
      <c r="A776" s="7">
        <v>65928</v>
      </c>
      <c r="B776" s="7">
        <f t="shared" si="51"/>
        <v>65927</v>
      </c>
      <c r="I776" s="8">
        <f t="shared" si="52"/>
        <v>0</v>
      </c>
      <c r="J776" s="8">
        <f t="shared" si="53"/>
        <v>0</v>
      </c>
      <c r="K776" s="8">
        <f>SUMIFS(His_Operacoes_acoes[Total],His_Operacoes_acoes[Fimmes],Patrimônio!B776,His_Operacoes_acoes[Operação],"JCP")
+ SUMIFS(His_Operacoes_acoes[Total],His_Operacoes_acoes[Fimmes],Patrimônio!B776,His_Operacoes_acoes[Operação],"Divid.")
+ SUMIFS(His_Operacoes_acoes[Total],His_Operacoes_acoes[Fimmes],Patrimônio!B776,His_Operacoes_acoes[Operação],"Bonif.")</f>
        <v>0</v>
      </c>
      <c r="L776" s="8">
        <f>SUMIFS(His_Operacoes_BDRs[Total],His_Operacoes_BDRs[Operação],"Provento",His_Operacoes_BDRs[fimmês],Patrimônio!B776)</f>
        <v>0</v>
      </c>
      <c r="M776" s="8">
        <f>SUMIFS(His_Operacoes_FIIs[Total],His_Operacoes_FIIs[Operação],"Provento",His_Operacoes_FIIs[fimmês],Patrimônio!B776)</f>
        <v>0</v>
      </c>
      <c r="N776" s="8">
        <f t="shared" si="54"/>
        <v>0</v>
      </c>
    </row>
    <row r="777" spans="1:14" x14ac:dyDescent="0.35">
      <c r="A777" s="7">
        <v>65959</v>
      </c>
      <c r="B777" s="7">
        <f t="shared" si="51"/>
        <v>65958</v>
      </c>
      <c r="I777" s="8">
        <f t="shared" si="52"/>
        <v>0</v>
      </c>
      <c r="J777" s="8">
        <f t="shared" si="53"/>
        <v>0</v>
      </c>
      <c r="K777" s="8">
        <f>SUMIFS(His_Operacoes_acoes[Total],His_Operacoes_acoes[Fimmes],Patrimônio!B777,His_Operacoes_acoes[Operação],"JCP")
+ SUMIFS(His_Operacoes_acoes[Total],His_Operacoes_acoes[Fimmes],Patrimônio!B777,His_Operacoes_acoes[Operação],"Divid.")
+ SUMIFS(His_Operacoes_acoes[Total],His_Operacoes_acoes[Fimmes],Patrimônio!B777,His_Operacoes_acoes[Operação],"Bonif.")</f>
        <v>0</v>
      </c>
      <c r="L777" s="8">
        <f>SUMIFS(His_Operacoes_BDRs[Total],His_Operacoes_BDRs[Operação],"Provento",His_Operacoes_BDRs[fimmês],Patrimônio!B777)</f>
        <v>0</v>
      </c>
      <c r="M777" s="8">
        <f>SUMIFS(His_Operacoes_FIIs[Total],His_Operacoes_FIIs[Operação],"Provento",His_Operacoes_FIIs[fimmês],Patrimônio!B777)</f>
        <v>0</v>
      </c>
      <c r="N777" s="8">
        <f t="shared" si="54"/>
        <v>0</v>
      </c>
    </row>
    <row r="778" spans="1:14" x14ac:dyDescent="0.35">
      <c r="A778" s="7">
        <v>65990</v>
      </c>
      <c r="B778" s="7">
        <f t="shared" si="51"/>
        <v>65989</v>
      </c>
      <c r="I778" s="8">
        <f t="shared" si="52"/>
        <v>0</v>
      </c>
      <c r="J778" s="8">
        <f t="shared" si="53"/>
        <v>0</v>
      </c>
      <c r="K778" s="8">
        <f>SUMIFS(His_Operacoes_acoes[Total],His_Operacoes_acoes[Fimmes],Patrimônio!B778,His_Operacoes_acoes[Operação],"JCP")
+ SUMIFS(His_Operacoes_acoes[Total],His_Operacoes_acoes[Fimmes],Patrimônio!B778,His_Operacoes_acoes[Operação],"Divid.")
+ SUMIFS(His_Operacoes_acoes[Total],His_Operacoes_acoes[Fimmes],Patrimônio!B778,His_Operacoes_acoes[Operação],"Bonif.")</f>
        <v>0</v>
      </c>
      <c r="L778" s="8">
        <f>SUMIFS(His_Operacoes_BDRs[Total],His_Operacoes_BDRs[Operação],"Provento",His_Operacoes_BDRs[fimmês],Patrimônio!B778)</f>
        <v>0</v>
      </c>
      <c r="M778" s="8">
        <f>SUMIFS(His_Operacoes_FIIs[Total],His_Operacoes_FIIs[Operação],"Provento",His_Operacoes_FIIs[fimmês],Patrimônio!B778)</f>
        <v>0</v>
      </c>
      <c r="N778" s="8">
        <f t="shared" si="54"/>
        <v>0</v>
      </c>
    </row>
    <row r="779" spans="1:14" x14ac:dyDescent="0.35">
      <c r="A779" s="7">
        <v>66020</v>
      </c>
      <c r="B779" s="7">
        <f t="shared" si="51"/>
        <v>66019</v>
      </c>
      <c r="I779" s="8">
        <f t="shared" si="52"/>
        <v>0</v>
      </c>
      <c r="J779" s="8">
        <f t="shared" si="53"/>
        <v>0</v>
      </c>
      <c r="K779" s="8">
        <f>SUMIFS(His_Operacoes_acoes[Total],His_Operacoes_acoes[Fimmes],Patrimônio!B779,His_Operacoes_acoes[Operação],"JCP")
+ SUMIFS(His_Operacoes_acoes[Total],His_Operacoes_acoes[Fimmes],Patrimônio!B779,His_Operacoes_acoes[Operação],"Divid.")
+ SUMIFS(His_Operacoes_acoes[Total],His_Operacoes_acoes[Fimmes],Patrimônio!B779,His_Operacoes_acoes[Operação],"Bonif.")</f>
        <v>0</v>
      </c>
      <c r="L779" s="8">
        <f>SUMIFS(His_Operacoes_BDRs[Total],His_Operacoes_BDRs[Operação],"Provento",His_Operacoes_BDRs[fimmês],Patrimônio!B779)</f>
        <v>0</v>
      </c>
      <c r="M779" s="8">
        <f>SUMIFS(His_Operacoes_FIIs[Total],His_Operacoes_FIIs[Operação],"Provento",His_Operacoes_FIIs[fimmês],Patrimônio!B779)</f>
        <v>0</v>
      </c>
      <c r="N779" s="8">
        <f t="shared" si="54"/>
        <v>0</v>
      </c>
    </row>
    <row r="780" spans="1:14" x14ac:dyDescent="0.35">
      <c r="A780" s="7">
        <v>66051</v>
      </c>
      <c r="B780" s="7">
        <f t="shared" si="51"/>
        <v>66050</v>
      </c>
      <c r="I780" s="8">
        <f t="shared" si="52"/>
        <v>0</v>
      </c>
      <c r="J780" s="8">
        <f t="shared" si="53"/>
        <v>0</v>
      </c>
      <c r="K780" s="8">
        <f>SUMIFS(His_Operacoes_acoes[Total],His_Operacoes_acoes[Fimmes],Patrimônio!B780,His_Operacoes_acoes[Operação],"JCP")
+ SUMIFS(His_Operacoes_acoes[Total],His_Operacoes_acoes[Fimmes],Patrimônio!B780,His_Operacoes_acoes[Operação],"Divid.")
+ SUMIFS(His_Operacoes_acoes[Total],His_Operacoes_acoes[Fimmes],Patrimônio!B780,His_Operacoes_acoes[Operação],"Bonif.")</f>
        <v>0</v>
      </c>
      <c r="L780" s="8">
        <f>SUMIFS(His_Operacoes_BDRs[Total],His_Operacoes_BDRs[Operação],"Provento",His_Operacoes_BDRs[fimmês],Patrimônio!B780)</f>
        <v>0</v>
      </c>
      <c r="M780" s="8">
        <f>SUMIFS(His_Operacoes_FIIs[Total],His_Operacoes_FIIs[Operação],"Provento",His_Operacoes_FIIs[fimmês],Patrimônio!B780)</f>
        <v>0</v>
      </c>
      <c r="N780" s="8">
        <f t="shared" si="54"/>
        <v>0</v>
      </c>
    </row>
    <row r="781" spans="1:14" x14ac:dyDescent="0.35">
      <c r="A781" s="7">
        <v>66081</v>
      </c>
      <c r="B781" s="7">
        <f t="shared" si="51"/>
        <v>66080</v>
      </c>
      <c r="I781" s="8">
        <f t="shared" si="52"/>
        <v>0</v>
      </c>
      <c r="J781" s="8">
        <f t="shared" si="53"/>
        <v>0</v>
      </c>
      <c r="K781" s="8">
        <f>SUMIFS(His_Operacoes_acoes[Total],His_Operacoes_acoes[Fimmes],Patrimônio!B781,His_Operacoes_acoes[Operação],"JCP")
+ SUMIFS(His_Operacoes_acoes[Total],His_Operacoes_acoes[Fimmes],Patrimônio!B781,His_Operacoes_acoes[Operação],"Divid.")
+ SUMIFS(His_Operacoes_acoes[Total],His_Operacoes_acoes[Fimmes],Patrimônio!B781,His_Operacoes_acoes[Operação],"Bonif.")</f>
        <v>0</v>
      </c>
      <c r="L781" s="8">
        <f>SUMIFS(His_Operacoes_BDRs[Total],His_Operacoes_BDRs[Operação],"Provento",His_Operacoes_BDRs[fimmês],Patrimônio!B781)</f>
        <v>0</v>
      </c>
      <c r="M781" s="8">
        <f>SUMIFS(His_Operacoes_FIIs[Total],His_Operacoes_FIIs[Operação],"Provento",His_Operacoes_FIIs[fimmês],Patrimônio!B781)</f>
        <v>0</v>
      </c>
      <c r="N781" s="8">
        <f t="shared" si="54"/>
        <v>0</v>
      </c>
    </row>
    <row r="782" spans="1:14" x14ac:dyDescent="0.35">
      <c r="A782" s="7">
        <v>66112</v>
      </c>
      <c r="B782" s="7">
        <f t="shared" si="51"/>
        <v>66111</v>
      </c>
      <c r="I782" s="8">
        <f t="shared" si="52"/>
        <v>0</v>
      </c>
      <c r="J782" s="8">
        <f t="shared" si="53"/>
        <v>0</v>
      </c>
      <c r="K782" s="8">
        <f>SUMIFS(His_Operacoes_acoes[Total],His_Operacoes_acoes[Fimmes],Patrimônio!B782,His_Operacoes_acoes[Operação],"JCP")
+ SUMIFS(His_Operacoes_acoes[Total],His_Operacoes_acoes[Fimmes],Patrimônio!B782,His_Operacoes_acoes[Operação],"Divid.")
+ SUMIFS(His_Operacoes_acoes[Total],His_Operacoes_acoes[Fimmes],Patrimônio!B782,His_Operacoes_acoes[Operação],"Bonif.")</f>
        <v>0</v>
      </c>
      <c r="L782" s="8">
        <f>SUMIFS(His_Operacoes_BDRs[Total],His_Operacoes_BDRs[Operação],"Provento",His_Operacoes_BDRs[fimmês],Patrimônio!B782)</f>
        <v>0</v>
      </c>
      <c r="M782" s="8">
        <f>SUMIFS(His_Operacoes_FIIs[Total],His_Operacoes_FIIs[Operação],"Provento",His_Operacoes_FIIs[fimmês],Patrimônio!B782)</f>
        <v>0</v>
      </c>
      <c r="N782" s="8">
        <f t="shared" si="54"/>
        <v>0</v>
      </c>
    </row>
    <row r="783" spans="1:14" x14ac:dyDescent="0.35">
      <c r="A783" s="7">
        <v>66143</v>
      </c>
      <c r="B783" s="7">
        <f t="shared" si="51"/>
        <v>66142</v>
      </c>
      <c r="I783" s="8">
        <f t="shared" si="52"/>
        <v>0</v>
      </c>
      <c r="J783" s="8">
        <f t="shared" si="53"/>
        <v>0</v>
      </c>
      <c r="K783" s="8">
        <f>SUMIFS(His_Operacoes_acoes[Total],His_Operacoes_acoes[Fimmes],Patrimônio!B783,His_Operacoes_acoes[Operação],"JCP")
+ SUMIFS(His_Operacoes_acoes[Total],His_Operacoes_acoes[Fimmes],Patrimônio!B783,His_Operacoes_acoes[Operação],"Divid.")
+ SUMIFS(His_Operacoes_acoes[Total],His_Operacoes_acoes[Fimmes],Patrimônio!B783,His_Operacoes_acoes[Operação],"Bonif.")</f>
        <v>0</v>
      </c>
      <c r="L783" s="8">
        <f>SUMIFS(His_Operacoes_BDRs[Total],His_Operacoes_BDRs[Operação],"Provento",His_Operacoes_BDRs[fimmês],Patrimônio!B783)</f>
        <v>0</v>
      </c>
      <c r="M783" s="8">
        <f>SUMIFS(His_Operacoes_FIIs[Total],His_Operacoes_FIIs[Operação],"Provento",His_Operacoes_FIIs[fimmês],Patrimônio!B783)</f>
        <v>0</v>
      </c>
      <c r="N783" s="8">
        <f t="shared" si="54"/>
        <v>0</v>
      </c>
    </row>
    <row r="784" spans="1:14" x14ac:dyDescent="0.35">
      <c r="A784" s="7">
        <v>66171</v>
      </c>
      <c r="B784" s="7">
        <f t="shared" si="51"/>
        <v>66170</v>
      </c>
      <c r="I784" s="8">
        <f t="shared" si="52"/>
        <v>0</v>
      </c>
      <c r="J784" s="8">
        <f t="shared" si="53"/>
        <v>0</v>
      </c>
      <c r="K784" s="8">
        <f>SUMIFS(His_Operacoes_acoes[Total],His_Operacoes_acoes[Fimmes],Patrimônio!B784,His_Operacoes_acoes[Operação],"JCP")
+ SUMIFS(His_Operacoes_acoes[Total],His_Operacoes_acoes[Fimmes],Patrimônio!B784,His_Operacoes_acoes[Operação],"Divid.")
+ SUMIFS(His_Operacoes_acoes[Total],His_Operacoes_acoes[Fimmes],Patrimônio!B784,His_Operacoes_acoes[Operação],"Bonif.")</f>
        <v>0</v>
      </c>
      <c r="L784" s="8">
        <f>SUMIFS(His_Operacoes_BDRs[Total],His_Operacoes_BDRs[Operação],"Provento",His_Operacoes_BDRs[fimmês],Patrimônio!B784)</f>
        <v>0</v>
      </c>
      <c r="M784" s="8">
        <f>SUMIFS(His_Operacoes_FIIs[Total],His_Operacoes_FIIs[Operação],"Provento",His_Operacoes_FIIs[fimmês],Patrimônio!B784)</f>
        <v>0</v>
      </c>
      <c r="N784" s="8">
        <f t="shared" si="54"/>
        <v>0</v>
      </c>
    </row>
    <row r="785" spans="1:14" x14ac:dyDescent="0.35">
      <c r="A785" s="7">
        <v>66202</v>
      </c>
      <c r="B785" s="7">
        <f t="shared" si="51"/>
        <v>66201</v>
      </c>
      <c r="I785" s="8">
        <f t="shared" si="52"/>
        <v>0</v>
      </c>
      <c r="J785" s="8">
        <f t="shared" si="53"/>
        <v>0</v>
      </c>
      <c r="K785" s="8">
        <f>SUMIFS(His_Operacoes_acoes[Total],His_Operacoes_acoes[Fimmes],Patrimônio!B785,His_Operacoes_acoes[Operação],"JCP")
+ SUMIFS(His_Operacoes_acoes[Total],His_Operacoes_acoes[Fimmes],Patrimônio!B785,His_Operacoes_acoes[Operação],"Divid.")
+ SUMIFS(His_Operacoes_acoes[Total],His_Operacoes_acoes[Fimmes],Patrimônio!B785,His_Operacoes_acoes[Operação],"Bonif.")</f>
        <v>0</v>
      </c>
      <c r="L785" s="8">
        <f>SUMIFS(His_Operacoes_BDRs[Total],His_Operacoes_BDRs[Operação],"Provento",His_Operacoes_BDRs[fimmês],Patrimônio!B785)</f>
        <v>0</v>
      </c>
      <c r="M785" s="8">
        <f>SUMIFS(His_Operacoes_FIIs[Total],His_Operacoes_FIIs[Operação],"Provento",His_Operacoes_FIIs[fimmês],Patrimônio!B785)</f>
        <v>0</v>
      </c>
      <c r="N785" s="8">
        <f t="shared" si="54"/>
        <v>0</v>
      </c>
    </row>
    <row r="786" spans="1:14" x14ac:dyDescent="0.35">
      <c r="A786" s="7">
        <v>66232</v>
      </c>
      <c r="B786" s="7">
        <f t="shared" si="51"/>
        <v>66231</v>
      </c>
      <c r="I786" s="8">
        <f t="shared" si="52"/>
        <v>0</v>
      </c>
      <c r="J786" s="8">
        <f t="shared" si="53"/>
        <v>0</v>
      </c>
      <c r="K786" s="8">
        <f>SUMIFS(His_Operacoes_acoes[Total],His_Operacoes_acoes[Fimmes],Patrimônio!B786,His_Operacoes_acoes[Operação],"JCP")
+ SUMIFS(His_Operacoes_acoes[Total],His_Operacoes_acoes[Fimmes],Patrimônio!B786,His_Operacoes_acoes[Operação],"Divid.")
+ SUMIFS(His_Operacoes_acoes[Total],His_Operacoes_acoes[Fimmes],Patrimônio!B786,His_Operacoes_acoes[Operação],"Bonif.")</f>
        <v>0</v>
      </c>
      <c r="L786" s="8">
        <f>SUMIFS(His_Operacoes_BDRs[Total],His_Operacoes_BDRs[Operação],"Provento",His_Operacoes_BDRs[fimmês],Patrimônio!B786)</f>
        <v>0</v>
      </c>
      <c r="M786" s="8">
        <f>SUMIFS(His_Operacoes_FIIs[Total],His_Operacoes_FIIs[Operação],"Provento",His_Operacoes_FIIs[fimmês],Patrimônio!B786)</f>
        <v>0</v>
      </c>
      <c r="N786" s="8">
        <f t="shared" si="54"/>
        <v>0</v>
      </c>
    </row>
    <row r="787" spans="1:14" x14ac:dyDescent="0.35">
      <c r="A787" s="7">
        <v>66263</v>
      </c>
      <c r="B787" s="7">
        <f t="shared" si="51"/>
        <v>66262</v>
      </c>
      <c r="I787" s="8">
        <f t="shared" si="52"/>
        <v>0</v>
      </c>
      <c r="J787" s="8">
        <f t="shared" si="53"/>
        <v>0</v>
      </c>
      <c r="K787" s="8">
        <f>SUMIFS(His_Operacoes_acoes[Total],His_Operacoes_acoes[Fimmes],Patrimônio!B787,His_Operacoes_acoes[Operação],"JCP")
+ SUMIFS(His_Operacoes_acoes[Total],His_Operacoes_acoes[Fimmes],Patrimônio!B787,His_Operacoes_acoes[Operação],"Divid.")
+ SUMIFS(His_Operacoes_acoes[Total],His_Operacoes_acoes[Fimmes],Patrimônio!B787,His_Operacoes_acoes[Operação],"Bonif.")</f>
        <v>0</v>
      </c>
      <c r="L787" s="8">
        <f>SUMIFS(His_Operacoes_BDRs[Total],His_Operacoes_BDRs[Operação],"Provento",His_Operacoes_BDRs[fimmês],Patrimônio!B787)</f>
        <v>0</v>
      </c>
      <c r="M787" s="8">
        <f>SUMIFS(His_Operacoes_FIIs[Total],His_Operacoes_FIIs[Operação],"Provento",His_Operacoes_FIIs[fimmês],Patrimônio!B787)</f>
        <v>0</v>
      </c>
      <c r="N787" s="8">
        <f t="shared" si="54"/>
        <v>0</v>
      </c>
    </row>
    <row r="788" spans="1:14" x14ac:dyDescent="0.35">
      <c r="A788" s="7">
        <v>66293</v>
      </c>
      <c r="B788" s="7">
        <f t="shared" si="51"/>
        <v>66292</v>
      </c>
      <c r="I788" s="8">
        <f t="shared" si="52"/>
        <v>0</v>
      </c>
      <c r="J788" s="8">
        <f t="shared" si="53"/>
        <v>0</v>
      </c>
      <c r="K788" s="8">
        <f>SUMIFS(His_Operacoes_acoes[Total],His_Operacoes_acoes[Fimmes],Patrimônio!B788,His_Operacoes_acoes[Operação],"JCP")
+ SUMIFS(His_Operacoes_acoes[Total],His_Operacoes_acoes[Fimmes],Patrimônio!B788,His_Operacoes_acoes[Operação],"Divid.")
+ SUMIFS(His_Operacoes_acoes[Total],His_Operacoes_acoes[Fimmes],Patrimônio!B788,His_Operacoes_acoes[Operação],"Bonif.")</f>
        <v>0</v>
      </c>
      <c r="L788" s="8">
        <f>SUMIFS(His_Operacoes_BDRs[Total],His_Operacoes_BDRs[Operação],"Provento",His_Operacoes_BDRs[fimmês],Patrimônio!B788)</f>
        <v>0</v>
      </c>
      <c r="M788" s="8">
        <f>SUMIFS(His_Operacoes_FIIs[Total],His_Operacoes_FIIs[Operação],"Provento",His_Operacoes_FIIs[fimmês],Patrimônio!B788)</f>
        <v>0</v>
      </c>
      <c r="N788" s="8">
        <f t="shared" si="54"/>
        <v>0</v>
      </c>
    </row>
    <row r="789" spans="1:14" x14ac:dyDescent="0.35">
      <c r="A789" s="7">
        <v>66324</v>
      </c>
      <c r="B789" s="7">
        <f t="shared" si="51"/>
        <v>66323</v>
      </c>
      <c r="I789" s="8">
        <f t="shared" si="52"/>
        <v>0</v>
      </c>
      <c r="J789" s="8">
        <f t="shared" si="53"/>
        <v>0</v>
      </c>
      <c r="K789" s="8">
        <f>SUMIFS(His_Operacoes_acoes[Total],His_Operacoes_acoes[Fimmes],Patrimônio!B789,His_Operacoes_acoes[Operação],"JCP")
+ SUMIFS(His_Operacoes_acoes[Total],His_Operacoes_acoes[Fimmes],Patrimônio!B789,His_Operacoes_acoes[Operação],"Divid.")
+ SUMIFS(His_Operacoes_acoes[Total],His_Operacoes_acoes[Fimmes],Patrimônio!B789,His_Operacoes_acoes[Operação],"Bonif.")</f>
        <v>0</v>
      </c>
      <c r="L789" s="8">
        <f>SUMIFS(His_Operacoes_BDRs[Total],His_Operacoes_BDRs[Operação],"Provento",His_Operacoes_BDRs[fimmês],Patrimônio!B789)</f>
        <v>0</v>
      </c>
      <c r="M789" s="8">
        <f>SUMIFS(His_Operacoes_FIIs[Total],His_Operacoes_FIIs[Operação],"Provento",His_Operacoes_FIIs[fimmês],Patrimônio!B789)</f>
        <v>0</v>
      </c>
      <c r="N789" s="8">
        <f t="shared" si="54"/>
        <v>0</v>
      </c>
    </row>
    <row r="790" spans="1:14" x14ac:dyDescent="0.35">
      <c r="A790" s="7">
        <v>66355</v>
      </c>
      <c r="B790" s="7">
        <f t="shared" si="51"/>
        <v>66354</v>
      </c>
      <c r="I790" s="8">
        <f t="shared" si="52"/>
        <v>0</v>
      </c>
      <c r="J790" s="8">
        <f t="shared" si="53"/>
        <v>0</v>
      </c>
      <c r="K790" s="8">
        <f>SUMIFS(His_Operacoes_acoes[Total],His_Operacoes_acoes[Fimmes],Patrimônio!B790,His_Operacoes_acoes[Operação],"JCP")
+ SUMIFS(His_Operacoes_acoes[Total],His_Operacoes_acoes[Fimmes],Patrimônio!B790,His_Operacoes_acoes[Operação],"Divid.")
+ SUMIFS(His_Operacoes_acoes[Total],His_Operacoes_acoes[Fimmes],Patrimônio!B790,His_Operacoes_acoes[Operação],"Bonif.")</f>
        <v>0</v>
      </c>
      <c r="L790" s="8">
        <f>SUMIFS(His_Operacoes_BDRs[Total],His_Operacoes_BDRs[Operação],"Provento",His_Operacoes_BDRs[fimmês],Patrimônio!B790)</f>
        <v>0</v>
      </c>
      <c r="M790" s="8">
        <f>SUMIFS(His_Operacoes_FIIs[Total],His_Operacoes_FIIs[Operação],"Provento",His_Operacoes_FIIs[fimmês],Patrimônio!B790)</f>
        <v>0</v>
      </c>
      <c r="N790" s="8">
        <f t="shared" si="54"/>
        <v>0</v>
      </c>
    </row>
    <row r="791" spans="1:14" x14ac:dyDescent="0.35">
      <c r="A791" s="7">
        <v>66385</v>
      </c>
      <c r="B791" s="7">
        <f t="shared" si="51"/>
        <v>66384</v>
      </c>
      <c r="I791" s="8">
        <f t="shared" si="52"/>
        <v>0</v>
      </c>
      <c r="J791" s="8">
        <f t="shared" si="53"/>
        <v>0</v>
      </c>
      <c r="K791" s="8">
        <f>SUMIFS(His_Operacoes_acoes[Total],His_Operacoes_acoes[Fimmes],Patrimônio!B791,His_Operacoes_acoes[Operação],"JCP")
+ SUMIFS(His_Operacoes_acoes[Total],His_Operacoes_acoes[Fimmes],Patrimônio!B791,His_Operacoes_acoes[Operação],"Divid.")
+ SUMIFS(His_Operacoes_acoes[Total],His_Operacoes_acoes[Fimmes],Patrimônio!B791,His_Operacoes_acoes[Operação],"Bonif.")</f>
        <v>0</v>
      </c>
      <c r="L791" s="8">
        <f>SUMIFS(His_Operacoes_BDRs[Total],His_Operacoes_BDRs[Operação],"Provento",His_Operacoes_BDRs[fimmês],Patrimônio!B791)</f>
        <v>0</v>
      </c>
      <c r="M791" s="8">
        <f>SUMIFS(His_Operacoes_FIIs[Total],His_Operacoes_FIIs[Operação],"Provento",His_Operacoes_FIIs[fimmês],Patrimônio!B791)</f>
        <v>0</v>
      </c>
      <c r="N791" s="8">
        <f t="shared" si="54"/>
        <v>0</v>
      </c>
    </row>
    <row r="792" spans="1:14" x14ac:dyDescent="0.35">
      <c r="A792" s="7">
        <v>66416</v>
      </c>
      <c r="B792" s="7">
        <f t="shared" si="51"/>
        <v>66415</v>
      </c>
      <c r="I792" s="8">
        <f t="shared" si="52"/>
        <v>0</v>
      </c>
      <c r="J792" s="8">
        <f t="shared" si="53"/>
        <v>0</v>
      </c>
      <c r="K792" s="8">
        <f>SUMIFS(His_Operacoes_acoes[Total],His_Operacoes_acoes[Fimmes],Patrimônio!B792,His_Operacoes_acoes[Operação],"JCP")
+ SUMIFS(His_Operacoes_acoes[Total],His_Operacoes_acoes[Fimmes],Patrimônio!B792,His_Operacoes_acoes[Operação],"Divid.")
+ SUMIFS(His_Operacoes_acoes[Total],His_Operacoes_acoes[Fimmes],Patrimônio!B792,His_Operacoes_acoes[Operação],"Bonif.")</f>
        <v>0</v>
      </c>
      <c r="L792" s="8">
        <f>SUMIFS(His_Operacoes_BDRs[Total],His_Operacoes_BDRs[Operação],"Provento",His_Operacoes_BDRs[fimmês],Patrimônio!B792)</f>
        <v>0</v>
      </c>
      <c r="M792" s="8">
        <f>SUMIFS(His_Operacoes_FIIs[Total],His_Operacoes_FIIs[Operação],"Provento",His_Operacoes_FIIs[fimmês],Patrimônio!B792)</f>
        <v>0</v>
      </c>
      <c r="N792" s="8">
        <f t="shared" si="54"/>
        <v>0</v>
      </c>
    </row>
    <row r="793" spans="1:14" x14ac:dyDescent="0.35">
      <c r="A793" s="7">
        <v>66446</v>
      </c>
      <c r="B793" s="7">
        <f t="shared" si="51"/>
        <v>66445</v>
      </c>
      <c r="I793" s="8">
        <f t="shared" si="52"/>
        <v>0</v>
      </c>
      <c r="J793" s="8">
        <f t="shared" si="53"/>
        <v>0</v>
      </c>
      <c r="K793" s="8">
        <f>SUMIFS(His_Operacoes_acoes[Total],His_Operacoes_acoes[Fimmes],Patrimônio!B793,His_Operacoes_acoes[Operação],"JCP")
+ SUMIFS(His_Operacoes_acoes[Total],His_Operacoes_acoes[Fimmes],Patrimônio!B793,His_Operacoes_acoes[Operação],"Divid.")
+ SUMIFS(His_Operacoes_acoes[Total],His_Operacoes_acoes[Fimmes],Patrimônio!B793,His_Operacoes_acoes[Operação],"Bonif.")</f>
        <v>0</v>
      </c>
      <c r="L793" s="8">
        <f>SUMIFS(His_Operacoes_BDRs[Total],His_Operacoes_BDRs[Operação],"Provento",His_Operacoes_BDRs[fimmês],Patrimônio!B793)</f>
        <v>0</v>
      </c>
      <c r="M793" s="8">
        <f>SUMIFS(His_Operacoes_FIIs[Total],His_Operacoes_FIIs[Operação],"Provento",His_Operacoes_FIIs[fimmês],Patrimônio!B793)</f>
        <v>0</v>
      </c>
      <c r="N793" s="8">
        <f t="shared" si="54"/>
        <v>0</v>
      </c>
    </row>
    <row r="794" spans="1:14" x14ac:dyDescent="0.35">
      <c r="A794" s="7">
        <v>66477</v>
      </c>
      <c r="B794" s="7">
        <f t="shared" si="51"/>
        <v>66476</v>
      </c>
      <c r="I794" s="8">
        <f t="shared" si="52"/>
        <v>0</v>
      </c>
      <c r="J794" s="8">
        <f t="shared" si="53"/>
        <v>0</v>
      </c>
      <c r="K794" s="8">
        <f>SUMIFS(His_Operacoes_acoes[Total],His_Operacoes_acoes[Fimmes],Patrimônio!B794,His_Operacoes_acoes[Operação],"JCP")
+ SUMIFS(His_Operacoes_acoes[Total],His_Operacoes_acoes[Fimmes],Patrimônio!B794,His_Operacoes_acoes[Operação],"Divid.")
+ SUMIFS(His_Operacoes_acoes[Total],His_Operacoes_acoes[Fimmes],Patrimônio!B794,His_Operacoes_acoes[Operação],"Bonif.")</f>
        <v>0</v>
      </c>
      <c r="L794" s="8">
        <f>SUMIFS(His_Operacoes_BDRs[Total],His_Operacoes_BDRs[Operação],"Provento",His_Operacoes_BDRs[fimmês],Patrimônio!B794)</f>
        <v>0</v>
      </c>
      <c r="M794" s="8">
        <f>SUMIFS(His_Operacoes_FIIs[Total],His_Operacoes_FIIs[Operação],"Provento",His_Operacoes_FIIs[fimmês],Patrimônio!B794)</f>
        <v>0</v>
      </c>
      <c r="N794" s="8">
        <f t="shared" si="54"/>
        <v>0</v>
      </c>
    </row>
    <row r="795" spans="1:14" x14ac:dyDescent="0.35">
      <c r="A795" s="7">
        <v>66508</v>
      </c>
      <c r="B795" s="7">
        <f t="shared" si="51"/>
        <v>66507</v>
      </c>
      <c r="I795" s="8">
        <f t="shared" si="52"/>
        <v>0</v>
      </c>
      <c r="J795" s="8">
        <f t="shared" si="53"/>
        <v>0</v>
      </c>
      <c r="K795" s="8">
        <f>SUMIFS(His_Operacoes_acoes[Total],His_Operacoes_acoes[Fimmes],Patrimônio!B795,His_Operacoes_acoes[Operação],"JCP")
+ SUMIFS(His_Operacoes_acoes[Total],His_Operacoes_acoes[Fimmes],Patrimônio!B795,His_Operacoes_acoes[Operação],"Divid.")
+ SUMIFS(His_Operacoes_acoes[Total],His_Operacoes_acoes[Fimmes],Patrimônio!B795,His_Operacoes_acoes[Operação],"Bonif.")</f>
        <v>0</v>
      </c>
      <c r="L795" s="8">
        <f>SUMIFS(His_Operacoes_BDRs[Total],His_Operacoes_BDRs[Operação],"Provento",His_Operacoes_BDRs[fimmês],Patrimônio!B795)</f>
        <v>0</v>
      </c>
      <c r="M795" s="8">
        <f>SUMIFS(His_Operacoes_FIIs[Total],His_Operacoes_FIIs[Operação],"Provento",His_Operacoes_FIIs[fimmês],Patrimônio!B795)</f>
        <v>0</v>
      </c>
      <c r="N795" s="8">
        <f t="shared" si="54"/>
        <v>0</v>
      </c>
    </row>
    <row r="796" spans="1:14" x14ac:dyDescent="0.35">
      <c r="A796" s="7">
        <v>66536</v>
      </c>
      <c r="B796" s="7">
        <f t="shared" si="51"/>
        <v>66535</v>
      </c>
      <c r="I796" s="8">
        <f t="shared" si="52"/>
        <v>0</v>
      </c>
      <c r="J796" s="8">
        <f t="shared" si="53"/>
        <v>0</v>
      </c>
      <c r="K796" s="8">
        <f>SUMIFS(His_Operacoes_acoes[Total],His_Operacoes_acoes[Fimmes],Patrimônio!B796,His_Operacoes_acoes[Operação],"JCP")
+ SUMIFS(His_Operacoes_acoes[Total],His_Operacoes_acoes[Fimmes],Patrimônio!B796,His_Operacoes_acoes[Operação],"Divid.")
+ SUMIFS(His_Operacoes_acoes[Total],His_Operacoes_acoes[Fimmes],Patrimônio!B796,His_Operacoes_acoes[Operação],"Bonif.")</f>
        <v>0</v>
      </c>
      <c r="L796" s="8">
        <f>SUMIFS(His_Operacoes_BDRs[Total],His_Operacoes_BDRs[Operação],"Provento",His_Operacoes_BDRs[fimmês],Patrimônio!B796)</f>
        <v>0</v>
      </c>
      <c r="M796" s="8">
        <f>SUMIFS(His_Operacoes_FIIs[Total],His_Operacoes_FIIs[Operação],"Provento",His_Operacoes_FIIs[fimmês],Patrimônio!B796)</f>
        <v>0</v>
      </c>
      <c r="N796" s="8">
        <f t="shared" si="54"/>
        <v>0</v>
      </c>
    </row>
    <row r="797" spans="1:14" x14ac:dyDescent="0.35">
      <c r="A797" s="7">
        <v>66567</v>
      </c>
      <c r="B797" s="7">
        <f t="shared" si="51"/>
        <v>66566</v>
      </c>
      <c r="I797" s="8">
        <f t="shared" si="52"/>
        <v>0</v>
      </c>
      <c r="J797" s="8">
        <f t="shared" si="53"/>
        <v>0</v>
      </c>
      <c r="K797" s="8">
        <f>SUMIFS(His_Operacoes_acoes[Total],His_Operacoes_acoes[Fimmes],Patrimônio!B797,His_Operacoes_acoes[Operação],"JCP")
+ SUMIFS(His_Operacoes_acoes[Total],His_Operacoes_acoes[Fimmes],Patrimônio!B797,His_Operacoes_acoes[Operação],"Divid.")
+ SUMIFS(His_Operacoes_acoes[Total],His_Operacoes_acoes[Fimmes],Patrimônio!B797,His_Operacoes_acoes[Operação],"Bonif.")</f>
        <v>0</v>
      </c>
      <c r="L797" s="8">
        <f>SUMIFS(His_Operacoes_BDRs[Total],His_Operacoes_BDRs[Operação],"Provento",His_Operacoes_BDRs[fimmês],Patrimônio!B797)</f>
        <v>0</v>
      </c>
      <c r="M797" s="8">
        <f>SUMIFS(His_Operacoes_FIIs[Total],His_Operacoes_FIIs[Operação],"Provento",His_Operacoes_FIIs[fimmês],Patrimônio!B797)</f>
        <v>0</v>
      </c>
      <c r="N797" s="8">
        <f t="shared" si="54"/>
        <v>0</v>
      </c>
    </row>
    <row r="798" spans="1:14" x14ac:dyDescent="0.35">
      <c r="A798" s="7">
        <v>66597</v>
      </c>
      <c r="B798" s="7">
        <f t="shared" si="51"/>
        <v>66596</v>
      </c>
      <c r="I798" s="8">
        <f t="shared" si="52"/>
        <v>0</v>
      </c>
      <c r="J798" s="8">
        <f t="shared" si="53"/>
        <v>0</v>
      </c>
      <c r="K798" s="8">
        <f>SUMIFS(His_Operacoes_acoes[Total],His_Operacoes_acoes[Fimmes],Patrimônio!B798,His_Operacoes_acoes[Operação],"JCP")
+ SUMIFS(His_Operacoes_acoes[Total],His_Operacoes_acoes[Fimmes],Patrimônio!B798,His_Operacoes_acoes[Operação],"Divid.")
+ SUMIFS(His_Operacoes_acoes[Total],His_Operacoes_acoes[Fimmes],Patrimônio!B798,His_Operacoes_acoes[Operação],"Bonif.")</f>
        <v>0</v>
      </c>
      <c r="L798" s="8">
        <f>SUMIFS(His_Operacoes_BDRs[Total],His_Operacoes_BDRs[Operação],"Provento",His_Operacoes_BDRs[fimmês],Patrimônio!B798)</f>
        <v>0</v>
      </c>
      <c r="M798" s="8">
        <f>SUMIFS(His_Operacoes_FIIs[Total],His_Operacoes_FIIs[Operação],"Provento",His_Operacoes_FIIs[fimmês],Patrimônio!B798)</f>
        <v>0</v>
      </c>
      <c r="N798" s="8">
        <f t="shared" si="54"/>
        <v>0</v>
      </c>
    </row>
    <row r="799" spans="1:14" x14ac:dyDescent="0.35">
      <c r="A799" s="7">
        <v>66628</v>
      </c>
      <c r="B799" s="7">
        <f t="shared" si="51"/>
        <v>66627</v>
      </c>
      <c r="I799" s="8">
        <f t="shared" si="52"/>
        <v>0</v>
      </c>
      <c r="J799" s="8">
        <f t="shared" si="53"/>
        <v>0</v>
      </c>
      <c r="K799" s="8">
        <f>SUMIFS(His_Operacoes_acoes[Total],His_Operacoes_acoes[Fimmes],Patrimônio!B799,His_Operacoes_acoes[Operação],"JCP")
+ SUMIFS(His_Operacoes_acoes[Total],His_Operacoes_acoes[Fimmes],Patrimônio!B799,His_Operacoes_acoes[Operação],"Divid.")
+ SUMIFS(His_Operacoes_acoes[Total],His_Operacoes_acoes[Fimmes],Patrimônio!B799,His_Operacoes_acoes[Operação],"Bonif.")</f>
        <v>0</v>
      </c>
      <c r="L799" s="8">
        <f>SUMIFS(His_Operacoes_BDRs[Total],His_Operacoes_BDRs[Operação],"Provento",His_Operacoes_BDRs[fimmês],Patrimônio!B799)</f>
        <v>0</v>
      </c>
      <c r="M799" s="8">
        <f>SUMIFS(His_Operacoes_FIIs[Total],His_Operacoes_FIIs[Operação],"Provento",His_Operacoes_FIIs[fimmês],Patrimônio!B799)</f>
        <v>0</v>
      </c>
      <c r="N799" s="8">
        <f t="shared" si="54"/>
        <v>0</v>
      </c>
    </row>
    <row r="800" spans="1:14" x14ac:dyDescent="0.35">
      <c r="A800" s="7">
        <v>66658</v>
      </c>
      <c r="B800" s="7">
        <f t="shared" si="51"/>
        <v>66657</v>
      </c>
      <c r="I800" s="8">
        <f t="shared" si="52"/>
        <v>0</v>
      </c>
      <c r="J800" s="8">
        <f t="shared" si="53"/>
        <v>0</v>
      </c>
      <c r="K800" s="8">
        <f>SUMIFS(His_Operacoes_acoes[Total],His_Operacoes_acoes[Fimmes],Patrimônio!B800,His_Operacoes_acoes[Operação],"JCP")
+ SUMIFS(His_Operacoes_acoes[Total],His_Operacoes_acoes[Fimmes],Patrimônio!B800,His_Operacoes_acoes[Operação],"Divid.")
+ SUMIFS(His_Operacoes_acoes[Total],His_Operacoes_acoes[Fimmes],Patrimônio!B800,His_Operacoes_acoes[Operação],"Bonif.")</f>
        <v>0</v>
      </c>
      <c r="L800" s="8">
        <f>SUMIFS(His_Operacoes_BDRs[Total],His_Operacoes_BDRs[Operação],"Provento",His_Operacoes_BDRs[fimmês],Patrimônio!B800)</f>
        <v>0</v>
      </c>
      <c r="M800" s="8">
        <f>SUMIFS(His_Operacoes_FIIs[Total],His_Operacoes_FIIs[Operação],"Provento",His_Operacoes_FIIs[fimmês],Patrimônio!B800)</f>
        <v>0</v>
      </c>
      <c r="N800" s="8">
        <f t="shared" si="54"/>
        <v>0</v>
      </c>
    </row>
    <row r="801" spans="1:14" x14ac:dyDescent="0.35">
      <c r="A801" s="7">
        <v>66689</v>
      </c>
      <c r="B801" s="7">
        <f t="shared" si="51"/>
        <v>66688</v>
      </c>
      <c r="I801" s="8">
        <f t="shared" si="52"/>
        <v>0</v>
      </c>
      <c r="J801" s="8">
        <f t="shared" si="53"/>
        <v>0</v>
      </c>
      <c r="K801" s="8">
        <f>SUMIFS(His_Operacoes_acoes[Total],His_Operacoes_acoes[Fimmes],Patrimônio!B801,His_Operacoes_acoes[Operação],"JCP")
+ SUMIFS(His_Operacoes_acoes[Total],His_Operacoes_acoes[Fimmes],Patrimônio!B801,His_Operacoes_acoes[Operação],"Divid.")
+ SUMIFS(His_Operacoes_acoes[Total],His_Operacoes_acoes[Fimmes],Patrimônio!B801,His_Operacoes_acoes[Operação],"Bonif.")</f>
        <v>0</v>
      </c>
      <c r="L801" s="8">
        <f>SUMIFS(His_Operacoes_BDRs[Total],His_Operacoes_BDRs[Operação],"Provento",His_Operacoes_BDRs[fimmês],Patrimônio!B801)</f>
        <v>0</v>
      </c>
      <c r="M801" s="8">
        <f>SUMIFS(His_Operacoes_FIIs[Total],His_Operacoes_FIIs[Operação],"Provento",His_Operacoes_FIIs[fimmês],Patrimônio!B801)</f>
        <v>0</v>
      </c>
      <c r="N801" s="8">
        <f t="shared" si="54"/>
        <v>0</v>
      </c>
    </row>
    <row r="802" spans="1:14" x14ac:dyDescent="0.35">
      <c r="A802" s="7">
        <v>66720</v>
      </c>
      <c r="B802" s="7">
        <f t="shared" si="51"/>
        <v>66719</v>
      </c>
      <c r="I802" s="8">
        <f t="shared" si="52"/>
        <v>0</v>
      </c>
      <c r="J802" s="8">
        <f t="shared" si="53"/>
        <v>0</v>
      </c>
      <c r="K802" s="8">
        <f>SUMIFS(His_Operacoes_acoes[Total],His_Operacoes_acoes[Fimmes],Patrimônio!B802,His_Operacoes_acoes[Operação],"JCP")
+ SUMIFS(His_Operacoes_acoes[Total],His_Operacoes_acoes[Fimmes],Patrimônio!B802,His_Operacoes_acoes[Operação],"Divid.")
+ SUMIFS(His_Operacoes_acoes[Total],His_Operacoes_acoes[Fimmes],Patrimônio!B802,His_Operacoes_acoes[Operação],"Bonif.")</f>
        <v>0</v>
      </c>
      <c r="L802" s="8">
        <f>SUMIFS(His_Operacoes_BDRs[Total],His_Operacoes_BDRs[Operação],"Provento",His_Operacoes_BDRs[fimmês],Patrimônio!B802)</f>
        <v>0</v>
      </c>
      <c r="M802" s="8">
        <f>SUMIFS(His_Operacoes_FIIs[Total],His_Operacoes_FIIs[Operação],"Provento",His_Operacoes_FIIs[fimmês],Patrimônio!B802)</f>
        <v>0</v>
      </c>
      <c r="N802" s="8">
        <f t="shared" si="54"/>
        <v>0</v>
      </c>
    </row>
    <row r="803" spans="1:14" x14ac:dyDescent="0.35">
      <c r="A803" s="7">
        <v>66750</v>
      </c>
      <c r="B803" s="7">
        <f t="shared" si="51"/>
        <v>66749</v>
      </c>
      <c r="I803" s="8">
        <f t="shared" si="52"/>
        <v>0</v>
      </c>
      <c r="J803" s="8">
        <f t="shared" si="53"/>
        <v>0</v>
      </c>
      <c r="K803" s="8">
        <f>SUMIFS(His_Operacoes_acoes[Total],His_Operacoes_acoes[Fimmes],Patrimônio!B803,His_Operacoes_acoes[Operação],"JCP")
+ SUMIFS(His_Operacoes_acoes[Total],His_Operacoes_acoes[Fimmes],Patrimônio!B803,His_Operacoes_acoes[Operação],"Divid.")
+ SUMIFS(His_Operacoes_acoes[Total],His_Operacoes_acoes[Fimmes],Patrimônio!B803,His_Operacoes_acoes[Operação],"Bonif.")</f>
        <v>0</v>
      </c>
      <c r="L803" s="8">
        <f>SUMIFS(His_Operacoes_BDRs[Total],His_Operacoes_BDRs[Operação],"Provento",His_Operacoes_BDRs[fimmês],Patrimônio!B803)</f>
        <v>0</v>
      </c>
      <c r="M803" s="8">
        <f>SUMIFS(His_Operacoes_FIIs[Total],His_Operacoes_FIIs[Operação],"Provento",His_Operacoes_FIIs[fimmês],Patrimônio!B803)</f>
        <v>0</v>
      </c>
      <c r="N803" s="8">
        <f t="shared" si="54"/>
        <v>0</v>
      </c>
    </row>
    <row r="804" spans="1:14" x14ac:dyDescent="0.35">
      <c r="A804" s="7">
        <v>66781</v>
      </c>
      <c r="B804" s="7">
        <f t="shared" si="51"/>
        <v>66780</v>
      </c>
      <c r="I804" s="8">
        <f t="shared" si="52"/>
        <v>0</v>
      </c>
      <c r="J804" s="8">
        <f t="shared" si="53"/>
        <v>0</v>
      </c>
      <c r="K804" s="8">
        <f>SUMIFS(His_Operacoes_acoes[Total],His_Operacoes_acoes[Fimmes],Patrimônio!B804,His_Operacoes_acoes[Operação],"JCP")
+ SUMIFS(His_Operacoes_acoes[Total],His_Operacoes_acoes[Fimmes],Patrimônio!B804,His_Operacoes_acoes[Operação],"Divid.")
+ SUMIFS(His_Operacoes_acoes[Total],His_Operacoes_acoes[Fimmes],Patrimônio!B804,His_Operacoes_acoes[Operação],"Bonif.")</f>
        <v>0</v>
      </c>
      <c r="L804" s="8">
        <f>SUMIFS(His_Operacoes_BDRs[Total],His_Operacoes_BDRs[Operação],"Provento",His_Operacoes_BDRs[fimmês],Patrimônio!B804)</f>
        <v>0</v>
      </c>
      <c r="M804" s="8">
        <f>SUMIFS(His_Operacoes_FIIs[Total],His_Operacoes_FIIs[Operação],"Provento",His_Operacoes_FIIs[fimmês],Patrimônio!B804)</f>
        <v>0</v>
      </c>
      <c r="N804" s="8">
        <f t="shared" si="54"/>
        <v>0</v>
      </c>
    </row>
    <row r="805" spans="1:14" x14ac:dyDescent="0.35">
      <c r="A805" s="7">
        <v>66811</v>
      </c>
      <c r="B805" s="7">
        <f t="shared" si="51"/>
        <v>66810</v>
      </c>
      <c r="I805" s="8">
        <f t="shared" si="52"/>
        <v>0</v>
      </c>
      <c r="J805" s="8">
        <f t="shared" si="53"/>
        <v>0</v>
      </c>
      <c r="K805" s="8">
        <f>SUMIFS(His_Operacoes_acoes[Total],His_Operacoes_acoes[Fimmes],Patrimônio!B805,His_Operacoes_acoes[Operação],"JCP")
+ SUMIFS(His_Operacoes_acoes[Total],His_Operacoes_acoes[Fimmes],Patrimônio!B805,His_Operacoes_acoes[Operação],"Divid.")
+ SUMIFS(His_Operacoes_acoes[Total],His_Operacoes_acoes[Fimmes],Patrimônio!B805,His_Operacoes_acoes[Operação],"Bonif.")</f>
        <v>0</v>
      </c>
      <c r="L805" s="8">
        <f>SUMIFS(His_Operacoes_BDRs[Total],His_Operacoes_BDRs[Operação],"Provento",His_Operacoes_BDRs[fimmês],Patrimônio!B805)</f>
        <v>0</v>
      </c>
      <c r="M805" s="8">
        <f>SUMIFS(His_Operacoes_FIIs[Total],His_Operacoes_FIIs[Operação],"Provento",His_Operacoes_FIIs[fimmês],Patrimônio!B805)</f>
        <v>0</v>
      </c>
      <c r="N805" s="8">
        <f t="shared" si="54"/>
        <v>0</v>
      </c>
    </row>
    <row r="806" spans="1:14" x14ac:dyDescent="0.35">
      <c r="A806" s="7">
        <v>66842</v>
      </c>
      <c r="B806" s="7">
        <f t="shared" si="51"/>
        <v>66841</v>
      </c>
      <c r="I806" s="8">
        <f t="shared" si="52"/>
        <v>0</v>
      </c>
      <c r="J806" s="8">
        <f t="shared" si="53"/>
        <v>0</v>
      </c>
      <c r="K806" s="8">
        <f>SUMIFS(His_Operacoes_acoes[Total],His_Operacoes_acoes[Fimmes],Patrimônio!B806,His_Operacoes_acoes[Operação],"JCP")
+ SUMIFS(His_Operacoes_acoes[Total],His_Operacoes_acoes[Fimmes],Patrimônio!B806,His_Operacoes_acoes[Operação],"Divid.")
+ SUMIFS(His_Operacoes_acoes[Total],His_Operacoes_acoes[Fimmes],Patrimônio!B806,His_Operacoes_acoes[Operação],"Bonif.")</f>
        <v>0</v>
      </c>
      <c r="L806" s="8">
        <f>SUMIFS(His_Operacoes_BDRs[Total],His_Operacoes_BDRs[Operação],"Provento",His_Operacoes_BDRs[fimmês],Patrimônio!B806)</f>
        <v>0</v>
      </c>
      <c r="M806" s="8">
        <f>SUMIFS(His_Operacoes_FIIs[Total],His_Operacoes_FIIs[Operação],"Provento",His_Operacoes_FIIs[fimmês],Patrimônio!B806)</f>
        <v>0</v>
      </c>
      <c r="N806" s="8">
        <f t="shared" si="54"/>
        <v>0</v>
      </c>
    </row>
    <row r="807" spans="1:14" x14ac:dyDescent="0.35">
      <c r="A807" s="7">
        <v>66873</v>
      </c>
      <c r="B807" s="7">
        <f t="shared" si="51"/>
        <v>66872</v>
      </c>
      <c r="I807" s="8">
        <f t="shared" si="52"/>
        <v>0</v>
      </c>
      <c r="J807" s="8">
        <f t="shared" si="53"/>
        <v>0</v>
      </c>
      <c r="K807" s="8">
        <f>SUMIFS(His_Operacoes_acoes[Total],His_Operacoes_acoes[Fimmes],Patrimônio!B807,His_Operacoes_acoes[Operação],"JCP")
+ SUMIFS(His_Operacoes_acoes[Total],His_Operacoes_acoes[Fimmes],Patrimônio!B807,His_Operacoes_acoes[Operação],"Divid.")
+ SUMIFS(His_Operacoes_acoes[Total],His_Operacoes_acoes[Fimmes],Patrimônio!B807,His_Operacoes_acoes[Operação],"Bonif.")</f>
        <v>0</v>
      </c>
      <c r="L807" s="8">
        <f>SUMIFS(His_Operacoes_BDRs[Total],His_Operacoes_BDRs[Operação],"Provento",His_Operacoes_BDRs[fimmês],Patrimônio!B807)</f>
        <v>0</v>
      </c>
      <c r="M807" s="8">
        <f>SUMIFS(His_Operacoes_FIIs[Total],His_Operacoes_FIIs[Operação],"Provento",His_Operacoes_FIIs[fimmês],Patrimônio!B807)</f>
        <v>0</v>
      </c>
      <c r="N807" s="8">
        <f t="shared" si="54"/>
        <v>0</v>
      </c>
    </row>
    <row r="808" spans="1:14" x14ac:dyDescent="0.35">
      <c r="A808" s="7">
        <v>66901</v>
      </c>
      <c r="B808" s="7">
        <f t="shared" si="51"/>
        <v>66900</v>
      </c>
      <c r="I808" s="8">
        <f t="shared" si="52"/>
        <v>0</v>
      </c>
      <c r="J808" s="8">
        <f t="shared" si="53"/>
        <v>0</v>
      </c>
      <c r="K808" s="8">
        <f>SUMIFS(His_Operacoes_acoes[Total],His_Operacoes_acoes[Fimmes],Patrimônio!B808,His_Operacoes_acoes[Operação],"JCP")
+ SUMIFS(His_Operacoes_acoes[Total],His_Operacoes_acoes[Fimmes],Patrimônio!B808,His_Operacoes_acoes[Operação],"Divid.")
+ SUMIFS(His_Operacoes_acoes[Total],His_Operacoes_acoes[Fimmes],Patrimônio!B808,His_Operacoes_acoes[Operação],"Bonif.")</f>
        <v>0</v>
      </c>
      <c r="L808" s="8">
        <f>SUMIFS(His_Operacoes_BDRs[Total],His_Operacoes_BDRs[Operação],"Provento",His_Operacoes_BDRs[fimmês],Patrimônio!B808)</f>
        <v>0</v>
      </c>
      <c r="M808" s="8">
        <f>SUMIFS(His_Operacoes_FIIs[Total],His_Operacoes_FIIs[Operação],"Provento",His_Operacoes_FIIs[fimmês],Patrimônio!B808)</f>
        <v>0</v>
      </c>
      <c r="N808" s="8">
        <f t="shared" si="54"/>
        <v>0</v>
      </c>
    </row>
    <row r="809" spans="1:14" x14ac:dyDescent="0.35">
      <c r="A809" s="7">
        <v>66932</v>
      </c>
      <c r="B809" s="7">
        <f t="shared" si="51"/>
        <v>66931</v>
      </c>
      <c r="I809" s="8">
        <f t="shared" si="52"/>
        <v>0</v>
      </c>
      <c r="J809" s="8">
        <f t="shared" si="53"/>
        <v>0</v>
      </c>
      <c r="K809" s="8">
        <f>SUMIFS(His_Operacoes_acoes[Total],His_Operacoes_acoes[Fimmes],Patrimônio!B809,His_Operacoes_acoes[Operação],"JCP")
+ SUMIFS(His_Operacoes_acoes[Total],His_Operacoes_acoes[Fimmes],Patrimônio!B809,His_Operacoes_acoes[Operação],"Divid.")
+ SUMIFS(His_Operacoes_acoes[Total],His_Operacoes_acoes[Fimmes],Patrimônio!B809,His_Operacoes_acoes[Operação],"Bonif.")</f>
        <v>0</v>
      </c>
      <c r="L809" s="8">
        <f>SUMIFS(His_Operacoes_BDRs[Total],His_Operacoes_BDRs[Operação],"Provento",His_Operacoes_BDRs[fimmês],Patrimônio!B809)</f>
        <v>0</v>
      </c>
      <c r="M809" s="8">
        <f>SUMIFS(His_Operacoes_FIIs[Total],His_Operacoes_FIIs[Operação],"Provento",His_Operacoes_FIIs[fimmês],Patrimônio!B809)</f>
        <v>0</v>
      </c>
      <c r="N809" s="8">
        <f t="shared" si="54"/>
        <v>0</v>
      </c>
    </row>
    <row r="810" spans="1:14" x14ac:dyDescent="0.35">
      <c r="A810" s="7">
        <v>66962</v>
      </c>
      <c r="B810" s="7">
        <f t="shared" si="51"/>
        <v>66961</v>
      </c>
      <c r="I810" s="8">
        <f t="shared" si="52"/>
        <v>0</v>
      </c>
      <c r="J810" s="8">
        <f t="shared" si="53"/>
        <v>0</v>
      </c>
      <c r="K810" s="8">
        <f>SUMIFS(His_Operacoes_acoes[Total],His_Operacoes_acoes[Fimmes],Patrimônio!B810,His_Operacoes_acoes[Operação],"JCP")
+ SUMIFS(His_Operacoes_acoes[Total],His_Operacoes_acoes[Fimmes],Patrimônio!B810,His_Operacoes_acoes[Operação],"Divid.")
+ SUMIFS(His_Operacoes_acoes[Total],His_Operacoes_acoes[Fimmes],Patrimônio!B810,His_Operacoes_acoes[Operação],"Bonif.")</f>
        <v>0</v>
      </c>
      <c r="L810" s="8">
        <f>SUMIFS(His_Operacoes_BDRs[Total],His_Operacoes_BDRs[Operação],"Provento",His_Operacoes_BDRs[fimmês],Patrimônio!B810)</f>
        <v>0</v>
      </c>
      <c r="M810" s="8">
        <f>SUMIFS(His_Operacoes_FIIs[Total],His_Operacoes_FIIs[Operação],"Provento",His_Operacoes_FIIs[fimmês],Patrimônio!B810)</f>
        <v>0</v>
      </c>
      <c r="N810" s="8">
        <f t="shared" si="54"/>
        <v>0</v>
      </c>
    </row>
    <row r="811" spans="1:14" x14ac:dyDescent="0.35">
      <c r="A811" s="7">
        <v>66993</v>
      </c>
      <c r="B811" s="7">
        <f t="shared" si="51"/>
        <v>66992</v>
      </c>
      <c r="I811" s="8">
        <f t="shared" si="52"/>
        <v>0</v>
      </c>
      <c r="J811" s="8">
        <f t="shared" si="53"/>
        <v>0</v>
      </c>
      <c r="K811" s="8">
        <f>SUMIFS(His_Operacoes_acoes[Total],His_Operacoes_acoes[Fimmes],Patrimônio!B811,His_Operacoes_acoes[Operação],"JCP")
+ SUMIFS(His_Operacoes_acoes[Total],His_Operacoes_acoes[Fimmes],Patrimônio!B811,His_Operacoes_acoes[Operação],"Divid.")
+ SUMIFS(His_Operacoes_acoes[Total],His_Operacoes_acoes[Fimmes],Patrimônio!B811,His_Operacoes_acoes[Operação],"Bonif.")</f>
        <v>0</v>
      </c>
      <c r="L811" s="8">
        <f>SUMIFS(His_Operacoes_BDRs[Total],His_Operacoes_BDRs[Operação],"Provento",His_Operacoes_BDRs[fimmês],Patrimônio!B811)</f>
        <v>0</v>
      </c>
      <c r="M811" s="8">
        <f>SUMIFS(His_Operacoes_FIIs[Total],His_Operacoes_FIIs[Operação],"Provento",His_Operacoes_FIIs[fimmês],Patrimônio!B811)</f>
        <v>0</v>
      </c>
      <c r="N811" s="8">
        <f t="shared" si="54"/>
        <v>0</v>
      </c>
    </row>
    <row r="812" spans="1:14" x14ac:dyDescent="0.35">
      <c r="A812" s="7">
        <v>67023</v>
      </c>
      <c r="B812" s="7">
        <f t="shared" si="51"/>
        <v>67022</v>
      </c>
      <c r="I812" s="8">
        <f t="shared" si="52"/>
        <v>0</v>
      </c>
      <c r="J812" s="8">
        <f t="shared" si="53"/>
        <v>0</v>
      </c>
      <c r="K812" s="8">
        <f>SUMIFS(His_Operacoes_acoes[Total],His_Operacoes_acoes[Fimmes],Patrimônio!B812,His_Operacoes_acoes[Operação],"JCP")
+ SUMIFS(His_Operacoes_acoes[Total],His_Operacoes_acoes[Fimmes],Patrimônio!B812,His_Operacoes_acoes[Operação],"Divid.")
+ SUMIFS(His_Operacoes_acoes[Total],His_Operacoes_acoes[Fimmes],Patrimônio!B812,His_Operacoes_acoes[Operação],"Bonif.")</f>
        <v>0</v>
      </c>
      <c r="L812" s="8">
        <f>SUMIFS(His_Operacoes_BDRs[Total],His_Operacoes_BDRs[Operação],"Provento",His_Operacoes_BDRs[fimmês],Patrimônio!B812)</f>
        <v>0</v>
      </c>
      <c r="M812" s="8">
        <f>SUMIFS(His_Operacoes_FIIs[Total],His_Operacoes_FIIs[Operação],"Provento",His_Operacoes_FIIs[fimmês],Patrimônio!B812)</f>
        <v>0</v>
      </c>
      <c r="N812" s="8">
        <f t="shared" si="54"/>
        <v>0</v>
      </c>
    </row>
    <row r="813" spans="1:14" x14ac:dyDescent="0.35">
      <c r="A813" s="7">
        <v>67054</v>
      </c>
      <c r="B813" s="7">
        <f t="shared" si="51"/>
        <v>67053</v>
      </c>
      <c r="I813" s="8">
        <f t="shared" si="52"/>
        <v>0</v>
      </c>
      <c r="J813" s="8">
        <f t="shared" si="53"/>
        <v>0</v>
      </c>
      <c r="K813" s="8">
        <f>SUMIFS(His_Operacoes_acoes[Total],His_Operacoes_acoes[Fimmes],Patrimônio!B813,His_Operacoes_acoes[Operação],"JCP")
+ SUMIFS(His_Operacoes_acoes[Total],His_Operacoes_acoes[Fimmes],Patrimônio!B813,His_Operacoes_acoes[Operação],"Divid.")
+ SUMIFS(His_Operacoes_acoes[Total],His_Operacoes_acoes[Fimmes],Patrimônio!B813,His_Operacoes_acoes[Operação],"Bonif.")</f>
        <v>0</v>
      </c>
      <c r="L813" s="8">
        <f>SUMIFS(His_Operacoes_BDRs[Total],His_Operacoes_BDRs[Operação],"Provento",His_Operacoes_BDRs[fimmês],Patrimônio!B813)</f>
        <v>0</v>
      </c>
      <c r="M813" s="8">
        <f>SUMIFS(His_Operacoes_FIIs[Total],His_Operacoes_FIIs[Operação],"Provento",His_Operacoes_FIIs[fimmês],Patrimônio!B813)</f>
        <v>0</v>
      </c>
      <c r="N813" s="8">
        <f t="shared" si="54"/>
        <v>0</v>
      </c>
    </row>
    <row r="814" spans="1:14" x14ac:dyDescent="0.35">
      <c r="A814" s="7">
        <v>67085</v>
      </c>
      <c r="B814" s="7">
        <f t="shared" si="51"/>
        <v>67084</v>
      </c>
      <c r="I814" s="8">
        <f t="shared" si="52"/>
        <v>0</v>
      </c>
      <c r="J814" s="8">
        <f t="shared" si="53"/>
        <v>0</v>
      </c>
      <c r="K814" s="8">
        <f>SUMIFS(His_Operacoes_acoes[Total],His_Operacoes_acoes[Fimmes],Patrimônio!B814,His_Operacoes_acoes[Operação],"JCP")
+ SUMIFS(His_Operacoes_acoes[Total],His_Operacoes_acoes[Fimmes],Patrimônio!B814,His_Operacoes_acoes[Operação],"Divid.")
+ SUMIFS(His_Operacoes_acoes[Total],His_Operacoes_acoes[Fimmes],Patrimônio!B814,His_Operacoes_acoes[Operação],"Bonif.")</f>
        <v>0</v>
      </c>
      <c r="L814" s="8">
        <f>SUMIFS(His_Operacoes_BDRs[Total],His_Operacoes_BDRs[Operação],"Provento",His_Operacoes_BDRs[fimmês],Patrimônio!B814)</f>
        <v>0</v>
      </c>
      <c r="M814" s="8">
        <f>SUMIFS(His_Operacoes_FIIs[Total],His_Operacoes_FIIs[Operação],"Provento",His_Operacoes_FIIs[fimmês],Patrimônio!B814)</f>
        <v>0</v>
      </c>
      <c r="N814" s="8">
        <f t="shared" si="54"/>
        <v>0</v>
      </c>
    </row>
    <row r="815" spans="1:14" x14ac:dyDescent="0.35">
      <c r="A815" s="7">
        <v>67115</v>
      </c>
      <c r="B815" s="7">
        <f t="shared" si="51"/>
        <v>67114</v>
      </c>
      <c r="I815" s="8">
        <f t="shared" si="52"/>
        <v>0</v>
      </c>
      <c r="J815" s="8">
        <f t="shared" si="53"/>
        <v>0</v>
      </c>
      <c r="K815" s="8">
        <f>SUMIFS(His_Operacoes_acoes[Total],His_Operacoes_acoes[Fimmes],Patrimônio!B815,His_Operacoes_acoes[Operação],"JCP")
+ SUMIFS(His_Operacoes_acoes[Total],His_Operacoes_acoes[Fimmes],Patrimônio!B815,His_Operacoes_acoes[Operação],"Divid.")
+ SUMIFS(His_Operacoes_acoes[Total],His_Operacoes_acoes[Fimmes],Patrimônio!B815,His_Operacoes_acoes[Operação],"Bonif.")</f>
        <v>0</v>
      </c>
      <c r="L815" s="8">
        <f>SUMIFS(His_Operacoes_BDRs[Total],His_Operacoes_BDRs[Operação],"Provento",His_Operacoes_BDRs[fimmês],Patrimônio!B815)</f>
        <v>0</v>
      </c>
      <c r="M815" s="8">
        <f>SUMIFS(His_Operacoes_FIIs[Total],His_Operacoes_FIIs[Operação],"Provento",His_Operacoes_FIIs[fimmês],Patrimônio!B815)</f>
        <v>0</v>
      </c>
      <c r="N815" s="8">
        <f t="shared" si="54"/>
        <v>0</v>
      </c>
    </row>
    <row r="816" spans="1:14" x14ac:dyDescent="0.35">
      <c r="A816" s="7">
        <v>67146</v>
      </c>
      <c r="B816" s="7">
        <f t="shared" si="51"/>
        <v>67145</v>
      </c>
      <c r="I816" s="8">
        <f t="shared" si="52"/>
        <v>0</v>
      </c>
      <c r="J816" s="8">
        <f t="shared" si="53"/>
        <v>0</v>
      </c>
      <c r="K816" s="8">
        <f>SUMIFS(His_Operacoes_acoes[Total],His_Operacoes_acoes[Fimmes],Patrimônio!B816,His_Operacoes_acoes[Operação],"JCP")
+ SUMIFS(His_Operacoes_acoes[Total],His_Operacoes_acoes[Fimmes],Patrimônio!B816,His_Operacoes_acoes[Operação],"Divid.")
+ SUMIFS(His_Operacoes_acoes[Total],His_Operacoes_acoes[Fimmes],Patrimônio!B816,His_Operacoes_acoes[Operação],"Bonif.")</f>
        <v>0</v>
      </c>
      <c r="L816" s="8">
        <f>SUMIFS(His_Operacoes_BDRs[Total],His_Operacoes_BDRs[Operação],"Provento",His_Operacoes_BDRs[fimmês],Patrimônio!B816)</f>
        <v>0</v>
      </c>
      <c r="M816" s="8">
        <f>SUMIFS(His_Operacoes_FIIs[Total],His_Operacoes_FIIs[Operação],"Provento",His_Operacoes_FIIs[fimmês],Patrimônio!B816)</f>
        <v>0</v>
      </c>
      <c r="N816" s="8">
        <f t="shared" si="54"/>
        <v>0</v>
      </c>
    </row>
    <row r="817" spans="1:14" x14ac:dyDescent="0.35">
      <c r="A817" s="7">
        <v>67176</v>
      </c>
      <c r="B817" s="7">
        <f t="shared" si="51"/>
        <v>67175</v>
      </c>
      <c r="I817" s="8">
        <f t="shared" si="52"/>
        <v>0</v>
      </c>
      <c r="J817" s="8">
        <f t="shared" si="53"/>
        <v>0</v>
      </c>
      <c r="K817" s="8">
        <f>SUMIFS(His_Operacoes_acoes[Total],His_Operacoes_acoes[Fimmes],Patrimônio!B817,His_Operacoes_acoes[Operação],"JCP")
+ SUMIFS(His_Operacoes_acoes[Total],His_Operacoes_acoes[Fimmes],Patrimônio!B817,His_Operacoes_acoes[Operação],"Divid.")
+ SUMIFS(His_Operacoes_acoes[Total],His_Operacoes_acoes[Fimmes],Patrimônio!B817,His_Operacoes_acoes[Operação],"Bonif.")</f>
        <v>0</v>
      </c>
      <c r="L817" s="8">
        <f>SUMIFS(His_Operacoes_BDRs[Total],His_Operacoes_BDRs[Operação],"Provento",His_Operacoes_BDRs[fimmês],Patrimônio!B817)</f>
        <v>0</v>
      </c>
      <c r="M817" s="8">
        <f>SUMIFS(His_Operacoes_FIIs[Total],His_Operacoes_FIIs[Operação],"Provento",His_Operacoes_FIIs[fimmês],Patrimônio!B817)</f>
        <v>0</v>
      </c>
      <c r="N817" s="8">
        <f t="shared" si="54"/>
        <v>0</v>
      </c>
    </row>
    <row r="818" spans="1:14" x14ac:dyDescent="0.35">
      <c r="A818" s="7">
        <v>67207</v>
      </c>
      <c r="B818" s="7">
        <f t="shared" si="51"/>
        <v>67206</v>
      </c>
      <c r="I818" s="8">
        <f t="shared" si="52"/>
        <v>0</v>
      </c>
      <c r="J818" s="8">
        <f t="shared" si="53"/>
        <v>0</v>
      </c>
      <c r="K818" s="8">
        <f>SUMIFS(His_Operacoes_acoes[Total],His_Operacoes_acoes[Fimmes],Patrimônio!B818,His_Operacoes_acoes[Operação],"JCP")
+ SUMIFS(His_Operacoes_acoes[Total],His_Operacoes_acoes[Fimmes],Patrimônio!B818,His_Operacoes_acoes[Operação],"Divid.")
+ SUMIFS(His_Operacoes_acoes[Total],His_Operacoes_acoes[Fimmes],Patrimônio!B818,His_Operacoes_acoes[Operação],"Bonif.")</f>
        <v>0</v>
      </c>
      <c r="L818" s="8">
        <f>SUMIFS(His_Operacoes_BDRs[Total],His_Operacoes_BDRs[Operação],"Provento",His_Operacoes_BDRs[fimmês],Patrimônio!B818)</f>
        <v>0</v>
      </c>
      <c r="M818" s="8">
        <f>SUMIFS(His_Operacoes_FIIs[Total],His_Operacoes_FIIs[Operação],"Provento",His_Operacoes_FIIs[fimmês],Patrimônio!B818)</f>
        <v>0</v>
      </c>
      <c r="N818" s="8">
        <f t="shared" si="54"/>
        <v>0</v>
      </c>
    </row>
    <row r="819" spans="1:14" x14ac:dyDescent="0.35">
      <c r="A819" s="7">
        <v>67238</v>
      </c>
      <c r="B819" s="7">
        <f t="shared" si="51"/>
        <v>67237</v>
      </c>
      <c r="I819" s="8">
        <f t="shared" si="52"/>
        <v>0</v>
      </c>
      <c r="J819" s="8">
        <f t="shared" si="53"/>
        <v>0</v>
      </c>
      <c r="K819" s="8">
        <f>SUMIFS(His_Operacoes_acoes[Total],His_Operacoes_acoes[Fimmes],Patrimônio!B819,His_Operacoes_acoes[Operação],"JCP")
+ SUMIFS(His_Operacoes_acoes[Total],His_Operacoes_acoes[Fimmes],Patrimônio!B819,His_Operacoes_acoes[Operação],"Divid.")
+ SUMIFS(His_Operacoes_acoes[Total],His_Operacoes_acoes[Fimmes],Patrimônio!B819,His_Operacoes_acoes[Operação],"Bonif.")</f>
        <v>0</v>
      </c>
      <c r="L819" s="8">
        <f>SUMIFS(His_Operacoes_BDRs[Total],His_Operacoes_BDRs[Operação],"Provento",His_Operacoes_BDRs[fimmês],Patrimônio!B819)</f>
        <v>0</v>
      </c>
      <c r="M819" s="8">
        <f>SUMIFS(His_Operacoes_FIIs[Total],His_Operacoes_FIIs[Operação],"Provento",His_Operacoes_FIIs[fimmês],Patrimônio!B819)</f>
        <v>0</v>
      </c>
      <c r="N819" s="8">
        <f t="shared" si="54"/>
        <v>0</v>
      </c>
    </row>
    <row r="820" spans="1:14" x14ac:dyDescent="0.35">
      <c r="A820" s="7">
        <v>67267</v>
      </c>
      <c r="B820" s="7">
        <f t="shared" si="51"/>
        <v>67266</v>
      </c>
      <c r="I820" s="8">
        <f t="shared" si="52"/>
        <v>0</v>
      </c>
      <c r="J820" s="8">
        <f t="shared" si="53"/>
        <v>0</v>
      </c>
      <c r="K820" s="8">
        <f>SUMIFS(His_Operacoes_acoes[Total],His_Operacoes_acoes[Fimmes],Patrimônio!B820,His_Operacoes_acoes[Operação],"JCP")
+ SUMIFS(His_Operacoes_acoes[Total],His_Operacoes_acoes[Fimmes],Patrimônio!B820,His_Operacoes_acoes[Operação],"Divid.")
+ SUMIFS(His_Operacoes_acoes[Total],His_Operacoes_acoes[Fimmes],Patrimônio!B820,His_Operacoes_acoes[Operação],"Bonif.")</f>
        <v>0</v>
      </c>
      <c r="L820" s="8">
        <f>SUMIFS(His_Operacoes_BDRs[Total],His_Operacoes_BDRs[Operação],"Provento",His_Operacoes_BDRs[fimmês],Patrimônio!B820)</f>
        <v>0</v>
      </c>
      <c r="M820" s="8">
        <f>SUMIFS(His_Operacoes_FIIs[Total],His_Operacoes_FIIs[Operação],"Provento",His_Operacoes_FIIs[fimmês],Patrimônio!B820)</f>
        <v>0</v>
      </c>
      <c r="N820" s="8">
        <f t="shared" si="54"/>
        <v>0</v>
      </c>
    </row>
    <row r="821" spans="1:14" x14ac:dyDescent="0.35">
      <c r="A821" s="7">
        <v>67298</v>
      </c>
      <c r="B821" s="7">
        <f t="shared" si="51"/>
        <v>67297</v>
      </c>
      <c r="I821" s="8">
        <f t="shared" si="52"/>
        <v>0</v>
      </c>
      <c r="J821" s="8">
        <f t="shared" si="53"/>
        <v>0</v>
      </c>
      <c r="K821" s="8">
        <f>SUMIFS(His_Operacoes_acoes[Total],His_Operacoes_acoes[Fimmes],Patrimônio!B821,His_Operacoes_acoes[Operação],"JCP")
+ SUMIFS(His_Operacoes_acoes[Total],His_Operacoes_acoes[Fimmes],Patrimônio!B821,His_Operacoes_acoes[Operação],"Divid.")
+ SUMIFS(His_Operacoes_acoes[Total],His_Operacoes_acoes[Fimmes],Patrimônio!B821,His_Operacoes_acoes[Operação],"Bonif.")</f>
        <v>0</v>
      </c>
      <c r="L821" s="8">
        <f>SUMIFS(His_Operacoes_BDRs[Total],His_Operacoes_BDRs[Operação],"Provento",His_Operacoes_BDRs[fimmês],Patrimônio!B821)</f>
        <v>0</v>
      </c>
      <c r="M821" s="8">
        <f>SUMIFS(His_Operacoes_FIIs[Total],His_Operacoes_FIIs[Operação],"Provento",His_Operacoes_FIIs[fimmês],Patrimônio!B821)</f>
        <v>0</v>
      </c>
      <c r="N821" s="8">
        <f t="shared" si="54"/>
        <v>0</v>
      </c>
    </row>
    <row r="822" spans="1:14" x14ac:dyDescent="0.35">
      <c r="A822" s="7">
        <v>67328</v>
      </c>
      <c r="B822" s="7">
        <f t="shared" si="51"/>
        <v>67327</v>
      </c>
      <c r="I822" s="8">
        <f t="shared" si="52"/>
        <v>0</v>
      </c>
      <c r="J822" s="8">
        <f t="shared" si="53"/>
        <v>0</v>
      </c>
      <c r="K822" s="8">
        <f>SUMIFS(His_Operacoes_acoes[Total],His_Operacoes_acoes[Fimmes],Patrimônio!B822,His_Operacoes_acoes[Operação],"JCP")
+ SUMIFS(His_Operacoes_acoes[Total],His_Operacoes_acoes[Fimmes],Patrimônio!B822,His_Operacoes_acoes[Operação],"Divid.")
+ SUMIFS(His_Operacoes_acoes[Total],His_Operacoes_acoes[Fimmes],Patrimônio!B822,His_Operacoes_acoes[Operação],"Bonif.")</f>
        <v>0</v>
      </c>
      <c r="L822" s="8">
        <f>SUMIFS(His_Operacoes_BDRs[Total],His_Operacoes_BDRs[Operação],"Provento",His_Operacoes_BDRs[fimmês],Patrimônio!B822)</f>
        <v>0</v>
      </c>
      <c r="M822" s="8">
        <f>SUMIFS(His_Operacoes_FIIs[Total],His_Operacoes_FIIs[Operação],"Provento",His_Operacoes_FIIs[fimmês],Patrimônio!B822)</f>
        <v>0</v>
      </c>
      <c r="N822" s="8">
        <f t="shared" si="54"/>
        <v>0</v>
      </c>
    </row>
    <row r="823" spans="1:14" x14ac:dyDescent="0.35">
      <c r="A823" s="7">
        <v>67359</v>
      </c>
      <c r="B823" s="7">
        <f t="shared" si="51"/>
        <v>67358</v>
      </c>
      <c r="I823" s="8">
        <f t="shared" si="52"/>
        <v>0</v>
      </c>
      <c r="J823" s="8">
        <f t="shared" si="53"/>
        <v>0</v>
      </c>
      <c r="K823" s="8">
        <f>SUMIFS(His_Operacoes_acoes[Total],His_Operacoes_acoes[Fimmes],Patrimônio!B823,His_Operacoes_acoes[Operação],"JCP")
+ SUMIFS(His_Operacoes_acoes[Total],His_Operacoes_acoes[Fimmes],Patrimônio!B823,His_Operacoes_acoes[Operação],"Divid.")
+ SUMIFS(His_Operacoes_acoes[Total],His_Operacoes_acoes[Fimmes],Patrimônio!B823,His_Operacoes_acoes[Operação],"Bonif.")</f>
        <v>0</v>
      </c>
      <c r="L823" s="8">
        <f>SUMIFS(His_Operacoes_BDRs[Total],His_Operacoes_BDRs[Operação],"Provento",His_Operacoes_BDRs[fimmês],Patrimônio!B823)</f>
        <v>0</v>
      </c>
      <c r="M823" s="8">
        <f>SUMIFS(His_Operacoes_FIIs[Total],His_Operacoes_FIIs[Operação],"Provento",His_Operacoes_FIIs[fimmês],Patrimônio!B823)</f>
        <v>0</v>
      </c>
      <c r="N823" s="8">
        <f t="shared" si="54"/>
        <v>0</v>
      </c>
    </row>
    <row r="824" spans="1:14" x14ac:dyDescent="0.35">
      <c r="A824" s="7">
        <v>67389</v>
      </c>
      <c r="B824" s="7">
        <f t="shared" si="51"/>
        <v>67388</v>
      </c>
      <c r="I824" s="8">
        <f t="shared" si="52"/>
        <v>0</v>
      </c>
      <c r="J824" s="8">
        <f t="shared" si="53"/>
        <v>0</v>
      </c>
      <c r="K824" s="8">
        <f>SUMIFS(His_Operacoes_acoes[Total],His_Operacoes_acoes[Fimmes],Patrimônio!B824,His_Operacoes_acoes[Operação],"JCP")
+ SUMIFS(His_Operacoes_acoes[Total],His_Operacoes_acoes[Fimmes],Patrimônio!B824,His_Operacoes_acoes[Operação],"Divid.")
+ SUMIFS(His_Operacoes_acoes[Total],His_Operacoes_acoes[Fimmes],Patrimônio!B824,His_Operacoes_acoes[Operação],"Bonif.")</f>
        <v>0</v>
      </c>
      <c r="L824" s="8">
        <f>SUMIFS(His_Operacoes_BDRs[Total],His_Operacoes_BDRs[Operação],"Provento",His_Operacoes_BDRs[fimmês],Patrimônio!B824)</f>
        <v>0</v>
      </c>
      <c r="M824" s="8">
        <f>SUMIFS(His_Operacoes_FIIs[Total],His_Operacoes_FIIs[Operação],"Provento",His_Operacoes_FIIs[fimmês],Patrimônio!B824)</f>
        <v>0</v>
      </c>
      <c r="N824" s="8">
        <f t="shared" si="54"/>
        <v>0</v>
      </c>
    </row>
    <row r="825" spans="1:14" x14ac:dyDescent="0.35">
      <c r="A825" s="7">
        <v>67420</v>
      </c>
      <c r="B825" s="7">
        <f t="shared" si="51"/>
        <v>67419</v>
      </c>
      <c r="I825" s="8">
        <f t="shared" si="52"/>
        <v>0</v>
      </c>
      <c r="J825" s="8">
        <f t="shared" si="53"/>
        <v>0</v>
      </c>
      <c r="K825" s="8">
        <f>SUMIFS(His_Operacoes_acoes[Total],His_Operacoes_acoes[Fimmes],Patrimônio!B825,His_Operacoes_acoes[Operação],"JCP")
+ SUMIFS(His_Operacoes_acoes[Total],His_Operacoes_acoes[Fimmes],Patrimônio!B825,His_Operacoes_acoes[Operação],"Divid.")
+ SUMIFS(His_Operacoes_acoes[Total],His_Operacoes_acoes[Fimmes],Patrimônio!B825,His_Operacoes_acoes[Operação],"Bonif.")</f>
        <v>0</v>
      </c>
      <c r="L825" s="8">
        <f>SUMIFS(His_Operacoes_BDRs[Total],His_Operacoes_BDRs[Operação],"Provento",His_Operacoes_BDRs[fimmês],Patrimônio!B825)</f>
        <v>0</v>
      </c>
      <c r="M825" s="8">
        <f>SUMIFS(His_Operacoes_FIIs[Total],His_Operacoes_FIIs[Operação],"Provento",His_Operacoes_FIIs[fimmês],Patrimônio!B825)</f>
        <v>0</v>
      </c>
      <c r="N825" s="8">
        <f t="shared" si="54"/>
        <v>0</v>
      </c>
    </row>
    <row r="826" spans="1:14" x14ac:dyDescent="0.35">
      <c r="A826" s="7">
        <v>67451</v>
      </c>
      <c r="B826" s="7">
        <f t="shared" si="51"/>
        <v>67450</v>
      </c>
      <c r="I826" s="8">
        <f t="shared" si="52"/>
        <v>0</v>
      </c>
      <c r="J826" s="8">
        <f t="shared" si="53"/>
        <v>0</v>
      </c>
      <c r="K826" s="8">
        <f>SUMIFS(His_Operacoes_acoes[Total],His_Operacoes_acoes[Fimmes],Patrimônio!B826,His_Operacoes_acoes[Operação],"JCP")
+ SUMIFS(His_Operacoes_acoes[Total],His_Operacoes_acoes[Fimmes],Patrimônio!B826,His_Operacoes_acoes[Operação],"Divid.")
+ SUMIFS(His_Operacoes_acoes[Total],His_Operacoes_acoes[Fimmes],Patrimônio!B826,His_Operacoes_acoes[Operação],"Bonif.")</f>
        <v>0</v>
      </c>
      <c r="L826" s="8">
        <f>SUMIFS(His_Operacoes_BDRs[Total],His_Operacoes_BDRs[Operação],"Provento",His_Operacoes_BDRs[fimmês],Patrimônio!B826)</f>
        <v>0</v>
      </c>
      <c r="M826" s="8">
        <f>SUMIFS(His_Operacoes_FIIs[Total],His_Operacoes_FIIs[Operação],"Provento",His_Operacoes_FIIs[fimmês],Patrimônio!B826)</f>
        <v>0</v>
      </c>
      <c r="N826" s="8">
        <f t="shared" si="54"/>
        <v>0</v>
      </c>
    </row>
    <row r="827" spans="1:14" x14ac:dyDescent="0.35">
      <c r="A827" s="7">
        <v>67481</v>
      </c>
      <c r="B827" s="7">
        <f t="shared" si="51"/>
        <v>67480</v>
      </c>
      <c r="I827" s="8">
        <f t="shared" si="52"/>
        <v>0</v>
      </c>
      <c r="J827" s="8">
        <f t="shared" si="53"/>
        <v>0</v>
      </c>
      <c r="K827" s="8">
        <f>SUMIFS(His_Operacoes_acoes[Total],His_Operacoes_acoes[Fimmes],Patrimônio!B827,His_Operacoes_acoes[Operação],"JCP")
+ SUMIFS(His_Operacoes_acoes[Total],His_Operacoes_acoes[Fimmes],Patrimônio!B827,His_Operacoes_acoes[Operação],"Divid.")
+ SUMIFS(His_Operacoes_acoes[Total],His_Operacoes_acoes[Fimmes],Patrimônio!B827,His_Operacoes_acoes[Operação],"Bonif.")</f>
        <v>0</v>
      </c>
      <c r="L827" s="8">
        <f>SUMIFS(His_Operacoes_BDRs[Total],His_Operacoes_BDRs[Operação],"Provento",His_Operacoes_BDRs[fimmês],Patrimônio!B827)</f>
        <v>0</v>
      </c>
      <c r="M827" s="8">
        <f>SUMIFS(His_Operacoes_FIIs[Total],His_Operacoes_FIIs[Operação],"Provento",His_Operacoes_FIIs[fimmês],Patrimônio!B827)</f>
        <v>0</v>
      </c>
      <c r="N827" s="8">
        <f t="shared" si="54"/>
        <v>0</v>
      </c>
    </row>
    <row r="828" spans="1:14" x14ac:dyDescent="0.35">
      <c r="A828" s="7">
        <v>67512</v>
      </c>
      <c r="B828" s="7">
        <f t="shared" si="51"/>
        <v>67511</v>
      </c>
      <c r="I828" s="8">
        <f t="shared" si="52"/>
        <v>0</v>
      </c>
      <c r="J828" s="8">
        <f t="shared" si="53"/>
        <v>0</v>
      </c>
      <c r="K828" s="8">
        <f>SUMIFS(His_Operacoes_acoes[Total],His_Operacoes_acoes[Fimmes],Patrimônio!B828,His_Operacoes_acoes[Operação],"JCP")
+ SUMIFS(His_Operacoes_acoes[Total],His_Operacoes_acoes[Fimmes],Patrimônio!B828,His_Operacoes_acoes[Operação],"Divid.")
+ SUMIFS(His_Operacoes_acoes[Total],His_Operacoes_acoes[Fimmes],Patrimônio!B828,His_Operacoes_acoes[Operação],"Bonif.")</f>
        <v>0</v>
      </c>
      <c r="L828" s="8">
        <f>SUMIFS(His_Operacoes_BDRs[Total],His_Operacoes_BDRs[Operação],"Provento",His_Operacoes_BDRs[fimmês],Patrimônio!B828)</f>
        <v>0</v>
      </c>
      <c r="M828" s="8">
        <f>SUMIFS(His_Operacoes_FIIs[Total],His_Operacoes_FIIs[Operação],"Provento",His_Operacoes_FIIs[fimmês],Patrimônio!B828)</f>
        <v>0</v>
      </c>
      <c r="N828" s="8">
        <f t="shared" si="54"/>
        <v>0</v>
      </c>
    </row>
    <row r="829" spans="1:14" x14ac:dyDescent="0.35">
      <c r="A829" s="7">
        <v>67542</v>
      </c>
      <c r="B829" s="7">
        <f t="shared" si="51"/>
        <v>67541</v>
      </c>
      <c r="I829" s="8">
        <f t="shared" si="52"/>
        <v>0</v>
      </c>
      <c r="J829" s="8">
        <f t="shared" si="53"/>
        <v>0</v>
      </c>
      <c r="K829" s="8">
        <f>SUMIFS(His_Operacoes_acoes[Total],His_Operacoes_acoes[Fimmes],Patrimônio!B829,His_Operacoes_acoes[Operação],"JCP")
+ SUMIFS(His_Operacoes_acoes[Total],His_Operacoes_acoes[Fimmes],Patrimônio!B829,His_Operacoes_acoes[Operação],"Divid.")
+ SUMIFS(His_Operacoes_acoes[Total],His_Operacoes_acoes[Fimmes],Patrimônio!B829,His_Operacoes_acoes[Operação],"Bonif.")</f>
        <v>0</v>
      </c>
      <c r="L829" s="8">
        <f>SUMIFS(His_Operacoes_BDRs[Total],His_Operacoes_BDRs[Operação],"Provento",His_Operacoes_BDRs[fimmês],Patrimônio!B829)</f>
        <v>0</v>
      </c>
      <c r="M829" s="8">
        <f>SUMIFS(His_Operacoes_FIIs[Total],His_Operacoes_FIIs[Operação],"Provento",His_Operacoes_FIIs[fimmês],Patrimônio!B829)</f>
        <v>0</v>
      </c>
      <c r="N829" s="8">
        <f t="shared" si="54"/>
        <v>0</v>
      </c>
    </row>
    <row r="830" spans="1:14" x14ac:dyDescent="0.35">
      <c r="A830" s="7">
        <v>67573</v>
      </c>
      <c r="B830" s="7">
        <f t="shared" si="51"/>
        <v>67572</v>
      </c>
      <c r="I830" s="8">
        <f t="shared" si="52"/>
        <v>0</v>
      </c>
      <c r="J830" s="8">
        <f t="shared" si="53"/>
        <v>0</v>
      </c>
      <c r="K830" s="8">
        <f>SUMIFS(His_Operacoes_acoes[Total],His_Operacoes_acoes[Fimmes],Patrimônio!B830,His_Operacoes_acoes[Operação],"JCP")
+ SUMIFS(His_Operacoes_acoes[Total],His_Operacoes_acoes[Fimmes],Patrimônio!B830,His_Operacoes_acoes[Operação],"Divid.")
+ SUMIFS(His_Operacoes_acoes[Total],His_Operacoes_acoes[Fimmes],Patrimônio!B830,His_Operacoes_acoes[Operação],"Bonif.")</f>
        <v>0</v>
      </c>
      <c r="L830" s="8">
        <f>SUMIFS(His_Operacoes_BDRs[Total],His_Operacoes_BDRs[Operação],"Provento",His_Operacoes_BDRs[fimmês],Patrimônio!B830)</f>
        <v>0</v>
      </c>
      <c r="M830" s="8">
        <f>SUMIFS(His_Operacoes_FIIs[Total],His_Operacoes_FIIs[Operação],"Provento",His_Operacoes_FIIs[fimmês],Patrimônio!B830)</f>
        <v>0</v>
      </c>
      <c r="N830" s="8">
        <f t="shared" si="54"/>
        <v>0</v>
      </c>
    </row>
    <row r="831" spans="1:14" x14ac:dyDescent="0.35">
      <c r="A831" s="7">
        <v>67604</v>
      </c>
      <c r="B831" s="7">
        <f t="shared" si="51"/>
        <v>67603</v>
      </c>
      <c r="I831" s="8">
        <f t="shared" si="52"/>
        <v>0</v>
      </c>
      <c r="J831" s="8">
        <f t="shared" si="53"/>
        <v>0</v>
      </c>
      <c r="K831" s="8">
        <f>SUMIFS(His_Operacoes_acoes[Total],His_Operacoes_acoes[Fimmes],Patrimônio!B831,His_Operacoes_acoes[Operação],"JCP")
+ SUMIFS(His_Operacoes_acoes[Total],His_Operacoes_acoes[Fimmes],Patrimônio!B831,His_Operacoes_acoes[Operação],"Divid.")
+ SUMIFS(His_Operacoes_acoes[Total],His_Operacoes_acoes[Fimmes],Patrimônio!B831,His_Operacoes_acoes[Operação],"Bonif.")</f>
        <v>0</v>
      </c>
      <c r="L831" s="8">
        <f>SUMIFS(His_Operacoes_BDRs[Total],His_Operacoes_BDRs[Operação],"Provento",His_Operacoes_BDRs[fimmês],Patrimônio!B831)</f>
        <v>0</v>
      </c>
      <c r="M831" s="8">
        <f>SUMIFS(His_Operacoes_FIIs[Total],His_Operacoes_FIIs[Operação],"Provento",His_Operacoes_FIIs[fimmês],Patrimônio!B831)</f>
        <v>0</v>
      </c>
      <c r="N831" s="8">
        <f t="shared" si="54"/>
        <v>0</v>
      </c>
    </row>
    <row r="832" spans="1:14" x14ac:dyDescent="0.35">
      <c r="A832" s="7">
        <v>67632</v>
      </c>
      <c r="B832" s="7">
        <f t="shared" si="51"/>
        <v>67631</v>
      </c>
      <c r="I832" s="8">
        <f t="shared" si="52"/>
        <v>0</v>
      </c>
      <c r="J832" s="8">
        <f t="shared" si="53"/>
        <v>0</v>
      </c>
      <c r="K832" s="8">
        <f>SUMIFS(His_Operacoes_acoes[Total],His_Operacoes_acoes[Fimmes],Patrimônio!B832,His_Operacoes_acoes[Operação],"JCP")
+ SUMIFS(His_Operacoes_acoes[Total],His_Operacoes_acoes[Fimmes],Patrimônio!B832,His_Operacoes_acoes[Operação],"Divid.")
+ SUMIFS(His_Operacoes_acoes[Total],His_Operacoes_acoes[Fimmes],Patrimônio!B832,His_Operacoes_acoes[Operação],"Bonif.")</f>
        <v>0</v>
      </c>
      <c r="L832" s="8">
        <f>SUMIFS(His_Operacoes_BDRs[Total],His_Operacoes_BDRs[Operação],"Provento",His_Operacoes_BDRs[fimmês],Patrimônio!B832)</f>
        <v>0</v>
      </c>
      <c r="M832" s="8">
        <f>SUMIFS(His_Operacoes_FIIs[Total],His_Operacoes_FIIs[Operação],"Provento",His_Operacoes_FIIs[fimmês],Patrimônio!B832)</f>
        <v>0</v>
      </c>
      <c r="N832" s="8">
        <f t="shared" si="54"/>
        <v>0</v>
      </c>
    </row>
    <row r="833" spans="1:14" x14ac:dyDescent="0.35">
      <c r="A833" s="7">
        <v>67663</v>
      </c>
      <c r="B833" s="7">
        <f t="shared" si="51"/>
        <v>67662</v>
      </c>
      <c r="I833" s="8">
        <f t="shared" si="52"/>
        <v>0</v>
      </c>
      <c r="J833" s="8">
        <f t="shared" si="53"/>
        <v>0</v>
      </c>
      <c r="K833" s="8">
        <f>SUMIFS(His_Operacoes_acoes[Total],His_Operacoes_acoes[Fimmes],Patrimônio!B833,His_Operacoes_acoes[Operação],"JCP")
+ SUMIFS(His_Operacoes_acoes[Total],His_Operacoes_acoes[Fimmes],Patrimônio!B833,His_Operacoes_acoes[Operação],"Divid.")
+ SUMIFS(His_Operacoes_acoes[Total],His_Operacoes_acoes[Fimmes],Patrimônio!B833,His_Operacoes_acoes[Operação],"Bonif.")</f>
        <v>0</v>
      </c>
      <c r="L833" s="8">
        <f>SUMIFS(His_Operacoes_BDRs[Total],His_Operacoes_BDRs[Operação],"Provento",His_Operacoes_BDRs[fimmês],Patrimônio!B833)</f>
        <v>0</v>
      </c>
      <c r="M833" s="8">
        <f>SUMIFS(His_Operacoes_FIIs[Total],His_Operacoes_FIIs[Operação],"Provento",His_Operacoes_FIIs[fimmês],Patrimônio!B833)</f>
        <v>0</v>
      </c>
      <c r="N833" s="8">
        <f t="shared" si="54"/>
        <v>0</v>
      </c>
    </row>
    <row r="834" spans="1:14" x14ac:dyDescent="0.35">
      <c r="A834" s="7">
        <v>67693</v>
      </c>
      <c r="B834" s="7">
        <f t="shared" si="51"/>
        <v>67692</v>
      </c>
      <c r="I834" s="8">
        <f t="shared" si="52"/>
        <v>0</v>
      </c>
      <c r="J834" s="8">
        <f t="shared" si="53"/>
        <v>0</v>
      </c>
      <c r="K834" s="8">
        <f>SUMIFS(His_Operacoes_acoes[Total],His_Operacoes_acoes[Fimmes],Patrimônio!B834,His_Operacoes_acoes[Operação],"JCP")
+ SUMIFS(His_Operacoes_acoes[Total],His_Operacoes_acoes[Fimmes],Patrimônio!B834,His_Operacoes_acoes[Operação],"Divid.")
+ SUMIFS(His_Operacoes_acoes[Total],His_Operacoes_acoes[Fimmes],Patrimônio!B834,His_Operacoes_acoes[Operação],"Bonif.")</f>
        <v>0</v>
      </c>
      <c r="L834" s="8">
        <f>SUMIFS(His_Operacoes_BDRs[Total],His_Operacoes_BDRs[Operação],"Provento",His_Operacoes_BDRs[fimmês],Patrimônio!B834)</f>
        <v>0</v>
      </c>
      <c r="M834" s="8">
        <f>SUMIFS(His_Operacoes_FIIs[Total],His_Operacoes_FIIs[Operação],"Provento",His_Operacoes_FIIs[fimmês],Patrimônio!B834)</f>
        <v>0</v>
      </c>
      <c r="N834" s="8">
        <f t="shared" si="54"/>
        <v>0</v>
      </c>
    </row>
    <row r="835" spans="1:14" x14ac:dyDescent="0.35">
      <c r="A835" s="7">
        <v>67724</v>
      </c>
      <c r="B835" s="7">
        <f t="shared" ref="B835:B898" si="55">EOMONTH(A835,-1)</f>
        <v>67723</v>
      </c>
      <c r="I835" s="8">
        <f t="shared" ref="I835:I898" si="56">SUM(C835,E835,G835)</f>
        <v>0</v>
      </c>
      <c r="J835" s="8">
        <f t="shared" ref="J835:J898" si="57">SUM(D835,F835,H835)</f>
        <v>0</v>
      </c>
      <c r="K835" s="8">
        <f>SUMIFS(His_Operacoes_acoes[Total],His_Operacoes_acoes[Fimmes],Patrimônio!B835,His_Operacoes_acoes[Operação],"JCP")
+ SUMIFS(His_Operacoes_acoes[Total],His_Operacoes_acoes[Fimmes],Patrimônio!B835,His_Operacoes_acoes[Operação],"Divid.")
+ SUMIFS(His_Operacoes_acoes[Total],His_Operacoes_acoes[Fimmes],Patrimônio!B835,His_Operacoes_acoes[Operação],"Bonif.")</f>
        <v>0</v>
      </c>
      <c r="L835" s="8">
        <f>SUMIFS(His_Operacoes_BDRs[Total],His_Operacoes_BDRs[Operação],"Provento",His_Operacoes_BDRs[fimmês],Patrimônio!B835)</f>
        <v>0</v>
      </c>
      <c r="M835" s="8">
        <f>SUMIFS(His_Operacoes_FIIs[Total],His_Operacoes_FIIs[Operação],"Provento",His_Operacoes_FIIs[fimmês],Patrimônio!B835)</f>
        <v>0</v>
      </c>
      <c r="N835" s="8">
        <f t="shared" ref="N835:N898" si="58">SUM(K835:M835)</f>
        <v>0</v>
      </c>
    </row>
    <row r="836" spans="1:14" x14ac:dyDescent="0.35">
      <c r="A836" s="7">
        <v>67754</v>
      </c>
      <c r="B836" s="7">
        <f t="shared" si="55"/>
        <v>67753</v>
      </c>
      <c r="I836" s="8">
        <f t="shared" si="56"/>
        <v>0</v>
      </c>
      <c r="J836" s="8">
        <f t="shared" si="57"/>
        <v>0</v>
      </c>
      <c r="K836" s="8">
        <f>SUMIFS(His_Operacoes_acoes[Total],His_Operacoes_acoes[Fimmes],Patrimônio!B836,His_Operacoes_acoes[Operação],"JCP")
+ SUMIFS(His_Operacoes_acoes[Total],His_Operacoes_acoes[Fimmes],Patrimônio!B836,His_Operacoes_acoes[Operação],"Divid.")
+ SUMIFS(His_Operacoes_acoes[Total],His_Operacoes_acoes[Fimmes],Patrimônio!B836,His_Operacoes_acoes[Operação],"Bonif.")</f>
        <v>0</v>
      </c>
      <c r="L836" s="8">
        <f>SUMIFS(His_Operacoes_BDRs[Total],His_Operacoes_BDRs[Operação],"Provento",His_Operacoes_BDRs[fimmês],Patrimônio!B836)</f>
        <v>0</v>
      </c>
      <c r="M836" s="8">
        <f>SUMIFS(His_Operacoes_FIIs[Total],His_Operacoes_FIIs[Operação],"Provento",His_Operacoes_FIIs[fimmês],Patrimônio!B836)</f>
        <v>0</v>
      </c>
      <c r="N836" s="8">
        <f t="shared" si="58"/>
        <v>0</v>
      </c>
    </row>
    <row r="837" spans="1:14" x14ac:dyDescent="0.35">
      <c r="A837" s="7">
        <v>67785</v>
      </c>
      <c r="B837" s="7">
        <f t="shared" si="55"/>
        <v>67784</v>
      </c>
      <c r="I837" s="8">
        <f t="shared" si="56"/>
        <v>0</v>
      </c>
      <c r="J837" s="8">
        <f t="shared" si="57"/>
        <v>0</v>
      </c>
      <c r="K837" s="8">
        <f>SUMIFS(His_Operacoes_acoes[Total],His_Operacoes_acoes[Fimmes],Patrimônio!B837,His_Operacoes_acoes[Operação],"JCP")
+ SUMIFS(His_Operacoes_acoes[Total],His_Operacoes_acoes[Fimmes],Patrimônio!B837,His_Operacoes_acoes[Operação],"Divid.")
+ SUMIFS(His_Operacoes_acoes[Total],His_Operacoes_acoes[Fimmes],Patrimônio!B837,His_Operacoes_acoes[Operação],"Bonif.")</f>
        <v>0</v>
      </c>
      <c r="L837" s="8">
        <f>SUMIFS(His_Operacoes_BDRs[Total],His_Operacoes_BDRs[Operação],"Provento",His_Operacoes_BDRs[fimmês],Patrimônio!B837)</f>
        <v>0</v>
      </c>
      <c r="M837" s="8">
        <f>SUMIFS(His_Operacoes_FIIs[Total],His_Operacoes_FIIs[Operação],"Provento",His_Operacoes_FIIs[fimmês],Patrimônio!B837)</f>
        <v>0</v>
      </c>
      <c r="N837" s="8">
        <f t="shared" si="58"/>
        <v>0</v>
      </c>
    </row>
    <row r="838" spans="1:14" x14ac:dyDescent="0.35">
      <c r="A838" s="7">
        <v>67816</v>
      </c>
      <c r="B838" s="7">
        <f t="shared" si="55"/>
        <v>67815</v>
      </c>
      <c r="I838" s="8">
        <f t="shared" si="56"/>
        <v>0</v>
      </c>
      <c r="J838" s="8">
        <f t="shared" si="57"/>
        <v>0</v>
      </c>
      <c r="K838" s="8">
        <f>SUMIFS(His_Operacoes_acoes[Total],His_Operacoes_acoes[Fimmes],Patrimônio!B838,His_Operacoes_acoes[Operação],"JCP")
+ SUMIFS(His_Operacoes_acoes[Total],His_Operacoes_acoes[Fimmes],Patrimônio!B838,His_Operacoes_acoes[Operação],"Divid.")
+ SUMIFS(His_Operacoes_acoes[Total],His_Operacoes_acoes[Fimmes],Patrimônio!B838,His_Operacoes_acoes[Operação],"Bonif.")</f>
        <v>0</v>
      </c>
      <c r="L838" s="8">
        <f>SUMIFS(His_Operacoes_BDRs[Total],His_Operacoes_BDRs[Operação],"Provento",His_Operacoes_BDRs[fimmês],Patrimônio!B838)</f>
        <v>0</v>
      </c>
      <c r="M838" s="8">
        <f>SUMIFS(His_Operacoes_FIIs[Total],His_Operacoes_FIIs[Operação],"Provento",His_Operacoes_FIIs[fimmês],Patrimônio!B838)</f>
        <v>0</v>
      </c>
      <c r="N838" s="8">
        <f t="shared" si="58"/>
        <v>0</v>
      </c>
    </row>
    <row r="839" spans="1:14" x14ac:dyDescent="0.35">
      <c r="A839" s="7">
        <v>67846</v>
      </c>
      <c r="B839" s="7">
        <f t="shared" si="55"/>
        <v>67845</v>
      </c>
      <c r="I839" s="8">
        <f t="shared" si="56"/>
        <v>0</v>
      </c>
      <c r="J839" s="8">
        <f t="shared" si="57"/>
        <v>0</v>
      </c>
      <c r="K839" s="8">
        <f>SUMIFS(His_Operacoes_acoes[Total],His_Operacoes_acoes[Fimmes],Patrimônio!B839,His_Operacoes_acoes[Operação],"JCP")
+ SUMIFS(His_Operacoes_acoes[Total],His_Operacoes_acoes[Fimmes],Patrimônio!B839,His_Operacoes_acoes[Operação],"Divid.")
+ SUMIFS(His_Operacoes_acoes[Total],His_Operacoes_acoes[Fimmes],Patrimônio!B839,His_Operacoes_acoes[Operação],"Bonif.")</f>
        <v>0</v>
      </c>
      <c r="L839" s="8">
        <f>SUMIFS(His_Operacoes_BDRs[Total],His_Operacoes_BDRs[Operação],"Provento",His_Operacoes_BDRs[fimmês],Patrimônio!B839)</f>
        <v>0</v>
      </c>
      <c r="M839" s="8">
        <f>SUMIFS(His_Operacoes_FIIs[Total],His_Operacoes_FIIs[Operação],"Provento",His_Operacoes_FIIs[fimmês],Patrimônio!B839)</f>
        <v>0</v>
      </c>
      <c r="N839" s="8">
        <f t="shared" si="58"/>
        <v>0</v>
      </c>
    </row>
    <row r="840" spans="1:14" x14ac:dyDescent="0.35">
      <c r="A840" s="7">
        <v>67877</v>
      </c>
      <c r="B840" s="7">
        <f t="shared" si="55"/>
        <v>67876</v>
      </c>
      <c r="I840" s="8">
        <f t="shared" si="56"/>
        <v>0</v>
      </c>
      <c r="J840" s="8">
        <f t="shared" si="57"/>
        <v>0</v>
      </c>
      <c r="K840" s="8">
        <f>SUMIFS(His_Operacoes_acoes[Total],His_Operacoes_acoes[Fimmes],Patrimônio!B840,His_Operacoes_acoes[Operação],"JCP")
+ SUMIFS(His_Operacoes_acoes[Total],His_Operacoes_acoes[Fimmes],Patrimônio!B840,His_Operacoes_acoes[Operação],"Divid.")
+ SUMIFS(His_Operacoes_acoes[Total],His_Operacoes_acoes[Fimmes],Patrimônio!B840,His_Operacoes_acoes[Operação],"Bonif.")</f>
        <v>0</v>
      </c>
      <c r="L840" s="8">
        <f>SUMIFS(His_Operacoes_BDRs[Total],His_Operacoes_BDRs[Operação],"Provento",His_Operacoes_BDRs[fimmês],Patrimônio!B840)</f>
        <v>0</v>
      </c>
      <c r="M840" s="8">
        <f>SUMIFS(His_Operacoes_FIIs[Total],His_Operacoes_FIIs[Operação],"Provento",His_Operacoes_FIIs[fimmês],Patrimônio!B840)</f>
        <v>0</v>
      </c>
      <c r="N840" s="8">
        <f t="shared" si="58"/>
        <v>0</v>
      </c>
    </row>
    <row r="841" spans="1:14" x14ac:dyDescent="0.35">
      <c r="A841" s="7">
        <v>67907</v>
      </c>
      <c r="B841" s="7">
        <f t="shared" si="55"/>
        <v>67906</v>
      </c>
      <c r="I841" s="8">
        <f t="shared" si="56"/>
        <v>0</v>
      </c>
      <c r="J841" s="8">
        <f t="shared" si="57"/>
        <v>0</v>
      </c>
      <c r="K841" s="8">
        <f>SUMIFS(His_Operacoes_acoes[Total],His_Operacoes_acoes[Fimmes],Patrimônio!B841,His_Operacoes_acoes[Operação],"JCP")
+ SUMIFS(His_Operacoes_acoes[Total],His_Operacoes_acoes[Fimmes],Patrimônio!B841,His_Operacoes_acoes[Operação],"Divid.")
+ SUMIFS(His_Operacoes_acoes[Total],His_Operacoes_acoes[Fimmes],Patrimônio!B841,His_Operacoes_acoes[Operação],"Bonif.")</f>
        <v>0</v>
      </c>
      <c r="L841" s="8">
        <f>SUMIFS(His_Operacoes_BDRs[Total],His_Operacoes_BDRs[Operação],"Provento",His_Operacoes_BDRs[fimmês],Patrimônio!B841)</f>
        <v>0</v>
      </c>
      <c r="M841" s="8">
        <f>SUMIFS(His_Operacoes_FIIs[Total],His_Operacoes_FIIs[Operação],"Provento",His_Operacoes_FIIs[fimmês],Patrimônio!B841)</f>
        <v>0</v>
      </c>
      <c r="N841" s="8">
        <f t="shared" si="58"/>
        <v>0</v>
      </c>
    </row>
    <row r="842" spans="1:14" x14ac:dyDescent="0.35">
      <c r="A842" s="7">
        <v>67938</v>
      </c>
      <c r="B842" s="7">
        <f t="shared" si="55"/>
        <v>67937</v>
      </c>
      <c r="I842" s="8">
        <f t="shared" si="56"/>
        <v>0</v>
      </c>
      <c r="J842" s="8">
        <f t="shared" si="57"/>
        <v>0</v>
      </c>
      <c r="K842" s="8">
        <f>SUMIFS(His_Operacoes_acoes[Total],His_Operacoes_acoes[Fimmes],Patrimônio!B842,His_Operacoes_acoes[Operação],"JCP")
+ SUMIFS(His_Operacoes_acoes[Total],His_Operacoes_acoes[Fimmes],Patrimônio!B842,His_Operacoes_acoes[Operação],"Divid.")
+ SUMIFS(His_Operacoes_acoes[Total],His_Operacoes_acoes[Fimmes],Patrimônio!B842,His_Operacoes_acoes[Operação],"Bonif.")</f>
        <v>0</v>
      </c>
      <c r="L842" s="8">
        <f>SUMIFS(His_Operacoes_BDRs[Total],His_Operacoes_BDRs[Operação],"Provento",His_Operacoes_BDRs[fimmês],Patrimônio!B842)</f>
        <v>0</v>
      </c>
      <c r="M842" s="8">
        <f>SUMIFS(His_Operacoes_FIIs[Total],His_Operacoes_FIIs[Operação],"Provento",His_Operacoes_FIIs[fimmês],Patrimônio!B842)</f>
        <v>0</v>
      </c>
      <c r="N842" s="8">
        <f t="shared" si="58"/>
        <v>0</v>
      </c>
    </row>
    <row r="843" spans="1:14" x14ac:dyDescent="0.35">
      <c r="A843" s="7">
        <v>67969</v>
      </c>
      <c r="B843" s="7">
        <f t="shared" si="55"/>
        <v>67968</v>
      </c>
      <c r="I843" s="8">
        <f t="shared" si="56"/>
        <v>0</v>
      </c>
      <c r="J843" s="8">
        <f t="shared" si="57"/>
        <v>0</v>
      </c>
      <c r="K843" s="8">
        <f>SUMIFS(His_Operacoes_acoes[Total],His_Operacoes_acoes[Fimmes],Patrimônio!B843,His_Operacoes_acoes[Operação],"JCP")
+ SUMIFS(His_Operacoes_acoes[Total],His_Operacoes_acoes[Fimmes],Patrimônio!B843,His_Operacoes_acoes[Operação],"Divid.")
+ SUMIFS(His_Operacoes_acoes[Total],His_Operacoes_acoes[Fimmes],Patrimônio!B843,His_Operacoes_acoes[Operação],"Bonif.")</f>
        <v>0</v>
      </c>
      <c r="L843" s="8">
        <f>SUMIFS(His_Operacoes_BDRs[Total],His_Operacoes_BDRs[Operação],"Provento",His_Operacoes_BDRs[fimmês],Patrimônio!B843)</f>
        <v>0</v>
      </c>
      <c r="M843" s="8">
        <f>SUMIFS(His_Operacoes_FIIs[Total],His_Operacoes_FIIs[Operação],"Provento",His_Operacoes_FIIs[fimmês],Patrimônio!B843)</f>
        <v>0</v>
      </c>
      <c r="N843" s="8">
        <f t="shared" si="58"/>
        <v>0</v>
      </c>
    </row>
    <row r="844" spans="1:14" x14ac:dyDescent="0.35">
      <c r="A844" s="7">
        <v>67997</v>
      </c>
      <c r="B844" s="7">
        <f t="shared" si="55"/>
        <v>67996</v>
      </c>
      <c r="I844" s="8">
        <f t="shared" si="56"/>
        <v>0</v>
      </c>
      <c r="J844" s="8">
        <f t="shared" si="57"/>
        <v>0</v>
      </c>
      <c r="K844" s="8">
        <f>SUMIFS(His_Operacoes_acoes[Total],His_Operacoes_acoes[Fimmes],Patrimônio!B844,His_Operacoes_acoes[Operação],"JCP")
+ SUMIFS(His_Operacoes_acoes[Total],His_Operacoes_acoes[Fimmes],Patrimônio!B844,His_Operacoes_acoes[Operação],"Divid.")
+ SUMIFS(His_Operacoes_acoes[Total],His_Operacoes_acoes[Fimmes],Patrimônio!B844,His_Operacoes_acoes[Operação],"Bonif.")</f>
        <v>0</v>
      </c>
      <c r="L844" s="8">
        <f>SUMIFS(His_Operacoes_BDRs[Total],His_Operacoes_BDRs[Operação],"Provento",His_Operacoes_BDRs[fimmês],Patrimônio!B844)</f>
        <v>0</v>
      </c>
      <c r="M844" s="8">
        <f>SUMIFS(His_Operacoes_FIIs[Total],His_Operacoes_FIIs[Operação],"Provento",His_Operacoes_FIIs[fimmês],Patrimônio!B844)</f>
        <v>0</v>
      </c>
      <c r="N844" s="8">
        <f t="shared" si="58"/>
        <v>0</v>
      </c>
    </row>
    <row r="845" spans="1:14" x14ac:dyDescent="0.35">
      <c r="A845" s="7">
        <v>68028</v>
      </c>
      <c r="B845" s="7">
        <f t="shared" si="55"/>
        <v>68027</v>
      </c>
      <c r="I845" s="8">
        <f t="shared" si="56"/>
        <v>0</v>
      </c>
      <c r="J845" s="8">
        <f t="shared" si="57"/>
        <v>0</v>
      </c>
      <c r="K845" s="8">
        <f>SUMIFS(His_Operacoes_acoes[Total],His_Operacoes_acoes[Fimmes],Patrimônio!B845,His_Operacoes_acoes[Operação],"JCP")
+ SUMIFS(His_Operacoes_acoes[Total],His_Operacoes_acoes[Fimmes],Patrimônio!B845,His_Operacoes_acoes[Operação],"Divid.")
+ SUMIFS(His_Operacoes_acoes[Total],His_Operacoes_acoes[Fimmes],Patrimônio!B845,His_Operacoes_acoes[Operação],"Bonif.")</f>
        <v>0</v>
      </c>
      <c r="L845" s="8">
        <f>SUMIFS(His_Operacoes_BDRs[Total],His_Operacoes_BDRs[Operação],"Provento",His_Operacoes_BDRs[fimmês],Patrimônio!B845)</f>
        <v>0</v>
      </c>
      <c r="M845" s="8">
        <f>SUMIFS(His_Operacoes_FIIs[Total],His_Operacoes_FIIs[Operação],"Provento",His_Operacoes_FIIs[fimmês],Patrimônio!B845)</f>
        <v>0</v>
      </c>
      <c r="N845" s="8">
        <f t="shared" si="58"/>
        <v>0</v>
      </c>
    </row>
    <row r="846" spans="1:14" x14ac:dyDescent="0.35">
      <c r="A846" s="7">
        <v>68058</v>
      </c>
      <c r="B846" s="7">
        <f t="shared" si="55"/>
        <v>68057</v>
      </c>
      <c r="I846" s="8">
        <f t="shared" si="56"/>
        <v>0</v>
      </c>
      <c r="J846" s="8">
        <f t="shared" si="57"/>
        <v>0</v>
      </c>
      <c r="K846" s="8">
        <f>SUMIFS(His_Operacoes_acoes[Total],His_Operacoes_acoes[Fimmes],Patrimônio!B846,His_Operacoes_acoes[Operação],"JCP")
+ SUMIFS(His_Operacoes_acoes[Total],His_Operacoes_acoes[Fimmes],Patrimônio!B846,His_Operacoes_acoes[Operação],"Divid.")
+ SUMIFS(His_Operacoes_acoes[Total],His_Operacoes_acoes[Fimmes],Patrimônio!B846,His_Operacoes_acoes[Operação],"Bonif.")</f>
        <v>0</v>
      </c>
      <c r="L846" s="8">
        <f>SUMIFS(His_Operacoes_BDRs[Total],His_Operacoes_BDRs[Operação],"Provento",His_Operacoes_BDRs[fimmês],Patrimônio!B846)</f>
        <v>0</v>
      </c>
      <c r="M846" s="8">
        <f>SUMIFS(His_Operacoes_FIIs[Total],His_Operacoes_FIIs[Operação],"Provento",His_Operacoes_FIIs[fimmês],Patrimônio!B846)</f>
        <v>0</v>
      </c>
      <c r="N846" s="8">
        <f t="shared" si="58"/>
        <v>0</v>
      </c>
    </row>
    <row r="847" spans="1:14" x14ac:dyDescent="0.35">
      <c r="A847" s="7">
        <v>68089</v>
      </c>
      <c r="B847" s="7">
        <f t="shared" si="55"/>
        <v>68088</v>
      </c>
      <c r="I847" s="8">
        <f t="shared" si="56"/>
        <v>0</v>
      </c>
      <c r="J847" s="8">
        <f t="shared" si="57"/>
        <v>0</v>
      </c>
      <c r="K847" s="8">
        <f>SUMIFS(His_Operacoes_acoes[Total],His_Operacoes_acoes[Fimmes],Patrimônio!B847,His_Operacoes_acoes[Operação],"JCP")
+ SUMIFS(His_Operacoes_acoes[Total],His_Operacoes_acoes[Fimmes],Patrimônio!B847,His_Operacoes_acoes[Operação],"Divid.")
+ SUMIFS(His_Operacoes_acoes[Total],His_Operacoes_acoes[Fimmes],Patrimônio!B847,His_Operacoes_acoes[Operação],"Bonif.")</f>
        <v>0</v>
      </c>
      <c r="L847" s="8">
        <f>SUMIFS(His_Operacoes_BDRs[Total],His_Operacoes_BDRs[Operação],"Provento",His_Operacoes_BDRs[fimmês],Patrimônio!B847)</f>
        <v>0</v>
      </c>
      <c r="M847" s="8">
        <f>SUMIFS(His_Operacoes_FIIs[Total],His_Operacoes_FIIs[Operação],"Provento",His_Operacoes_FIIs[fimmês],Patrimônio!B847)</f>
        <v>0</v>
      </c>
      <c r="N847" s="8">
        <f t="shared" si="58"/>
        <v>0</v>
      </c>
    </row>
    <row r="848" spans="1:14" x14ac:dyDescent="0.35">
      <c r="A848" s="7">
        <v>68119</v>
      </c>
      <c r="B848" s="7">
        <f t="shared" si="55"/>
        <v>68118</v>
      </c>
      <c r="I848" s="8">
        <f t="shared" si="56"/>
        <v>0</v>
      </c>
      <c r="J848" s="8">
        <f t="shared" si="57"/>
        <v>0</v>
      </c>
      <c r="K848" s="8">
        <f>SUMIFS(His_Operacoes_acoes[Total],His_Operacoes_acoes[Fimmes],Patrimônio!B848,His_Operacoes_acoes[Operação],"JCP")
+ SUMIFS(His_Operacoes_acoes[Total],His_Operacoes_acoes[Fimmes],Patrimônio!B848,His_Operacoes_acoes[Operação],"Divid.")
+ SUMIFS(His_Operacoes_acoes[Total],His_Operacoes_acoes[Fimmes],Patrimônio!B848,His_Operacoes_acoes[Operação],"Bonif.")</f>
        <v>0</v>
      </c>
      <c r="L848" s="8">
        <f>SUMIFS(His_Operacoes_BDRs[Total],His_Operacoes_BDRs[Operação],"Provento",His_Operacoes_BDRs[fimmês],Patrimônio!B848)</f>
        <v>0</v>
      </c>
      <c r="M848" s="8">
        <f>SUMIFS(His_Operacoes_FIIs[Total],His_Operacoes_FIIs[Operação],"Provento",His_Operacoes_FIIs[fimmês],Patrimônio!B848)</f>
        <v>0</v>
      </c>
      <c r="N848" s="8">
        <f t="shared" si="58"/>
        <v>0</v>
      </c>
    </row>
    <row r="849" spans="1:14" x14ac:dyDescent="0.35">
      <c r="A849" s="7">
        <v>68150</v>
      </c>
      <c r="B849" s="7">
        <f t="shared" si="55"/>
        <v>68149</v>
      </c>
      <c r="I849" s="8">
        <f t="shared" si="56"/>
        <v>0</v>
      </c>
      <c r="J849" s="8">
        <f t="shared" si="57"/>
        <v>0</v>
      </c>
      <c r="K849" s="8">
        <f>SUMIFS(His_Operacoes_acoes[Total],His_Operacoes_acoes[Fimmes],Patrimônio!B849,His_Operacoes_acoes[Operação],"JCP")
+ SUMIFS(His_Operacoes_acoes[Total],His_Operacoes_acoes[Fimmes],Patrimônio!B849,His_Operacoes_acoes[Operação],"Divid.")
+ SUMIFS(His_Operacoes_acoes[Total],His_Operacoes_acoes[Fimmes],Patrimônio!B849,His_Operacoes_acoes[Operação],"Bonif.")</f>
        <v>0</v>
      </c>
      <c r="L849" s="8">
        <f>SUMIFS(His_Operacoes_BDRs[Total],His_Operacoes_BDRs[Operação],"Provento",His_Operacoes_BDRs[fimmês],Patrimônio!B849)</f>
        <v>0</v>
      </c>
      <c r="M849" s="8">
        <f>SUMIFS(His_Operacoes_FIIs[Total],His_Operacoes_FIIs[Operação],"Provento",His_Operacoes_FIIs[fimmês],Patrimônio!B849)</f>
        <v>0</v>
      </c>
      <c r="N849" s="8">
        <f t="shared" si="58"/>
        <v>0</v>
      </c>
    </row>
    <row r="850" spans="1:14" x14ac:dyDescent="0.35">
      <c r="A850" s="7">
        <v>68181</v>
      </c>
      <c r="B850" s="7">
        <f t="shared" si="55"/>
        <v>68180</v>
      </c>
      <c r="I850" s="8">
        <f t="shared" si="56"/>
        <v>0</v>
      </c>
      <c r="J850" s="8">
        <f t="shared" si="57"/>
        <v>0</v>
      </c>
      <c r="K850" s="8">
        <f>SUMIFS(His_Operacoes_acoes[Total],His_Operacoes_acoes[Fimmes],Patrimônio!B850,His_Operacoes_acoes[Operação],"JCP")
+ SUMIFS(His_Operacoes_acoes[Total],His_Operacoes_acoes[Fimmes],Patrimônio!B850,His_Operacoes_acoes[Operação],"Divid.")
+ SUMIFS(His_Operacoes_acoes[Total],His_Operacoes_acoes[Fimmes],Patrimônio!B850,His_Operacoes_acoes[Operação],"Bonif.")</f>
        <v>0</v>
      </c>
      <c r="L850" s="8">
        <f>SUMIFS(His_Operacoes_BDRs[Total],His_Operacoes_BDRs[Operação],"Provento",His_Operacoes_BDRs[fimmês],Patrimônio!B850)</f>
        <v>0</v>
      </c>
      <c r="M850" s="8">
        <f>SUMIFS(His_Operacoes_FIIs[Total],His_Operacoes_FIIs[Operação],"Provento",His_Operacoes_FIIs[fimmês],Patrimônio!B850)</f>
        <v>0</v>
      </c>
      <c r="N850" s="8">
        <f t="shared" si="58"/>
        <v>0</v>
      </c>
    </row>
    <row r="851" spans="1:14" x14ac:dyDescent="0.35">
      <c r="A851" s="7">
        <v>68211</v>
      </c>
      <c r="B851" s="7">
        <f t="shared" si="55"/>
        <v>68210</v>
      </c>
      <c r="I851" s="8">
        <f t="shared" si="56"/>
        <v>0</v>
      </c>
      <c r="J851" s="8">
        <f t="shared" si="57"/>
        <v>0</v>
      </c>
      <c r="K851" s="8">
        <f>SUMIFS(His_Operacoes_acoes[Total],His_Operacoes_acoes[Fimmes],Patrimônio!B851,His_Operacoes_acoes[Operação],"JCP")
+ SUMIFS(His_Operacoes_acoes[Total],His_Operacoes_acoes[Fimmes],Patrimônio!B851,His_Operacoes_acoes[Operação],"Divid.")
+ SUMIFS(His_Operacoes_acoes[Total],His_Operacoes_acoes[Fimmes],Patrimônio!B851,His_Operacoes_acoes[Operação],"Bonif.")</f>
        <v>0</v>
      </c>
      <c r="L851" s="8">
        <f>SUMIFS(His_Operacoes_BDRs[Total],His_Operacoes_BDRs[Operação],"Provento",His_Operacoes_BDRs[fimmês],Patrimônio!B851)</f>
        <v>0</v>
      </c>
      <c r="M851" s="8">
        <f>SUMIFS(His_Operacoes_FIIs[Total],His_Operacoes_FIIs[Operação],"Provento",His_Operacoes_FIIs[fimmês],Patrimônio!B851)</f>
        <v>0</v>
      </c>
      <c r="N851" s="8">
        <f t="shared" si="58"/>
        <v>0</v>
      </c>
    </row>
    <row r="852" spans="1:14" x14ac:dyDescent="0.35">
      <c r="A852" s="7">
        <v>68242</v>
      </c>
      <c r="B852" s="7">
        <f t="shared" si="55"/>
        <v>68241</v>
      </c>
      <c r="I852" s="8">
        <f t="shared" si="56"/>
        <v>0</v>
      </c>
      <c r="J852" s="8">
        <f t="shared" si="57"/>
        <v>0</v>
      </c>
      <c r="K852" s="8">
        <f>SUMIFS(His_Operacoes_acoes[Total],His_Operacoes_acoes[Fimmes],Patrimônio!B852,His_Operacoes_acoes[Operação],"JCP")
+ SUMIFS(His_Operacoes_acoes[Total],His_Operacoes_acoes[Fimmes],Patrimônio!B852,His_Operacoes_acoes[Operação],"Divid.")
+ SUMIFS(His_Operacoes_acoes[Total],His_Operacoes_acoes[Fimmes],Patrimônio!B852,His_Operacoes_acoes[Operação],"Bonif.")</f>
        <v>0</v>
      </c>
      <c r="L852" s="8">
        <f>SUMIFS(His_Operacoes_BDRs[Total],His_Operacoes_BDRs[Operação],"Provento",His_Operacoes_BDRs[fimmês],Patrimônio!B852)</f>
        <v>0</v>
      </c>
      <c r="M852" s="8">
        <f>SUMIFS(His_Operacoes_FIIs[Total],His_Operacoes_FIIs[Operação],"Provento",His_Operacoes_FIIs[fimmês],Patrimônio!B852)</f>
        <v>0</v>
      </c>
      <c r="N852" s="8">
        <f t="shared" si="58"/>
        <v>0</v>
      </c>
    </row>
    <row r="853" spans="1:14" x14ac:dyDescent="0.35">
      <c r="A853" s="7">
        <v>68272</v>
      </c>
      <c r="B853" s="7">
        <f t="shared" si="55"/>
        <v>68271</v>
      </c>
      <c r="I853" s="8">
        <f t="shared" si="56"/>
        <v>0</v>
      </c>
      <c r="J853" s="8">
        <f t="shared" si="57"/>
        <v>0</v>
      </c>
      <c r="K853" s="8">
        <f>SUMIFS(His_Operacoes_acoes[Total],His_Operacoes_acoes[Fimmes],Patrimônio!B853,His_Operacoes_acoes[Operação],"JCP")
+ SUMIFS(His_Operacoes_acoes[Total],His_Operacoes_acoes[Fimmes],Patrimônio!B853,His_Operacoes_acoes[Operação],"Divid.")
+ SUMIFS(His_Operacoes_acoes[Total],His_Operacoes_acoes[Fimmes],Patrimônio!B853,His_Operacoes_acoes[Operação],"Bonif.")</f>
        <v>0</v>
      </c>
      <c r="L853" s="8">
        <f>SUMIFS(His_Operacoes_BDRs[Total],His_Operacoes_BDRs[Operação],"Provento",His_Operacoes_BDRs[fimmês],Patrimônio!B853)</f>
        <v>0</v>
      </c>
      <c r="M853" s="8">
        <f>SUMIFS(His_Operacoes_FIIs[Total],His_Operacoes_FIIs[Operação],"Provento",His_Operacoes_FIIs[fimmês],Patrimônio!B853)</f>
        <v>0</v>
      </c>
      <c r="N853" s="8">
        <f t="shared" si="58"/>
        <v>0</v>
      </c>
    </row>
    <row r="854" spans="1:14" x14ac:dyDescent="0.35">
      <c r="A854" s="7">
        <v>68303</v>
      </c>
      <c r="B854" s="7">
        <f t="shared" si="55"/>
        <v>68302</v>
      </c>
      <c r="I854" s="8">
        <f t="shared" si="56"/>
        <v>0</v>
      </c>
      <c r="J854" s="8">
        <f t="shared" si="57"/>
        <v>0</v>
      </c>
      <c r="K854" s="8">
        <f>SUMIFS(His_Operacoes_acoes[Total],His_Operacoes_acoes[Fimmes],Patrimônio!B854,His_Operacoes_acoes[Operação],"JCP")
+ SUMIFS(His_Operacoes_acoes[Total],His_Operacoes_acoes[Fimmes],Patrimônio!B854,His_Operacoes_acoes[Operação],"Divid.")
+ SUMIFS(His_Operacoes_acoes[Total],His_Operacoes_acoes[Fimmes],Patrimônio!B854,His_Operacoes_acoes[Operação],"Bonif.")</f>
        <v>0</v>
      </c>
      <c r="L854" s="8">
        <f>SUMIFS(His_Operacoes_BDRs[Total],His_Operacoes_BDRs[Operação],"Provento",His_Operacoes_BDRs[fimmês],Patrimônio!B854)</f>
        <v>0</v>
      </c>
      <c r="M854" s="8">
        <f>SUMIFS(His_Operacoes_FIIs[Total],His_Operacoes_FIIs[Operação],"Provento",His_Operacoes_FIIs[fimmês],Patrimônio!B854)</f>
        <v>0</v>
      </c>
      <c r="N854" s="8">
        <f t="shared" si="58"/>
        <v>0</v>
      </c>
    </row>
    <row r="855" spans="1:14" x14ac:dyDescent="0.35">
      <c r="A855" s="7">
        <v>68334</v>
      </c>
      <c r="B855" s="7">
        <f t="shared" si="55"/>
        <v>68333</v>
      </c>
      <c r="I855" s="8">
        <f t="shared" si="56"/>
        <v>0</v>
      </c>
      <c r="J855" s="8">
        <f t="shared" si="57"/>
        <v>0</v>
      </c>
      <c r="K855" s="8">
        <f>SUMIFS(His_Operacoes_acoes[Total],His_Operacoes_acoes[Fimmes],Patrimônio!B855,His_Operacoes_acoes[Operação],"JCP")
+ SUMIFS(His_Operacoes_acoes[Total],His_Operacoes_acoes[Fimmes],Patrimônio!B855,His_Operacoes_acoes[Operação],"Divid.")
+ SUMIFS(His_Operacoes_acoes[Total],His_Operacoes_acoes[Fimmes],Patrimônio!B855,His_Operacoes_acoes[Operação],"Bonif.")</f>
        <v>0</v>
      </c>
      <c r="L855" s="8">
        <f>SUMIFS(His_Operacoes_BDRs[Total],His_Operacoes_BDRs[Operação],"Provento",His_Operacoes_BDRs[fimmês],Patrimônio!B855)</f>
        <v>0</v>
      </c>
      <c r="M855" s="8">
        <f>SUMIFS(His_Operacoes_FIIs[Total],His_Operacoes_FIIs[Operação],"Provento",His_Operacoes_FIIs[fimmês],Patrimônio!B855)</f>
        <v>0</v>
      </c>
      <c r="N855" s="8">
        <f t="shared" si="58"/>
        <v>0</v>
      </c>
    </row>
    <row r="856" spans="1:14" x14ac:dyDescent="0.35">
      <c r="A856" s="7">
        <v>68362</v>
      </c>
      <c r="B856" s="7">
        <f t="shared" si="55"/>
        <v>68361</v>
      </c>
      <c r="I856" s="8">
        <f t="shared" si="56"/>
        <v>0</v>
      </c>
      <c r="J856" s="8">
        <f t="shared" si="57"/>
        <v>0</v>
      </c>
      <c r="K856" s="8">
        <f>SUMIFS(His_Operacoes_acoes[Total],His_Operacoes_acoes[Fimmes],Patrimônio!B856,His_Operacoes_acoes[Operação],"JCP")
+ SUMIFS(His_Operacoes_acoes[Total],His_Operacoes_acoes[Fimmes],Patrimônio!B856,His_Operacoes_acoes[Operação],"Divid.")
+ SUMIFS(His_Operacoes_acoes[Total],His_Operacoes_acoes[Fimmes],Patrimônio!B856,His_Operacoes_acoes[Operação],"Bonif.")</f>
        <v>0</v>
      </c>
      <c r="L856" s="8">
        <f>SUMIFS(His_Operacoes_BDRs[Total],His_Operacoes_BDRs[Operação],"Provento",His_Operacoes_BDRs[fimmês],Patrimônio!B856)</f>
        <v>0</v>
      </c>
      <c r="M856" s="8">
        <f>SUMIFS(His_Operacoes_FIIs[Total],His_Operacoes_FIIs[Operação],"Provento",His_Operacoes_FIIs[fimmês],Patrimônio!B856)</f>
        <v>0</v>
      </c>
      <c r="N856" s="8">
        <f t="shared" si="58"/>
        <v>0</v>
      </c>
    </row>
    <row r="857" spans="1:14" x14ac:dyDescent="0.35">
      <c r="A857" s="7">
        <v>68393</v>
      </c>
      <c r="B857" s="7">
        <f t="shared" si="55"/>
        <v>68392</v>
      </c>
      <c r="I857" s="8">
        <f t="shared" si="56"/>
        <v>0</v>
      </c>
      <c r="J857" s="8">
        <f t="shared" si="57"/>
        <v>0</v>
      </c>
      <c r="K857" s="8">
        <f>SUMIFS(His_Operacoes_acoes[Total],His_Operacoes_acoes[Fimmes],Patrimônio!B857,His_Operacoes_acoes[Operação],"JCP")
+ SUMIFS(His_Operacoes_acoes[Total],His_Operacoes_acoes[Fimmes],Patrimônio!B857,His_Operacoes_acoes[Operação],"Divid.")
+ SUMIFS(His_Operacoes_acoes[Total],His_Operacoes_acoes[Fimmes],Patrimônio!B857,His_Operacoes_acoes[Operação],"Bonif.")</f>
        <v>0</v>
      </c>
      <c r="L857" s="8">
        <f>SUMIFS(His_Operacoes_BDRs[Total],His_Operacoes_BDRs[Operação],"Provento",His_Operacoes_BDRs[fimmês],Patrimônio!B857)</f>
        <v>0</v>
      </c>
      <c r="M857" s="8">
        <f>SUMIFS(His_Operacoes_FIIs[Total],His_Operacoes_FIIs[Operação],"Provento",His_Operacoes_FIIs[fimmês],Patrimônio!B857)</f>
        <v>0</v>
      </c>
      <c r="N857" s="8">
        <f t="shared" si="58"/>
        <v>0</v>
      </c>
    </row>
    <row r="858" spans="1:14" x14ac:dyDescent="0.35">
      <c r="A858" s="7">
        <v>68423</v>
      </c>
      <c r="B858" s="7">
        <f t="shared" si="55"/>
        <v>68422</v>
      </c>
      <c r="I858" s="8">
        <f t="shared" si="56"/>
        <v>0</v>
      </c>
      <c r="J858" s="8">
        <f t="shared" si="57"/>
        <v>0</v>
      </c>
      <c r="K858" s="8">
        <f>SUMIFS(His_Operacoes_acoes[Total],His_Operacoes_acoes[Fimmes],Patrimônio!B858,His_Operacoes_acoes[Operação],"JCP")
+ SUMIFS(His_Operacoes_acoes[Total],His_Operacoes_acoes[Fimmes],Patrimônio!B858,His_Operacoes_acoes[Operação],"Divid.")
+ SUMIFS(His_Operacoes_acoes[Total],His_Operacoes_acoes[Fimmes],Patrimônio!B858,His_Operacoes_acoes[Operação],"Bonif.")</f>
        <v>0</v>
      </c>
      <c r="L858" s="8">
        <f>SUMIFS(His_Operacoes_BDRs[Total],His_Operacoes_BDRs[Operação],"Provento",His_Operacoes_BDRs[fimmês],Patrimônio!B858)</f>
        <v>0</v>
      </c>
      <c r="M858" s="8">
        <f>SUMIFS(His_Operacoes_FIIs[Total],His_Operacoes_FIIs[Operação],"Provento",His_Operacoes_FIIs[fimmês],Patrimônio!B858)</f>
        <v>0</v>
      </c>
      <c r="N858" s="8">
        <f t="shared" si="58"/>
        <v>0</v>
      </c>
    </row>
    <row r="859" spans="1:14" x14ac:dyDescent="0.35">
      <c r="A859" s="7">
        <v>68454</v>
      </c>
      <c r="B859" s="7">
        <f t="shared" si="55"/>
        <v>68453</v>
      </c>
      <c r="I859" s="8">
        <f t="shared" si="56"/>
        <v>0</v>
      </c>
      <c r="J859" s="8">
        <f t="shared" si="57"/>
        <v>0</v>
      </c>
      <c r="K859" s="8">
        <f>SUMIFS(His_Operacoes_acoes[Total],His_Operacoes_acoes[Fimmes],Patrimônio!B859,His_Operacoes_acoes[Operação],"JCP")
+ SUMIFS(His_Operacoes_acoes[Total],His_Operacoes_acoes[Fimmes],Patrimônio!B859,His_Operacoes_acoes[Operação],"Divid.")
+ SUMIFS(His_Operacoes_acoes[Total],His_Operacoes_acoes[Fimmes],Patrimônio!B859,His_Operacoes_acoes[Operação],"Bonif.")</f>
        <v>0</v>
      </c>
      <c r="L859" s="8">
        <f>SUMIFS(His_Operacoes_BDRs[Total],His_Operacoes_BDRs[Operação],"Provento",His_Operacoes_BDRs[fimmês],Patrimônio!B859)</f>
        <v>0</v>
      </c>
      <c r="M859" s="8">
        <f>SUMIFS(His_Operacoes_FIIs[Total],His_Operacoes_FIIs[Operação],"Provento",His_Operacoes_FIIs[fimmês],Patrimônio!B859)</f>
        <v>0</v>
      </c>
      <c r="N859" s="8">
        <f t="shared" si="58"/>
        <v>0</v>
      </c>
    </row>
    <row r="860" spans="1:14" x14ac:dyDescent="0.35">
      <c r="A860" s="7">
        <v>68484</v>
      </c>
      <c r="B860" s="7">
        <f t="shared" si="55"/>
        <v>68483</v>
      </c>
      <c r="I860" s="8">
        <f t="shared" si="56"/>
        <v>0</v>
      </c>
      <c r="J860" s="8">
        <f t="shared" si="57"/>
        <v>0</v>
      </c>
      <c r="K860" s="8">
        <f>SUMIFS(His_Operacoes_acoes[Total],His_Operacoes_acoes[Fimmes],Patrimônio!B860,His_Operacoes_acoes[Operação],"JCP")
+ SUMIFS(His_Operacoes_acoes[Total],His_Operacoes_acoes[Fimmes],Patrimônio!B860,His_Operacoes_acoes[Operação],"Divid.")
+ SUMIFS(His_Operacoes_acoes[Total],His_Operacoes_acoes[Fimmes],Patrimônio!B860,His_Operacoes_acoes[Operação],"Bonif.")</f>
        <v>0</v>
      </c>
      <c r="L860" s="8">
        <f>SUMIFS(His_Operacoes_BDRs[Total],His_Operacoes_BDRs[Operação],"Provento",His_Operacoes_BDRs[fimmês],Patrimônio!B860)</f>
        <v>0</v>
      </c>
      <c r="M860" s="8">
        <f>SUMIFS(His_Operacoes_FIIs[Total],His_Operacoes_FIIs[Operação],"Provento",His_Operacoes_FIIs[fimmês],Patrimônio!B860)</f>
        <v>0</v>
      </c>
      <c r="N860" s="8">
        <f t="shared" si="58"/>
        <v>0</v>
      </c>
    </row>
    <row r="861" spans="1:14" x14ac:dyDescent="0.35">
      <c r="A861" s="7">
        <v>68515</v>
      </c>
      <c r="B861" s="7">
        <f t="shared" si="55"/>
        <v>68514</v>
      </c>
      <c r="I861" s="8">
        <f t="shared" si="56"/>
        <v>0</v>
      </c>
      <c r="J861" s="8">
        <f t="shared" si="57"/>
        <v>0</v>
      </c>
      <c r="K861" s="8">
        <f>SUMIFS(His_Operacoes_acoes[Total],His_Operacoes_acoes[Fimmes],Patrimônio!B861,His_Operacoes_acoes[Operação],"JCP")
+ SUMIFS(His_Operacoes_acoes[Total],His_Operacoes_acoes[Fimmes],Patrimônio!B861,His_Operacoes_acoes[Operação],"Divid.")
+ SUMIFS(His_Operacoes_acoes[Total],His_Operacoes_acoes[Fimmes],Patrimônio!B861,His_Operacoes_acoes[Operação],"Bonif.")</f>
        <v>0</v>
      </c>
      <c r="L861" s="8">
        <f>SUMIFS(His_Operacoes_BDRs[Total],His_Operacoes_BDRs[Operação],"Provento",His_Operacoes_BDRs[fimmês],Patrimônio!B861)</f>
        <v>0</v>
      </c>
      <c r="M861" s="8">
        <f>SUMIFS(His_Operacoes_FIIs[Total],His_Operacoes_FIIs[Operação],"Provento",His_Operacoes_FIIs[fimmês],Patrimônio!B861)</f>
        <v>0</v>
      </c>
      <c r="N861" s="8">
        <f t="shared" si="58"/>
        <v>0</v>
      </c>
    </row>
    <row r="862" spans="1:14" x14ac:dyDescent="0.35">
      <c r="A862" s="7">
        <v>68546</v>
      </c>
      <c r="B862" s="7">
        <f t="shared" si="55"/>
        <v>68545</v>
      </c>
      <c r="I862" s="8">
        <f t="shared" si="56"/>
        <v>0</v>
      </c>
      <c r="J862" s="8">
        <f t="shared" si="57"/>
        <v>0</v>
      </c>
      <c r="K862" s="8">
        <f>SUMIFS(His_Operacoes_acoes[Total],His_Operacoes_acoes[Fimmes],Patrimônio!B862,His_Operacoes_acoes[Operação],"JCP")
+ SUMIFS(His_Operacoes_acoes[Total],His_Operacoes_acoes[Fimmes],Patrimônio!B862,His_Operacoes_acoes[Operação],"Divid.")
+ SUMIFS(His_Operacoes_acoes[Total],His_Operacoes_acoes[Fimmes],Patrimônio!B862,His_Operacoes_acoes[Operação],"Bonif.")</f>
        <v>0</v>
      </c>
      <c r="L862" s="8">
        <f>SUMIFS(His_Operacoes_BDRs[Total],His_Operacoes_BDRs[Operação],"Provento",His_Operacoes_BDRs[fimmês],Patrimônio!B862)</f>
        <v>0</v>
      </c>
      <c r="M862" s="8">
        <f>SUMIFS(His_Operacoes_FIIs[Total],His_Operacoes_FIIs[Operação],"Provento",His_Operacoes_FIIs[fimmês],Patrimônio!B862)</f>
        <v>0</v>
      </c>
      <c r="N862" s="8">
        <f t="shared" si="58"/>
        <v>0</v>
      </c>
    </row>
    <row r="863" spans="1:14" x14ac:dyDescent="0.35">
      <c r="A863" s="7">
        <v>68576</v>
      </c>
      <c r="B863" s="7">
        <f t="shared" si="55"/>
        <v>68575</v>
      </c>
      <c r="I863" s="8">
        <f t="shared" si="56"/>
        <v>0</v>
      </c>
      <c r="J863" s="8">
        <f t="shared" si="57"/>
        <v>0</v>
      </c>
      <c r="K863" s="8">
        <f>SUMIFS(His_Operacoes_acoes[Total],His_Operacoes_acoes[Fimmes],Patrimônio!B863,His_Operacoes_acoes[Operação],"JCP")
+ SUMIFS(His_Operacoes_acoes[Total],His_Operacoes_acoes[Fimmes],Patrimônio!B863,His_Operacoes_acoes[Operação],"Divid.")
+ SUMIFS(His_Operacoes_acoes[Total],His_Operacoes_acoes[Fimmes],Patrimônio!B863,His_Operacoes_acoes[Operação],"Bonif.")</f>
        <v>0</v>
      </c>
      <c r="L863" s="8">
        <f>SUMIFS(His_Operacoes_BDRs[Total],His_Operacoes_BDRs[Operação],"Provento",His_Operacoes_BDRs[fimmês],Patrimônio!B863)</f>
        <v>0</v>
      </c>
      <c r="M863" s="8">
        <f>SUMIFS(His_Operacoes_FIIs[Total],His_Operacoes_FIIs[Operação],"Provento",His_Operacoes_FIIs[fimmês],Patrimônio!B863)</f>
        <v>0</v>
      </c>
      <c r="N863" s="8">
        <f t="shared" si="58"/>
        <v>0</v>
      </c>
    </row>
    <row r="864" spans="1:14" x14ac:dyDescent="0.35">
      <c r="A864" s="7">
        <v>68607</v>
      </c>
      <c r="B864" s="7">
        <f t="shared" si="55"/>
        <v>68606</v>
      </c>
      <c r="I864" s="8">
        <f t="shared" si="56"/>
        <v>0</v>
      </c>
      <c r="J864" s="8">
        <f t="shared" si="57"/>
        <v>0</v>
      </c>
      <c r="K864" s="8">
        <f>SUMIFS(His_Operacoes_acoes[Total],His_Operacoes_acoes[Fimmes],Patrimônio!B864,His_Operacoes_acoes[Operação],"JCP")
+ SUMIFS(His_Operacoes_acoes[Total],His_Operacoes_acoes[Fimmes],Patrimônio!B864,His_Operacoes_acoes[Operação],"Divid.")
+ SUMIFS(His_Operacoes_acoes[Total],His_Operacoes_acoes[Fimmes],Patrimônio!B864,His_Operacoes_acoes[Operação],"Bonif.")</f>
        <v>0</v>
      </c>
      <c r="L864" s="8">
        <f>SUMIFS(His_Operacoes_BDRs[Total],His_Operacoes_BDRs[Operação],"Provento",His_Operacoes_BDRs[fimmês],Patrimônio!B864)</f>
        <v>0</v>
      </c>
      <c r="M864" s="8">
        <f>SUMIFS(His_Operacoes_FIIs[Total],His_Operacoes_FIIs[Operação],"Provento",His_Operacoes_FIIs[fimmês],Patrimônio!B864)</f>
        <v>0</v>
      </c>
      <c r="N864" s="8">
        <f t="shared" si="58"/>
        <v>0</v>
      </c>
    </row>
    <row r="865" spans="1:14" x14ac:dyDescent="0.35">
      <c r="A865" s="7">
        <v>68637</v>
      </c>
      <c r="B865" s="7">
        <f t="shared" si="55"/>
        <v>68636</v>
      </c>
      <c r="I865" s="8">
        <f t="shared" si="56"/>
        <v>0</v>
      </c>
      <c r="J865" s="8">
        <f t="shared" si="57"/>
        <v>0</v>
      </c>
      <c r="K865" s="8">
        <f>SUMIFS(His_Operacoes_acoes[Total],His_Operacoes_acoes[Fimmes],Patrimônio!B865,His_Operacoes_acoes[Operação],"JCP")
+ SUMIFS(His_Operacoes_acoes[Total],His_Operacoes_acoes[Fimmes],Patrimônio!B865,His_Operacoes_acoes[Operação],"Divid.")
+ SUMIFS(His_Operacoes_acoes[Total],His_Operacoes_acoes[Fimmes],Patrimônio!B865,His_Operacoes_acoes[Operação],"Bonif.")</f>
        <v>0</v>
      </c>
      <c r="L865" s="8">
        <f>SUMIFS(His_Operacoes_BDRs[Total],His_Operacoes_BDRs[Operação],"Provento",His_Operacoes_BDRs[fimmês],Patrimônio!B865)</f>
        <v>0</v>
      </c>
      <c r="M865" s="8">
        <f>SUMIFS(His_Operacoes_FIIs[Total],His_Operacoes_FIIs[Operação],"Provento",His_Operacoes_FIIs[fimmês],Patrimônio!B865)</f>
        <v>0</v>
      </c>
      <c r="N865" s="8">
        <f t="shared" si="58"/>
        <v>0</v>
      </c>
    </row>
    <row r="866" spans="1:14" x14ac:dyDescent="0.35">
      <c r="A866" s="7">
        <v>68668</v>
      </c>
      <c r="B866" s="7">
        <f t="shared" si="55"/>
        <v>68667</v>
      </c>
      <c r="I866" s="8">
        <f t="shared" si="56"/>
        <v>0</v>
      </c>
      <c r="J866" s="8">
        <f t="shared" si="57"/>
        <v>0</v>
      </c>
      <c r="K866" s="8">
        <f>SUMIFS(His_Operacoes_acoes[Total],His_Operacoes_acoes[Fimmes],Patrimônio!B866,His_Operacoes_acoes[Operação],"JCP")
+ SUMIFS(His_Operacoes_acoes[Total],His_Operacoes_acoes[Fimmes],Patrimônio!B866,His_Operacoes_acoes[Operação],"Divid.")
+ SUMIFS(His_Operacoes_acoes[Total],His_Operacoes_acoes[Fimmes],Patrimônio!B866,His_Operacoes_acoes[Operação],"Bonif.")</f>
        <v>0</v>
      </c>
      <c r="L866" s="8">
        <f>SUMIFS(His_Operacoes_BDRs[Total],His_Operacoes_BDRs[Operação],"Provento",His_Operacoes_BDRs[fimmês],Patrimônio!B866)</f>
        <v>0</v>
      </c>
      <c r="M866" s="8">
        <f>SUMIFS(His_Operacoes_FIIs[Total],His_Operacoes_FIIs[Operação],"Provento",His_Operacoes_FIIs[fimmês],Patrimônio!B866)</f>
        <v>0</v>
      </c>
      <c r="N866" s="8">
        <f t="shared" si="58"/>
        <v>0</v>
      </c>
    </row>
    <row r="867" spans="1:14" x14ac:dyDescent="0.35">
      <c r="A867" s="7">
        <v>68699</v>
      </c>
      <c r="B867" s="7">
        <f t="shared" si="55"/>
        <v>68698</v>
      </c>
      <c r="I867" s="8">
        <f t="shared" si="56"/>
        <v>0</v>
      </c>
      <c r="J867" s="8">
        <f t="shared" si="57"/>
        <v>0</v>
      </c>
      <c r="K867" s="8">
        <f>SUMIFS(His_Operacoes_acoes[Total],His_Operacoes_acoes[Fimmes],Patrimônio!B867,His_Operacoes_acoes[Operação],"JCP")
+ SUMIFS(His_Operacoes_acoes[Total],His_Operacoes_acoes[Fimmes],Patrimônio!B867,His_Operacoes_acoes[Operação],"Divid.")
+ SUMIFS(His_Operacoes_acoes[Total],His_Operacoes_acoes[Fimmes],Patrimônio!B867,His_Operacoes_acoes[Operação],"Bonif.")</f>
        <v>0</v>
      </c>
      <c r="L867" s="8">
        <f>SUMIFS(His_Operacoes_BDRs[Total],His_Operacoes_BDRs[Operação],"Provento",His_Operacoes_BDRs[fimmês],Patrimônio!B867)</f>
        <v>0</v>
      </c>
      <c r="M867" s="8">
        <f>SUMIFS(His_Operacoes_FIIs[Total],His_Operacoes_FIIs[Operação],"Provento",His_Operacoes_FIIs[fimmês],Patrimônio!B867)</f>
        <v>0</v>
      </c>
      <c r="N867" s="8">
        <f t="shared" si="58"/>
        <v>0</v>
      </c>
    </row>
    <row r="868" spans="1:14" x14ac:dyDescent="0.35">
      <c r="A868" s="7">
        <v>68728</v>
      </c>
      <c r="B868" s="7">
        <f t="shared" si="55"/>
        <v>68727</v>
      </c>
      <c r="I868" s="8">
        <f t="shared" si="56"/>
        <v>0</v>
      </c>
      <c r="J868" s="8">
        <f t="shared" si="57"/>
        <v>0</v>
      </c>
      <c r="K868" s="8">
        <f>SUMIFS(His_Operacoes_acoes[Total],His_Operacoes_acoes[Fimmes],Patrimônio!B868,His_Operacoes_acoes[Operação],"JCP")
+ SUMIFS(His_Operacoes_acoes[Total],His_Operacoes_acoes[Fimmes],Patrimônio!B868,His_Operacoes_acoes[Operação],"Divid.")
+ SUMIFS(His_Operacoes_acoes[Total],His_Operacoes_acoes[Fimmes],Patrimônio!B868,His_Operacoes_acoes[Operação],"Bonif.")</f>
        <v>0</v>
      </c>
      <c r="L868" s="8">
        <f>SUMIFS(His_Operacoes_BDRs[Total],His_Operacoes_BDRs[Operação],"Provento",His_Operacoes_BDRs[fimmês],Patrimônio!B868)</f>
        <v>0</v>
      </c>
      <c r="M868" s="8">
        <f>SUMIFS(His_Operacoes_FIIs[Total],His_Operacoes_FIIs[Operação],"Provento",His_Operacoes_FIIs[fimmês],Patrimônio!B868)</f>
        <v>0</v>
      </c>
      <c r="N868" s="8">
        <f t="shared" si="58"/>
        <v>0</v>
      </c>
    </row>
    <row r="869" spans="1:14" x14ac:dyDescent="0.35">
      <c r="A869" s="7">
        <v>68759</v>
      </c>
      <c r="B869" s="7">
        <f t="shared" si="55"/>
        <v>68758</v>
      </c>
      <c r="I869" s="8">
        <f t="shared" si="56"/>
        <v>0</v>
      </c>
      <c r="J869" s="8">
        <f t="shared" si="57"/>
        <v>0</v>
      </c>
      <c r="K869" s="8">
        <f>SUMIFS(His_Operacoes_acoes[Total],His_Operacoes_acoes[Fimmes],Patrimônio!B869,His_Operacoes_acoes[Operação],"JCP")
+ SUMIFS(His_Operacoes_acoes[Total],His_Operacoes_acoes[Fimmes],Patrimônio!B869,His_Operacoes_acoes[Operação],"Divid.")
+ SUMIFS(His_Operacoes_acoes[Total],His_Operacoes_acoes[Fimmes],Patrimônio!B869,His_Operacoes_acoes[Operação],"Bonif.")</f>
        <v>0</v>
      </c>
      <c r="L869" s="8">
        <f>SUMIFS(His_Operacoes_BDRs[Total],His_Operacoes_BDRs[Operação],"Provento",His_Operacoes_BDRs[fimmês],Patrimônio!B869)</f>
        <v>0</v>
      </c>
      <c r="M869" s="8">
        <f>SUMIFS(His_Operacoes_FIIs[Total],His_Operacoes_FIIs[Operação],"Provento",His_Operacoes_FIIs[fimmês],Patrimônio!B869)</f>
        <v>0</v>
      </c>
      <c r="N869" s="8">
        <f t="shared" si="58"/>
        <v>0</v>
      </c>
    </row>
    <row r="870" spans="1:14" x14ac:dyDescent="0.35">
      <c r="A870" s="7">
        <v>68789</v>
      </c>
      <c r="B870" s="7">
        <f t="shared" si="55"/>
        <v>68788</v>
      </c>
      <c r="I870" s="8">
        <f t="shared" si="56"/>
        <v>0</v>
      </c>
      <c r="J870" s="8">
        <f t="shared" si="57"/>
        <v>0</v>
      </c>
      <c r="K870" s="8">
        <f>SUMIFS(His_Operacoes_acoes[Total],His_Operacoes_acoes[Fimmes],Patrimônio!B870,His_Operacoes_acoes[Operação],"JCP")
+ SUMIFS(His_Operacoes_acoes[Total],His_Operacoes_acoes[Fimmes],Patrimônio!B870,His_Operacoes_acoes[Operação],"Divid.")
+ SUMIFS(His_Operacoes_acoes[Total],His_Operacoes_acoes[Fimmes],Patrimônio!B870,His_Operacoes_acoes[Operação],"Bonif.")</f>
        <v>0</v>
      </c>
      <c r="L870" s="8">
        <f>SUMIFS(His_Operacoes_BDRs[Total],His_Operacoes_BDRs[Operação],"Provento",His_Operacoes_BDRs[fimmês],Patrimônio!B870)</f>
        <v>0</v>
      </c>
      <c r="M870" s="8">
        <f>SUMIFS(His_Operacoes_FIIs[Total],His_Operacoes_FIIs[Operação],"Provento",His_Operacoes_FIIs[fimmês],Patrimônio!B870)</f>
        <v>0</v>
      </c>
      <c r="N870" s="8">
        <f t="shared" si="58"/>
        <v>0</v>
      </c>
    </row>
    <row r="871" spans="1:14" x14ac:dyDescent="0.35">
      <c r="A871" s="7">
        <v>68820</v>
      </c>
      <c r="B871" s="7">
        <f t="shared" si="55"/>
        <v>68819</v>
      </c>
      <c r="I871" s="8">
        <f t="shared" si="56"/>
        <v>0</v>
      </c>
      <c r="J871" s="8">
        <f t="shared" si="57"/>
        <v>0</v>
      </c>
      <c r="K871" s="8">
        <f>SUMIFS(His_Operacoes_acoes[Total],His_Operacoes_acoes[Fimmes],Patrimônio!B871,His_Operacoes_acoes[Operação],"JCP")
+ SUMIFS(His_Operacoes_acoes[Total],His_Operacoes_acoes[Fimmes],Patrimônio!B871,His_Operacoes_acoes[Operação],"Divid.")
+ SUMIFS(His_Operacoes_acoes[Total],His_Operacoes_acoes[Fimmes],Patrimônio!B871,His_Operacoes_acoes[Operação],"Bonif.")</f>
        <v>0</v>
      </c>
      <c r="L871" s="8">
        <f>SUMIFS(His_Operacoes_BDRs[Total],His_Operacoes_BDRs[Operação],"Provento",His_Operacoes_BDRs[fimmês],Patrimônio!B871)</f>
        <v>0</v>
      </c>
      <c r="M871" s="8">
        <f>SUMIFS(His_Operacoes_FIIs[Total],His_Operacoes_FIIs[Operação],"Provento",His_Operacoes_FIIs[fimmês],Patrimônio!B871)</f>
        <v>0</v>
      </c>
      <c r="N871" s="8">
        <f t="shared" si="58"/>
        <v>0</v>
      </c>
    </row>
    <row r="872" spans="1:14" x14ac:dyDescent="0.35">
      <c r="A872" s="7">
        <v>68850</v>
      </c>
      <c r="B872" s="7">
        <f t="shared" si="55"/>
        <v>68849</v>
      </c>
      <c r="I872" s="8">
        <f t="shared" si="56"/>
        <v>0</v>
      </c>
      <c r="J872" s="8">
        <f t="shared" si="57"/>
        <v>0</v>
      </c>
      <c r="K872" s="8">
        <f>SUMIFS(His_Operacoes_acoes[Total],His_Operacoes_acoes[Fimmes],Patrimônio!B872,His_Operacoes_acoes[Operação],"JCP")
+ SUMIFS(His_Operacoes_acoes[Total],His_Operacoes_acoes[Fimmes],Patrimônio!B872,His_Operacoes_acoes[Operação],"Divid.")
+ SUMIFS(His_Operacoes_acoes[Total],His_Operacoes_acoes[Fimmes],Patrimônio!B872,His_Operacoes_acoes[Operação],"Bonif.")</f>
        <v>0</v>
      </c>
      <c r="L872" s="8">
        <f>SUMIFS(His_Operacoes_BDRs[Total],His_Operacoes_BDRs[Operação],"Provento",His_Operacoes_BDRs[fimmês],Patrimônio!B872)</f>
        <v>0</v>
      </c>
      <c r="M872" s="8">
        <f>SUMIFS(His_Operacoes_FIIs[Total],His_Operacoes_FIIs[Operação],"Provento",His_Operacoes_FIIs[fimmês],Patrimônio!B872)</f>
        <v>0</v>
      </c>
      <c r="N872" s="8">
        <f t="shared" si="58"/>
        <v>0</v>
      </c>
    </row>
    <row r="873" spans="1:14" x14ac:dyDescent="0.35">
      <c r="A873" s="7">
        <v>68881</v>
      </c>
      <c r="B873" s="7">
        <f t="shared" si="55"/>
        <v>68880</v>
      </c>
      <c r="I873" s="8">
        <f t="shared" si="56"/>
        <v>0</v>
      </c>
      <c r="J873" s="8">
        <f t="shared" si="57"/>
        <v>0</v>
      </c>
      <c r="K873" s="8">
        <f>SUMIFS(His_Operacoes_acoes[Total],His_Operacoes_acoes[Fimmes],Patrimônio!B873,His_Operacoes_acoes[Operação],"JCP")
+ SUMIFS(His_Operacoes_acoes[Total],His_Operacoes_acoes[Fimmes],Patrimônio!B873,His_Operacoes_acoes[Operação],"Divid.")
+ SUMIFS(His_Operacoes_acoes[Total],His_Operacoes_acoes[Fimmes],Patrimônio!B873,His_Operacoes_acoes[Operação],"Bonif.")</f>
        <v>0</v>
      </c>
      <c r="L873" s="8">
        <f>SUMIFS(His_Operacoes_BDRs[Total],His_Operacoes_BDRs[Operação],"Provento",His_Operacoes_BDRs[fimmês],Patrimônio!B873)</f>
        <v>0</v>
      </c>
      <c r="M873" s="8">
        <f>SUMIFS(His_Operacoes_FIIs[Total],His_Operacoes_FIIs[Operação],"Provento",His_Operacoes_FIIs[fimmês],Patrimônio!B873)</f>
        <v>0</v>
      </c>
      <c r="N873" s="8">
        <f t="shared" si="58"/>
        <v>0</v>
      </c>
    </row>
    <row r="874" spans="1:14" x14ac:dyDescent="0.35">
      <c r="A874" s="7">
        <v>68912</v>
      </c>
      <c r="B874" s="7">
        <f t="shared" si="55"/>
        <v>68911</v>
      </c>
      <c r="I874" s="8">
        <f t="shared" si="56"/>
        <v>0</v>
      </c>
      <c r="J874" s="8">
        <f t="shared" si="57"/>
        <v>0</v>
      </c>
      <c r="K874" s="8">
        <f>SUMIFS(His_Operacoes_acoes[Total],His_Operacoes_acoes[Fimmes],Patrimônio!B874,His_Operacoes_acoes[Operação],"JCP")
+ SUMIFS(His_Operacoes_acoes[Total],His_Operacoes_acoes[Fimmes],Patrimônio!B874,His_Operacoes_acoes[Operação],"Divid.")
+ SUMIFS(His_Operacoes_acoes[Total],His_Operacoes_acoes[Fimmes],Patrimônio!B874,His_Operacoes_acoes[Operação],"Bonif.")</f>
        <v>0</v>
      </c>
      <c r="L874" s="8">
        <f>SUMIFS(His_Operacoes_BDRs[Total],His_Operacoes_BDRs[Operação],"Provento",His_Operacoes_BDRs[fimmês],Patrimônio!B874)</f>
        <v>0</v>
      </c>
      <c r="M874" s="8">
        <f>SUMIFS(His_Operacoes_FIIs[Total],His_Operacoes_FIIs[Operação],"Provento",His_Operacoes_FIIs[fimmês],Patrimônio!B874)</f>
        <v>0</v>
      </c>
      <c r="N874" s="8">
        <f t="shared" si="58"/>
        <v>0</v>
      </c>
    </row>
    <row r="875" spans="1:14" x14ac:dyDescent="0.35">
      <c r="A875" s="7">
        <v>68942</v>
      </c>
      <c r="B875" s="7">
        <f t="shared" si="55"/>
        <v>68941</v>
      </c>
      <c r="I875" s="8">
        <f t="shared" si="56"/>
        <v>0</v>
      </c>
      <c r="J875" s="8">
        <f t="shared" si="57"/>
        <v>0</v>
      </c>
      <c r="K875" s="8">
        <f>SUMIFS(His_Operacoes_acoes[Total],His_Operacoes_acoes[Fimmes],Patrimônio!B875,His_Operacoes_acoes[Operação],"JCP")
+ SUMIFS(His_Operacoes_acoes[Total],His_Operacoes_acoes[Fimmes],Patrimônio!B875,His_Operacoes_acoes[Operação],"Divid.")
+ SUMIFS(His_Operacoes_acoes[Total],His_Operacoes_acoes[Fimmes],Patrimônio!B875,His_Operacoes_acoes[Operação],"Bonif.")</f>
        <v>0</v>
      </c>
      <c r="L875" s="8">
        <f>SUMIFS(His_Operacoes_BDRs[Total],His_Operacoes_BDRs[Operação],"Provento",His_Operacoes_BDRs[fimmês],Patrimônio!B875)</f>
        <v>0</v>
      </c>
      <c r="M875" s="8">
        <f>SUMIFS(His_Operacoes_FIIs[Total],His_Operacoes_FIIs[Operação],"Provento",His_Operacoes_FIIs[fimmês],Patrimônio!B875)</f>
        <v>0</v>
      </c>
      <c r="N875" s="8">
        <f t="shared" si="58"/>
        <v>0</v>
      </c>
    </row>
    <row r="876" spans="1:14" x14ac:dyDescent="0.35">
      <c r="A876" s="7">
        <v>68973</v>
      </c>
      <c r="B876" s="7">
        <f t="shared" si="55"/>
        <v>68972</v>
      </c>
      <c r="I876" s="8">
        <f t="shared" si="56"/>
        <v>0</v>
      </c>
      <c r="J876" s="8">
        <f t="shared" si="57"/>
        <v>0</v>
      </c>
      <c r="K876" s="8">
        <f>SUMIFS(His_Operacoes_acoes[Total],His_Operacoes_acoes[Fimmes],Patrimônio!B876,His_Operacoes_acoes[Operação],"JCP")
+ SUMIFS(His_Operacoes_acoes[Total],His_Operacoes_acoes[Fimmes],Patrimônio!B876,His_Operacoes_acoes[Operação],"Divid.")
+ SUMIFS(His_Operacoes_acoes[Total],His_Operacoes_acoes[Fimmes],Patrimônio!B876,His_Operacoes_acoes[Operação],"Bonif.")</f>
        <v>0</v>
      </c>
      <c r="L876" s="8">
        <f>SUMIFS(His_Operacoes_BDRs[Total],His_Operacoes_BDRs[Operação],"Provento",His_Operacoes_BDRs[fimmês],Patrimônio!B876)</f>
        <v>0</v>
      </c>
      <c r="M876" s="8">
        <f>SUMIFS(His_Operacoes_FIIs[Total],His_Operacoes_FIIs[Operação],"Provento",His_Operacoes_FIIs[fimmês],Patrimônio!B876)</f>
        <v>0</v>
      </c>
      <c r="N876" s="8">
        <f t="shared" si="58"/>
        <v>0</v>
      </c>
    </row>
    <row r="877" spans="1:14" x14ac:dyDescent="0.35">
      <c r="A877" s="7">
        <v>69003</v>
      </c>
      <c r="B877" s="7">
        <f t="shared" si="55"/>
        <v>69002</v>
      </c>
      <c r="I877" s="8">
        <f t="shared" si="56"/>
        <v>0</v>
      </c>
      <c r="J877" s="8">
        <f t="shared" si="57"/>
        <v>0</v>
      </c>
      <c r="K877" s="8">
        <f>SUMIFS(His_Operacoes_acoes[Total],His_Operacoes_acoes[Fimmes],Patrimônio!B877,His_Operacoes_acoes[Operação],"JCP")
+ SUMIFS(His_Operacoes_acoes[Total],His_Operacoes_acoes[Fimmes],Patrimônio!B877,His_Operacoes_acoes[Operação],"Divid.")
+ SUMIFS(His_Operacoes_acoes[Total],His_Operacoes_acoes[Fimmes],Patrimônio!B877,His_Operacoes_acoes[Operação],"Bonif.")</f>
        <v>0</v>
      </c>
      <c r="L877" s="8">
        <f>SUMIFS(His_Operacoes_BDRs[Total],His_Operacoes_BDRs[Operação],"Provento",His_Operacoes_BDRs[fimmês],Patrimônio!B877)</f>
        <v>0</v>
      </c>
      <c r="M877" s="8">
        <f>SUMIFS(His_Operacoes_FIIs[Total],His_Operacoes_FIIs[Operação],"Provento",His_Operacoes_FIIs[fimmês],Patrimônio!B877)</f>
        <v>0</v>
      </c>
      <c r="N877" s="8">
        <f t="shared" si="58"/>
        <v>0</v>
      </c>
    </row>
    <row r="878" spans="1:14" x14ac:dyDescent="0.35">
      <c r="A878" s="7">
        <v>69034</v>
      </c>
      <c r="B878" s="7">
        <f t="shared" si="55"/>
        <v>69033</v>
      </c>
      <c r="I878" s="8">
        <f t="shared" si="56"/>
        <v>0</v>
      </c>
      <c r="J878" s="8">
        <f t="shared" si="57"/>
        <v>0</v>
      </c>
      <c r="K878" s="8">
        <f>SUMIFS(His_Operacoes_acoes[Total],His_Operacoes_acoes[Fimmes],Patrimônio!B878,His_Operacoes_acoes[Operação],"JCP")
+ SUMIFS(His_Operacoes_acoes[Total],His_Operacoes_acoes[Fimmes],Patrimônio!B878,His_Operacoes_acoes[Operação],"Divid.")
+ SUMIFS(His_Operacoes_acoes[Total],His_Operacoes_acoes[Fimmes],Patrimônio!B878,His_Operacoes_acoes[Operação],"Bonif.")</f>
        <v>0</v>
      </c>
      <c r="L878" s="8">
        <f>SUMIFS(His_Operacoes_BDRs[Total],His_Operacoes_BDRs[Operação],"Provento",His_Operacoes_BDRs[fimmês],Patrimônio!B878)</f>
        <v>0</v>
      </c>
      <c r="M878" s="8">
        <f>SUMIFS(His_Operacoes_FIIs[Total],His_Operacoes_FIIs[Operação],"Provento",His_Operacoes_FIIs[fimmês],Patrimônio!B878)</f>
        <v>0</v>
      </c>
      <c r="N878" s="8">
        <f t="shared" si="58"/>
        <v>0</v>
      </c>
    </row>
    <row r="879" spans="1:14" x14ac:dyDescent="0.35">
      <c r="A879" s="7">
        <v>69065</v>
      </c>
      <c r="B879" s="7">
        <f t="shared" si="55"/>
        <v>69064</v>
      </c>
      <c r="I879" s="8">
        <f t="shared" si="56"/>
        <v>0</v>
      </c>
      <c r="J879" s="8">
        <f t="shared" si="57"/>
        <v>0</v>
      </c>
      <c r="K879" s="8">
        <f>SUMIFS(His_Operacoes_acoes[Total],His_Operacoes_acoes[Fimmes],Patrimônio!B879,His_Operacoes_acoes[Operação],"JCP")
+ SUMIFS(His_Operacoes_acoes[Total],His_Operacoes_acoes[Fimmes],Patrimônio!B879,His_Operacoes_acoes[Operação],"Divid.")
+ SUMIFS(His_Operacoes_acoes[Total],His_Operacoes_acoes[Fimmes],Patrimônio!B879,His_Operacoes_acoes[Operação],"Bonif.")</f>
        <v>0</v>
      </c>
      <c r="L879" s="8">
        <f>SUMIFS(His_Operacoes_BDRs[Total],His_Operacoes_BDRs[Operação],"Provento",His_Operacoes_BDRs[fimmês],Patrimônio!B879)</f>
        <v>0</v>
      </c>
      <c r="M879" s="8">
        <f>SUMIFS(His_Operacoes_FIIs[Total],His_Operacoes_FIIs[Operação],"Provento",His_Operacoes_FIIs[fimmês],Patrimônio!B879)</f>
        <v>0</v>
      </c>
      <c r="N879" s="8">
        <f t="shared" si="58"/>
        <v>0</v>
      </c>
    </row>
    <row r="880" spans="1:14" x14ac:dyDescent="0.35">
      <c r="A880" s="7">
        <v>69093</v>
      </c>
      <c r="B880" s="7">
        <f t="shared" si="55"/>
        <v>69092</v>
      </c>
      <c r="I880" s="8">
        <f t="shared" si="56"/>
        <v>0</v>
      </c>
      <c r="J880" s="8">
        <f t="shared" si="57"/>
        <v>0</v>
      </c>
      <c r="K880" s="8">
        <f>SUMIFS(His_Operacoes_acoes[Total],His_Operacoes_acoes[Fimmes],Patrimônio!B880,His_Operacoes_acoes[Operação],"JCP")
+ SUMIFS(His_Operacoes_acoes[Total],His_Operacoes_acoes[Fimmes],Patrimônio!B880,His_Operacoes_acoes[Operação],"Divid.")
+ SUMIFS(His_Operacoes_acoes[Total],His_Operacoes_acoes[Fimmes],Patrimônio!B880,His_Operacoes_acoes[Operação],"Bonif.")</f>
        <v>0</v>
      </c>
      <c r="L880" s="8">
        <f>SUMIFS(His_Operacoes_BDRs[Total],His_Operacoes_BDRs[Operação],"Provento",His_Operacoes_BDRs[fimmês],Patrimônio!B880)</f>
        <v>0</v>
      </c>
      <c r="M880" s="8">
        <f>SUMIFS(His_Operacoes_FIIs[Total],His_Operacoes_FIIs[Operação],"Provento",His_Operacoes_FIIs[fimmês],Patrimônio!B880)</f>
        <v>0</v>
      </c>
      <c r="N880" s="8">
        <f t="shared" si="58"/>
        <v>0</v>
      </c>
    </row>
    <row r="881" spans="1:14" x14ac:dyDescent="0.35">
      <c r="A881" s="7">
        <v>69124</v>
      </c>
      <c r="B881" s="7">
        <f t="shared" si="55"/>
        <v>69123</v>
      </c>
      <c r="I881" s="8">
        <f t="shared" si="56"/>
        <v>0</v>
      </c>
      <c r="J881" s="8">
        <f t="shared" si="57"/>
        <v>0</v>
      </c>
      <c r="K881" s="8">
        <f>SUMIFS(His_Operacoes_acoes[Total],His_Operacoes_acoes[Fimmes],Patrimônio!B881,His_Operacoes_acoes[Operação],"JCP")
+ SUMIFS(His_Operacoes_acoes[Total],His_Operacoes_acoes[Fimmes],Patrimônio!B881,His_Operacoes_acoes[Operação],"Divid.")
+ SUMIFS(His_Operacoes_acoes[Total],His_Operacoes_acoes[Fimmes],Patrimônio!B881,His_Operacoes_acoes[Operação],"Bonif.")</f>
        <v>0</v>
      </c>
      <c r="L881" s="8">
        <f>SUMIFS(His_Operacoes_BDRs[Total],His_Operacoes_BDRs[Operação],"Provento",His_Operacoes_BDRs[fimmês],Patrimônio!B881)</f>
        <v>0</v>
      </c>
      <c r="M881" s="8">
        <f>SUMIFS(His_Operacoes_FIIs[Total],His_Operacoes_FIIs[Operação],"Provento",His_Operacoes_FIIs[fimmês],Patrimônio!B881)</f>
        <v>0</v>
      </c>
      <c r="N881" s="8">
        <f t="shared" si="58"/>
        <v>0</v>
      </c>
    </row>
    <row r="882" spans="1:14" x14ac:dyDescent="0.35">
      <c r="A882" s="7">
        <v>69154</v>
      </c>
      <c r="B882" s="7">
        <f t="shared" si="55"/>
        <v>69153</v>
      </c>
      <c r="I882" s="8">
        <f t="shared" si="56"/>
        <v>0</v>
      </c>
      <c r="J882" s="8">
        <f t="shared" si="57"/>
        <v>0</v>
      </c>
      <c r="K882" s="8">
        <f>SUMIFS(His_Operacoes_acoes[Total],His_Operacoes_acoes[Fimmes],Patrimônio!B882,His_Operacoes_acoes[Operação],"JCP")
+ SUMIFS(His_Operacoes_acoes[Total],His_Operacoes_acoes[Fimmes],Patrimônio!B882,His_Operacoes_acoes[Operação],"Divid.")
+ SUMIFS(His_Operacoes_acoes[Total],His_Operacoes_acoes[Fimmes],Patrimônio!B882,His_Operacoes_acoes[Operação],"Bonif.")</f>
        <v>0</v>
      </c>
      <c r="L882" s="8">
        <f>SUMIFS(His_Operacoes_BDRs[Total],His_Operacoes_BDRs[Operação],"Provento",His_Operacoes_BDRs[fimmês],Patrimônio!B882)</f>
        <v>0</v>
      </c>
      <c r="M882" s="8">
        <f>SUMIFS(His_Operacoes_FIIs[Total],His_Operacoes_FIIs[Operação],"Provento",His_Operacoes_FIIs[fimmês],Patrimônio!B882)</f>
        <v>0</v>
      </c>
      <c r="N882" s="8">
        <f t="shared" si="58"/>
        <v>0</v>
      </c>
    </row>
    <row r="883" spans="1:14" x14ac:dyDescent="0.35">
      <c r="A883" s="7">
        <v>69185</v>
      </c>
      <c r="B883" s="7">
        <f t="shared" si="55"/>
        <v>69184</v>
      </c>
      <c r="I883" s="8">
        <f t="shared" si="56"/>
        <v>0</v>
      </c>
      <c r="J883" s="8">
        <f t="shared" si="57"/>
        <v>0</v>
      </c>
      <c r="K883" s="8">
        <f>SUMIFS(His_Operacoes_acoes[Total],His_Operacoes_acoes[Fimmes],Patrimônio!B883,His_Operacoes_acoes[Operação],"JCP")
+ SUMIFS(His_Operacoes_acoes[Total],His_Operacoes_acoes[Fimmes],Patrimônio!B883,His_Operacoes_acoes[Operação],"Divid.")
+ SUMIFS(His_Operacoes_acoes[Total],His_Operacoes_acoes[Fimmes],Patrimônio!B883,His_Operacoes_acoes[Operação],"Bonif.")</f>
        <v>0</v>
      </c>
      <c r="L883" s="8">
        <f>SUMIFS(His_Operacoes_BDRs[Total],His_Operacoes_BDRs[Operação],"Provento",His_Operacoes_BDRs[fimmês],Patrimônio!B883)</f>
        <v>0</v>
      </c>
      <c r="M883" s="8">
        <f>SUMIFS(His_Operacoes_FIIs[Total],His_Operacoes_FIIs[Operação],"Provento",His_Operacoes_FIIs[fimmês],Patrimônio!B883)</f>
        <v>0</v>
      </c>
      <c r="N883" s="8">
        <f t="shared" si="58"/>
        <v>0</v>
      </c>
    </row>
    <row r="884" spans="1:14" x14ac:dyDescent="0.35">
      <c r="A884" s="7">
        <v>69215</v>
      </c>
      <c r="B884" s="7">
        <f t="shared" si="55"/>
        <v>69214</v>
      </c>
      <c r="I884" s="8">
        <f t="shared" si="56"/>
        <v>0</v>
      </c>
      <c r="J884" s="8">
        <f t="shared" si="57"/>
        <v>0</v>
      </c>
      <c r="K884" s="8">
        <f>SUMIFS(His_Operacoes_acoes[Total],His_Operacoes_acoes[Fimmes],Patrimônio!B884,His_Operacoes_acoes[Operação],"JCP")
+ SUMIFS(His_Operacoes_acoes[Total],His_Operacoes_acoes[Fimmes],Patrimônio!B884,His_Operacoes_acoes[Operação],"Divid.")
+ SUMIFS(His_Operacoes_acoes[Total],His_Operacoes_acoes[Fimmes],Patrimônio!B884,His_Operacoes_acoes[Operação],"Bonif.")</f>
        <v>0</v>
      </c>
      <c r="L884" s="8">
        <f>SUMIFS(His_Operacoes_BDRs[Total],His_Operacoes_BDRs[Operação],"Provento",His_Operacoes_BDRs[fimmês],Patrimônio!B884)</f>
        <v>0</v>
      </c>
      <c r="M884" s="8">
        <f>SUMIFS(His_Operacoes_FIIs[Total],His_Operacoes_FIIs[Operação],"Provento",His_Operacoes_FIIs[fimmês],Patrimônio!B884)</f>
        <v>0</v>
      </c>
      <c r="N884" s="8">
        <f t="shared" si="58"/>
        <v>0</v>
      </c>
    </row>
    <row r="885" spans="1:14" x14ac:dyDescent="0.35">
      <c r="A885" s="7">
        <v>69246</v>
      </c>
      <c r="B885" s="7">
        <f t="shared" si="55"/>
        <v>69245</v>
      </c>
      <c r="I885" s="8">
        <f t="shared" si="56"/>
        <v>0</v>
      </c>
      <c r="J885" s="8">
        <f t="shared" si="57"/>
        <v>0</v>
      </c>
      <c r="K885" s="8">
        <f>SUMIFS(His_Operacoes_acoes[Total],His_Operacoes_acoes[Fimmes],Patrimônio!B885,His_Operacoes_acoes[Operação],"JCP")
+ SUMIFS(His_Operacoes_acoes[Total],His_Operacoes_acoes[Fimmes],Patrimônio!B885,His_Operacoes_acoes[Operação],"Divid.")
+ SUMIFS(His_Operacoes_acoes[Total],His_Operacoes_acoes[Fimmes],Patrimônio!B885,His_Operacoes_acoes[Operação],"Bonif.")</f>
        <v>0</v>
      </c>
      <c r="L885" s="8">
        <f>SUMIFS(His_Operacoes_BDRs[Total],His_Operacoes_BDRs[Operação],"Provento",His_Operacoes_BDRs[fimmês],Patrimônio!B885)</f>
        <v>0</v>
      </c>
      <c r="M885" s="8">
        <f>SUMIFS(His_Operacoes_FIIs[Total],His_Operacoes_FIIs[Operação],"Provento",His_Operacoes_FIIs[fimmês],Patrimônio!B885)</f>
        <v>0</v>
      </c>
      <c r="N885" s="8">
        <f t="shared" si="58"/>
        <v>0</v>
      </c>
    </row>
    <row r="886" spans="1:14" x14ac:dyDescent="0.35">
      <c r="A886" s="7">
        <v>69277</v>
      </c>
      <c r="B886" s="7">
        <f t="shared" si="55"/>
        <v>69276</v>
      </c>
      <c r="I886" s="8">
        <f t="shared" si="56"/>
        <v>0</v>
      </c>
      <c r="J886" s="8">
        <f t="shared" si="57"/>
        <v>0</v>
      </c>
      <c r="K886" s="8">
        <f>SUMIFS(His_Operacoes_acoes[Total],His_Operacoes_acoes[Fimmes],Patrimônio!B886,His_Operacoes_acoes[Operação],"JCP")
+ SUMIFS(His_Operacoes_acoes[Total],His_Operacoes_acoes[Fimmes],Patrimônio!B886,His_Operacoes_acoes[Operação],"Divid.")
+ SUMIFS(His_Operacoes_acoes[Total],His_Operacoes_acoes[Fimmes],Patrimônio!B886,His_Operacoes_acoes[Operação],"Bonif.")</f>
        <v>0</v>
      </c>
      <c r="L886" s="8">
        <f>SUMIFS(His_Operacoes_BDRs[Total],His_Operacoes_BDRs[Operação],"Provento",His_Operacoes_BDRs[fimmês],Patrimônio!B886)</f>
        <v>0</v>
      </c>
      <c r="M886" s="8">
        <f>SUMIFS(His_Operacoes_FIIs[Total],His_Operacoes_FIIs[Operação],"Provento",His_Operacoes_FIIs[fimmês],Patrimônio!B886)</f>
        <v>0</v>
      </c>
      <c r="N886" s="8">
        <f t="shared" si="58"/>
        <v>0</v>
      </c>
    </row>
    <row r="887" spans="1:14" x14ac:dyDescent="0.35">
      <c r="A887" s="7">
        <v>69307</v>
      </c>
      <c r="B887" s="7">
        <f t="shared" si="55"/>
        <v>69306</v>
      </c>
      <c r="I887" s="8">
        <f t="shared" si="56"/>
        <v>0</v>
      </c>
      <c r="J887" s="8">
        <f t="shared" si="57"/>
        <v>0</v>
      </c>
      <c r="K887" s="8">
        <f>SUMIFS(His_Operacoes_acoes[Total],His_Operacoes_acoes[Fimmes],Patrimônio!B887,His_Operacoes_acoes[Operação],"JCP")
+ SUMIFS(His_Operacoes_acoes[Total],His_Operacoes_acoes[Fimmes],Patrimônio!B887,His_Operacoes_acoes[Operação],"Divid.")
+ SUMIFS(His_Operacoes_acoes[Total],His_Operacoes_acoes[Fimmes],Patrimônio!B887,His_Operacoes_acoes[Operação],"Bonif.")</f>
        <v>0</v>
      </c>
      <c r="L887" s="8">
        <f>SUMIFS(His_Operacoes_BDRs[Total],His_Operacoes_BDRs[Operação],"Provento",His_Operacoes_BDRs[fimmês],Patrimônio!B887)</f>
        <v>0</v>
      </c>
      <c r="M887" s="8">
        <f>SUMIFS(His_Operacoes_FIIs[Total],His_Operacoes_FIIs[Operação],"Provento",His_Operacoes_FIIs[fimmês],Patrimônio!B887)</f>
        <v>0</v>
      </c>
      <c r="N887" s="8">
        <f t="shared" si="58"/>
        <v>0</v>
      </c>
    </row>
    <row r="888" spans="1:14" x14ac:dyDescent="0.35">
      <c r="A888" s="7">
        <v>69338</v>
      </c>
      <c r="B888" s="7">
        <f t="shared" si="55"/>
        <v>69337</v>
      </c>
      <c r="I888" s="8">
        <f t="shared" si="56"/>
        <v>0</v>
      </c>
      <c r="J888" s="8">
        <f t="shared" si="57"/>
        <v>0</v>
      </c>
      <c r="K888" s="8">
        <f>SUMIFS(His_Operacoes_acoes[Total],His_Operacoes_acoes[Fimmes],Patrimônio!B888,His_Operacoes_acoes[Operação],"JCP")
+ SUMIFS(His_Operacoes_acoes[Total],His_Operacoes_acoes[Fimmes],Patrimônio!B888,His_Operacoes_acoes[Operação],"Divid.")
+ SUMIFS(His_Operacoes_acoes[Total],His_Operacoes_acoes[Fimmes],Patrimônio!B888,His_Operacoes_acoes[Operação],"Bonif.")</f>
        <v>0</v>
      </c>
      <c r="L888" s="8">
        <f>SUMIFS(His_Operacoes_BDRs[Total],His_Operacoes_BDRs[Operação],"Provento",His_Operacoes_BDRs[fimmês],Patrimônio!B888)</f>
        <v>0</v>
      </c>
      <c r="M888" s="8">
        <f>SUMIFS(His_Operacoes_FIIs[Total],His_Operacoes_FIIs[Operação],"Provento",His_Operacoes_FIIs[fimmês],Patrimônio!B888)</f>
        <v>0</v>
      </c>
      <c r="N888" s="8">
        <f t="shared" si="58"/>
        <v>0</v>
      </c>
    </row>
    <row r="889" spans="1:14" x14ac:dyDescent="0.35">
      <c r="A889" s="7">
        <v>69368</v>
      </c>
      <c r="B889" s="7">
        <f t="shared" si="55"/>
        <v>69367</v>
      </c>
      <c r="I889" s="8">
        <f t="shared" si="56"/>
        <v>0</v>
      </c>
      <c r="J889" s="8">
        <f t="shared" si="57"/>
        <v>0</v>
      </c>
      <c r="K889" s="8">
        <f>SUMIFS(His_Operacoes_acoes[Total],His_Operacoes_acoes[Fimmes],Patrimônio!B889,His_Operacoes_acoes[Operação],"JCP")
+ SUMIFS(His_Operacoes_acoes[Total],His_Operacoes_acoes[Fimmes],Patrimônio!B889,His_Operacoes_acoes[Operação],"Divid.")
+ SUMIFS(His_Operacoes_acoes[Total],His_Operacoes_acoes[Fimmes],Patrimônio!B889,His_Operacoes_acoes[Operação],"Bonif.")</f>
        <v>0</v>
      </c>
      <c r="L889" s="8">
        <f>SUMIFS(His_Operacoes_BDRs[Total],His_Operacoes_BDRs[Operação],"Provento",His_Operacoes_BDRs[fimmês],Patrimônio!B889)</f>
        <v>0</v>
      </c>
      <c r="M889" s="8">
        <f>SUMIFS(His_Operacoes_FIIs[Total],His_Operacoes_FIIs[Operação],"Provento",His_Operacoes_FIIs[fimmês],Patrimônio!B889)</f>
        <v>0</v>
      </c>
      <c r="N889" s="8">
        <f t="shared" si="58"/>
        <v>0</v>
      </c>
    </row>
    <row r="890" spans="1:14" x14ac:dyDescent="0.35">
      <c r="A890" s="7">
        <v>69399</v>
      </c>
      <c r="B890" s="7">
        <f t="shared" si="55"/>
        <v>69398</v>
      </c>
      <c r="I890" s="8">
        <f t="shared" si="56"/>
        <v>0</v>
      </c>
      <c r="J890" s="8">
        <f t="shared" si="57"/>
        <v>0</v>
      </c>
      <c r="K890" s="8">
        <f>SUMIFS(His_Operacoes_acoes[Total],His_Operacoes_acoes[Fimmes],Patrimônio!B890,His_Operacoes_acoes[Operação],"JCP")
+ SUMIFS(His_Operacoes_acoes[Total],His_Operacoes_acoes[Fimmes],Patrimônio!B890,His_Operacoes_acoes[Operação],"Divid.")
+ SUMIFS(His_Operacoes_acoes[Total],His_Operacoes_acoes[Fimmes],Patrimônio!B890,His_Operacoes_acoes[Operação],"Bonif.")</f>
        <v>0</v>
      </c>
      <c r="L890" s="8">
        <f>SUMIFS(His_Operacoes_BDRs[Total],His_Operacoes_BDRs[Operação],"Provento",His_Operacoes_BDRs[fimmês],Patrimônio!B890)</f>
        <v>0</v>
      </c>
      <c r="M890" s="8">
        <f>SUMIFS(His_Operacoes_FIIs[Total],His_Operacoes_FIIs[Operação],"Provento",His_Operacoes_FIIs[fimmês],Patrimônio!B890)</f>
        <v>0</v>
      </c>
      <c r="N890" s="8">
        <f t="shared" si="58"/>
        <v>0</v>
      </c>
    </row>
    <row r="891" spans="1:14" x14ac:dyDescent="0.35">
      <c r="A891" s="7">
        <v>69430</v>
      </c>
      <c r="B891" s="7">
        <f t="shared" si="55"/>
        <v>69429</v>
      </c>
      <c r="I891" s="8">
        <f t="shared" si="56"/>
        <v>0</v>
      </c>
      <c r="J891" s="8">
        <f t="shared" si="57"/>
        <v>0</v>
      </c>
      <c r="K891" s="8">
        <f>SUMIFS(His_Operacoes_acoes[Total],His_Operacoes_acoes[Fimmes],Patrimônio!B891,His_Operacoes_acoes[Operação],"JCP")
+ SUMIFS(His_Operacoes_acoes[Total],His_Operacoes_acoes[Fimmes],Patrimônio!B891,His_Operacoes_acoes[Operação],"Divid.")
+ SUMIFS(His_Operacoes_acoes[Total],His_Operacoes_acoes[Fimmes],Patrimônio!B891,His_Operacoes_acoes[Operação],"Bonif.")</f>
        <v>0</v>
      </c>
      <c r="L891" s="8">
        <f>SUMIFS(His_Operacoes_BDRs[Total],His_Operacoes_BDRs[Operação],"Provento",His_Operacoes_BDRs[fimmês],Patrimônio!B891)</f>
        <v>0</v>
      </c>
      <c r="M891" s="8">
        <f>SUMIFS(His_Operacoes_FIIs[Total],His_Operacoes_FIIs[Operação],"Provento",His_Operacoes_FIIs[fimmês],Patrimônio!B891)</f>
        <v>0</v>
      </c>
      <c r="N891" s="8">
        <f t="shared" si="58"/>
        <v>0</v>
      </c>
    </row>
    <row r="892" spans="1:14" x14ac:dyDescent="0.35">
      <c r="A892" s="7">
        <v>69458</v>
      </c>
      <c r="B892" s="7">
        <f t="shared" si="55"/>
        <v>69457</v>
      </c>
      <c r="I892" s="8">
        <f t="shared" si="56"/>
        <v>0</v>
      </c>
      <c r="J892" s="8">
        <f t="shared" si="57"/>
        <v>0</v>
      </c>
      <c r="K892" s="8">
        <f>SUMIFS(His_Operacoes_acoes[Total],His_Operacoes_acoes[Fimmes],Patrimônio!B892,His_Operacoes_acoes[Operação],"JCP")
+ SUMIFS(His_Operacoes_acoes[Total],His_Operacoes_acoes[Fimmes],Patrimônio!B892,His_Operacoes_acoes[Operação],"Divid.")
+ SUMIFS(His_Operacoes_acoes[Total],His_Operacoes_acoes[Fimmes],Patrimônio!B892,His_Operacoes_acoes[Operação],"Bonif.")</f>
        <v>0</v>
      </c>
      <c r="L892" s="8">
        <f>SUMIFS(His_Operacoes_BDRs[Total],His_Operacoes_BDRs[Operação],"Provento",His_Operacoes_BDRs[fimmês],Patrimônio!B892)</f>
        <v>0</v>
      </c>
      <c r="M892" s="8">
        <f>SUMIFS(His_Operacoes_FIIs[Total],His_Operacoes_FIIs[Operação],"Provento",His_Operacoes_FIIs[fimmês],Patrimônio!B892)</f>
        <v>0</v>
      </c>
      <c r="N892" s="8">
        <f t="shared" si="58"/>
        <v>0</v>
      </c>
    </row>
    <row r="893" spans="1:14" x14ac:dyDescent="0.35">
      <c r="A893" s="7">
        <v>69489</v>
      </c>
      <c r="B893" s="7">
        <f t="shared" si="55"/>
        <v>69488</v>
      </c>
      <c r="I893" s="8">
        <f t="shared" si="56"/>
        <v>0</v>
      </c>
      <c r="J893" s="8">
        <f t="shared" si="57"/>
        <v>0</v>
      </c>
      <c r="K893" s="8">
        <f>SUMIFS(His_Operacoes_acoes[Total],His_Operacoes_acoes[Fimmes],Patrimônio!B893,His_Operacoes_acoes[Operação],"JCP")
+ SUMIFS(His_Operacoes_acoes[Total],His_Operacoes_acoes[Fimmes],Patrimônio!B893,His_Operacoes_acoes[Operação],"Divid.")
+ SUMIFS(His_Operacoes_acoes[Total],His_Operacoes_acoes[Fimmes],Patrimônio!B893,His_Operacoes_acoes[Operação],"Bonif.")</f>
        <v>0</v>
      </c>
      <c r="L893" s="8">
        <f>SUMIFS(His_Operacoes_BDRs[Total],His_Operacoes_BDRs[Operação],"Provento",His_Operacoes_BDRs[fimmês],Patrimônio!B893)</f>
        <v>0</v>
      </c>
      <c r="M893" s="8">
        <f>SUMIFS(His_Operacoes_FIIs[Total],His_Operacoes_FIIs[Operação],"Provento",His_Operacoes_FIIs[fimmês],Patrimônio!B893)</f>
        <v>0</v>
      </c>
      <c r="N893" s="8">
        <f t="shared" si="58"/>
        <v>0</v>
      </c>
    </row>
    <row r="894" spans="1:14" x14ac:dyDescent="0.35">
      <c r="A894" s="7">
        <v>69519</v>
      </c>
      <c r="B894" s="7">
        <f t="shared" si="55"/>
        <v>69518</v>
      </c>
      <c r="I894" s="8">
        <f t="shared" si="56"/>
        <v>0</v>
      </c>
      <c r="J894" s="8">
        <f t="shared" si="57"/>
        <v>0</v>
      </c>
      <c r="K894" s="8">
        <f>SUMIFS(His_Operacoes_acoes[Total],His_Operacoes_acoes[Fimmes],Patrimônio!B894,His_Operacoes_acoes[Operação],"JCP")
+ SUMIFS(His_Operacoes_acoes[Total],His_Operacoes_acoes[Fimmes],Patrimônio!B894,His_Operacoes_acoes[Operação],"Divid.")
+ SUMIFS(His_Operacoes_acoes[Total],His_Operacoes_acoes[Fimmes],Patrimônio!B894,His_Operacoes_acoes[Operação],"Bonif.")</f>
        <v>0</v>
      </c>
      <c r="L894" s="8">
        <f>SUMIFS(His_Operacoes_BDRs[Total],His_Operacoes_BDRs[Operação],"Provento",His_Operacoes_BDRs[fimmês],Patrimônio!B894)</f>
        <v>0</v>
      </c>
      <c r="M894" s="8">
        <f>SUMIFS(His_Operacoes_FIIs[Total],His_Operacoes_FIIs[Operação],"Provento",His_Operacoes_FIIs[fimmês],Patrimônio!B894)</f>
        <v>0</v>
      </c>
      <c r="N894" s="8">
        <f t="shared" si="58"/>
        <v>0</v>
      </c>
    </row>
    <row r="895" spans="1:14" x14ac:dyDescent="0.35">
      <c r="A895" s="7">
        <v>69550</v>
      </c>
      <c r="B895" s="7">
        <f t="shared" si="55"/>
        <v>69549</v>
      </c>
      <c r="I895" s="8">
        <f t="shared" si="56"/>
        <v>0</v>
      </c>
      <c r="J895" s="8">
        <f t="shared" si="57"/>
        <v>0</v>
      </c>
      <c r="K895" s="8">
        <f>SUMIFS(His_Operacoes_acoes[Total],His_Operacoes_acoes[Fimmes],Patrimônio!B895,His_Operacoes_acoes[Operação],"JCP")
+ SUMIFS(His_Operacoes_acoes[Total],His_Operacoes_acoes[Fimmes],Patrimônio!B895,His_Operacoes_acoes[Operação],"Divid.")
+ SUMIFS(His_Operacoes_acoes[Total],His_Operacoes_acoes[Fimmes],Patrimônio!B895,His_Operacoes_acoes[Operação],"Bonif.")</f>
        <v>0</v>
      </c>
      <c r="L895" s="8">
        <f>SUMIFS(His_Operacoes_BDRs[Total],His_Operacoes_BDRs[Operação],"Provento",His_Operacoes_BDRs[fimmês],Patrimônio!B895)</f>
        <v>0</v>
      </c>
      <c r="M895" s="8">
        <f>SUMIFS(His_Operacoes_FIIs[Total],His_Operacoes_FIIs[Operação],"Provento",His_Operacoes_FIIs[fimmês],Patrimônio!B895)</f>
        <v>0</v>
      </c>
      <c r="N895" s="8">
        <f t="shared" si="58"/>
        <v>0</v>
      </c>
    </row>
    <row r="896" spans="1:14" x14ac:dyDescent="0.35">
      <c r="A896" s="7">
        <v>69580</v>
      </c>
      <c r="B896" s="7">
        <f t="shared" si="55"/>
        <v>69579</v>
      </c>
      <c r="I896" s="8">
        <f t="shared" si="56"/>
        <v>0</v>
      </c>
      <c r="J896" s="8">
        <f t="shared" si="57"/>
        <v>0</v>
      </c>
      <c r="K896" s="8">
        <f>SUMIFS(His_Operacoes_acoes[Total],His_Operacoes_acoes[Fimmes],Patrimônio!B896,His_Operacoes_acoes[Operação],"JCP")
+ SUMIFS(His_Operacoes_acoes[Total],His_Operacoes_acoes[Fimmes],Patrimônio!B896,His_Operacoes_acoes[Operação],"Divid.")
+ SUMIFS(His_Operacoes_acoes[Total],His_Operacoes_acoes[Fimmes],Patrimônio!B896,His_Operacoes_acoes[Operação],"Bonif.")</f>
        <v>0</v>
      </c>
      <c r="L896" s="8">
        <f>SUMIFS(His_Operacoes_BDRs[Total],His_Operacoes_BDRs[Operação],"Provento",His_Operacoes_BDRs[fimmês],Patrimônio!B896)</f>
        <v>0</v>
      </c>
      <c r="M896" s="8">
        <f>SUMIFS(His_Operacoes_FIIs[Total],His_Operacoes_FIIs[Operação],"Provento",His_Operacoes_FIIs[fimmês],Patrimônio!B896)</f>
        <v>0</v>
      </c>
      <c r="N896" s="8">
        <f t="shared" si="58"/>
        <v>0</v>
      </c>
    </row>
    <row r="897" spans="1:14" x14ac:dyDescent="0.35">
      <c r="A897" s="7">
        <v>69611</v>
      </c>
      <c r="B897" s="7">
        <f t="shared" si="55"/>
        <v>69610</v>
      </c>
      <c r="I897" s="8">
        <f t="shared" si="56"/>
        <v>0</v>
      </c>
      <c r="J897" s="8">
        <f t="shared" si="57"/>
        <v>0</v>
      </c>
      <c r="K897" s="8">
        <f>SUMIFS(His_Operacoes_acoes[Total],His_Operacoes_acoes[Fimmes],Patrimônio!B897,His_Operacoes_acoes[Operação],"JCP")
+ SUMIFS(His_Operacoes_acoes[Total],His_Operacoes_acoes[Fimmes],Patrimônio!B897,His_Operacoes_acoes[Operação],"Divid.")
+ SUMIFS(His_Operacoes_acoes[Total],His_Operacoes_acoes[Fimmes],Patrimônio!B897,His_Operacoes_acoes[Operação],"Bonif.")</f>
        <v>0</v>
      </c>
      <c r="L897" s="8">
        <f>SUMIFS(His_Operacoes_BDRs[Total],His_Operacoes_BDRs[Operação],"Provento",His_Operacoes_BDRs[fimmês],Patrimônio!B897)</f>
        <v>0</v>
      </c>
      <c r="M897" s="8">
        <f>SUMIFS(His_Operacoes_FIIs[Total],His_Operacoes_FIIs[Operação],"Provento",His_Operacoes_FIIs[fimmês],Patrimônio!B897)</f>
        <v>0</v>
      </c>
      <c r="N897" s="8">
        <f t="shared" si="58"/>
        <v>0</v>
      </c>
    </row>
    <row r="898" spans="1:14" x14ac:dyDescent="0.35">
      <c r="A898" s="7">
        <v>69642</v>
      </c>
      <c r="B898" s="7">
        <f t="shared" si="55"/>
        <v>69641</v>
      </c>
      <c r="I898" s="8">
        <f t="shared" si="56"/>
        <v>0</v>
      </c>
      <c r="J898" s="8">
        <f t="shared" si="57"/>
        <v>0</v>
      </c>
      <c r="K898" s="8">
        <f>SUMIFS(His_Operacoes_acoes[Total],His_Operacoes_acoes[Fimmes],Patrimônio!B898,His_Operacoes_acoes[Operação],"JCP")
+ SUMIFS(His_Operacoes_acoes[Total],His_Operacoes_acoes[Fimmes],Patrimônio!B898,His_Operacoes_acoes[Operação],"Divid.")
+ SUMIFS(His_Operacoes_acoes[Total],His_Operacoes_acoes[Fimmes],Patrimônio!B898,His_Operacoes_acoes[Operação],"Bonif.")</f>
        <v>0</v>
      </c>
      <c r="L898" s="8">
        <f>SUMIFS(His_Operacoes_BDRs[Total],His_Operacoes_BDRs[Operação],"Provento",His_Operacoes_BDRs[fimmês],Patrimônio!B898)</f>
        <v>0</v>
      </c>
      <c r="M898" s="8">
        <f>SUMIFS(His_Operacoes_FIIs[Total],His_Operacoes_FIIs[Operação],"Provento",His_Operacoes_FIIs[fimmês],Patrimônio!B898)</f>
        <v>0</v>
      </c>
      <c r="N898" s="8">
        <f t="shared" si="58"/>
        <v>0</v>
      </c>
    </row>
    <row r="899" spans="1:14" x14ac:dyDescent="0.35">
      <c r="A899" s="7">
        <v>69672</v>
      </c>
      <c r="B899" s="7">
        <f t="shared" ref="B899:B962" si="59">EOMONTH(A899,-1)</f>
        <v>69671</v>
      </c>
      <c r="I899" s="8">
        <f t="shared" ref="I899:I962" si="60">SUM(C899,E899,G899)</f>
        <v>0</v>
      </c>
      <c r="J899" s="8">
        <f t="shared" ref="J899:J962" si="61">SUM(D899,F899,H899)</f>
        <v>0</v>
      </c>
      <c r="K899" s="8">
        <f>SUMIFS(His_Operacoes_acoes[Total],His_Operacoes_acoes[Fimmes],Patrimônio!B899,His_Operacoes_acoes[Operação],"JCP")
+ SUMIFS(His_Operacoes_acoes[Total],His_Operacoes_acoes[Fimmes],Patrimônio!B899,His_Operacoes_acoes[Operação],"Divid.")
+ SUMIFS(His_Operacoes_acoes[Total],His_Operacoes_acoes[Fimmes],Patrimônio!B899,His_Operacoes_acoes[Operação],"Bonif.")</f>
        <v>0</v>
      </c>
      <c r="L899" s="8">
        <f>SUMIFS(His_Operacoes_BDRs[Total],His_Operacoes_BDRs[Operação],"Provento",His_Operacoes_BDRs[fimmês],Patrimônio!B899)</f>
        <v>0</v>
      </c>
      <c r="M899" s="8">
        <f>SUMIFS(His_Operacoes_FIIs[Total],His_Operacoes_FIIs[Operação],"Provento",His_Operacoes_FIIs[fimmês],Patrimônio!B899)</f>
        <v>0</v>
      </c>
      <c r="N899" s="8">
        <f t="shared" ref="N899:N962" si="62">SUM(K899:M899)</f>
        <v>0</v>
      </c>
    </row>
    <row r="900" spans="1:14" x14ac:dyDescent="0.35">
      <c r="A900" s="7">
        <v>69703</v>
      </c>
      <c r="B900" s="7">
        <f t="shared" si="59"/>
        <v>69702</v>
      </c>
      <c r="I900" s="8">
        <f t="shared" si="60"/>
        <v>0</v>
      </c>
      <c r="J900" s="8">
        <f t="shared" si="61"/>
        <v>0</v>
      </c>
      <c r="K900" s="8">
        <f>SUMIFS(His_Operacoes_acoes[Total],His_Operacoes_acoes[Fimmes],Patrimônio!B900,His_Operacoes_acoes[Operação],"JCP")
+ SUMIFS(His_Operacoes_acoes[Total],His_Operacoes_acoes[Fimmes],Patrimônio!B900,His_Operacoes_acoes[Operação],"Divid.")
+ SUMIFS(His_Operacoes_acoes[Total],His_Operacoes_acoes[Fimmes],Patrimônio!B900,His_Operacoes_acoes[Operação],"Bonif.")</f>
        <v>0</v>
      </c>
      <c r="L900" s="8">
        <f>SUMIFS(His_Operacoes_BDRs[Total],His_Operacoes_BDRs[Operação],"Provento",His_Operacoes_BDRs[fimmês],Patrimônio!B900)</f>
        <v>0</v>
      </c>
      <c r="M900" s="8">
        <f>SUMIFS(His_Operacoes_FIIs[Total],His_Operacoes_FIIs[Operação],"Provento",His_Operacoes_FIIs[fimmês],Patrimônio!B900)</f>
        <v>0</v>
      </c>
      <c r="N900" s="8">
        <f t="shared" si="62"/>
        <v>0</v>
      </c>
    </row>
    <row r="901" spans="1:14" x14ac:dyDescent="0.35">
      <c r="A901" s="7">
        <v>69733</v>
      </c>
      <c r="B901" s="7">
        <f t="shared" si="59"/>
        <v>69732</v>
      </c>
      <c r="I901" s="8">
        <f t="shared" si="60"/>
        <v>0</v>
      </c>
      <c r="J901" s="8">
        <f t="shared" si="61"/>
        <v>0</v>
      </c>
      <c r="K901" s="8">
        <f>SUMIFS(His_Operacoes_acoes[Total],His_Operacoes_acoes[Fimmes],Patrimônio!B901,His_Operacoes_acoes[Operação],"JCP")
+ SUMIFS(His_Operacoes_acoes[Total],His_Operacoes_acoes[Fimmes],Patrimônio!B901,His_Operacoes_acoes[Operação],"Divid.")
+ SUMIFS(His_Operacoes_acoes[Total],His_Operacoes_acoes[Fimmes],Patrimônio!B901,His_Operacoes_acoes[Operação],"Bonif.")</f>
        <v>0</v>
      </c>
      <c r="L901" s="8">
        <f>SUMIFS(His_Operacoes_BDRs[Total],His_Operacoes_BDRs[Operação],"Provento",His_Operacoes_BDRs[fimmês],Patrimônio!B901)</f>
        <v>0</v>
      </c>
      <c r="M901" s="8">
        <f>SUMIFS(His_Operacoes_FIIs[Total],His_Operacoes_FIIs[Operação],"Provento",His_Operacoes_FIIs[fimmês],Patrimônio!B901)</f>
        <v>0</v>
      </c>
      <c r="N901" s="8">
        <f t="shared" si="62"/>
        <v>0</v>
      </c>
    </row>
    <row r="902" spans="1:14" x14ac:dyDescent="0.35">
      <c r="A902" s="7">
        <v>69764</v>
      </c>
      <c r="B902" s="7">
        <f t="shared" si="59"/>
        <v>69763</v>
      </c>
      <c r="I902" s="8">
        <f t="shared" si="60"/>
        <v>0</v>
      </c>
      <c r="J902" s="8">
        <f t="shared" si="61"/>
        <v>0</v>
      </c>
      <c r="K902" s="8">
        <f>SUMIFS(His_Operacoes_acoes[Total],His_Operacoes_acoes[Fimmes],Patrimônio!B902,His_Operacoes_acoes[Operação],"JCP")
+ SUMIFS(His_Operacoes_acoes[Total],His_Operacoes_acoes[Fimmes],Patrimônio!B902,His_Operacoes_acoes[Operação],"Divid.")
+ SUMIFS(His_Operacoes_acoes[Total],His_Operacoes_acoes[Fimmes],Patrimônio!B902,His_Operacoes_acoes[Operação],"Bonif.")</f>
        <v>0</v>
      </c>
      <c r="L902" s="8">
        <f>SUMIFS(His_Operacoes_BDRs[Total],His_Operacoes_BDRs[Operação],"Provento",His_Operacoes_BDRs[fimmês],Patrimônio!B902)</f>
        <v>0</v>
      </c>
      <c r="M902" s="8">
        <f>SUMIFS(His_Operacoes_FIIs[Total],His_Operacoes_FIIs[Operação],"Provento",His_Operacoes_FIIs[fimmês],Patrimônio!B902)</f>
        <v>0</v>
      </c>
      <c r="N902" s="8">
        <f t="shared" si="62"/>
        <v>0</v>
      </c>
    </row>
    <row r="903" spans="1:14" x14ac:dyDescent="0.35">
      <c r="A903" s="7">
        <v>69795</v>
      </c>
      <c r="B903" s="7">
        <f t="shared" si="59"/>
        <v>69794</v>
      </c>
      <c r="I903" s="8">
        <f t="shared" si="60"/>
        <v>0</v>
      </c>
      <c r="J903" s="8">
        <f t="shared" si="61"/>
        <v>0</v>
      </c>
      <c r="K903" s="8">
        <f>SUMIFS(His_Operacoes_acoes[Total],His_Operacoes_acoes[Fimmes],Patrimônio!B903,His_Operacoes_acoes[Operação],"JCP")
+ SUMIFS(His_Operacoes_acoes[Total],His_Operacoes_acoes[Fimmes],Patrimônio!B903,His_Operacoes_acoes[Operação],"Divid.")
+ SUMIFS(His_Operacoes_acoes[Total],His_Operacoes_acoes[Fimmes],Patrimônio!B903,His_Operacoes_acoes[Operação],"Bonif.")</f>
        <v>0</v>
      </c>
      <c r="L903" s="8">
        <f>SUMIFS(His_Operacoes_BDRs[Total],His_Operacoes_BDRs[Operação],"Provento",His_Operacoes_BDRs[fimmês],Patrimônio!B903)</f>
        <v>0</v>
      </c>
      <c r="M903" s="8">
        <f>SUMIFS(His_Operacoes_FIIs[Total],His_Operacoes_FIIs[Operação],"Provento",His_Operacoes_FIIs[fimmês],Patrimônio!B903)</f>
        <v>0</v>
      </c>
      <c r="N903" s="8">
        <f t="shared" si="62"/>
        <v>0</v>
      </c>
    </row>
    <row r="904" spans="1:14" x14ac:dyDescent="0.35">
      <c r="A904" s="7">
        <v>69823</v>
      </c>
      <c r="B904" s="7">
        <f t="shared" si="59"/>
        <v>69822</v>
      </c>
      <c r="I904" s="8">
        <f t="shared" si="60"/>
        <v>0</v>
      </c>
      <c r="J904" s="8">
        <f t="shared" si="61"/>
        <v>0</v>
      </c>
      <c r="K904" s="8">
        <f>SUMIFS(His_Operacoes_acoes[Total],His_Operacoes_acoes[Fimmes],Patrimônio!B904,His_Operacoes_acoes[Operação],"JCP")
+ SUMIFS(His_Operacoes_acoes[Total],His_Operacoes_acoes[Fimmes],Patrimônio!B904,His_Operacoes_acoes[Operação],"Divid.")
+ SUMIFS(His_Operacoes_acoes[Total],His_Operacoes_acoes[Fimmes],Patrimônio!B904,His_Operacoes_acoes[Operação],"Bonif.")</f>
        <v>0</v>
      </c>
      <c r="L904" s="8">
        <f>SUMIFS(His_Operacoes_BDRs[Total],His_Operacoes_BDRs[Operação],"Provento",His_Operacoes_BDRs[fimmês],Patrimônio!B904)</f>
        <v>0</v>
      </c>
      <c r="M904" s="8">
        <f>SUMIFS(His_Operacoes_FIIs[Total],His_Operacoes_FIIs[Operação],"Provento",His_Operacoes_FIIs[fimmês],Patrimônio!B904)</f>
        <v>0</v>
      </c>
      <c r="N904" s="8">
        <f t="shared" si="62"/>
        <v>0</v>
      </c>
    </row>
    <row r="905" spans="1:14" x14ac:dyDescent="0.35">
      <c r="A905" s="7">
        <v>69854</v>
      </c>
      <c r="B905" s="7">
        <f t="shared" si="59"/>
        <v>69853</v>
      </c>
      <c r="I905" s="8">
        <f t="shared" si="60"/>
        <v>0</v>
      </c>
      <c r="J905" s="8">
        <f t="shared" si="61"/>
        <v>0</v>
      </c>
      <c r="K905" s="8">
        <f>SUMIFS(His_Operacoes_acoes[Total],His_Operacoes_acoes[Fimmes],Patrimônio!B905,His_Operacoes_acoes[Operação],"JCP")
+ SUMIFS(His_Operacoes_acoes[Total],His_Operacoes_acoes[Fimmes],Patrimônio!B905,His_Operacoes_acoes[Operação],"Divid.")
+ SUMIFS(His_Operacoes_acoes[Total],His_Operacoes_acoes[Fimmes],Patrimônio!B905,His_Operacoes_acoes[Operação],"Bonif.")</f>
        <v>0</v>
      </c>
      <c r="L905" s="8">
        <f>SUMIFS(His_Operacoes_BDRs[Total],His_Operacoes_BDRs[Operação],"Provento",His_Operacoes_BDRs[fimmês],Patrimônio!B905)</f>
        <v>0</v>
      </c>
      <c r="M905" s="8">
        <f>SUMIFS(His_Operacoes_FIIs[Total],His_Operacoes_FIIs[Operação],"Provento",His_Operacoes_FIIs[fimmês],Patrimônio!B905)</f>
        <v>0</v>
      </c>
      <c r="N905" s="8">
        <f t="shared" si="62"/>
        <v>0</v>
      </c>
    </row>
    <row r="906" spans="1:14" x14ac:dyDescent="0.35">
      <c r="A906" s="7">
        <v>69884</v>
      </c>
      <c r="B906" s="7">
        <f t="shared" si="59"/>
        <v>69883</v>
      </c>
      <c r="I906" s="8">
        <f t="shared" si="60"/>
        <v>0</v>
      </c>
      <c r="J906" s="8">
        <f t="shared" si="61"/>
        <v>0</v>
      </c>
      <c r="K906" s="8">
        <f>SUMIFS(His_Operacoes_acoes[Total],His_Operacoes_acoes[Fimmes],Patrimônio!B906,His_Operacoes_acoes[Operação],"JCP")
+ SUMIFS(His_Operacoes_acoes[Total],His_Operacoes_acoes[Fimmes],Patrimônio!B906,His_Operacoes_acoes[Operação],"Divid.")
+ SUMIFS(His_Operacoes_acoes[Total],His_Operacoes_acoes[Fimmes],Patrimônio!B906,His_Operacoes_acoes[Operação],"Bonif.")</f>
        <v>0</v>
      </c>
      <c r="L906" s="8">
        <f>SUMIFS(His_Operacoes_BDRs[Total],His_Operacoes_BDRs[Operação],"Provento",His_Operacoes_BDRs[fimmês],Patrimônio!B906)</f>
        <v>0</v>
      </c>
      <c r="M906" s="8">
        <f>SUMIFS(His_Operacoes_FIIs[Total],His_Operacoes_FIIs[Operação],"Provento",His_Operacoes_FIIs[fimmês],Patrimônio!B906)</f>
        <v>0</v>
      </c>
      <c r="N906" s="8">
        <f t="shared" si="62"/>
        <v>0</v>
      </c>
    </row>
    <row r="907" spans="1:14" x14ac:dyDescent="0.35">
      <c r="A907" s="7">
        <v>69915</v>
      </c>
      <c r="B907" s="7">
        <f t="shared" si="59"/>
        <v>69914</v>
      </c>
      <c r="I907" s="8">
        <f t="shared" si="60"/>
        <v>0</v>
      </c>
      <c r="J907" s="8">
        <f t="shared" si="61"/>
        <v>0</v>
      </c>
      <c r="K907" s="8">
        <f>SUMIFS(His_Operacoes_acoes[Total],His_Operacoes_acoes[Fimmes],Patrimônio!B907,His_Operacoes_acoes[Operação],"JCP")
+ SUMIFS(His_Operacoes_acoes[Total],His_Operacoes_acoes[Fimmes],Patrimônio!B907,His_Operacoes_acoes[Operação],"Divid.")
+ SUMIFS(His_Operacoes_acoes[Total],His_Operacoes_acoes[Fimmes],Patrimônio!B907,His_Operacoes_acoes[Operação],"Bonif.")</f>
        <v>0</v>
      </c>
      <c r="L907" s="8">
        <f>SUMIFS(His_Operacoes_BDRs[Total],His_Operacoes_BDRs[Operação],"Provento",His_Operacoes_BDRs[fimmês],Patrimônio!B907)</f>
        <v>0</v>
      </c>
      <c r="M907" s="8">
        <f>SUMIFS(His_Operacoes_FIIs[Total],His_Operacoes_FIIs[Operação],"Provento",His_Operacoes_FIIs[fimmês],Patrimônio!B907)</f>
        <v>0</v>
      </c>
      <c r="N907" s="8">
        <f t="shared" si="62"/>
        <v>0</v>
      </c>
    </row>
    <row r="908" spans="1:14" x14ac:dyDescent="0.35">
      <c r="A908" s="7">
        <v>69945</v>
      </c>
      <c r="B908" s="7">
        <f t="shared" si="59"/>
        <v>69944</v>
      </c>
      <c r="I908" s="8">
        <f t="shared" si="60"/>
        <v>0</v>
      </c>
      <c r="J908" s="8">
        <f t="shared" si="61"/>
        <v>0</v>
      </c>
      <c r="K908" s="8">
        <f>SUMIFS(His_Operacoes_acoes[Total],His_Operacoes_acoes[Fimmes],Patrimônio!B908,His_Operacoes_acoes[Operação],"JCP")
+ SUMIFS(His_Operacoes_acoes[Total],His_Operacoes_acoes[Fimmes],Patrimônio!B908,His_Operacoes_acoes[Operação],"Divid.")
+ SUMIFS(His_Operacoes_acoes[Total],His_Operacoes_acoes[Fimmes],Patrimônio!B908,His_Operacoes_acoes[Operação],"Bonif.")</f>
        <v>0</v>
      </c>
      <c r="L908" s="8">
        <f>SUMIFS(His_Operacoes_BDRs[Total],His_Operacoes_BDRs[Operação],"Provento",His_Operacoes_BDRs[fimmês],Patrimônio!B908)</f>
        <v>0</v>
      </c>
      <c r="M908" s="8">
        <f>SUMIFS(His_Operacoes_FIIs[Total],His_Operacoes_FIIs[Operação],"Provento",His_Operacoes_FIIs[fimmês],Patrimônio!B908)</f>
        <v>0</v>
      </c>
      <c r="N908" s="8">
        <f t="shared" si="62"/>
        <v>0</v>
      </c>
    </row>
    <row r="909" spans="1:14" x14ac:dyDescent="0.35">
      <c r="A909" s="7">
        <v>69976</v>
      </c>
      <c r="B909" s="7">
        <f t="shared" si="59"/>
        <v>69975</v>
      </c>
      <c r="I909" s="8">
        <f t="shared" si="60"/>
        <v>0</v>
      </c>
      <c r="J909" s="8">
        <f t="shared" si="61"/>
        <v>0</v>
      </c>
      <c r="K909" s="8">
        <f>SUMIFS(His_Operacoes_acoes[Total],His_Operacoes_acoes[Fimmes],Patrimônio!B909,His_Operacoes_acoes[Operação],"JCP")
+ SUMIFS(His_Operacoes_acoes[Total],His_Operacoes_acoes[Fimmes],Patrimônio!B909,His_Operacoes_acoes[Operação],"Divid.")
+ SUMIFS(His_Operacoes_acoes[Total],His_Operacoes_acoes[Fimmes],Patrimônio!B909,His_Operacoes_acoes[Operação],"Bonif.")</f>
        <v>0</v>
      </c>
      <c r="L909" s="8">
        <f>SUMIFS(His_Operacoes_BDRs[Total],His_Operacoes_BDRs[Operação],"Provento",His_Operacoes_BDRs[fimmês],Patrimônio!B909)</f>
        <v>0</v>
      </c>
      <c r="M909" s="8">
        <f>SUMIFS(His_Operacoes_FIIs[Total],His_Operacoes_FIIs[Operação],"Provento",His_Operacoes_FIIs[fimmês],Patrimônio!B909)</f>
        <v>0</v>
      </c>
      <c r="N909" s="8">
        <f t="shared" si="62"/>
        <v>0</v>
      </c>
    </row>
    <row r="910" spans="1:14" x14ac:dyDescent="0.35">
      <c r="A910" s="7">
        <v>70007</v>
      </c>
      <c r="B910" s="7">
        <f t="shared" si="59"/>
        <v>70006</v>
      </c>
      <c r="I910" s="8">
        <f t="shared" si="60"/>
        <v>0</v>
      </c>
      <c r="J910" s="8">
        <f t="shared" si="61"/>
        <v>0</v>
      </c>
      <c r="K910" s="8">
        <f>SUMIFS(His_Operacoes_acoes[Total],His_Operacoes_acoes[Fimmes],Patrimônio!B910,His_Operacoes_acoes[Operação],"JCP")
+ SUMIFS(His_Operacoes_acoes[Total],His_Operacoes_acoes[Fimmes],Patrimônio!B910,His_Operacoes_acoes[Operação],"Divid.")
+ SUMIFS(His_Operacoes_acoes[Total],His_Operacoes_acoes[Fimmes],Patrimônio!B910,His_Operacoes_acoes[Operação],"Bonif.")</f>
        <v>0</v>
      </c>
      <c r="L910" s="8">
        <f>SUMIFS(His_Operacoes_BDRs[Total],His_Operacoes_BDRs[Operação],"Provento",His_Operacoes_BDRs[fimmês],Patrimônio!B910)</f>
        <v>0</v>
      </c>
      <c r="M910" s="8">
        <f>SUMIFS(His_Operacoes_FIIs[Total],His_Operacoes_FIIs[Operação],"Provento",His_Operacoes_FIIs[fimmês],Patrimônio!B910)</f>
        <v>0</v>
      </c>
      <c r="N910" s="8">
        <f t="shared" si="62"/>
        <v>0</v>
      </c>
    </row>
    <row r="911" spans="1:14" x14ac:dyDescent="0.35">
      <c r="A911" s="7">
        <v>70037</v>
      </c>
      <c r="B911" s="7">
        <f t="shared" si="59"/>
        <v>70036</v>
      </c>
      <c r="I911" s="8">
        <f t="shared" si="60"/>
        <v>0</v>
      </c>
      <c r="J911" s="8">
        <f t="shared" si="61"/>
        <v>0</v>
      </c>
      <c r="K911" s="8">
        <f>SUMIFS(His_Operacoes_acoes[Total],His_Operacoes_acoes[Fimmes],Patrimônio!B911,His_Operacoes_acoes[Operação],"JCP")
+ SUMIFS(His_Operacoes_acoes[Total],His_Operacoes_acoes[Fimmes],Patrimônio!B911,His_Operacoes_acoes[Operação],"Divid.")
+ SUMIFS(His_Operacoes_acoes[Total],His_Operacoes_acoes[Fimmes],Patrimônio!B911,His_Operacoes_acoes[Operação],"Bonif.")</f>
        <v>0</v>
      </c>
      <c r="L911" s="8">
        <f>SUMIFS(His_Operacoes_BDRs[Total],His_Operacoes_BDRs[Operação],"Provento",His_Operacoes_BDRs[fimmês],Patrimônio!B911)</f>
        <v>0</v>
      </c>
      <c r="M911" s="8">
        <f>SUMIFS(His_Operacoes_FIIs[Total],His_Operacoes_FIIs[Operação],"Provento",His_Operacoes_FIIs[fimmês],Patrimônio!B911)</f>
        <v>0</v>
      </c>
      <c r="N911" s="8">
        <f t="shared" si="62"/>
        <v>0</v>
      </c>
    </row>
    <row r="912" spans="1:14" x14ac:dyDescent="0.35">
      <c r="A912" s="7">
        <v>70068</v>
      </c>
      <c r="B912" s="7">
        <f t="shared" si="59"/>
        <v>70067</v>
      </c>
      <c r="I912" s="8">
        <f t="shared" si="60"/>
        <v>0</v>
      </c>
      <c r="J912" s="8">
        <f t="shared" si="61"/>
        <v>0</v>
      </c>
      <c r="K912" s="8">
        <f>SUMIFS(His_Operacoes_acoes[Total],His_Operacoes_acoes[Fimmes],Patrimônio!B912,His_Operacoes_acoes[Operação],"JCP")
+ SUMIFS(His_Operacoes_acoes[Total],His_Operacoes_acoes[Fimmes],Patrimônio!B912,His_Operacoes_acoes[Operação],"Divid.")
+ SUMIFS(His_Operacoes_acoes[Total],His_Operacoes_acoes[Fimmes],Patrimônio!B912,His_Operacoes_acoes[Operação],"Bonif.")</f>
        <v>0</v>
      </c>
      <c r="L912" s="8">
        <f>SUMIFS(His_Operacoes_BDRs[Total],His_Operacoes_BDRs[Operação],"Provento",His_Operacoes_BDRs[fimmês],Patrimônio!B912)</f>
        <v>0</v>
      </c>
      <c r="M912" s="8">
        <f>SUMIFS(His_Operacoes_FIIs[Total],His_Operacoes_FIIs[Operação],"Provento",His_Operacoes_FIIs[fimmês],Patrimônio!B912)</f>
        <v>0</v>
      </c>
      <c r="N912" s="8">
        <f t="shared" si="62"/>
        <v>0</v>
      </c>
    </row>
    <row r="913" spans="1:14" x14ac:dyDescent="0.35">
      <c r="A913" s="7">
        <v>70098</v>
      </c>
      <c r="B913" s="7">
        <f t="shared" si="59"/>
        <v>70097</v>
      </c>
      <c r="I913" s="8">
        <f t="shared" si="60"/>
        <v>0</v>
      </c>
      <c r="J913" s="8">
        <f t="shared" si="61"/>
        <v>0</v>
      </c>
      <c r="K913" s="8">
        <f>SUMIFS(His_Operacoes_acoes[Total],His_Operacoes_acoes[Fimmes],Patrimônio!B913,His_Operacoes_acoes[Operação],"JCP")
+ SUMIFS(His_Operacoes_acoes[Total],His_Operacoes_acoes[Fimmes],Patrimônio!B913,His_Operacoes_acoes[Operação],"Divid.")
+ SUMIFS(His_Operacoes_acoes[Total],His_Operacoes_acoes[Fimmes],Patrimônio!B913,His_Operacoes_acoes[Operação],"Bonif.")</f>
        <v>0</v>
      </c>
      <c r="L913" s="8">
        <f>SUMIFS(His_Operacoes_BDRs[Total],His_Operacoes_BDRs[Operação],"Provento",His_Operacoes_BDRs[fimmês],Patrimônio!B913)</f>
        <v>0</v>
      </c>
      <c r="M913" s="8">
        <f>SUMIFS(His_Operacoes_FIIs[Total],His_Operacoes_FIIs[Operação],"Provento",His_Operacoes_FIIs[fimmês],Patrimônio!B913)</f>
        <v>0</v>
      </c>
      <c r="N913" s="8">
        <f t="shared" si="62"/>
        <v>0</v>
      </c>
    </row>
    <row r="914" spans="1:14" x14ac:dyDescent="0.35">
      <c r="A914" s="7">
        <v>70129</v>
      </c>
      <c r="B914" s="7">
        <f t="shared" si="59"/>
        <v>70128</v>
      </c>
      <c r="I914" s="8">
        <f t="shared" si="60"/>
        <v>0</v>
      </c>
      <c r="J914" s="8">
        <f t="shared" si="61"/>
        <v>0</v>
      </c>
      <c r="K914" s="8">
        <f>SUMIFS(His_Operacoes_acoes[Total],His_Operacoes_acoes[Fimmes],Patrimônio!B914,His_Operacoes_acoes[Operação],"JCP")
+ SUMIFS(His_Operacoes_acoes[Total],His_Operacoes_acoes[Fimmes],Patrimônio!B914,His_Operacoes_acoes[Operação],"Divid.")
+ SUMIFS(His_Operacoes_acoes[Total],His_Operacoes_acoes[Fimmes],Patrimônio!B914,His_Operacoes_acoes[Operação],"Bonif.")</f>
        <v>0</v>
      </c>
      <c r="L914" s="8">
        <f>SUMIFS(His_Operacoes_BDRs[Total],His_Operacoes_BDRs[Operação],"Provento",His_Operacoes_BDRs[fimmês],Patrimônio!B914)</f>
        <v>0</v>
      </c>
      <c r="M914" s="8">
        <f>SUMIFS(His_Operacoes_FIIs[Total],His_Operacoes_FIIs[Operação],"Provento",His_Operacoes_FIIs[fimmês],Patrimônio!B914)</f>
        <v>0</v>
      </c>
      <c r="N914" s="8">
        <f t="shared" si="62"/>
        <v>0</v>
      </c>
    </row>
    <row r="915" spans="1:14" x14ac:dyDescent="0.35">
      <c r="A915" s="7">
        <v>70160</v>
      </c>
      <c r="B915" s="7">
        <f t="shared" si="59"/>
        <v>70159</v>
      </c>
      <c r="I915" s="8">
        <f t="shared" si="60"/>
        <v>0</v>
      </c>
      <c r="J915" s="8">
        <f t="shared" si="61"/>
        <v>0</v>
      </c>
      <c r="K915" s="8">
        <f>SUMIFS(His_Operacoes_acoes[Total],His_Operacoes_acoes[Fimmes],Patrimônio!B915,His_Operacoes_acoes[Operação],"JCP")
+ SUMIFS(His_Operacoes_acoes[Total],His_Operacoes_acoes[Fimmes],Patrimônio!B915,His_Operacoes_acoes[Operação],"Divid.")
+ SUMIFS(His_Operacoes_acoes[Total],His_Operacoes_acoes[Fimmes],Patrimônio!B915,His_Operacoes_acoes[Operação],"Bonif.")</f>
        <v>0</v>
      </c>
      <c r="L915" s="8">
        <f>SUMIFS(His_Operacoes_BDRs[Total],His_Operacoes_BDRs[Operação],"Provento",His_Operacoes_BDRs[fimmês],Patrimônio!B915)</f>
        <v>0</v>
      </c>
      <c r="M915" s="8">
        <f>SUMIFS(His_Operacoes_FIIs[Total],His_Operacoes_FIIs[Operação],"Provento",His_Operacoes_FIIs[fimmês],Patrimônio!B915)</f>
        <v>0</v>
      </c>
      <c r="N915" s="8">
        <f t="shared" si="62"/>
        <v>0</v>
      </c>
    </row>
    <row r="916" spans="1:14" x14ac:dyDescent="0.35">
      <c r="A916" s="7">
        <v>70189</v>
      </c>
      <c r="B916" s="7">
        <f t="shared" si="59"/>
        <v>70188</v>
      </c>
      <c r="I916" s="8">
        <f t="shared" si="60"/>
        <v>0</v>
      </c>
      <c r="J916" s="8">
        <f t="shared" si="61"/>
        <v>0</v>
      </c>
      <c r="K916" s="8">
        <f>SUMIFS(His_Operacoes_acoes[Total],His_Operacoes_acoes[Fimmes],Patrimônio!B916,His_Operacoes_acoes[Operação],"JCP")
+ SUMIFS(His_Operacoes_acoes[Total],His_Operacoes_acoes[Fimmes],Patrimônio!B916,His_Operacoes_acoes[Operação],"Divid.")
+ SUMIFS(His_Operacoes_acoes[Total],His_Operacoes_acoes[Fimmes],Patrimônio!B916,His_Operacoes_acoes[Operação],"Bonif.")</f>
        <v>0</v>
      </c>
      <c r="L916" s="8">
        <f>SUMIFS(His_Operacoes_BDRs[Total],His_Operacoes_BDRs[Operação],"Provento",His_Operacoes_BDRs[fimmês],Patrimônio!B916)</f>
        <v>0</v>
      </c>
      <c r="M916" s="8">
        <f>SUMIFS(His_Operacoes_FIIs[Total],His_Operacoes_FIIs[Operação],"Provento",His_Operacoes_FIIs[fimmês],Patrimônio!B916)</f>
        <v>0</v>
      </c>
      <c r="N916" s="8">
        <f t="shared" si="62"/>
        <v>0</v>
      </c>
    </row>
    <row r="917" spans="1:14" x14ac:dyDescent="0.35">
      <c r="A917" s="7">
        <v>70220</v>
      </c>
      <c r="B917" s="7">
        <f t="shared" si="59"/>
        <v>70219</v>
      </c>
      <c r="I917" s="8">
        <f t="shared" si="60"/>
        <v>0</v>
      </c>
      <c r="J917" s="8">
        <f t="shared" si="61"/>
        <v>0</v>
      </c>
      <c r="K917" s="8">
        <f>SUMIFS(His_Operacoes_acoes[Total],His_Operacoes_acoes[Fimmes],Patrimônio!B917,His_Operacoes_acoes[Operação],"JCP")
+ SUMIFS(His_Operacoes_acoes[Total],His_Operacoes_acoes[Fimmes],Patrimônio!B917,His_Operacoes_acoes[Operação],"Divid.")
+ SUMIFS(His_Operacoes_acoes[Total],His_Operacoes_acoes[Fimmes],Patrimônio!B917,His_Operacoes_acoes[Operação],"Bonif.")</f>
        <v>0</v>
      </c>
      <c r="L917" s="8">
        <f>SUMIFS(His_Operacoes_BDRs[Total],His_Operacoes_BDRs[Operação],"Provento",His_Operacoes_BDRs[fimmês],Patrimônio!B917)</f>
        <v>0</v>
      </c>
      <c r="M917" s="8">
        <f>SUMIFS(His_Operacoes_FIIs[Total],His_Operacoes_FIIs[Operação],"Provento",His_Operacoes_FIIs[fimmês],Patrimônio!B917)</f>
        <v>0</v>
      </c>
      <c r="N917" s="8">
        <f t="shared" si="62"/>
        <v>0</v>
      </c>
    </row>
    <row r="918" spans="1:14" x14ac:dyDescent="0.35">
      <c r="A918" s="7">
        <v>70250</v>
      </c>
      <c r="B918" s="7">
        <f t="shared" si="59"/>
        <v>70249</v>
      </c>
      <c r="I918" s="8">
        <f t="shared" si="60"/>
        <v>0</v>
      </c>
      <c r="J918" s="8">
        <f t="shared" si="61"/>
        <v>0</v>
      </c>
      <c r="K918" s="8">
        <f>SUMIFS(His_Operacoes_acoes[Total],His_Operacoes_acoes[Fimmes],Patrimônio!B918,His_Operacoes_acoes[Operação],"JCP")
+ SUMIFS(His_Operacoes_acoes[Total],His_Operacoes_acoes[Fimmes],Patrimônio!B918,His_Operacoes_acoes[Operação],"Divid.")
+ SUMIFS(His_Operacoes_acoes[Total],His_Operacoes_acoes[Fimmes],Patrimônio!B918,His_Operacoes_acoes[Operação],"Bonif.")</f>
        <v>0</v>
      </c>
      <c r="L918" s="8">
        <f>SUMIFS(His_Operacoes_BDRs[Total],His_Operacoes_BDRs[Operação],"Provento",His_Operacoes_BDRs[fimmês],Patrimônio!B918)</f>
        <v>0</v>
      </c>
      <c r="M918" s="8">
        <f>SUMIFS(His_Operacoes_FIIs[Total],His_Operacoes_FIIs[Operação],"Provento",His_Operacoes_FIIs[fimmês],Patrimônio!B918)</f>
        <v>0</v>
      </c>
      <c r="N918" s="8">
        <f t="shared" si="62"/>
        <v>0</v>
      </c>
    </row>
    <row r="919" spans="1:14" x14ac:dyDescent="0.35">
      <c r="A919" s="7">
        <v>70281</v>
      </c>
      <c r="B919" s="7">
        <f t="shared" si="59"/>
        <v>70280</v>
      </c>
      <c r="I919" s="8">
        <f t="shared" si="60"/>
        <v>0</v>
      </c>
      <c r="J919" s="8">
        <f t="shared" si="61"/>
        <v>0</v>
      </c>
      <c r="K919" s="8">
        <f>SUMIFS(His_Operacoes_acoes[Total],His_Operacoes_acoes[Fimmes],Patrimônio!B919,His_Operacoes_acoes[Operação],"JCP")
+ SUMIFS(His_Operacoes_acoes[Total],His_Operacoes_acoes[Fimmes],Patrimônio!B919,His_Operacoes_acoes[Operação],"Divid.")
+ SUMIFS(His_Operacoes_acoes[Total],His_Operacoes_acoes[Fimmes],Patrimônio!B919,His_Operacoes_acoes[Operação],"Bonif.")</f>
        <v>0</v>
      </c>
      <c r="L919" s="8">
        <f>SUMIFS(His_Operacoes_BDRs[Total],His_Operacoes_BDRs[Operação],"Provento",His_Operacoes_BDRs[fimmês],Patrimônio!B919)</f>
        <v>0</v>
      </c>
      <c r="M919" s="8">
        <f>SUMIFS(His_Operacoes_FIIs[Total],His_Operacoes_FIIs[Operação],"Provento",His_Operacoes_FIIs[fimmês],Patrimônio!B919)</f>
        <v>0</v>
      </c>
      <c r="N919" s="8">
        <f t="shared" si="62"/>
        <v>0</v>
      </c>
    </row>
    <row r="920" spans="1:14" x14ac:dyDescent="0.35">
      <c r="A920" s="7">
        <v>70311</v>
      </c>
      <c r="B920" s="7">
        <f t="shared" si="59"/>
        <v>70310</v>
      </c>
      <c r="I920" s="8">
        <f t="shared" si="60"/>
        <v>0</v>
      </c>
      <c r="J920" s="8">
        <f t="shared" si="61"/>
        <v>0</v>
      </c>
      <c r="K920" s="8">
        <f>SUMIFS(His_Operacoes_acoes[Total],His_Operacoes_acoes[Fimmes],Patrimônio!B920,His_Operacoes_acoes[Operação],"JCP")
+ SUMIFS(His_Operacoes_acoes[Total],His_Operacoes_acoes[Fimmes],Patrimônio!B920,His_Operacoes_acoes[Operação],"Divid.")
+ SUMIFS(His_Operacoes_acoes[Total],His_Operacoes_acoes[Fimmes],Patrimônio!B920,His_Operacoes_acoes[Operação],"Bonif.")</f>
        <v>0</v>
      </c>
      <c r="L920" s="8">
        <f>SUMIFS(His_Operacoes_BDRs[Total],His_Operacoes_BDRs[Operação],"Provento",His_Operacoes_BDRs[fimmês],Patrimônio!B920)</f>
        <v>0</v>
      </c>
      <c r="M920" s="8">
        <f>SUMIFS(His_Operacoes_FIIs[Total],His_Operacoes_FIIs[Operação],"Provento",His_Operacoes_FIIs[fimmês],Patrimônio!B920)</f>
        <v>0</v>
      </c>
      <c r="N920" s="8">
        <f t="shared" si="62"/>
        <v>0</v>
      </c>
    </row>
    <row r="921" spans="1:14" x14ac:dyDescent="0.35">
      <c r="A921" s="7">
        <v>70342</v>
      </c>
      <c r="B921" s="7">
        <f t="shared" si="59"/>
        <v>70341</v>
      </c>
      <c r="I921" s="8">
        <f t="shared" si="60"/>
        <v>0</v>
      </c>
      <c r="J921" s="8">
        <f t="shared" si="61"/>
        <v>0</v>
      </c>
      <c r="K921" s="8">
        <f>SUMIFS(His_Operacoes_acoes[Total],His_Operacoes_acoes[Fimmes],Patrimônio!B921,His_Operacoes_acoes[Operação],"JCP")
+ SUMIFS(His_Operacoes_acoes[Total],His_Operacoes_acoes[Fimmes],Patrimônio!B921,His_Operacoes_acoes[Operação],"Divid.")
+ SUMIFS(His_Operacoes_acoes[Total],His_Operacoes_acoes[Fimmes],Patrimônio!B921,His_Operacoes_acoes[Operação],"Bonif.")</f>
        <v>0</v>
      </c>
      <c r="L921" s="8">
        <f>SUMIFS(His_Operacoes_BDRs[Total],His_Operacoes_BDRs[Operação],"Provento",His_Operacoes_BDRs[fimmês],Patrimônio!B921)</f>
        <v>0</v>
      </c>
      <c r="M921" s="8">
        <f>SUMIFS(His_Operacoes_FIIs[Total],His_Operacoes_FIIs[Operação],"Provento",His_Operacoes_FIIs[fimmês],Patrimônio!B921)</f>
        <v>0</v>
      </c>
      <c r="N921" s="8">
        <f t="shared" si="62"/>
        <v>0</v>
      </c>
    </row>
    <row r="922" spans="1:14" x14ac:dyDescent="0.35">
      <c r="A922" s="7">
        <v>70373</v>
      </c>
      <c r="B922" s="7">
        <f t="shared" si="59"/>
        <v>70372</v>
      </c>
      <c r="I922" s="8">
        <f t="shared" si="60"/>
        <v>0</v>
      </c>
      <c r="J922" s="8">
        <f t="shared" si="61"/>
        <v>0</v>
      </c>
      <c r="K922" s="8">
        <f>SUMIFS(His_Operacoes_acoes[Total],His_Operacoes_acoes[Fimmes],Patrimônio!B922,His_Operacoes_acoes[Operação],"JCP")
+ SUMIFS(His_Operacoes_acoes[Total],His_Operacoes_acoes[Fimmes],Patrimônio!B922,His_Operacoes_acoes[Operação],"Divid.")
+ SUMIFS(His_Operacoes_acoes[Total],His_Operacoes_acoes[Fimmes],Patrimônio!B922,His_Operacoes_acoes[Operação],"Bonif.")</f>
        <v>0</v>
      </c>
      <c r="L922" s="8">
        <f>SUMIFS(His_Operacoes_BDRs[Total],His_Operacoes_BDRs[Operação],"Provento",His_Operacoes_BDRs[fimmês],Patrimônio!B922)</f>
        <v>0</v>
      </c>
      <c r="M922" s="8">
        <f>SUMIFS(His_Operacoes_FIIs[Total],His_Operacoes_FIIs[Operação],"Provento",His_Operacoes_FIIs[fimmês],Patrimônio!B922)</f>
        <v>0</v>
      </c>
      <c r="N922" s="8">
        <f t="shared" si="62"/>
        <v>0</v>
      </c>
    </row>
    <row r="923" spans="1:14" x14ac:dyDescent="0.35">
      <c r="A923" s="7">
        <v>70403</v>
      </c>
      <c r="B923" s="7">
        <f t="shared" si="59"/>
        <v>70402</v>
      </c>
      <c r="I923" s="8">
        <f t="shared" si="60"/>
        <v>0</v>
      </c>
      <c r="J923" s="8">
        <f t="shared" si="61"/>
        <v>0</v>
      </c>
      <c r="K923" s="8">
        <f>SUMIFS(His_Operacoes_acoes[Total],His_Operacoes_acoes[Fimmes],Patrimônio!B923,His_Operacoes_acoes[Operação],"JCP")
+ SUMIFS(His_Operacoes_acoes[Total],His_Operacoes_acoes[Fimmes],Patrimônio!B923,His_Operacoes_acoes[Operação],"Divid.")
+ SUMIFS(His_Operacoes_acoes[Total],His_Operacoes_acoes[Fimmes],Patrimônio!B923,His_Operacoes_acoes[Operação],"Bonif.")</f>
        <v>0</v>
      </c>
      <c r="L923" s="8">
        <f>SUMIFS(His_Operacoes_BDRs[Total],His_Operacoes_BDRs[Operação],"Provento",His_Operacoes_BDRs[fimmês],Patrimônio!B923)</f>
        <v>0</v>
      </c>
      <c r="M923" s="8">
        <f>SUMIFS(His_Operacoes_FIIs[Total],His_Operacoes_FIIs[Operação],"Provento",His_Operacoes_FIIs[fimmês],Patrimônio!B923)</f>
        <v>0</v>
      </c>
      <c r="N923" s="8">
        <f t="shared" si="62"/>
        <v>0</v>
      </c>
    </row>
    <row r="924" spans="1:14" x14ac:dyDescent="0.35">
      <c r="A924" s="7">
        <v>70434</v>
      </c>
      <c r="B924" s="7">
        <f t="shared" si="59"/>
        <v>70433</v>
      </c>
      <c r="I924" s="8">
        <f t="shared" si="60"/>
        <v>0</v>
      </c>
      <c r="J924" s="8">
        <f t="shared" si="61"/>
        <v>0</v>
      </c>
      <c r="K924" s="8">
        <f>SUMIFS(His_Operacoes_acoes[Total],His_Operacoes_acoes[Fimmes],Patrimônio!B924,His_Operacoes_acoes[Operação],"JCP")
+ SUMIFS(His_Operacoes_acoes[Total],His_Operacoes_acoes[Fimmes],Patrimônio!B924,His_Operacoes_acoes[Operação],"Divid.")
+ SUMIFS(His_Operacoes_acoes[Total],His_Operacoes_acoes[Fimmes],Patrimônio!B924,His_Operacoes_acoes[Operação],"Bonif.")</f>
        <v>0</v>
      </c>
      <c r="L924" s="8">
        <f>SUMIFS(His_Operacoes_BDRs[Total],His_Operacoes_BDRs[Operação],"Provento",His_Operacoes_BDRs[fimmês],Patrimônio!B924)</f>
        <v>0</v>
      </c>
      <c r="M924" s="8">
        <f>SUMIFS(His_Operacoes_FIIs[Total],His_Operacoes_FIIs[Operação],"Provento",His_Operacoes_FIIs[fimmês],Patrimônio!B924)</f>
        <v>0</v>
      </c>
      <c r="N924" s="8">
        <f t="shared" si="62"/>
        <v>0</v>
      </c>
    </row>
    <row r="925" spans="1:14" x14ac:dyDescent="0.35">
      <c r="A925" s="7">
        <v>70464</v>
      </c>
      <c r="B925" s="7">
        <f t="shared" si="59"/>
        <v>70463</v>
      </c>
      <c r="I925" s="8">
        <f t="shared" si="60"/>
        <v>0</v>
      </c>
      <c r="J925" s="8">
        <f t="shared" si="61"/>
        <v>0</v>
      </c>
      <c r="K925" s="8">
        <f>SUMIFS(His_Operacoes_acoes[Total],His_Operacoes_acoes[Fimmes],Patrimônio!B925,His_Operacoes_acoes[Operação],"JCP")
+ SUMIFS(His_Operacoes_acoes[Total],His_Operacoes_acoes[Fimmes],Patrimônio!B925,His_Operacoes_acoes[Operação],"Divid.")
+ SUMIFS(His_Operacoes_acoes[Total],His_Operacoes_acoes[Fimmes],Patrimônio!B925,His_Operacoes_acoes[Operação],"Bonif.")</f>
        <v>0</v>
      </c>
      <c r="L925" s="8">
        <f>SUMIFS(His_Operacoes_BDRs[Total],His_Operacoes_BDRs[Operação],"Provento",His_Operacoes_BDRs[fimmês],Patrimônio!B925)</f>
        <v>0</v>
      </c>
      <c r="M925" s="8">
        <f>SUMIFS(His_Operacoes_FIIs[Total],His_Operacoes_FIIs[Operação],"Provento",His_Operacoes_FIIs[fimmês],Patrimônio!B925)</f>
        <v>0</v>
      </c>
      <c r="N925" s="8">
        <f t="shared" si="62"/>
        <v>0</v>
      </c>
    </row>
    <row r="926" spans="1:14" x14ac:dyDescent="0.35">
      <c r="A926" s="7">
        <v>70495</v>
      </c>
      <c r="B926" s="7">
        <f t="shared" si="59"/>
        <v>70494</v>
      </c>
      <c r="I926" s="8">
        <f t="shared" si="60"/>
        <v>0</v>
      </c>
      <c r="J926" s="8">
        <f t="shared" si="61"/>
        <v>0</v>
      </c>
      <c r="K926" s="8">
        <f>SUMIFS(His_Operacoes_acoes[Total],His_Operacoes_acoes[Fimmes],Patrimônio!B926,His_Operacoes_acoes[Operação],"JCP")
+ SUMIFS(His_Operacoes_acoes[Total],His_Operacoes_acoes[Fimmes],Patrimônio!B926,His_Operacoes_acoes[Operação],"Divid.")
+ SUMIFS(His_Operacoes_acoes[Total],His_Operacoes_acoes[Fimmes],Patrimônio!B926,His_Operacoes_acoes[Operação],"Bonif.")</f>
        <v>0</v>
      </c>
      <c r="L926" s="8">
        <f>SUMIFS(His_Operacoes_BDRs[Total],His_Operacoes_BDRs[Operação],"Provento",His_Operacoes_BDRs[fimmês],Patrimônio!B926)</f>
        <v>0</v>
      </c>
      <c r="M926" s="8">
        <f>SUMIFS(His_Operacoes_FIIs[Total],His_Operacoes_FIIs[Operação],"Provento",His_Operacoes_FIIs[fimmês],Patrimônio!B926)</f>
        <v>0</v>
      </c>
      <c r="N926" s="8">
        <f t="shared" si="62"/>
        <v>0</v>
      </c>
    </row>
    <row r="927" spans="1:14" x14ac:dyDescent="0.35">
      <c r="A927" s="7">
        <v>70526</v>
      </c>
      <c r="B927" s="7">
        <f t="shared" si="59"/>
        <v>70525</v>
      </c>
      <c r="I927" s="8">
        <f t="shared" si="60"/>
        <v>0</v>
      </c>
      <c r="J927" s="8">
        <f t="shared" si="61"/>
        <v>0</v>
      </c>
      <c r="K927" s="8">
        <f>SUMIFS(His_Operacoes_acoes[Total],His_Operacoes_acoes[Fimmes],Patrimônio!B927,His_Operacoes_acoes[Operação],"JCP")
+ SUMIFS(His_Operacoes_acoes[Total],His_Operacoes_acoes[Fimmes],Patrimônio!B927,His_Operacoes_acoes[Operação],"Divid.")
+ SUMIFS(His_Operacoes_acoes[Total],His_Operacoes_acoes[Fimmes],Patrimônio!B927,His_Operacoes_acoes[Operação],"Bonif.")</f>
        <v>0</v>
      </c>
      <c r="L927" s="8">
        <f>SUMIFS(His_Operacoes_BDRs[Total],His_Operacoes_BDRs[Operação],"Provento",His_Operacoes_BDRs[fimmês],Patrimônio!B927)</f>
        <v>0</v>
      </c>
      <c r="M927" s="8">
        <f>SUMIFS(His_Operacoes_FIIs[Total],His_Operacoes_FIIs[Operação],"Provento",His_Operacoes_FIIs[fimmês],Patrimônio!B927)</f>
        <v>0</v>
      </c>
      <c r="N927" s="8">
        <f t="shared" si="62"/>
        <v>0</v>
      </c>
    </row>
    <row r="928" spans="1:14" x14ac:dyDescent="0.35">
      <c r="A928" s="7">
        <v>70554</v>
      </c>
      <c r="B928" s="7">
        <f t="shared" si="59"/>
        <v>70553</v>
      </c>
      <c r="I928" s="8">
        <f t="shared" si="60"/>
        <v>0</v>
      </c>
      <c r="J928" s="8">
        <f t="shared" si="61"/>
        <v>0</v>
      </c>
      <c r="K928" s="8">
        <f>SUMIFS(His_Operacoes_acoes[Total],His_Operacoes_acoes[Fimmes],Patrimônio!B928,His_Operacoes_acoes[Operação],"JCP")
+ SUMIFS(His_Operacoes_acoes[Total],His_Operacoes_acoes[Fimmes],Patrimônio!B928,His_Operacoes_acoes[Operação],"Divid.")
+ SUMIFS(His_Operacoes_acoes[Total],His_Operacoes_acoes[Fimmes],Patrimônio!B928,His_Operacoes_acoes[Operação],"Bonif.")</f>
        <v>0</v>
      </c>
      <c r="L928" s="8">
        <f>SUMIFS(His_Operacoes_BDRs[Total],His_Operacoes_BDRs[Operação],"Provento",His_Operacoes_BDRs[fimmês],Patrimônio!B928)</f>
        <v>0</v>
      </c>
      <c r="M928" s="8">
        <f>SUMIFS(His_Operacoes_FIIs[Total],His_Operacoes_FIIs[Operação],"Provento",His_Operacoes_FIIs[fimmês],Patrimônio!B928)</f>
        <v>0</v>
      </c>
      <c r="N928" s="8">
        <f t="shared" si="62"/>
        <v>0</v>
      </c>
    </row>
    <row r="929" spans="1:14" x14ac:dyDescent="0.35">
      <c r="A929" s="7">
        <v>70585</v>
      </c>
      <c r="B929" s="7">
        <f t="shared" si="59"/>
        <v>70584</v>
      </c>
      <c r="I929" s="8">
        <f t="shared" si="60"/>
        <v>0</v>
      </c>
      <c r="J929" s="8">
        <f t="shared" si="61"/>
        <v>0</v>
      </c>
      <c r="K929" s="8">
        <f>SUMIFS(His_Operacoes_acoes[Total],His_Operacoes_acoes[Fimmes],Patrimônio!B929,His_Operacoes_acoes[Operação],"JCP")
+ SUMIFS(His_Operacoes_acoes[Total],His_Operacoes_acoes[Fimmes],Patrimônio!B929,His_Operacoes_acoes[Operação],"Divid.")
+ SUMIFS(His_Operacoes_acoes[Total],His_Operacoes_acoes[Fimmes],Patrimônio!B929,His_Operacoes_acoes[Operação],"Bonif.")</f>
        <v>0</v>
      </c>
      <c r="L929" s="8">
        <f>SUMIFS(His_Operacoes_BDRs[Total],His_Operacoes_BDRs[Operação],"Provento",His_Operacoes_BDRs[fimmês],Patrimônio!B929)</f>
        <v>0</v>
      </c>
      <c r="M929" s="8">
        <f>SUMIFS(His_Operacoes_FIIs[Total],His_Operacoes_FIIs[Operação],"Provento",His_Operacoes_FIIs[fimmês],Patrimônio!B929)</f>
        <v>0</v>
      </c>
      <c r="N929" s="8">
        <f t="shared" si="62"/>
        <v>0</v>
      </c>
    </row>
    <row r="930" spans="1:14" x14ac:dyDescent="0.35">
      <c r="A930" s="7">
        <v>70615</v>
      </c>
      <c r="B930" s="7">
        <f t="shared" si="59"/>
        <v>70614</v>
      </c>
      <c r="I930" s="8">
        <f t="shared" si="60"/>
        <v>0</v>
      </c>
      <c r="J930" s="8">
        <f t="shared" si="61"/>
        <v>0</v>
      </c>
      <c r="K930" s="8">
        <f>SUMIFS(His_Operacoes_acoes[Total],His_Operacoes_acoes[Fimmes],Patrimônio!B930,His_Operacoes_acoes[Operação],"JCP")
+ SUMIFS(His_Operacoes_acoes[Total],His_Operacoes_acoes[Fimmes],Patrimônio!B930,His_Operacoes_acoes[Operação],"Divid.")
+ SUMIFS(His_Operacoes_acoes[Total],His_Operacoes_acoes[Fimmes],Patrimônio!B930,His_Operacoes_acoes[Operação],"Bonif.")</f>
        <v>0</v>
      </c>
      <c r="L930" s="8">
        <f>SUMIFS(His_Operacoes_BDRs[Total],His_Operacoes_BDRs[Operação],"Provento",His_Operacoes_BDRs[fimmês],Patrimônio!B930)</f>
        <v>0</v>
      </c>
      <c r="M930" s="8">
        <f>SUMIFS(His_Operacoes_FIIs[Total],His_Operacoes_FIIs[Operação],"Provento",His_Operacoes_FIIs[fimmês],Patrimônio!B930)</f>
        <v>0</v>
      </c>
      <c r="N930" s="8">
        <f t="shared" si="62"/>
        <v>0</v>
      </c>
    </row>
    <row r="931" spans="1:14" x14ac:dyDescent="0.35">
      <c r="A931" s="7">
        <v>70646</v>
      </c>
      <c r="B931" s="7">
        <f t="shared" si="59"/>
        <v>70645</v>
      </c>
      <c r="I931" s="8">
        <f t="shared" si="60"/>
        <v>0</v>
      </c>
      <c r="J931" s="8">
        <f t="shared" si="61"/>
        <v>0</v>
      </c>
      <c r="K931" s="8">
        <f>SUMIFS(His_Operacoes_acoes[Total],His_Operacoes_acoes[Fimmes],Patrimônio!B931,His_Operacoes_acoes[Operação],"JCP")
+ SUMIFS(His_Operacoes_acoes[Total],His_Operacoes_acoes[Fimmes],Patrimônio!B931,His_Operacoes_acoes[Operação],"Divid.")
+ SUMIFS(His_Operacoes_acoes[Total],His_Operacoes_acoes[Fimmes],Patrimônio!B931,His_Operacoes_acoes[Operação],"Bonif.")</f>
        <v>0</v>
      </c>
      <c r="L931" s="8">
        <f>SUMIFS(His_Operacoes_BDRs[Total],His_Operacoes_BDRs[Operação],"Provento",His_Operacoes_BDRs[fimmês],Patrimônio!B931)</f>
        <v>0</v>
      </c>
      <c r="M931" s="8">
        <f>SUMIFS(His_Operacoes_FIIs[Total],His_Operacoes_FIIs[Operação],"Provento",His_Operacoes_FIIs[fimmês],Patrimônio!B931)</f>
        <v>0</v>
      </c>
      <c r="N931" s="8">
        <f t="shared" si="62"/>
        <v>0</v>
      </c>
    </row>
    <row r="932" spans="1:14" x14ac:dyDescent="0.35">
      <c r="A932" s="7">
        <v>70676</v>
      </c>
      <c r="B932" s="7">
        <f t="shared" si="59"/>
        <v>70675</v>
      </c>
      <c r="I932" s="8">
        <f t="shared" si="60"/>
        <v>0</v>
      </c>
      <c r="J932" s="8">
        <f t="shared" si="61"/>
        <v>0</v>
      </c>
      <c r="K932" s="8">
        <f>SUMIFS(His_Operacoes_acoes[Total],His_Operacoes_acoes[Fimmes],Patrimônio!B932,His_Operacoes_acoes[Operação],"JCP")
+ SUMIFS(His_Operacoes_acoes[Total],His_Operacoes_acoes[Fimmes],Patrimônio!B932,His_Operacoes_acoes[Operação],"Divid.")
+ SUMIFS(His_Operacoes_acoes[Total],His_Operacoes_acoes[Fimmes],Patrimônio!B932,His_Operacoes_acoes[Operação],"Bonif.")</f>
        <v>0</v>
      </c>
      <c r="L932" s="8">
        <f>SUMIFS(His_Operacoes_BDRs[Total],His_Operacoes_BDRs[Operação],"Provento",His_Operacoes_BDRs[fimmês],Patrimônio!B932)</f>
        <v>0</v>
      </c>
      <c r="M932" s="8">
        <f>SUMIFS(His_Operacoes_FIIs[Total],His_Operacoes_FIIs[Operação],"Provento",His_Operacoes_FIIs[fimmês],Patrimônio!B932)</f>
        <v>0</v>
      </c>
      <c r="N932" s="8">
        <f t="shared" si="62"/>
        <v>0</v>
      </c>
    </row>
    <row r="933" spans="1:14" x14ac:dyDescent="0.35">
      <c r="A933" s="7">
        <v>70707</v>
      </c>
      <c r="B933" s="7">
        <f t="shared" si="59"/>
        <v>70706</v>
      </c>
      <c r="I933" s="8">
        <f t="shared" si="60"/>
        <v>0</v>
      </c>
      <c r="J933" s="8">
        <f t="shared" si="61"/>
        <v>0</v>
      </c>
      <c r="K933" s="8">
        <f>SUMIFS(His_Operacoes_acoes[Total],His_Operacoes_acoes[Fimmes],Patrimônio!B933,His_Operacoes_acoes[Operação],"JCP")
+ SUMIFS(His_Operacoes_acoes[Total],His_Operacoes_acoes[Fimmes],Patrimônio!B933,His_Operacoes_acoes[Operação],"Divid.")
+ SUMIFS(His_Operacoes_acoes[Total],His_Operacoes_acoes[Fimmes],Patrimônio!B933,His_Operacoes_acoes[Operação],"Bonif.")</f>
        <v>0</v>
      </c>
      <c r="L933" s="8">
        <f>SUMIFS(His_Operacoes_BDRs[Total],His_Operacoes_BDRs[Operação],"Provento",His_Operacoes_BDRs[fimmês],Patrimônio!B933)</f>
        <v>0</v>
      </c>
      <c r="M933" s="8">
        <f>SUMIFS(His_Operacoes_FIIs[Total],His_Operacoes_FIIs[Operação],"Provento",His_Operacoes_FIIs[fimmês],Patrimônio!B933)</f>
        <v>0</v>
      </c>
      <c r="N933" s="8">
        <f t="shared" si="62"/>
        <v>0</v>
      </c>
    </row>
    <row r="934" spans="1:14" x14ac:dyDescent="0.35">
      <c r="A934" s="7">
        <v>70738</v>
      </c>
      <c r="B934" s="7">
        <f t="shared" si="59"/>
        <v>70737</v>
      </c>
      <c r="I934" s="8">
        <f t="shared" si="60"/>
        <v>0</v>
      </c>
      <c r="J934" s="8">
        <f t="shared" si="61"/>
        <v>0</v>
      </c>
      <c r="K934" s="8">
        <f>SUMIFS(His_Operacoes_acoes[Total],His_Operacoes_acoes[Fimmes],Patrimônio!B934,His_Operacoes_acoes[Operação],"JCP")
+ SUMIFS(His_Operacoes_acoes[Total],His_Operacoes_acoes[Fimmes],Patrimônio!B934,His_Operacoes_acoes[Operação],"Divid.")
+ SUMIFS(His_Operacoes_acoes[Total],His_Operacoes_acoes[Fimmes],Patrimônio!B934,His_Operacoes_acoes[Operação],"Bonif.")</f>
        <v>0</v>
      </c>
      <c r="L934" s="8">
        <f>SUMIFS(His_Operacoes_BDRs[Total],His_Operacoes_BDRs[Operação],"Provento",His_Operacoes_BDRs[fimmês],Patrimônio!B934)</f>
        <v>0</v>
      </c>
      <c r="M934" s="8">
        <f>SUMIFS(His_Operacoes_FIIs[Total],His_Operacoes_FIIs[Operação],"Provento",His_Operacoes_FIIs[fimmês],Patrimônio!B934)</f>
        <v>0</v>
      </c>
      <c r="N934" s="8">
        <f t="shared" si="62"/>
        <v>0</v>
      </c>
    </row>
    <row r="935" spans="1:14" x14ac:dyDescent="0.35">
      <c r="A935" s="7">
        <v>70768</v>
      </c>
      <c r="B935" s="7">
        <f t="shared" si="59"/>
        <v>70767</v>
      </c>
      <c r="I935" s="8">
        <f t="shared" si="60"/>
        <v>0</v>
      </c>
      <c r="J935" s="8">
        <f t="shared" si="61"/>
        <v>0</v>
      </c>
      <c r="K935" s="8">
        <f>SUMIFS(His_Operacoes_acoes[Total],His_Operacoes_acoes[Fimmes],Patrimônio!B935,His_Operacoes_acoes[Operação],"JCP")
+ SUMIFS(His_Operacoes_acoes[Total],His_Operacoes_acoes[Fimmes],Patrimônio!B935,His_Operacoes_acoes[Operação],"Divid.")
+ SUMIFS(His_Operacoes_acoes[Total],His_Operacoes_acoes[Fimmes],Patrimônio!B935,His_Operacoes_acoes[Operação],"Bonif.")</f>
        <v>0</v>
      </c>
      <c r="L935" s="8">
        <f>SUMIFS(His_Operacoes_BDRs[Total],His_Operacoes_BDRs[Operação],"Provento",His_Operacoes_BDRs[fimmês],Patrimônio!B935)</f>
        <v>0</v>
      </c>
      <c r="M935" s="8">
        <f>SUMIFS(His_Operacoes_FIIs[Total],His_Operacoes_FIIs[Operação],"Provento",His_Operacoes_FIIs[fimmês],Patrimônio!B935)</f>
        <v>0</v>
      </c>
      <c r="N935" s="8">
        <f t="shared" si="62"/>
        <v>0</v>
      </c>
    </row>
    <row r="936" spans="1:14" x14ac:dyDescent="0.35">
      <c r="A936" s="7">
        <v>70799</v>
      </c>
      <c r="B936" s="7">
        <f t="shared" si="59"/>
        <v>70798</v>
      </c>
      <c r="I936" s="8">
        <f t="shared" si="60"/>
        <v>0</v>
      </c>
      <c r="J936" s="8">
        <f t="shared" si="61"/>
        <v>0</v>
      </c>
      <c r="K936" s="8">
        <f>SUMIFS(His_Operacoes_acoes[Total],His_Operacoes_acoes[Fimmes],Patrimônio!B936,His_Operacoes_acoes[Operação],"JCP")
+ SUMIFS(His_Operacoes_acoes[Total],His_Operacoes_acoes[Fimmes],Patrimônio!B936,His_Operacoes_acoes[Operação],"Divid.")
+ SUMIFS(His_Operacoes_acoes[Total],His_Operacoes_acoes[Fimmes],Patrimônio!B936,His_Operacoes_acoes[Operação],"Bonif.")</f>
        <v>0</v>
      </c>
      <c r="L936" s="8">
        <f>SUMIFS(His_Operacoes_BDRs[Total],His_Operacoes_BDRs[Operação],"Provento",His_Operacoes_BDRs[fimmês],Patrimônio!B936)</f>
        <v>0</v>
      </c>
      <c r="M936" s="8">
        <f>SUMIFS(His_Operacoes_FIIs[Total],His_Operacoes_FIIs[Operação],"Provento",His_Operacoes_FIIs[fimmês],Patrimônio!B936)</f>
        <v>0</v>
      </c>
      <c r="N936" s="8">
        <f t="shared" si="62"/>
        <v>0</v>
      </c>
    </row>
    <row r="937" spans="1:14" x14ac:dyDescent="0.35">
      <c r="A937" s="7">
        <v>70829</v>
      </c>
      <c r="B937" s="7">
        <f t="shared" si="59"/>
        <v>70828</v>
      </c>
      <c r="I937" s="8">
        <f t="shared" si="60"/>
        <v>0</v>
      </c>
      <c r="J937" s="8">
        <f t="shared" si="61"/>
        <v>0</v>
      </c>
      <c r="K937" s="8">
        <f>SUMIFS(His_Operacoes_acoes[Total],His_Operacoes_acoes[Fimmes],Patrimônio!B937,His_Operacoes_acoes[Operação],"JCP")
+ SUMIFS(His_Operacoes_acoes[Total],His_Operacoes_acoes[Fimmes],Patrimônio!B937,His_Operacoes_acoes[Operação],"Divid.")
+ SUMIFS(His_Operacoes_acoes[Total],His_Operacoes_acoes[Fimmes],Patrimônio!B937,His_Operacoes_acoes[Operação],"Bonif.")</f>
        <v>0</v>
      </c>
      <c r="L937" s="8">
        <f>SUMIFS(His_Operacoes_BDRs[Total],His_Operacoes_BDRs[Operação],"Provento",His_Operacoes_BDRs[fimmês],Patrimônio!B937)</f>
        <v>0</v>
      </c>
      <c r="M937" s="8">
        <f>SUMIFS(His_Operacoes_FIIs[Total],His_Operacoes_FIIs[Operação],"Provento",His_Operacoes_FIIs[fimmês],Patrimônio!B937)</f>
        <v>0</v>
      </c>
      <c r="N937" s="8">
        <f t="shared" si="62"/>
        <v>0</v>
      </c>
    </row>
    <row r="938" spans="1:14" x14ac:dyDescent="0.35">
      <c r="A938" s="7">
        <v>70860</v>
      </c>
      <c r="B938" s="7">
        <f t="shared" si="59"/>
        <v>70859</v>
      </c>
      <c r="I938" s="8">
        <f t="shared" si="60"/>
        <v>0</v>
      </c>
      <c r="J938" s="8">
        <f t="shared" si="61"/>
        <v>0</v>
      </c>
      <c r="K938" s="8">
        <f>SUMIFS(His_Operacoes_acoes[Total],His_Operacoes_acoes[Fimmes],Patrimônio!B938,His_Operacoes_acoes[Operação],"JCP")
+ SUMIFS(His_Operacoes_acoes[Total],His_Operacoes_acoes[Fimmes],Patrimônio!B938,His_Operacoes_acoes[Operação],"Divid.")
+ SUMIFS(His_Operacoes_acoes[Total],His_Operacoes_acoes[Fimmes],Patrimônio!B938,His_Operacoes_acoes[Operação],"Bonif.")</f>
        <v>0</v>
      </c>
      <c r="L938" s="8">
        <f>SUMIFS(His_Operacoes_BDRs[Total],His_Operacoes_BDRs[Operação],"Provento",His_Operacoes_BDRs[fimmês],Patrimônio!B938)</f>
        <v>0</v>
      </c>
      <c r="M938" s="8">
        <f>SUMIFS(His_Operacoes_FIIs[Total],His_Operacoes_FIIs[Operação],"Provento",His_Operacoes_FIIs[fimmês],Patrimônio!B938)</f>
        <v>0</v>
      </c>
      <c r="N938" s="8">
        <f t="shared" si="62"/>
        <v>0</v>
      </c>
    </row>
    <row r="939" spans="1:14" x14ac:dyDescent="0.35">
      <c r="A939" s="7">
        <v>70891</v>
      </c>
      <c r="B939" s="7">
        <f t="shared" si="59"/>
        <v>70890</v>
      </c>
      <c r="I939" s="8">
        <f t="shared" si="60"/>
        <v>0</v>
      </c>
      <c r="J939" s="8">
        <f t="shared" si="61"/>
        <v>0</v>
      </c>
      <c r="K939" s="8">
        <f>SUMIFS(His_Operacoes_acoes[Total],His_Operacoes_acoes[Fimmes],Patrimônio!B939,His_Operacoes_acoes[Operação],"JCP")
+ SUMIFS(His_Operacoes_acoes[Total],His_Operacoes_acoes[Fimmes],Patrimônio!B939,His_Operacoes_acoes[Operação],"Divid.")
+ SUMIFS(His_Operacoes_acoes[Total],His_Operacoes_acoes[Fimmes],Patrimônio!B939,His_Operacoes_acoes[Operação],"Bonif.")</f>
        <v>0</v>
      </c>
      <c r="L939" s="8">
        <f>SUMIFS(His_Operacoes_BDRs[Total],His_Operacoes_BDRs[Operação],"Provento",His_Operacoes_BDRs[fimmês],Patrimônio!B939)</f>
        <v>0</v>
      </c>
      <c r="M939" s="8">
        <f>SUMIFS(His_Operacoes_FIIs[Total],His_Operacoes_FIIs[Operação],"Provento",His_Operacoes_FIIs[fimmês],Patrimônio!B939)</f>
        <v>0</v>
      </c>
      <c r="N939" s="8">
        <f t="shared" si="62"/>
        <v>0</v>
      </c>
    </row>
    <row r="940" spans="1:14" x14ac:dyDescent="0.35">
      <c r="A940" s="7">
        <v>70919</v>
      </c>
      <c r="B940" s="7">
        <f t="shared" si="59"/>
        <v>70918</v>
      </c>
      <c r="I940" s="8">
        <f t="shared" si="60"/>
        <v>0</v>
      </c>
      <c r="J940" s="8">
        <f t="shared" si="61"/>
        <v>0</v>
      </c>
      <c r="K940" s="8">
        <f>SUMIFS(His_Operacoes_acoes[Total],His_Operacoes_acoes[Fimmes],Patrimônio!B940,His_Operacoes_acoes[Operação],"JCP")
+ SUMIFS(His_Operacoes_acoes[Total],His_Operacoes_acoes[Fimmes],Patrimônio!B940,His_Operacoes_acoes[Operação],"Divid.")
+ SUMIFS(His_Operacoes_acoes[Total],His_Operacoes_acoes[Fimmes],Patrimônio!B940,His_Operacoes_acoes[Operação],"Bonif.")</f>
        <v>0</v>
      </c>
      <c r="L940" s="8">
        <f>SUMIFS(His_Operacoes_BDRs[Total],His_Operacoes_BDRs[Operação],"Provento",His_Operacoes_BDRs[fimmês],Patrimônio!B940)</f>
        <v>0</v>
      </c>
      <c r="M940" s="8">
        <f>SUMIFS(His_Operacoes_FIIs[Total],His_Operacoes_FIIs[Operação],"Provento",His_Operacoes_FIIs[fimmês],Patrimônio!B940)</f>
        <v>0</v>
      </c>
      <c r="N940" s="8">
        <f t="shared" si="62"/>
        <v>0</v>
      </c>
    </row>
    <row r="941" spans="1:14" x14ac:dyDescent="0.35">
      <c r="A941" s="7">
        <v>70950</v>
      </c>
      <c r="B941" s="7">
        <f t="shared" si="59"/>
        <v>70949</v>
      </c>
      <c r="I941" s="8">
        <f t="shared" si="60"/>
        <v>0</v>
      </c>
      <c r="J941" s="8">
        <f t="shared" si="61"/>
        <v>0</v>
      </c>
      <c r="K941" s="8">
        <f>SUMIFS(His_Operacoes_acoes[Total],His_Operacoes_acoes[Fimmes],Patrimônio!B941,His_Operacoes_acoes[Operação],"JCP")
+ SUMIFS(His_Operacoes_acoes[Total],His_Operacoes_acoes[Fimmes],Patrimônio!B941,His_Operacoes_acoes[Operação],"Divid.")
+ SUMIFS(His_Operacoes_acoes[Total],His_Operacoes_acoes[Fimmes],Patrimônio!B941,His_Operacoes_acoes[Operação],"Bonif.")</f>
        <v>0</v>
      </c>
      <c r="L941" s="8">
        <f>SUMIFS(His_Operacoes_BDRs[Total],His_Operacoes_BDRs[Operação],"Provento",His_Operacoes_BDRs[fimmês],Patrimônio!B941)</f>
        <v>0</v>
      </c>
      <c r="M941" s="8">
        <f>SUMIFS(His_Operacoes_FIIs[Total],His_Operacoes_FIIs[Operação],"Provento",His_Operacoes_FIIs[fimmês],Patrimônio!B941)</f>
        <v>0</v>
      </c>
      <c r="N941" s="8">
        <f t="shared" si="62"/>
        <v>0</v>
      </c>
    </row>
    <row r="942" spans="1:14" x14ac:dyDescent="0.35">
      <c r="A942" s="7">
        <v>70980</v>
      </c>
      <c r="B942" s="7">
        <f t="shared" si="59"/>
        <v>70979</v>
      </c>
      <c r="I942" s="8">
        <f t="shared" si="60"/>
        <v>0</v>
      </c>
      <c r="J942" s="8">
        <f t="shared" si="61"/>
        <v>0</v>
      </c>
      <c r="K942" s="8">
        <f>SUMIFS(His_Operacoes_acoes[Total],His_Operacoes_acoes[Fimmes],Patrimônio!B942,His_Operacoes_acoes[Operação],"JCP")
+ SUMIFS(His_Operacoes_acoes[Total],His_Operacoes_acoes[Fimmes],Patrimônio!B942,His_Operacoes_acoes[Operação],"Divid.")
+ SUMIFS(His_Operacoes_acoes[Total],His_Operacoes_acoes[Fimmes],Patrimônio!B942,His_Operacoes_acoes[Operação],"Bonif.")</f>
        <v>0</v>
      </c>
      <c r="L942" s="8">
        <f>SUMIFS(His_Operacoes_BDRs[Total],His_Operacoes_BDRs[Operação],"Provento",His_Operacoes_BDRs[fimmês],Patrimônio!B942)</f>
        <v>0</v>
      </c>
      <c r="M942" s="8">
        <f>SUMIFS(His_Operacoes_FIIs[Total],His_Operacoes_FIIs[Operação],"Provento",His_Operacoes_FIIs[fimmês],Patrimônio!B942)</f>
        <v>0</v>
      </c>
      <c r="N942" s="8">
        <f t="shared" si="62"/>
        <v>0</v>
      </c>
    </row>
    <row r="943" spans="1:14" x14ac:dyDescent="0.35">
      <c r="A943" s="7">
        <v>71011</v>
      </c>
      <c r="B943" s="7">
        <f t="shared" si="59"/>
        <v>71010</v>
      </c>
      <c r="I943" s="8">
        <f t="shared" si="60"/>
        <v>0</v>
      </c>
      <c r="J943" s="8">
        <f t="shared" si="61"/>
        <v>0</v>
      </c>
      <c r="K943" s="8">
        <f>SUMIFS(His_Operacoes_acoes[Total],His_Operacoes_acoes[Fimmes],Patrimônio!B943,His_Operacoes_acoes[Operação],"JCP")
+ SUMIFS(His_Operacoes_acoes[Total],His_Operacoes_acoes[Fimmes],Patrimônio!B943,His_Operacoes_acoes[Operação],"Divid.")
+ SUMIFS(His_Operacoes_acoes[Total],His_Operacoes_acoes[Fimmes],Patrimônio!B943,His_Operacoes_acoes[Operação],"Bonif.")</f>
        <v>0</v>
      </c>
      <c r="L943" s="8">
        <f>SUMIFS(His_Operacoes_BDRs[Total],His_Operacoes_BDRs[Operação],"Provento",His_Operacoes_BDRs[fimmês],Patrimônio!B943)</f>
        <v>0</v>
      </c>
      <c r="M943" s="8">
        <f>SUMIFS(His_Operacoes_FIIs[Total],His_Operacoes_FIIs[Operação],"Provento",His_Operacoes_FIIs[fimmês],Patrimônio!B943)</f>
        <v>0</v>
      </c>
      <c r="N943" s="8">
        <f t="shared" si="62"/>
        <v>0</v>
      </c>
    </row>
    <row r="944" spans="1:14" x14ac:dyDescent="0.35">
      <c r="A944" s="7">
        <v>71041</v>
      </c>
      <c r="B944" s="7">
        <f t="shared" si="59"/>
        <v>71040</v>
      </c>
      <c r="I944" s="8">
        <f t="shared" si="60"/>
        <v>0</v>
      </c>
      <c r="J944" s="8">
        <f t="shared" si="61"/>
        <v>0</v>
      </c>
      <c r="K944" s="8">
        <f>SUMIFS(His_Operacoes_acoes[Total],His_Operacoes_acoes[Fimmes],Patrimônio!B944,His_Operacoes_acoes[Operação],"JCP")
+ SUMIFS(His_Operacoes_acoes[Total],His_Operacoes_acoes[Fimmes],Patrimônio!B944,His_Operacoes_acoes[Operação],"Divid.")
+ SUMIFS(His_Operacoes_acoes[Total],His_Operacoes_acoes[Fimmes],Patrimônio!B944,His_Operacoes_acoes[Operação],"Bonif.")</f>
        <v>0</v>
      </c>
      <c r="L944" s="8">
        <f>SUMIFS(His_Operacoes_BDRs[Total],His_Operacoes_BDRs[Operação],"Provento",His_Operacoes_BDRs[fimmês],Patrimônio!B944)</f>
        <v>0</v>
      </c>
      <c r="M944" s="8">
        <f>SUMIFS(His_Operacoes_FIIs[Total],His_Operacoes_FIIs[Operação],"Provento",His_Operacoes_FIIs[fimmês],Patrimônio!B944)</f>
        <v>0</v>
      </c>
      <c r="N944" s="8">
        <f t="shared" si="62"/>
        <v>0</v>
      </c>
    </row>
    <row r="945" spans="1:14" x14ac:dyDescent="0.35">
      <c r="A945" s="7">
        <v>71072</v>
      </c>
      <c r="B945" s="7">
        <f t="shared" si="59"/>
        <v>71071</v>
      </c>
      <c r="I945" s="8">
        <f t="shared" si="60"/>
        <v>0</v>
      </c>
      <c r="J945" s="8">
        <f t="shared" si="61"/>
        <v>0</v>
      </c>
      <c r="K945" s="8">
        <f>SUMIFS(His_Operacoes_acoes[Total],His_Operacoes_acoes[Fimmes],Patrimônio!B945,His_Operacoes_acoes[Operação],"JCP")
+ SUMIFS(His_Operacoes_acoes[Total],His_Operacoes_acoes[Fimmes],Patrimônio!B945,His_Operacoes_acoes[Operação],"Divid.")
+ SUMIFS(His_Operacoes_acoes[Total],His_Operacoes_acoes[Fimmes],Patrimônio!B945,His_Operacoes_acoes[Operação],"Bonif.")</f>
        <v>0</v>
      </c>
      <c r="L945" s="8">
        <f>SUMIFS(His_Operacoes_BDRs[Total],His_Operacoes_BDRs[Operação],"Provento",His_Operacoes_BDRs[fimmês],Patrimônio!B945)</f>
        <v>0</v>
      </c>
      <c r="M945" s="8">
        <f>SUMIFS(His_Operacoes_FIIs[Total],His_Operacoes_FIIs[Operação],"Provento",His_Operacoes_FIIs[fimmês],Patrimônio!B945)</f>
        <v>0</v>
      </c>
      <c r="N945" s="8">
        <f t="shared" si="62"/>
        <v>0</v>
      </c>
    </row>
    <row r="946" spans="1:14" x14ac:dyDescent="0.35">
      <c r="A946" s="7">
        <v>71103</v>
      </c>
      <c r="B946" s="7">
        <f t="shared" si="59"/>
        <v>71102</v>
      </c>
      <c r="I946" s="8">
        <f t="shared" si="60"/>
        <v>0</v>
      </c>
      <c r="J946" s="8">
        <f t="shared" si="61"/>
        <v>0</v>
      </c>
      <c r="K946" s="8">
        <f>SUMIFS(His_Operacoes_acoes[Total],His_Operacoes_acoes[Fimmes],Patrimônio!B946,His_Operacoes_acoes[Operação],"JCP")
+ SUMIFS(His_Operacoes_acoes[Total],His_Operacoes_acoes[Fimmes],Patrimônio!B946,His_Operacoes_acoes[Operação],"Divid.")
+ SUMIFS(His_Operacoes_acoes[Total],His_Operacoes_acoes[Fimmes],Patrimônio!B946,His_Operacoes_acoes[Operação],"Bonif.")</f>
        <v>0</v>
      </c>
      <c r="L946" s="8">
        <f>SUMIFS(His_Operacoes_BDRs[Total],His_Operacoes_BDRs[Operação],"Provento",His_Operacoes_BDRs[fimmês],Patrimônio!B946)</f>
        <v>0</v>
      </c>
      <c r="M946" s="8">
        <f>SUMIFS(His_Operacoes_FIIs[Total],His_Operacoes_FIIs[Operação],"Provento",His_Operacoes_FIIs[fimmês],Patrimônio!B946)</f>
        <v>0</v>
      </c>
      <c r="N946" s="8">
        <f t="shared" si="62"/>
        <v>0</v>
      </c>
    </row>
    <row r="947" spans="1:14" x14ac:dyDescent="0.35">
      <c r="A947" s="7">
        <v>71133</v>
      </c>
      <c r="B947" s="7">
        <f t="shared" si="59"/>
        <v>71132</v>
      </c>
      <c r="I947" s="8">
        <f t="shared" si="60"/>
        <v>0</v>
      </c>
      <c r="J947" s="8">
        <f t="shared" si="61"/>
        <v>0</v>
      </c>
      <c r="K947" s="8">
        <f>SUMIFS(His_Operacoes_acoes[Total],His_Operacoes_acoes[Fimmes],Patrimônio!B947,His_Operacoes_acoes[Operação],"JCP")
+ SUMIFS(His_Operacoes_acoes[Total],His_Operacoes_acoes[Fimmes],Patrimônio!B947,His_Operacoes_acoes[Operação],"Divid.")
+ SUMIFS(His_Operacoes_acoes[Total],His_Operacoes_acoes[Fimmes],Patrimônio!B947,His_Operacoes_acoes[Operação],"Bonif.")</f>
        <v>0</v>
      </c>
      <c r="L947" s="8">
        <f>SUMIFS(His_Operacoes_BDRs[Total],His_Operacoes_BDRs[Operação],"Provento",His_Operacoes_BDRs[fimmês],Patrimônio!B947)</f>
        <v>0</v>
      </c>
      <c r="M947" s="8">
        <f>SUMIFS(His_Operacoes_FIIs[Total],His_Operacoes_FIIs[Operação],"Provento",His_Operacoes_FIIs[fimmês],Patrimônio!B947)</f>
        <v>0</v>
      </c>
      <c r="N947" s="8">
        <f t="shared" si="62"/>
        <v>0</v>
      </c>
    </row>
    <row r="948" spans="1:14" x14ac:dyDescent="0.35">
      <c r="A948" s="7">
        <v>71164</v>
      </c>
      <c r="B948" s="7">
        <f t="shared" si="59"/>
        <v>71163</v>
      </c>
      <c r="I948" s="8">
        <f t="shared" si="60"/>
        <v>0</v>
      </c>
      <c r="J948" s="8">
        <f t="shared" si="61"/>
        <v>0</v>
      </c>
      <c r="K948" s="8">
        <f>SUMIFS(His_Operacoes_acoes[Total],His_Operacoes_acoes[Fimmes],Patrimônio!B948,His_Operacoes_acoes[Operação],"JCP")
+ SUMIFS(His_Operacoes_acoes[Total],His_Operacoes_acoes[Fimmes],Patrimônio!B948,His_Operacoes_acoes[Operação],"Divid.")
+ SUMIFS(His_Operacoes_acoes[Total],His_Operacoes_acoes[Fimmes],Patrimônio!B948,His_Operacoes_acoes[Operação],"Bonif.")</f>
        <v>0</v>
      </c>
      <c r="L948" s="8">
        <f>SUMIFS(His_Operacoes_BDRs[Total],His_Operacoes_BDRs[Operação],"Provento",His_Operacoes_BDRs[fimmês],Patrimônio!B948)</f>
        <v>0</v>
      </c>
      <c r="M948" s="8">
        <f>SUMIFS(His_Operacoes_FIIs[Total],His_Operacoes_FIIs[Operação],"Provento",His_Operacoes_FIIs[fimmês],Patrimônio!B948)</f>
        <v>0</v>
      </c>
      <c r="N948" s="8">
        <f t="shared" si="62"/>
        <v>0</v>
      </c>
    </row>
    <row r="949" spans="1:14" x14ac:dyDescent="0.35">
      <c r="A949" s="7">
        <v>71194</v>
      </c>
      <c r="B949" s="7">
        <f t="shared" si="59"/>
        <v>71193</v>
      </c>
      <c r="I949" s="8">
        <f t="shared" si="60"/>
        <v>0</v>
      </c>
      <c r="J949" s="8">
        <f t="shared" si="61"/>
        <v>0</v>
      </c>
      <c r="K949" s="8">
        <f>SUMIFS(His_Operacoes_acoes[Total],His_Operacoes_acoes[Fimmes],Patrimônio!B949,His_Operacoes_acoes[Operação],"JCP")
+ SUMIFS(His_Operacoes_acoes[Total],His_Operacoes_acoes[Fimmes],Patrimônio!B949,His_Operacoes_acoes[Operação],"Divid.")
+ SUMIFS(His_Operacoes_acoes[Total],His_Operacoes_acoes[Fimmes],Patrimônio!B949,His_Operacoes_acoes[Operação],"Bonif.")</f>
        <v>0</v>
      </c>
      <c r="L949" s="8">
        <f>SUMIFS(His_Operacoes_BDRs[Total],His_Operacoes_BDRs[Operação],"Provento",His_Operacoes_BDRs[fimmês],Patrimônio!B949)</f>
        <v>0</v>
      </c>
      <c r="M949" s="8">
        <f>SUMIFS(His_Operacoes_FIIs[Total],His_Operacoes_FIIs[Operação],"Provento",His_Operacoes_FIIs[fimmês],Patrimônio!B949)</f>
        <v>0</v>
      </c>
      <c r="N949" s="8">
        <f t="shared" si="62"/>
        <v>0</v>
      </c>
    </row>
    <row r="950" spans="1:14" x14ac:dyDescent="0.35">
      <c r="A950" s="7">
        <v>71225</v>
      </c>
      <c r="B950" s="7">
        <f t="shared" si="59"/>
        <v>71224</v>
      </c>
      <c r="I950" s="8">
        <f t="shared" si="60"/>
        <v>0</v>
      </c>
      <c r="J950" s="8">
        <f t="shared" si="61"/>
        <v>0</v>
      </c>
      <c r="K950" s="8">
        <f>SUMIFS(His_Operacoes_acoes[Total],His_Operacoes_acoes[Fimmes],Patrimônio!B950,His_Operacoes_acoes[Operação],"JCP")
+ SUMIFS(His_Operacoes_acoes[Total],His_Operacoes_acoes[Fimmes],Patrimônio!B950,His_Operacoes_acoes[Operação],"Divid.")
+ SUMIFS(His_Operacoes_acoes[Total],His_Operacoes_acoes[Fimmes],Patrimônio!B950,His_Operacoes_acoes[Operação],"Bonif.")</f>
        <v>0</v>
      </c>
      <c r="L950" s="8">
        <f>SUMIFS(His_Operacoes_BDRs[Total],His_Operacoes_BDRs[Operação],"Provento",His_Operacoes_BDRs[fimmês],Patrimônio!B950)</f>
        <v>0</v>
      </c>
      <c r="M950" s="8">
        <f>SUMIFS(His_Operacoes_FIIs[Total],His_Operacoes_FIIs[Operação],"Provento",His_Operacoes_FIIs[fimmês],Patrimônio!B950)</f>
        <v>0</v>
      </c>
      <c r="N950" s="8">
        <f t="shared" si="62"/>
        <v>0</v>
      </c>
    </row>
    <row r="951" spans="1:14" x14ac:dyDescent="0.35">
      <c r="A951" s="7">
        <v>71256</v>
      </c>
      <c r="B951" s="7">
        <f t="shared" si="59"/>
        <v>71255</v>
      </c>
      <c r="I951" s="8">
        <f t="shared" si="60"/>
        <v>0</v>
      </c>
      <c r="J951" s="8">
        <f t="shared" si="61"/>
        <v>0</v>
      </c>
      <c r="K951" s="8">
        <f>SUMIFS(His_Operacoes_acoes[Total],His_Operacoes_acoes[Fimmes],Patrimônio!B951,His_Operacoes_acoes[Operação],"JCP")
+ SUMIFS(His_Operacoes_acoes[Total],His_Operacoes_acoes[Fimmes],Patrimônio!B951,His_Operacoes_acoes[Operação],"Divid.")
+ SUMIFS(His_Operacoes_acoes[Total],His_Operacoes_acoes[Fimmes],Patrimônio!B951,His_Operacoes_acoes[Operação],"Bonif.")</f>
        <v>0</v>
      </c>
      <c r="L951" s="8">
        <f>SUMIFS(His_Operacoes_BDRs[Total],His_Operacoes_BDRs[Operação],"Provento",His_Operacoes_BDRs[fimmês],Patrimônio!B951)</f>
        <v>0</v>
      </c>
      <c r="M951" s="8">
        <f>SUMIFS(His_Operacoes_FIIs[Total],His_Operacoes_FIIs[Operação],"Provento",His_Operacoes_FIIs[fimmês],Patrimônio!B951)</f>
        <v>0</v>
      </c>
      <c r="N951" s="8">
        <f t="shared" si="62"/>
        <v>0</v>
      </c>
    </row>
    <row r="952" spans="1:14" x14ac:dyDescent="0.35">
      <c r="A952" s="7">
        <v>71284</v>
      </c>
      <c r="B952" s="7">
        <f t="shared" si="59"/>
        <v>71283</v>
      </c>
      <c r="I952" s="8">
        <f t="shared" si="60"/>
        <v>0</v>
      </c>
      <c r="J952" s="8">
        <f t="shared" si="61"/>
        <v>0</v>
      </c>
      <c r="K952" s="8">
        <f>SUMIFS(His_Operacoes_acoes[Total],His_Operacoes_acoes[Fimmes],Patrimônio!B952,His_Operacoes_acoes[Operação],"JCP")
+ SUMIFS(His_Operacoes_acoes[Total],His_Operacoes_acoes[Fimmes],Patrimônio!B952,His_Operacoes_acoes[Operação],"Divid.")
+ SUMIFS(His_Operacoes_acoes[Total],His_Operacoes_acoes[Fimmes],Patrimônio!B952,His_Operacoes_acoes[Operação],"Bonif.")</f>
        <v>0</v>
      </c>
      <c r="L952" s="8">
        <f>SUMIFS(His_Operacoes_BDRs[Total],His_Operacoes_BDRs[Operação],"Provento",His_Operacoes_BDRs[fimmês],Patrimônio!B952)</f>
        <v>0</v>
      </c>
      <c r="M952" s="8">
        <f>SUMIFS(His_Operacoes_FIIs[Total],His_Operacoes_FIIs[Operação],"Provento",His_Operacoes_FIIs[fimmês],Patrimônio!B952)</f>
        <v>0</v>
      </c>
      <c r="N952" s="8">
        <f t="shared" si="62"/>
        <v>0</v>
      </c>
    </row>
    <row r="953" spans="1:14" x14ac:dyDescent="0.35">
      <c r="A953" s="7">
        <v>71315</v>
      </c>
      <c r="B953" s="7">
        <f t="shared" si="59"/>
        <v>71314</v>
      </c>
      <c r="I953" s="8">
        <f t="shared" si="60"/>
        <v>0</v>
      </c>
      <c r="J953" s="8">
        <f t="shared" si="61"/>
        <v>0</v>
      </c>
      <c r="K953" s="8">
        <f>SUMIFS(His_Operacoes_acoes[Total],His_Operacoes_acoes[Fimmes],Patrimônio!B953,His_Operacoes_acoes[Operação],"JCP")
+ SUMIFS(His_Operacoes_acoes[Total],His_Operacoes_acoes[Fimmes],Patrimônio!B953,His_Operacoes_acoes[Operação],"Divid.")
+ SUMIFS(His_Operacoes_acoes[Total],His_Operacoes_acoes[Fimmes],Patrimônio!B953,His_Operacoes_acoes[Operação],"Bonif.")</f>
        <v>0</v>
      </c>
      <c r="L953" s="8">
        <f>SUMIFS(His_Operacoes_BDRs[Total],His_Operacoes_BDRs[Operação],"Provento",His_Operacoes_BDRs[fimmês],Patrimônio!B953)</f>
        <v>0</v>
      </c>
      <c r="M953" s="8">
        <f>SUMIFS(His_Operacoes_FIIs[Total],His_Operacoes_FIIs[Operação],"Provento",His_Operacoes_FIIs[fimmês],Patrimônio!B953)</f>
        <v>0</v>
      </c>
      <c r="N953" s="8">
        <f t="shared" si="62"/>
        <v>0</v>
      </c>
    </row>
    <row r="954" spans="1:14" x14ac:dyDescent="0.35">
      <c r="A954" s="7">
        <v>71345</v>
      </c>
      <c r="B954" s="7">
        <f t="shared" si="59"/>
        <v>71344</v>
      </c>
      <c r="I954" s="8">
        <f t="shared" si="60"/>
        <v>0</v>
      </c>
      <c r="J954" s="8">
        <f t="shared" si="61"/>
        <v>0</v>
      </c>
      <c r="K954" s="8">
        <f>SUMIFS(His_Operacoes_acoes[Total],His_Operacoes_acoes[Fimmes],Patrimônio!B954,His_Operacoes_acoes[Operação],"JCP")
+ SUMIFS(His_Operacoes_acoes[Total],His_Operacoes_acoes[Fimmes],Patrimônio!B954,His_Operacoes_acoes[Operação],"Divid.")
+ SUMIFS(His_Operacoes_acoes[Total],His_Operacoes_acoes[Fimmes],Patrimônio!B954,His_Operacoes_acoes[Operação],"Bonif.")</f>
        <v>0</v>
      </c>
      <c r="L954" s="8">
        <f>SUMIFS(His_Operacoes_BDRs[Total],His_Operacoes_BDRs[Operação],"Provento",His_Operacoes_BDRs[fimmês],Patrimônio!B954)</f>
        <v>0</v>
      </c>
      <c r="M954" s="8">
        <f>SUMIFS(His_Operacoes_FIIs[Total],His_Operacoes_FIIs[Operação],"Provento",His_Operacoes_FIIs[fimmês],Patrimônio!B954)</f>
        <v>0</v>
      </c>
      <c r="N954" s="8">
        <f t="shared" si="62"/>
        <v>0</v>
      </c>
    </row>
    <row r="955" spans="1:14" x14ac:dyDescent="0.35">
      <c r="A955" s="7">
        <v>71376</v>
      </c>
      <c r="B955" s="7">
        <f t="shared" si="59"/>
        <v>71375</v>
      </c>
      <c r="I955" s="8">
        <f t="shared" si="60"/>
        <v>0</v>
      </c>
      <c r="J955" s="8">
        <f t="shared" si="61"/>
        <v>0</v>
      </c>
      <c r="K955" s="8">
        <f>SUMIFS(His_Operacoes_acoes[Total],His_Operacoes_acoes[Fimmes],Patrimônio!B955,His_Operacoes_acoes[Operação],"JCP")
+ SUMIFS(His_Operacoes_acoes[Total],His_Operacoes_acoes[Fimmes],Patrimônio!B955,His_Operacoes_acoes[Operação],"Divid.")
+ SUMIFS(His_Operacoes_acoes[Total],His_Operacoes_acoes[Fimmes],Patrimônio!B955,His_Operacoes_acoes[Operação],"Bonif.")</f>
        <v>0</v>
      </c>
      <c r="L955" s="8">
        <f>SUMIFS(His_Operacoes_BDRs[Total],His_Operacoes_BDRs[Operação],"Provento",His_Operacoes_BDRs[fimmês],Patrimônio!B955)</f>
        <v>0</v>
      </c>
      <c r="M955" s="8">
        <f>SUMIFS(His_Operacoes_FIIs[Total],His_Operacoes_FIIs[Operação],"Provento",His_Operacoes_FIIs[fimmês],Patrimônio!B955)</f>
        <v>0</v>
      </c>
      <c r="N955" s="8">
        <f t="shared" si="62"/>
        <v>0</v>
      </c>
    </row>
    <row r="956" spans="1:14" x14ac:dyDescent="0.35">
      <c r="A956" s="7">
        <v>71406</v>
      </c>
      <c r="B956" s="7">
        <f t="shared" si="59"/>
        <v>71405</v>
      </c>
      <c r="I956" s="8">
        <f t="shared" si="60"/>
        <v>0</v>
      </c>
      <c r="J956" s="8">
        <f t="shared" si="61"/>
        <v>0</v>
      </c>
      <c r="K956" s="8">
        <f>SUMIFS(His_Operacoes_acoes[Total],His_Operacoes_acoes[Fimmes],Patrimônio!B956,His_Operacoes_acoes[Operação],"JCP")
+ SUMIFS(His_Operacoes_acoes[Total],His_Operacoes_acoes[Fimmes],Patrimônio!B956,His_Operacoes_acoes[Operação],"Divid.")
+ SUMIFS(His_Operacoes_acoes[Total],His_Operacoes_acoes[Fimmes],Patrimônio!B956,His_Operacoes_acoes[Operação],"Bonif.")</f>
        <v>0</v>
      </c>
      <c r="L956" s="8">
        <f>SUMIFS(His_Operacoes_BDRs[Total],His_Operacoes_BDRs[Operação],"Provento",His_Operacoes_BDRs[fimmês],Patrimônio!B956)</f>
        <v>0</v>
      </c>
      <c r="M956" s="8">
        <f>SUMIFS(His_Operacoes_FIIs[Total],His_Operacoes_FIIs[Operação],"Provento",His_Operacoes_FIIs[fimmês],Patrimônio!B956)</f>
        <v>0</v>
      </c>
      <c r="N956" s="8">
        <f t="shared" si="62"/>
        <v>0</v>
      </c>
    </row>
    <row r="957" spans="1:14" x14ac:dyDescent="0.35">
      <c r="A957" s="7">
        <v>71437</v>
      </c>
      <c r="B957" s="7">
        <f t="shared" si="59"/>
        <v>71436</v>
      </c>
      <c r="I957" s="8">
        <f t="shared" si="60"/>
        <v>0</v>
      </c>
      <c r="J957" s="8">
        <f t="shared" si="61"/>
        <v>0</v>
      </c>
      <c r="K957" s="8">
        <f>SUMIFS(His_Operacoes_acoes[Total],His_Operacoes_acoes[Fimmes],Patrimônio!B957,His_Operacoes_acoes[Operação],"JCP")
+ SUMIFS(His_Operacoes_acoes[Total],His_Operacoes_acoes[Fimmes],Patrimônio!B957,His_Operacoes_acoes[Operação],"Divid.")
+ SUMIFS(His_Operacoes_acoes[Total],His_Operacoes_acoes[Fimmes],Patrimônio!B957,His_Operacoes_acoes[Operação],"Bonif.")</f>
        <v>0</v>
      </c>
      <c r="L957" s="8">
        <f>SUMIFS(His_Operacoes_BDRs[Total],His_Operacoes_BDRs[Operação],"Provento",His_Operacoes_BDRs[fimmês],Patrimônio!B957)</f>
        <v>0</v>
      </c>
      <c r="M957" s="8">
        <f>SUMIFS(His_Operacoes_FIIs[Total],His_Operacoes_FIIs[Operação],"Provento",His_Operacoes_FIIs[fimmês],Patrimônio!B957)</f>
        <v>0</v>
      </c>
      <c r="N957" s="8">
        <f t="shared" si="62"/>
        <v>0</v>
      </c>
    </row>
    <row r="958" spans="1:14" x14ac:dyDescent="0.35">
      <c r="A958" s="7">
        <v>71468</v>
      </c>
      <c r="B958" s="7">
        <f t="shared" si="59"/>
        <v>71467</v>
      </c>
      <c r="I958" s="8">
        <f t="shared" si="60"/>
        <v>0</v>
      </c>
      <c r="J958" s="8">
        <f t="shared" si="61"/>
        <v>0</v>
      </c>
      <c r="K958" s="8">
        <f>SUMIFS(His_Operacoes_acoes[Total],His_Operacoes_acoes[Fimmes],Patrimônio!B958,His_Operacoes_acoes[Operação],"JCP")
+ SUMIFS(His_Operacoes_acoes[Total],His_Operacoes_acoes[Fimmes],Patrimônio!B958,His_Operacoes_acoes[Operação],"Divid.")
+ SUMIFS(His_Operacoes_acoes[Total],His_Operacoes_acoes[Fimmes],Patrimônio!B958,His_Operacoes_acoes[Operação],"Bonif.")</f>
        <v>0</v>
      </c>
      <c r="L958" s="8">
        <f>SUMIFS(His_Operacoes_BDRs[Total],His_Operacoes_BDRs[Operação],"Provento",His_Operacoes_BDRs[fimmês],Patrimônio!B958)</f>
        <v>0</v>
      </c>
      <c r="M958" s="8">
        <f>SUMIFS(His_Operacoes_FIIs[Total],His_Operacoes_FIIs[Operação],"Provento",His_Operacoes_FIIs[fimmês],Patrimônio!B958)</f>
        <v>0</v>
      </c>
      <c r="N958" s="8">
        <f t="shared" si="62"/>
        <v>0</v>
      </c>
    </row>
    <row r="959" spans="1:14" x14ac:dyDescent="0.35">
      <c r="A959" s="7">
        <v>71498</v>
      </c>
      <c r="B959" s="7">
        <f t="shared" si="59"/>
        <v>71497</v>
      </c>
      <c r="I959" s="8">
        <f t="shared" si="60"/>
        <v>0</v>
      </c>
      <c r="J959" s="8">
        <f t="shared" si="61"/>
        <v>0</v>
      </c>
      <c r="K959" s="8">
        <f>SUMIFS(His_Operacoes_acoes[Total],His_Operacoes_acoes[Fimmes],Patrimônio!B959,His_Operacoes_acoes[Operação],"JCP")
+ SUMIFS(His_Operacoes_acoes[Total],His_Operacoes_acoes[Fimmes],Patrimônio!B959,His_Operacoes_acoes[Operação],"Divid.")
+ SUMIFS(His_Operacoes_acoes[Total],His_Operacoes_acoes[Fimmes],Patrimônio!B959,His_Operacoes_acoes[Operação],"Bonif.")</f>
        <v>0</v>
      </c>
      <c r="L959" s="8">
        <f>SUMIFS(His_Operacoes_BDRs[Total],His_Operacoes_BDRs[Operação],"Provento",His_Operacoes_BDRs[fimmês],Patrimônio!B959)</f>
        <v>0</v>
      </c>
      <c r="M959" s="8">
        <f>SUMIFS(His_Operacoes_FIIs[Total],His_Operacoes_FIIs[Operação],"Provento",His_Operacoes_FIIs[fimmês],Patrimônio!B959)</f>
        <v>0</v>
      </c>
      <c r="N959" s="8">
        <f t="shared" si="62"/>
        <v>0</v>
      </c>
    </row>
    <row r="960" spans="1:14" x14ac:dyDescent="0.35">
      <c r="A960" s="7">
        <v>71529</v>
      </c>
      <c r="B960" s="7">
        <f t="shared" si="59"/>
        <v>71528</v>
      </c>
      <c r="I960" s="8">
        <f t="shared" si="60"/>
        <v>0</v>
      </c>
      <c r="J960" s="8">
        <f t="shared" si="61"/>
        <v>0</v>
      </c>
      <c r="K960" s="8">
        <f>SUMIFS(His_Operacoes_acoes[Total],His_Operacoes_acoes[Fimmes],Patrimônio!B960,His_Operacoes_acoes[Operação],"JCP")
+ SUMIFS(His_Operacoes_acoes[Total],His_Operacoes_acoes[Fimmes],Patrimônio!B960,His_Operacoes_acoes[Operação],"Divid.")
+ SUMIFS(His_Operacoes_acoes[Total],His_Operacoes_acoes[Fimmes],Patrimônio!B960,His_Operacoes_acoes[Operação],"Bonif.")</f>
        <v>0</v>
      </c>
      <c r="L960" s="8">
        <f>SUMIFS(His_Operacoes_BDRs[Total],His_Operacoes_BDRs[Operação],"Provento",His_Operacoes_BDRs[fimmês],Patrimônio!B960)</f>
        <v>0</v>
      </c>
      <c r="M960" s="8">
        <f>SUMIFS(His_Operacoes_FIIs[Total],His_Operacoes_FIIs[Operação],"Provento",His_Operacoes_FIIs[fimmês],Patrimônio!B960)</f>
        <v>0</v>
      </c>
      <c r="N960" s="8">
        <f t="shared" si="62"/>
        <v>0</v>
      </c>
    </row>
    <row r="961" spans="1:14" x14ac:dyDescent="0.35">
      <c r="A961" s="7">
        <v>71559</v>
      </c>
      <c r="B961" s="7">
        <f t="shared" si="59"/>
        <v>71558</v>
      </c>
      <c r="I961" s="8">
        <f t="shared" si="60"/>
        <v>0</v>
      </c>
      <c r="J961" s="8">
        <f t="shared" si="61"/>
        <v>0</v>
      </c>
      <c r="K961" s="8">
        <f>SUMIFS(His_Operacoes_acoes[Total],His_Operacoes_acoes[Fimmes],Patrimônio!B961,His_Operacoes_acoes[Operação],"JCP")
+ SUMIFS(His_Operacoes_acoes[Total],His_Operacoes_acoes[Fimmes],Patrimônio!B961,His_Operacoes_acoes[Operação],"Divid.")
+ SUMIFS(His_Operacoes_acoes[Total],His_Operacoes_acoes[Fimmes],Patrimônio!B961,His_Operacoes_acoes[Operação],"Bonif.")</f>
        <v>0</v>
      </c>
      <c r="L961" s="8">
        <f>SUMIFS(His_Operacoes_BDRs[Total],His_Operacoes_BDRs[Operação],"Provento",His_Operacoes_BDRs[fimmês],Patrimônio!B961)</f>
        <v>0</v>
      </c>
      <c r="M961" s="8">
        <f>SUMIFS(His_Operacoes_FIIs[Total],His_Operacoes_FIIs[Operação],"Provento",His_Operacoes_FIIs[fimmês],Patrimônio!B961)</f>
        <v>0</v>
      </c>
      <c r="N961" s="8">
        <f t="shared" si="62"/>
        <v>0</v>
      </c>
    </row>
    <row r="962" spans="1:14" x14ac:dyDescent="0.35">
      <c r="A962" s="7">
        <v>71590</v>
      </c>
      <c r="B962" s="7">
        <f t="shared" si="59"/>
        <v>71589</v>
      </c>
      <c r="I962" s="8">
        <f t="shared" si="60"/>
        <v>0</v>
      </c>
      <c r="J962" s="8">
        <f t="shared" si="61"/>
        <v>0</v>
      </c>
      <c r="K962" s="8">
        <f>SUMIFS(His_Operacoes_acoes[Total],His_Operacoes_acoes[Fimmes],Patrimônio!B962,His_Operacoes_acoes[Operação],"JCP")
+ SUMIFS(His_Operacoes_acoes[Total],His_Operacoes_acoes[Fimmes],Patrimônio!B962,His_Operacoes_acoes[Operação],"Divid.")
+ SUMIFS(His_Operacoes_acoes[Total],His_Operacoes_acoes[Fimmes],Patrimônio!B962,His_Operacoes_acoes[Operação],"Bonif.")</f>
        <v>0</v>
      </c>
      <c r="L962" s="8">
        <f>SUMIFS(His_Operacoes_BDRs[Total],His_Operacoes_BDRs[Operação],"Provento",His_Operacoes_BDRs[fimmês],Patrimônio!B962)</f>
        <v>0</v>
      </c>
      <c r="M962" s="8">
        <f>SUMIFS(His_Operacoes_FIIs[Total],His_Operacoes_FIIs[Operação],"Provento",His_Operacoes_FIIs[fimmês],Patrimônio!B962)</f>
        <v>0</v>
      </c>
      <c r="N962" s="8">
        <f t="shared" si="62"/>
        <v>0</v>
      </c>
    </row>
    <row r="963" spans="1:14" x14ac:dyDescent="0.35">
      <c r="A963" s="7">
        <v>71621</v>
      </c>
      <c r="B963" s="7">
        <f t="shared" ref="B963:B972" si="63">EOMONTH(A963,-1)</f>
        <v>71620</v>
      </c>
      <c r="I963" s="8">
        <f t="shared" ref="I963:I972" si="64">SUM(C963,E963,G963)</f>
        <v>0</v>
      </c>
      <c r="J963" s="8">
        <f t="shared" ref="J963:J972" si="65">SUM(D963,F963,H963)</f>
        <v>0</v>
      </c>
      <c r="K963" s="8">
        <f>SUMIFS(His_Operacoes_acoes[Total],His_Operacoes_acoes[Fimmes],Patrimônio!B963,His_Operacoes_acoes[Operação],"JCP")
+ SUMIFS(His_Operacoes_acoes[Total],His_Operacoes_acoes[Fimmes],Patrimônio!B963,His_Operacoes_acoes[Operação],"Divid.")
+ SUMIFS(His_Operacoes_acoes[Total],His_Operacoes_acoes[Fimmes],Patrimônio!B963,His_Operacoes_acoes[Operação],"Bonif.")</f>
        <v>0</v>
      </c>
      <c r="L963" s="8">
        <f>SUMIFS(His_Operacoes_BDRs[Total],His_Operacoes_BDRs[Operação],"Provento",His_Operacoes_BDRs[fimmês],Patrimônio!B963)</f>
        <v>0</v>
      </c>
      <c r="M963" s="8">
        <f>SUMIFS(His_Operacoes_FIIs[Total],His_Operacoes_FIIs[Operação],"Provento",His_Operacoes_FIIs[fimmês],Patrimônio!B963)</f>
        <v>0</v>
      </c>
      <c r="N963" s="8">
        <f t="shared" ref="N963:N972" si="66">SUM(K963:M963)</f>
        <v>0</v>
      </c>
    </row>
    <row r="964" spans="1:14" x14ac:dyDescent="0.35">
      <c r="A964" s="7">
        <v>71650</v>
      </c>
      <c r="B964" s="7">
        <f t="shared" si="63"/>
        <v>71649</v>
      </c>
      <c r="I964" s="8">
        <f t="shared" si="64"/>
        <v>0</v>
      </c>
      <c r="J964" s="8">
        <f t="shared" si="65"/>
        <v>0</v>
      </c>
      <c r="K964" s="8">
        <f>SUMIFS(His_Operacoes_acoes[Total],His_Operacoes_acoes[Fimmes],Patrimônio!B964,His_Operacoes_acoes[Operação],"JCP")
+ SUMIFS(His_Operacoes_acoes[Total],His_Operacoes_acoes[Fimmes],Patrimônio!B964,His_Operacoes_acoes[Operação],"Divid.")
+ SUMIFS(His_Operacoes_acoes[Total],His_Operacoes_acoes[Fimmes],Patrimônio!B964,His_Operacoes_acoes[Operação],"Bonif.")</f>
        <v>0</v>
      </c>
      <c r="L964" s="8">
        <f>SUMIFS(His_Operacoes_BDRs[Total],His_Operacoes_BDRs[Operação],"Provento",His_Operacoes_BDRs[fimmês],Patrimônio!B964)</f>
        <v>0</v>
      </c>
      <c r="M964" s="8">
        <f>SUMIFS(His_Operacoes_FIIs[Total],His_Operacoes_FIIs[Operação],"Provento",His_Operacoes_FIIs[fimmês],Patrimônio!B964)</f>
        <v>0</v>
      </c>
      <c r="N964" s="8">
        <f t="shared" si="66"/>
        <v>0</v>
      </c>
    </row>
    <row r="965" spans="1:14" x14ac:dyDescent="0.35">
      <c r="A965" s="7">
        <v>71681</v>
      </c>
      <c r="B965" s="7">
        <f t="shared" si="63"/>
        <v>71680</v>
      </c>
      <c r="I965" s="8">
        <f t="shared" si="64"/>
        <v>0</v>
      </c>
      <c r="J965" s="8">
        <f t="shared" si="65"/>
        <v>0</v>
      </c>
      <c r="K965" s="8">
        <f>SUMIFS(His_Operacoes_acoes[Total],His_Operacoes_acoes[Fimmes],Patrimônio!B965,His_Operacoes_acoes[Operação],"JCP")
+ SUMIFS(His_Operacoes_acoes[Total],His_Operacoes_acoes[Fimmes],Patrimônio!B965,His_Operacoes_acoes[Operação],"Divid.")
+ SUMIFS(His_Operacoes_acoes[Total],His_Operacoes_acoes[Fimmes],Patrimônio!B965,His_Operacoes_acoes[Operação],"Bonif.")</f>
        <v>0</v>
      </c>
      <c r="L965" s="8">
        <f>SUMIFS(His_Operacoes_BDRs[Total],His_Operacoes_BDRs[Operação],"Provento",His_Operacoes_BDRs[fimmês],Patrimônio!B965)</f>
        <v>0</v>
      </c>
      <c r="M965" s="8">
        <f>SUMIFS(His_Operacoes_FIIs[Total],His_Operacoes_FIIs[Operação],"Provento",His_Operacoes_FIIs[fimmês],Patrimônio!B965)</f>
        <v>0</v>
      </c>
      <c r="N965" s="8">
        <f t="shared" si="66"/>
        <v>0</v>
      </c>
    </row>
    <row r="966" spans="1:14" x14ac:dyDescent="0.35">
      <c r="A966" s="7">
        <v>71711</v>
      </c>
      <c r="B966" s="7">
        <f t="shared" si="63"/>
        <v>71710</v>
      </c>
      <c r="I966" s="8">
        <f t="shared" si="64"/>
        <v>0</v>
      </c>
      <c r="J966" s="8">
        <f t="shared" si="65"/>
        <v>0</v>
      </c>
      <c r="K966" s="8">
        <f>SUMIFS(His_Operacoes_acoes[Total],His_Operacoes_acoes[Fimmes],Patrimônio!B966,His_Operacoes_acoes[Operação],"JCP")
+ SUMIFS(His_Operacoes_acoes[Total],His_Operacoes_acoes[Fimmes],Patrimônio!B966,His_Operacoes_acoes[Operação],"Divid.")
+ SUMIFS(His_Operacoes_acoes[Total],His_Operacoes_acoes[Fimmes],Patrimônio!B966,His_Operacoes_acoes[Operação],"Bonif.")</f>
        <v>0</v>
      </c>
      <c r="L966" s="8">
        <f>SUMIFS(His_Operacoes_BDRs[Total],His_Operacoes_BDRs[Operação],"Provento",His_Operacoes_BDRs[fimmês],Patrimônio!B966)</f>
        <v>0</v>
      </c>
      <c r="M966" s="8">
        <f>SUMIFS(His_Operacoes_FIIs[Total],His_Operacoes_FIIs[Operação],"Provento",His_Operacoes_FIIs[fimmês],Patrimônio!B966)</f>
        <v>0</v>
      </c>
      <c r="N966" s="8">
        <f t="shared" si="66"/>
        <v>0</v>
      </c>
    </row>
    <row r="967" spans="1:14" x14ac:dyDescent="0.35">
      <c r="A967" s="7">
        <v>71742</v>
      </c>
      <c r="B967" s="7">
        <f t="shared" si="63"/>
        <v>71741</v>
      </c>
      <c r="I967" s="8">
        <f t="shared" si="64"/>
        <v>0</v>
      </c>
      <c r="J967" s="8">
        <f t="shared" si="65"/>
        <v>0</v>
      </c>
      <c r="K967" s="8">
        <f>SUMIFS(His_Operacoes_acoes[Total],His_Operacoes_acoes[Fimmes],Patrimônio!B967,His_Operacoes_acoes[Operação],"JCP")
+ SUMIFS(His_Operacoes_acoes[Total],His_Operacoes_acoes[Fimmes],Patrimônio!B967,His_Operacoes_acoes[Operação],"Divid.")
+ SUMIFS(His_Operacoes_acoes[Total],His_Operacoes_acoes[Fimmes],Patrimônio!B967,His_Operacoes_acoes[Operação],"Bonif.")</f>
        <v>0</v>
      </c>
      <c r="L967" s="8">
        <f>SUMIFS(His_Operacoes_BDRs[Total],His_Operacoes_BDRs[Operação],"Provento",His_Operacoes_BDRs[fimmês],Patrimônio!B967)</f>
        <v>0</v>
      </c>
      <c r="M967" s="8">
        <f>SUMIFS(His_Operacoes_FIIs[Total],His_Operacoes_FIIs[Operação],"Provento",His_Operacoes_FIIs[fimmês],Patrimônio!B967)</f>
        <v>0</v>
      </c>
      <c r="N967" s="8">
        <f t="shared" si="66"/>
        <v>0</v>
      </c>
    </row>
    <row r="968" spans="1:14" x14ac:dyDescent="0.35">
      <c r="A968" s="7">
        <v>71772</v>
      </c>
      <c r="B968" s="7">
        <f t="shared" si="63"/>
        <v>71771</v>
      </c>
      <c r="I968" s="8">
        <f t="shared" si="64"/>
        <v>0</v>
      </c>
      <c r="J968" s="8">
        <f t="shared" si="65"/>
        <v>0</v>
      </c>
      <c r="K968" s="8">
        <f>SUMIFS(His_Operacoes_acoes[Total],His_Operacoes_acoes[Fimmes],Patrimônio!B968,His_Operacoes_acoes[Operação],"JCP")
+ SUMIFS(His_Operacoes_acoes[Total],His_Operacoes_acoes[Fimmes],Patrimônio!B968,His_Operacoes_acoes[Operação],"Divid.")
+ SUMIFS(His_Operacoes_acoes[Total],His_Operacoes_acoes[Fimmes],Patrimônio!B968,His_Operacoes_acoes[Operação],"Bonif.")</f>
        <v>0</v>
      </c>
      <c r="L968" s="8">
        <f>SUMIFS(His_Operacoes_BDRs[Total],His_Operacoes_BDRs[Operação],"Provento",His_Operacoes_BDRs[fimmês],Patrimônio!B968)</f>
        <v>0</v>
      </c>
      <c r="M968" s="8">
        <f>SUMIFS(His_Operacoes_FIIs[Total],His_Operacoes_FIIs[Operação],"Provento",His_Operacoes_FIIs[fimmês],Patrimônio!B968)</f>
        <v>0</v>
      </c>
      <c r="N968" s="8">
        <f t="shared" si="66"/>
        <v>0</v>
      </c>
    </row>
    <row r="969" spans="1:14" x14ac:dyDescent="0.35">
      <c r="A969" s="7">
        <v>71803</v>
      </c>
      <c r="B969" s="7">
        <f t="shared" si="63"/>
        <v>71802</v>
      </c>
      <c r="I969" s="8">
        <f t="shared" si="64"/>
        <v>0</v>
      </c>
      <c r="J969" s="8">
        <f t="shared" si="65"/>
        <v>0</v>
      </c>
      <c r="K969" s="8">
        <f>SUMIFS(His_Operacoes_acoes[Total],His_Operacoes_acoes[Fimmes],Patrimônio!B969,His_Operacoes_acoes[Operação],"JCP")
+ SUMIFS(His_Operacoes_acoes[Total],His_Operacoes_acoes[Fimmes],Patrimônio!B969,His_Operacoes_acoes[Operação],"Divid.")
+ SUMIFS(His_Operacoes_acoes[Total],His_Operacoes_acoes[Fimmes],Patrimônio!B969,His_Operacoes_acoes[Operação],"Bonif.")</f>
        <v>0</v>
      </c>
      <c r="L969" s="8">
        <f>SUMIFS(His_Operacoes_BDRs[Total],His_Operacoes_BDRs[Operação],"Provento",His_Operacoes_BDRs[fimmês],Patrimônio!B969)</f>
        <v>0</v>
      </c>
      <c r="M969" s="8">
        <f>SUMIFS(His_Operacoes_FIIs[Total],His_Operacoes_FIIs[Operação],"Provento",His_Operacoes_FIIs[fimmês],Patrimônio!B969)</f>
        <v>0</v>
      </c>
      <c r="N969" s="8">
        <f t="shared" si="66"/>
        <v>0</v>
      </c>
    </row>
    <row r="970" spans="1:14" x14ac:dyDescent="0.35">
      <c r="A970" s="7">
        <v>71834</v>
      </c>
      <c r="B970" s="7">
        <f t="shared" si="63"/>
        <v>71833</v>
      </c>
      <c r="I970" s="8">
        <f t="shared" si="64"/>
        <v>0</v>
      </c>
      <c r="J970" s="8">
        <f t="shared" si="65"/>
        <v>0</v>
      </c>
      <c r="K970" s="8">
        <f>SUMIFS(His_Operacoes_acoes[Total],His_Operacoes_acoes[Fimmes],Patrimônio!B970,His_Operacoes_acoes[Operação],"JCP")
+ SUMIFS(His_Operacoes_acoes[Total],His_Operacoes_acoes[Fimmes],Patrimônio!B970,His_Operacoes_acoes[Operação],"Divid.")
+ SUMIFS(His_Operacoes_acoes[Total],His_Operacoes_acoes[Fimmes],Patrimônio!B970,His_Operacoes_acoes[Operação],"Bonif.")</f>
        <v>0</v>
      </c>
      <c r="L970" s="8">
        <f>SUMIFS(His_Operacoes_BDRs[Total],His_Operacoes_BDRs[Operação],"Provento",His_Operacoes_BDRs[fimmês],Patrimônio!B970)</f>
        <v>0</v>
      </c>
      <c r="M970" s="8">
        <f>SUMIFS(His_Operacoes_FIIs[Total],His_Operacoes_FIIs[Operação],"Provento",His_Operacoes_FIIs[fimmês],Patrimônio!B970)</f>
        <v>0</v>
      </c>
      <c r="N970" s="8">
        <f t="shared" si="66"/>
        <v>0</v>
      </c>
    </row>
    <row r="971" spans="1:14" x14ac:dyDescent="0.35">
      <c r="A971" s="7">
        <v>71864</v>
      </c>
      <c r="B971" s="7">
        <f t="shared" si="63"/>
        <v>71863</v>
      </c>
      <c r="I971" s="8">
        <f t="shared" si="64"/>
        <v>0</v>
      </c>
      <c r="J971" s="8">
        <f t="shared" si="65"/>
        <v>0</v>
      </c>
      <c r="K971" s="8">
        <f>SUMIFS(His_Operacoes_acoes[Total],His_Operacoes_acoes[Fimmes],Patrimônio!B971,His_Operacoes_acoes[Operação],"JCP")
+ SUMIFS(His_Operacoes_acoes[Total],His_Operacoes_acoes[Fimmes],Patrimônio!B971,His_Operacoes_acoes[Operação],"Divid.")
+ SUMIFS(His_Operacoes_acoes[Total],His_Operacoes_acoes[Fimmes],Patrimônio!B971,His_Operacoes_acoes[Operação],"Bonif.")</f>
        <v>0</v>
      </c>
      <c r="L971" s="8">
        <f>SUMIFS(His_Operacoes_BDRs[Total],His_Operacoes_BDRs[Operação],"Provento",His_Operacoes_BDRs[fimmês],Patrimônio!B971)</f>
        <v>0</v>
      </c>
      <c r="M971" s="8">
        <f>SUMIFS(His_Operacoes_FIIs[Total],His_Operacoes_FIIs[Operação],"Provento",His_Operacoes_FIIs[fimmês],Patrimônio!B971)</f>
        <v>0</v>
      </c>
      <c r="N971" s="8">
        <f t="shared" si="66"/>
        <v>0</v>
      </c>
    </row>
    <row r="972" spans="1:14" x14ac:dyDescent="0.35">
      <c r="A972" s="7">
        <v>71895</v>
      </c>
      <c r="B972" s="7">
        <f t="shared" si="63"/>
        <v>71894</v>
      </c>
      <c r="I972" s="8">
        <f t="shared" si="64"/>
        <v>0</v>
      </c>
      <c r="J972" s="8">
        <f t="shared" si="65"/>
        <v>0</v>
      </c>
      <c r="K972" s="8">
        <f>SUMIFS(His_Operacoes_acoes[Total],His_Operacoes_acoes[Fimmes],Patrimônio!B972,His_Operacoes_acoes[Operação],"JCP")
+ SUMIFS(His_Operacoes_acoes[Total],His_Operacoes_acoes[Fimmes],Patrimônio!B972,His_Operacoes_acoes[Operação],"Divid.")
+ SUMIFS(His_Operacoes_acoes[Total],His_Operacoes_acoes[Fimmes],Patrimônio!B972,His_Operacoes_acoes[Operação],"Bonif.")</f>
        <v>0</v>
      </c>
      <c r="L972" s="8">
        <f>SUMIFS(His_Operacoes_BDRs[Total],His_Operacoes_BDRs[Operação],"Provento",His_Operacoes_BDRs[fimmês],Patrimônio!B972)</f>
        <v>0</v>
      </c>
      <c r="M972" s="8">
        <f>SUMIFS(His_Operacoes_FIIs[Total],His_Operacoes_FIIs[Operação],"Provento",His_Operacoes_FIIs[fimmês],Patrimônio!B972)</f>
        <v>0</v>
      </c>
      <c r="N972" s="8">
        <f t="shared" si="66"/>
        <v>0</v>
      </c>
    </row>
  </sheetData>
  <phoneticPr fontId="17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5" name="Spinner 10">
              <controlPr defaultSize="0" autoPict="0">
                <anchor moveWithCells="1" sizeWithCells="1">
                  <from>
                    <xdr:col>18</xdr:col>
                    <xdr:colOff>0</xdr:colOff>
                    <xdr:row>16</xdr:row>
                    <xdr:rowOff>0</xdr:rowOff>
                  </from>
                  <to>
                    <xdr:col>20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E2E36-DA46-461F-B4F8-D701D2430A17}">
  <sheetPr codeName="Planilha3"/>
  <dimension ref="A2:AA39"/>
  <sheetViews>
    <sheetView zoomScale="70" zoomScaleNormal="70" workbookViewId="0">
      <selection activeCell="A13" sqref="A13"/>
    </sheetView>
  </sheetViews>
  <sheetFormatPr defaultRowHeight="17.25" x14ac:dyDescent="0.35"/>
  <cols>
    <col min="1" max="1" width="21" style="3" bestFit="1" customWidth="1"/>
    <col min="2" max="2" width="15.875" style="1" bestFit="1" customWidth="1"/>
    <col min="3" max="3" width="21" style="1" bestFit="1" customWidth="1"/>
    <col min="4" max="4" width="17.75" style="1" bestFit="1" customWidth="1"/>
    <col min="5" max="5" width="13.75" style="1" bestFit="1" customWidth="1"/>
    <col min="6" max="6" width="12.5" style="1" bestFit="1" customWidth="1"/>
    <col min="7" max="7" width="17.625" style="3" bestFit="1" customWidth="1"/>
    <col min="8" max="8" width="21" style="1" bestFit="1" customWidth="1"/>
    <col min="9" max="9" width="17.75" style="1" bestFit="1" customWidth="1"/>
    <col min="10" max="13" width="9" style="1"/>
    <col min="14" max="14" width="9" style="3"/>
    <col min="16" max="16" width="21" bestFit="1" customWidth="1"/>
    <col min="17" max="17" width="17.75" bestFit="1" customWidth="1"/>
    <col min="21" max="21" width="9" style="3"/>
  </cols>
  <sheetData>
    <row r="2" spans="1:27" x14ac:dyDescent="0.35">
      <c r="B2" s="6"/>
    </row>
    <row r="3" spans="1:27" ht="19.5" x14ac:dyDescent="0.4">
      <c r="A3" s="147" t="s">
        <v>3</v>
      </c>
      <c r="B3" s="148"/>
      <c r="C3" s="148"/>
      <c r="D3" s="148"/>
      <c r="E3" s="148"/>
      <c r="F3" s="149"/>
      <c r="G3" s="150" t="s">
        <v>8</v>
      </c>
      <c r="H3" s="151"/>
      <c r="I3" s="151"/>
      <c r="J3" s="151"/>
      <c r="K3" s="151"/>
      <c r="L3" s="151"/>
      <c r="M3" s="151"/>
      <c r="N3" s="150" t="s">
        <v>9</v>
      </c>
      <c r="O3" s="151"/>
      <c r="P3" s="151"/>
      <c r="Q3" s="151"/>
      <c r="R3" s="151"/>
      <c r="S3" s="151"/>
      <c r="T3" s="151"/>
      <c r="U3" s="150"/>
      <c r="V3" s="151"/>
      <c r="W3" s="151"/>
      <c r="X3" s="151"/>
      <c r="Y3" s="151"/>
      <c r="Z3" s="151"/>
      <c r="AA3" s="151"/>
    </row>
    <row r="5" spans="1:27" x14ac:dyDescent="0.35">
      <c r="A5" s="1" t="s">
        <v>15</v>
      </c>
      <c r="C5" s="4" t="s">
        <v>52</v>
      </c>
      <c r="D5" s="3" t="s">
        <v>54</v>
      </c>
      <c r="H5" s="4" t="s">
        <v>52</v>
      </c>
      <c r="I5" s="3" t="s">
        <v>54</v>
      </c>
      <c r="P5" s="11" t="s">
        <v>52</v>
      </c>
      <c r="Q5" t="s">
        <v>54</v>
      </c>
    </row>
    <row r="6" spans="1:27" x14ac:dyDescent="0.35">
      <c r="A6" s="1"/>
      <c r="C6" s="5" t="s">
        <v>108</v>
      </c>
      <c r="D6" s="9">
        <v>0</v>
      </c>
      <c r="H6" s="5" t="s">
        <v>108</v>
      </c>
      <c r="I6" s="10">
        <v>0</v>
      </c>
      <c r="P6" s="12" t="s">
        <v>108</v>
      </c>
      <c r="Q6" s="13">
        <v>0</v>
      </c>
    </row>
    <row r="7" spans="1:27" ht="19.5" x14ac:dyDescent="0.4">
      <c r="A7" s="1" t="s">
        <v>11</v>
      </c>
      <c r="C7"/>
      <c r="D7"/>
      <c r="F7" s="2"/>
      <c r="H7"/>
      <c r="I7"/>
      <c r="J7" s="2"/>
      <c r="K7" s="2"/>
      <c r="P7" s="12" t="s">
        <v>85</v>
      </c>
      <c r="Q7" s="13">
        <v>0</v>
      </c>
    </row>
    <row r="8" spans="1:27" x14ac:dyDescent="0.35">
      <c r="A8" s="1" t="s">
        <v>12</v>
      </c>
      <c r="C8"/>
      <c r="D8"/>
      <c r="H8"/>
      <c r="I8"/>
    </row>
    <row r="9" spans="1:27" x14ac:dyDescent="0.35">
      <c r="A9" s="1" t="s">
        <v>17</v>
      </c>
      <c r="C9"/>
      <c r="D9"/>
      <c r="H9"/>
      <c r="I9"/>
    </row>
    <row r="10" spans="1:27" x14ac:dyDescent="0.35">
      <c r="A10" s="3" t="s">
        <v>112</v>
      </c>
      <c r="C10"/>
      <c r="D10"/>
    </row>
    <row r="11" spans="1:27" x14ac:dyDescent="0.35">
      <c r="A11" s="3" t="s">
        <v>113</v>
      </c>
      <c r="C11"/>
      <c r="D11"/>
    </row>
    <row r="12" spans="1:27" x14ac:dyDescent="0.35">
      <c r="A12" s="122" t="s">
        <v>114</v>
      </c>
      <c r="B12"/>
      <c r="C12"/>
      <c r="D12"/>
    </row>
    <row r="13" spans="1:27" x14ac:dyDescent="0.35">
      <c r="C13"/>
      <c r="D13"/>
    </row>
    <row r="14" spans="1:27" x14ac:dyDescent="0.35">
      <c r="A14"/>
      <c r="B14"/>
      <c r="C14"/>
      <c r="D14"/>
      <c r="E14"/>
      <c r="F14"/>
    </row>
    <row r="15" spans="1:27" x14ac:dyDescent="0.35">
      <c r="A15"/>
      <c r="B15"/>
      <c r="C15"/>
      <c r="D15"/>
      <c r="E15"/>
      <c r="F15"/>
    </row>
    <row r="16" spans="1:27" x14ac:dyDescent="0.35">
      <c r="A16"/>
      <c r="B16"/>
      <c r="C16"/>
      <c r="D16"/>
      <c r="E16"/>
      <c r="F16"/>
    </row>
    <row r="17" spans="1:13" x14ac:dyDescent="0.35">
      <c r="A17"/>
      <c r="B17"/>
      <c r="C17"/>
      <c r="D17"/>
      <c r="E17"/>
      <c r="F17"/>
    </row>
    <row r="18" spans="1:13" x14ac:dyDescent="0.35">
      <c r="A18"/>
      <c r="B18"/>
      <c r="C18"/>
      <c r="D18"/>
      <c r="E18"/>
      <c r="F18"/>
      <c r="H18"/>
      <c r="I18"/>
      <c r="J18"/>
      <c r="K18"/>
      <c r="L18"/>
      <c r="M18"/>
    </row>
    <row r="19" spans="1:13" x14ac:dyDescent="0.35">
      <c r="A19"/>
      <c r="B19"/>
      <c r="C19"/>
      <c r="D19"/>
      <c r="H19"/>
      <c r="I19"/>
      <c r="J19"/>
      <c r="K19"/>
      <c r="L19"/>
      <c r="M19"/>
    </row>
    <row r="20" spans="1:13" x14ac:dyDescent="0.35">
      <c r="A20"/>
      <c r="B20"/>
      <c r="C20"/>
      <c r="D20"/>
    </row>
    <row r="21" spans="1:13" x14ac:dyDescent="0.35">
      <c r="A21"/>
      <c r="B21"/>
      <c r="C21"/>
    </row>
    <row r="22" spans="1:13" x14ac:dyDescent="0.35">
      <c r="A22"/>
      <c r="B22"/>
      <c r="C22"/>
    </row>
    <row r="23" spans="1:13" x14ac:dyDescent="0.35">
      <c r="A23"/>
      <c r="B23"/>
      <c r="C23"/>
    </row>
    <row r="24" spans="1:13" x14ac:dyDescent="0.35">
      <c r="A24"/>
      <c r="B24"/>
      <c r="C24"/>
    </row>
    <row r="25" spans="1:13" x14ac:dyDescent="0.35">
      <c r="A25"/>
      <c r="B25"/>
      <c r="C25"/>
    </row>
    <row r="26" spans="1:13" x14ac:dyDescent="0.35">
      <c r="A26"/>
      <c r="B26"/>
      <c r="C26"/>
    </row>
    <row r="27" spans="1:13" x14ac:dyDescent="0.35">
      <c r="A27"/>
      <c r="B27"/>
      <c r="C27"/>
    </row>
    <row r="28" spans="1:13" x14ac:dyDescent="0.35">
      <c r="A28"/>
      <c r="B28"/>
      <c r="C28"/>
    </row>
    <row r="29" spans="1:13" x14ac:dyDescent="0.35">
      <c r="A29"/>
      <c r="B29"/>
      <c r="C29"/>
    </row>
    <row r="30" spans="1:13" x14ac:dyDescent="0.35">
      <c r="A30"/>
      <c r="B30"/>
      <c r="C30"/>
    </row>
    <row r="31" spans="1:13" x14ac:dyDescent="0.35">
      <c r="A31"/>
      <c r="B31"/>
      <c r="C31"/>
    </row>
    <row r="32" spans="1:13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</sheetData>
  <mergeCells count="4">
    <mergeCell ref="A3:F3"/>
    <mergeCell ref="G3:M3"/>
    <mergeCell ref="N3:T3"/>
    <mergeCell ref="U3:AA3"/>
  </mergeCells>
  <phoneticPr fontId="17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1EF5732-ECEF-4B28-9737-E1AD80EC6E4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Visão Geral</vt:lpstr>
      <vt:lpstr>Ações</vt:lpstr>
      <vt:lpstr>BDRs</vt:lpstr>
      <vt:lpstr>FIIs</vt:lpstr>
      <vt:lpstr>Patrimônio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Romão</dc:creator>
  <cp:lastModifiedBy>Gabriel Romão</cp:lastModifiedBy>
  <dcterms:created xsi:type="dcterms:W3CDTF">2021-12-19T16:28:30Z</dcterms:created>
  <dcterms:modified xsi:type="dcterms:W3CDTF">2022-03-27T14:22:12Z</dcterms:modified>
</cp:coreProperties>
</file>