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B096BD4D-D7C4-4087-AB47-72F069789FE3}" xr6:coauthVersionLast="47" xr6:coauthVersionMax="47" xr10:uidLastSave="{00000000-0000-0000-0000-000000000000}"/>
  <bookViews>
    <workbookView xWindow="-120" yWindow="-120" windowWidth="20730" windowHeight="11760" tabRatio="641" activeTab="3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6" r:id="rId7"/>
    <pivotCache cacheId="9" r:id="rId8"/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4" l="1"/>
  <c r="J19" i="4"/>
  <c r="N19" i="4"/>
  <c r="G66" i="4"/>
  <c r="J66" i="4"/>
  <c r="K66" i="4"/>
  <c r="N66" i="4"/>
  <c r="F13" i="4"/>
  <c r="F12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4"/>
  <c r="L19" i="11"/>
  <c r="L19" i="8"/>
  <c r="K19" i="4" l="1"/>
  <c r="M19" i="4"/>
  <c r="I19" i="4" s="1"/>
  <c r="H19" i="4"/>
  <c r="G4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I19" i="11" l="1"/>
  <c r="X2" i="10"/>
  <c r="Y2" i="10"/>
  <c r="G66" i="11"/>
  <c r="J66" i="11"/>
  <c r="K66" i="11"/>
  <c r="N66" i="11"/>
  <c r="F14" i="11"/>
  <c r="F13" i="11"/>
  <c r="F12" i="11"/>
  <c r="H11" i="11"/>
  <c r="G6" i="11"/>
  <c r="O5" i="11"/>
  <c r="G4" i="11"/>
  <c r="N66" i="8"/>
  <c r="B3" i="10"/>
  <c r="K3" i="10" s="1"/>
  <c r="B4" i="10"/>
  <c r="K4" i="10" s="1"/>
  <c r="B5" i="10"/>
  <c r="K5" i="10" s="1"/>
  <c r="B6" i="10"/>
  <c r="K6" i="10" s="1"/>
  <c r="B7" i="10"/>
  <c r="K7" i="10" s="1"/>
  <c r="B8" i="10"/>
  <c r="K8" i="10" s="1"/>
  <c r="B9" i="10"/>
  <c r="K9" i="10" s="1"/>
  <c r="B10" i="10"/>
  <c r="K10" i="10" s="1"/>
  <c r="B11" i="10"/>
  <c r="K11" i="10" s="1"/>
  <c r="B12" i="10"/>
  <c r="K12" i="10" s="1"/>
  <c r="B13" i="10"/>
  <c r="K13" i="10" s="1"/>
  <c r="B14" i="10"/>
  <c r="K14" i="10" s="1"/>
  <c r="B15" i="10"/>
  <c r="K15" i="10" s="1"/>
  <c r="B16" i="10"/>
  <c r="K16" i="10" s="1"/>
  <c r="B17" i="10"/>
  <c r="K17" i="10" s="1"/>
  <c r="B18" i="10"/>
  <c r="K18" i="10" s="1"/>
  <c r="B19" i="10"/>
  <c r="K19" i="10" s="1"/>
  <c r="B20" i="10"/>
  <c r="K20" i="10" s="1"/>
  <c r="B21" i="10"/>
  <c r="K21" i="10" s="1"/>
  <c r="B22" i="10"/>
  <c r="K22" i="10" s="1"/>
  <c r="B23" i="10"/>
  <c r="K23" i="10" s="1"/>
  <c r="B24" i="10"/>
  <c r="K24" i="10" s="1"/>
  <c r="B25" i="10"/>
  <c r="K25" i="10" s="1"/>
  <c r="B26" i="10"/>
  <c r="K26" i="10" s="1"/>
  <c r="B27" i="10"/>
  <c r="K27" i="10" s="1"/>
  <c r="B28" i="10"/>
  <c r="K28" i="10" s="1"/>
  <c r="B29" i="10"/>
  <c r="K29" i="10" s="1"/>
  <c r="B30" i="10"/>
  <c r="K30" i="10" s="1"/>
  <c r="B31" i="10"/>
  <c r="K31" i="10" s="1"/>
  <c r="B32" i="10"/>
  <c r="K32" i="10" s="1"/>
  <c r="B33" i="10"/>
  <c r="K33" i="10" s="1"/>
  <c r="B34" i="10"/>
  <c r="K34" i="10" s="1"/>
  <c r="B35" i="10"/>
  <c r="K35" i="10" s="1"/>
  <c r="B36" i="10"/>
  <c r="K36" i="10" s="1"/>
  <c r="B37" i="10"/>
  <c r="K37" i="10" s="1"/>
  <c r="B38" i="10"/>
  <c r="K38" i="10" s="1"/>
  <c r="B39" i="10"/>
  <c r="K39" i="10" s="1"/>
  <c r="B40" i="10"/>
  <c r="K40" i="10" s="1"/>
  <c r="B41" i="10"/>
  <c r="K41" i="10" s="1"/>
  <c r="B42" i="10"/>
  <c r="K42" i="10" s="1"/>
  <c r="B43" i="10"/>
  <c r="K43" i="10" s="1"/>
  <c r="B44" i="10"/>
  <c r="K44" i="10" s="1"/>
  <c r="B45" i="10"/>
  <c r="K45" i="10" s="1"/>
  <c r="B46" i="10"/>
  <c r="K46" i="10" s="1"/>
  <c r="B47" i="10"/>
  <c r="K47" i="10" s="1"/>
  <c r="B48" i="10"/>
  <c r="K48" i="10" s="1"/>
  <c r="B49" i="10"/>
  <c r="K49" i="10" s="1"/>
  <c r="B50" i="10"/>
  <c r="K50" i="10" s="1"/>
  <c r="B51" i="10"/>
  <c r="K51" i="10" s="1"/>
  <c r="B52" i="10"/>
  <c r="K52" i="10" s="1"/>
  <c r="B53" i="10"/>
  <c r="K53" i="10" s="1"/>
  <c r="B54" i="10"/>
  <c r="K54" i="10" s="1"/>
  <c r="B55" i="10"/>
  <c r="K55" i="10" s="1"/>
  <c r="B56" i="10"/>
  <c r="K56" i="10" s="1"/>
  <c r="B57" i="10"/>
  <c r="K57" i="10" s="1"/>
  <c r="B58" i="10"/>
  <c r="K58" i="10" s="1"/>
  <c r="B59" i="10"/>
  <c r="K59" i="10" s="1"/>
  <c r="B60" i="10"/>
  <c r="K60" i="10" s="1"/>
  <c r="B61" i="10"/>
  <c r="K61" i="10" s="1"/>
  <c r="B62" i="10"/>
  <c r="K62" i="10" s="1"/>
  <c r="B63" i="10"/>
  <c r="K63" i="10" s="1"/>
  <c r="B64" i="10"/>
  <c r="K64" i="10" s="1"/>
  <c r="B65" i="10"/>
  <c r="K65" i="10" s="1"/>
  <c r="B66" i="10"/>
  <c r="K66" i="10" s="1"/>
  <c r="B67" i="10"/>
  <c r="K67" i="10" s="1"/>
  <c r="B68" i="10"/>
  <c r="K68" i="10" s="1"/>
  <c r="B69" i="10"/>
  <c r="K69" i="10" s="1"/>
  <c r="B70" i="10"/>
  <c r="K70" i="10" s="1"/>
  <c r="B71" i="10"/>
  <c r="K71" i="10" s="1"/>
  <c r="B72" i="10"/>
  <c r="K72" i="10" s="1"/>
  <c r="B73" i="10"/>
  <c r="K73" i="10" s="1"/>
  <c r="B74" i="10"/>
  <c r="K74" i="10" s="1"/>
  <c r="B75" i="10"/>
  <c r="K75" i="10" s="1"/>
  <c r="B76" i="10"/>
  <c r="K76" i="10" s="1"/>
  <c r="B77" i="10"/>
  <c r="K77" i="10" s="1"/>
  <c r="B78" i="10"/>
  <c r="K78" i="10" s="1"/>
  <c r="B79" i="10"/>
  <c r="K79" i="10" s="1"/>
  <c r="B80" i="10"/>
  <c r="K80" i="10" s="1"/>
  <c r="B81" i="10"/>
  <c r="K81" i="10" s="1"/>
  <c r="B82" i="10"/>
  <c r="K82" i="10" s="1"/>
  <c r="B83" i="10"/>
  <c r="K83" i="10" s="1"/>
  <c r="B84" i="10"/>
  <c r="K84" i="10" s="1"/>
  <c r="B85" i="10"/>
  <c r="K85" i="10" s="1"/>
  <c r="B86" i="10"/>
  <c r="K86" i="10" s="1"/>
  <c r="B87" i="10"/>
  <c r="K87" i="10" s="1"/>
  <c r="B88" i="10"/>
  <c r="K88" i="10" s="1"/>
  <c r="B89" i="10"/>
  <c r="K89" i="10" s="1"/>
  <c r="B90" i="10"/>
  <c r="K90" i="10" s="1"/>
  <c r="B91" i="10"/>
  <c r="K91" i="10" s="1"/>
  <c r="B92" i="10"/>
  <c r="K92" i="10" s="1"/>
  <c r="B93" i="10"/>
  <c r="K93" i="10" s="1"/>
  <c r="B94" i="10"/>
  <c r="K94" i="10" s="1"/>
  <c r="B95" i="10"/>
  <c r="K95" i="10" s="1"/>
  <c r="B96" i="10"/>
  <c r="K96" i="10" s="1"/>
  <c r="B97" i="10"/>
  <c r="K97" i="10" s="1"/>
  <c r="B98" i="10"/>
  <c r="K98" i="10" s="1"/>
  <c r="B99" i="10"/>
  <c r="K99" i="10" s="1"/>
  <c r="B100" i="10"/>
  <c r="K100" i="10" s="1"/>
  <c r="B101" i="10"/>
  <c r="K101" i="10" s="1"/>
  <c r="B102" i="10"/>
  <c r="K102" i="10" s="1"/>
  <c r="B103" i="10"/>
  <c r="K103" i="10" s="1"/>
  <c r="B104" i="10"/>
  <c r="K104" i="10" s="1"/>
  <c r="B105" i="10"/>
  <c r="K105" i="10" s="1"/>
  <c r="B106" i="10"/>
  <c r="K106" i="10" s="1"/>
  <c r="B107" i="10"/>
  <c r="K107" i="10" s="1"/>
  <c r="B108" i="10"/>
  <c r="K108" i="10" s="1"/>
  <c r="B109" i="10"/>
  <c r="K109" i="10" s="1"/>
  <c r="B110" i="10"/>
  <c r="K110" i="10" s="1"/>
  <c r="B111" i="10"/>
  <c r="K111" i="10" s="1"/>
  <c r="B112" i="10"/>
  <c r="K112" i="10" s="1"/>
  <c r="B113" i="10"/>
  <c r="K113" i="10" s="1"/>
  <c r="B114" i="10"/>
  <c r="K114" i="10" s="1"/>
  <c r="B115" i="10"/>
  <c r="K115" i="10" s="1"/>
  <c r="B116" i="10"/>
  <c r="K116" i="10" s="1"/>
  <c r="B117" i="10"/>
  <c r="K117" i="10" s="1"/>
  <c r="B118" i="10"/>
  <c r="K118" i="10" s="1"/>
  <c r="B119" i="10"/>
  <c r="K119" i="10" s="1"/>
  <c r="B120" i="10"/>
  <c r="K120" i="10" s="1"/>
  <c r="B121" i="10"/>
  <c r="K121" i="10" s="1"/>
  <c r="B122" i="10"/>
  <c r="K122" i="10" s="1"/>
  <c r="B123" i="10"/>
  <c r="K123" i="10" s="1"/>
  <c r="B124" i="10"/>
  <c r="K124" i="10" s="1"/>
  <c r="B125" i="10"/>
  <c r="K125" i="10" s="1"/>
  <c r="B126" i="10"/>
  <c r="K126" i="10" s="1"/>
  <c r="B127" i="10"/>
  <c r="K127" i="10" s="1"/>
  <c r="B128" i="10"/>
  <c r="K128" i="10" s="1"/>
  <c r="B129" i="10"/>
  <c r="K129" i="10" s="1"/>
  <c r="B130" i="10"/>
  <c r="K130" i="10" s="1"/>
  <c r="B131" i="10"/>
  <c r="K131" i="10" s="1"/>
  <c r="B132" i="10"/>
  <c r="K132" i="10" s="1"/>
  <c r="B133" i="10"/>
  <c r="K133" i="10" s="1"/>
  <c r="B134" i="10"/>
  <c r="K134" i="10" s="1"/>
  <c r="B135" i="10"/>
  <c r="K135" i="10" s="1"/>
  <c r="B136" i="10"/>
  <c r="K136" i="10" s="1"/>
  <c r="B137" i="10"/>
  <c r="K137" i="10" s="1"/>
  <c r="B138" i="10"/>
  <c r="K138" i="10" s="1"/>
  <c r="B139" i="10"/>
  <c r="K139" i="10" s="1"/>
  <c r="B140" i="10"/>
  <c r="K140" i="10" s="1"/>
  <c r="B141" i="10"/>
  <c r="K141" i="10" s="1"/>
  <c r="B142" i="10"/>
  <c r="K142" i="10" s="1"/>
  <c r="B143" i="10"/>
  <c r="K143" i="10" s="1"/>
  <c r="B144" i="10"/>
  <c r="K144" i="10" s="1"/>
  <c r="B145" i="10"/>
  <c r="K145" i="10" s="1"/>
  <c r="B146" i="10"/>
  <c r="K146" i="10" s="1"/>
  <c r="B147" i="10"/>
  <c r="K147" i="10" s="1"/>
  <c r="B148" i="10"/>
  <c r="K148" i="10" s="1"/>
  <c r="B149" i="10"/>
  <c r="K149" i="10" s="1"/>
  <c r="B150" i="10"/>
  <c r="K150" i="10" s="1"/>
  <c r="B151" i="10"/>
  <c r="K151" i="10" s="1"/>
  <c r="B152" i="10"/>
  <c r="K152" i="10" s="1"/>
  <c r="B153" i="10"/>
  <c r="K153" i="10" s="1"/>
  <c r="B154" i="10"/>
  <c r="K154" i="10" s="1"/>
  <c r="B155" i="10"/>
  <c r="K155" i="10" s="1"/>
  <c r="B156" i="10"/>
  <c r="K156" i="10" s="1"/>
  <c r="B157" i="10"/>
  <c r="K157" i="10" s="1"/>
  <c r="B158" i="10"/>
  <c r="K158" i="10" s="1"/>
  <c r="B159" i="10"/>
  <c r="K159" i="10" s="1"/>
  <c r="B160" i="10"/>
  <c r="K160" i="10" s="1"/>
  <c r="B161" i="10"/>
  <c r="K161" i="10" s="1"/>
  <c r="B162" i="10"/>
  <c r="K162" i="10" s="1"/>
  <c r="B163" i="10"/>
  <c r="K163" i="10" s="1"/>
  <c r="B164" i="10"/>
  <c r="K164" i="10" s="1"/>
  <c r="B165" i="10"/>
  <c r="K165" i="10" s="1"/>
  <c r="B166" i="10"/>
  <c r="K166" i="10" s="1"/>
  <c r="B167" i="10"/>
  <c r="K167" i="10" s="1"/>
  <c r="B168" i="10"/>
  <c r="K168" i="10" s="1"/>
  <c r="B169" i="10"/>
  <c r="K169" i="10" s="1"/>
  <c r="B170" i="10"/>
  <c r="K170" i="10" s="1"/>
  <c r="B171" i="10"/>
  <c r="K171" i="10" s="1"/>
  <c r="B172" i="10"/>
  <c r="K172" i="10" s="1"/>
  <c r="B173" i="10"/>
  <c r="K173" i="10" s="1"/>
  <c r="B174" i="10"/>
  <c r="K174" i="10" s="1"/>
  <c r="B175" i="10"/>
  <c r="K175" i="10" s="1"/>
  <c r="B176" i="10"/>
  <c r="K176" i="10" s="1"/>
  <c r="B177" i="10"/>
  <c r="K177" i="10" s="1"/>
  <c r="B178" i="10"/>
  <c r="K178" i="10" s="1"/>
  <c r="B179" i="10"/>
  <c r="K179" i="10" s="1"/>
  <c r="B180" i="10"/>
  <c r="K180" i="10" s="1"/>
  <c r="B181" i="10"/>
  <c r="K181" i="10" s="1"/>
  <c r="B182" i="10"/>
  <c r="K182" i="10" s="1"/>
  <c r="B183" i="10"/>
  <c r="K183" i="10" s="1"/>
  <c r="B184" i="10"/>
  <c r="K184" i="10" s="1"/>
  <c r="B185" i="10"/>
  <c r="K185" i="10" s="1"/>
  <c r="B186" i="10"/>
  <c r="K186" i="10" s="1"/>
  <c r="B187" i="10"/>
  <c r="K187" i="10" s="1"/>
  <c r="B188" i="10"/>
  <c r="K188" i="10" s="1"/>
  <c r="B189" i="10"/>
  <c r="K189" i="10" s="1"/>
  <c r="B190" i="10"/>
  <c r="K190" i="10" s="1"/>
  <c r="B191" i="10"/>
  <c r="K191" i="10" s="1"/>
  <c r="B192" i="10"/>
  <c r="K192" i="10" s="1"/>
  <c r="B193" i="10"/>
  <c r="K193" i="10" s="1"/>
  <c r="B194" i="10"/>
  <c r="K194" i="10" s="1"/>
  <c r="B195" i="10"/>
  <c r="K195" i="10" s="1"/>
  <c r="B196" i="10"/>
  <c r="K196" i="10" s="1"/>
  <c r="B197" i="10"/>
  <c r="K197" i="10" s="1"/>
  <c r="B198" i="10"/>
  <c r="K198" i="10" s="1"/>
  <c r="B199" i="10"/>
  <c r="K199" i="10" s="1"/>
  <c r="B200" i="10"/>
  <c r="K200" i="10" s="1"/>
  <c r="B201" i="10"/>
  <c r="K201" i="10" s="1"/>
  <c r="B202" i="10"/>
  <c r="K202" i="10" s="1"/>
  <c r="B203" i="10"/>
  <c r="K203" i="10" s="1"/>
  <c r="B204" i="10"/>
  <c r="K204" i="10" s="1"/>
  <c r="B205" i="10"/>
  <c r="K205" i="10" s="1"/>
  <c r="B206" i="10"/>
  <c r="K206" i="10" s="1"/>
  <c r="B207" i="10"/>
  <c r="K207" i="10" s="1"/>
  <c r="B208" i="10"/>
  <c r="K208" i="10" s="1"/>
  <c r="B209" i="10"/>
  <c r="K209" i="10" s="1"/>
  <c r="B210" i="10"/>
  <c r="K210" i="10" s="1"/>
  <c r="B211" i="10"/>
  <c r="K211" i="10" s="1"/>
  <c r="B212" i="10"/>
  <c r="K212" i="10" s="1"/>
  <c r="B213" i="10"/>
  <c r="K213" i="10" s="1"/>
  <c r="B214" i="10"/>
  <c r="K214" i="10" s="1"/>
  <c r="B215" i="10"/>
  <c r="K215" i="10" s="1"/>
  <c r="B216" i="10"/>
  <c r="K216" i="10" s="1"/>
  <c r="B217" i="10"/>
  <c r="K217" i="10" s="1"/>
  <c r="B218" i="10"/>
  <c r="K218" i="10" s="1"/>
  <c r="B219" i="10"/>
  <c r="K219" i="10" s="1"/>
  <c r="B220" i="10"/>
  <c r="K220" i="10" s="1"/>
  <c r="B221" i="10"/>
  <c r="K221" i="10" s="1"/>
  <c r="B222" i="10"/>
  <c r="K222" i="10" s="1"/>
  <c r="B223" i="10"/>
  <c r="K223" i="10" s="1"/>
  <c r="B224" i="10"/>
  <c r="K224" i="10" s="1"/>
  <c r="B225" i="10"/>
  <c r="K225" i="10" s="1"/>
  <c r="B226" i="10"/>
  <c r="K226" i="10" s="1"/>
  <c r="B227" i="10"/>
  <c r="K227" i="10" s="1"/>
  <c r="B228" i="10"/>
  <c r="K228" i="10" s="1"/>
  <c r="B229" i="10"/>
  <c r="K229" i="10" s="1"/>
  <c r="B230" i="10"/>
  <c r="K230" i="10" s="1"/>
  <c r="B231" i="10"/>
  <c r="K231" i="10" s="1"/>
  <c r="B232" i="10"/>
  <c r="K232" i="10" s="1"/>
  <c r="B233" i="10"/>
  <c r="K233" i="10" s="1"/>
  <c r="B234" i="10"/>
  <c r="K234" i="10" s="1"/>
  <c r="B235" i="10"/>
  <c r="K235" i="10" s="1"/>
  <c r="B236" i="10"/>
  <c r="K236" i="10" s="1"/>
  <c r="B237" i="10"/>
  <c r="K237" i="10" s="1"/>
  <c r="B238" i="10"/>
  <c r="K238" i="10" s="1"/>
  <c r="B239" i="10"/>
  <c r="K239" i="10" s="1"/>
  <c r="B240" i="10"/>
  <c r="K240" i="10" s="1"/>
  <c r="B241" i="10"/>
  <c r="K241" i="10" s="1"/>
  <c r="B242" i="10"/>
  <c r="K242" i="10" s="1"/>
  <c r="B243" i="10"/>
  <c r="K243" i="10" s="1"/>
  <c r="B244" i="10"/>
  <c r="K244" i="10" s="1"/>
  <c r="B245" i="10"/>
  <c r="K245" i="10" s="1"/>
  <c r="B246" i="10"/>
  <c r="K246" i="10" s="1"/>
  <c r="B247" i="10"/>
  <c r="K247" i="10" s="1"/>
  <c r="B248" i="10"/>
  <c r="K248" i="10" s="1"/>
  <c r="B249" i="10"/>
  <c r="K249" i="10" s="1"/>
  <c r="B250" i="10"/>
  <c r="K250" i="10" s="1"/>
  <c r="B251" i="10"/>
  <c r="K251" i="10" s="1"/>
  <c r="B252" i="10"/>
  <c r="K252" i="10" s="1"/>
  <c r="B253" i="10"/>
  <c r="K253" i="10" s="1"/>
  <c r="B254" i="10"/>
  <c r="K254" i="10" s="1"/>
  <c r="B255" i="10"/>
  <c r="K255" i="10" s="1"/>
  <c r="B256" i="10"/>
  <c r="K256" i="10" s="1"/>
  <c r="B257" i="10"/>
  <c r="K257" i="10" s="1"/>
  <c r="B258" i="10"/>
  <c r="K258" i="10" s="1"/>
  <c r="B259" i="10"/>
  <c r="K259" i="10" s="1"/>
  <c r="B260" i="10"/>
  <c r="K260" i="10" s="1"/>
  <c r="B261" i="10"/>
  <c r="K261" i="10" s="1"/>
  <c r="B262" i="10"/>
  <c r="K262" i="10" s="1"/>
  <c r="B263" i="10"/>
  <c r="K263" i="10" s="1"/>
  <c r="B264" i="10"/>
  <c r="K264" i="10" s="1"/>
  <c r="B265" i="10"/>
  <c r="K265" i="10" s="1"/>
  <c r="B266" i="10"/>
  <c r="K266" i="10" s="1"/>
  <c r="B267" i="10"/>
  <c r="K267" i="10" s="1"/>
  <c r="B268" i="10"/>
  <c r="K268" i="10" s="1"/>
  <c r="B269" i="10"/>
  <c r="K269" i="10" s="1"/>
  <c r="B270" i="10"/>
  <c r="K270" i="10" s="1"/>
  <c r="B271" i="10"/>
  <c r="K271" i="10" s="1"/>
  <c r="B272" i="10"/>
  <c r="K272" i="10" s="1"/>
  <c r="B273" i="10"/>
  <c r="K273" i="10" s="1"/>
  <c r="B274" i="10"/>
  <c r="K274" i="10" s="1"/>
  <c r="B275" i="10"/>
  <c r="K275" i="10" s="1"/>
  <c r="B276" i="10"/>
  <c r="K276" i="10" s="1"/>
  <c r="B277" i="10"/>
  <c r="K277" i="10" s="1"/>
  <c r="B278" i="10"/>
  <c r="K278" i="10" s="1"/>
  <c r="B279" i="10"/>
  <c r="K279" i="10" s="1"/>
  <c r="B280" i="10"/>
  <c r="K280" i="10" s="1"/>
  <c r="B281" i="10"/>
  <c r="K281" i="10" s="1"/>
  <c r="B282" i="10"/>
  <c r="K282" i="10" s="1"/>
  <c r="B283" i="10"/>
  <c r="K283" i="10" s="1"/>
  <c r="B284" i="10"/>
  <c r="K284" i="10" s="1"/>
  <c r="B285" i="10"/>
  <c r="K285" i="10" s="1"/>
  <c r="B286" i="10"/>
  <c r="K286" i="10" s="1"/>
  <c r="B287" i="10"/>
  <c r="K287" i="10" s="1"/>
  <c r="B288" i="10"/>
  <c r="K288" i="10" s="1"/>
  <c r="B289" i="10"/>
  <c r="K289" i="10" s="1"/>
  <c r="B290" i="10"/>
  <c r="K290" i="10" s="1"/>
  <c r="B291" i="10"/>
  <c r="K291" i="10" s="1"/>
  <c r="B292" i="10"/>
  <c r="K292" i="10" s="1"/>
  <c r="B293" i="10"/>
  <c r="K293" i="10" s="1"/>
  <c r="B294" i="10"/>
  <c r="K294" i="10" s="1"/>
  <c r="B295" i="10"/>
  <c r="K295" i="10" s="1"/>
  <c r="B296" i="10"/>
  <c r="K296" i="10" s="1"/>
  <c r="B297" i="10"/>
  <c r="K297" i="10" s="1"/>
  <c r="B298" i="10"/>
  <c r="K298" i="10" s="1"/>
  <c r="B299" i="10"/>
  <c r="K299" i="10" s="1"/>
  <c r="B300" i="10"/>
  <c r="K300" i="10" s="1"/>
  <c r="B301" i="10"/>
  <c r="K301" i="10" s="1"/>
  <c r="B302" i="10"/>
  <c r="K302" i="10" s="1"/>
  <c r="B303" i="10"/>
  <c r="K303" i="10" s="1"/>
  <c r="B304" i="10"/>
  <c r="K304" i="10" s="1"/>
  <c r="B305" i="10"/>
  <c r="K305" i="10" s="1"/>
  <c r="B306" i="10"/>
  <c r="K306" i="10" s="1"/>
  <c r="B307" i="10"/>
  <c r="K307" i="10" s="1"/>
  <c r="B308" i="10"/>
  <c r="K308" i="10" s="1"/>
  <c r="B309" i="10"/>
  <c r="K309" i="10" s="1"/>
  <c r="B310" i="10"/>
  <c r="K310" i="10" s="1"/>
  <c r="B311" i="10"/>
  <c r="K311" i="10" s="1"/>
  <c r="B312" i="10"/>
  <c r="K312" i="10" s="1"/>
  <c r="B313" i="10"/>
  <c r="K313" i="10" s="1"/>
  <c r="B314" i="10"/>
  <c r="K314" i="10" s="1"/>
  <c r="B315" i="10"/>
  <c r="K315" i="10" s="1"/>
  <c r="B316" i="10"/>
  <c r="K316" i="10" s="1"/>
  <c r="B317" i="10"/>
  <c r="K317" i="10" s="1"/>
  <c r="B318" i="10"/>
  <c r="K318" i="10" s="1"/>
  <c r="B319" i="10"/>
  <c r="K319" i="10" s="1"/>
  <c r="B320" i="10"/>
  <c r="K320" i="10" s="1"/>
  <c r="B321" i="10"/>
  <c r="K321" i="10" s="1"/>
  <c r="B322" i="10"/>
  <c r="K322" i="10" s="1"/>
  <c r="B323" i="10"/>
  <c r="K323" i="10" s="1"/>
  <c r="B324" i="10"/>
  <c r="K324" i="10" s="1"/>
  <c r="B325" i="10"/>
  <c r="K325" i="10" s="1"/>
  <c r="B326" i="10"/>
  <c r="K326" i="10" s="1"/>
  <c r="B327" i="10"/>
  <c r="K327" i="10" s="1"/>
  <c r="B328" i="10"/>
  <c r="K328" i="10" s="1"/>
  <c r="B329" i="10"/>
  <c r="K329" i="10" s="1"/>
  <c r="B330" i="10"/>
  <c r="K330" i="10" s="1"/>
  <c r="B331" i="10"/>
  <c r="K331" i="10" s="1"/>
  <c r="B332" i="10"/>
  <c r="K332" i="10" s="1"/>
  <c r="B333" i="10"/>
  <c r="K333" i="10" s="1"/>
  <c r="B334" i="10"/>
  <c r="K334" i="10" s="1"/>
  <c r="B335" i="10"/>
  <c r="K335" i="10" s="1"/>
  <c r="B336" i="10"/>
  <c r="K336" i="10" s="1"/>
  <c r="B337" i="10"/>
  <c r="K337" i="10" s="1"/>
  <c r="B338" i="10"/>
  <c r="K338" i="10" s="1"/>
  <c r="B339" i="10"/>
  <c r="K339" i="10" s="1"/>
  <c r="B340" i="10"/>
  <c r="K340" i="10" s="1"/>
  <c r="B341" i="10"/>
  <c r="K341" i="10" s="1"/>
  <c r="B342" i="10"/>
  <c r="K342" i="10" s="1"/>
  <c r="B343" i="10"/>
  <c r="K343" i="10" s="1"/>
  <c r="B344" i="10"/>
  <c r="K344" i="10" s="1"/>
  <c r="B345" i="10"/>
  <c r="K345" i="10" s="1"/>
  <c r="B346" i="10"/>
  <c r="K346" i="10" s="1"/>
  <c r="B347" i="10"/>
  <c r="K347" i="10" s="1"/>
  <c r="B348" i="10"/>
  <c r="K348" i="10" s="1"/>
  <c r="B349" i="10"/>
  <c r="K349" i="10" s="1"/>
  <c r="B350" i="10"/>
  <c r="K350" i="10" s="1"/>
  <c r="B351" i="10"/>
  <c r="K351" i="10" s="1"/>
  <c r="B352" i="10"/>
  <c r="K352" i="10" s="1"/>
  <c r="B353" i="10"/>
  <c r="K353" i="10" s="1"/>
  <c r="B354" i="10"/>
  <c r="K354" i="10" s="1"/>
  <c r="B355" i="10"/>
  <c r="K355" i="10" s="1"/>
  <c r="B356" i="10"/>
  <c r="K356" i="10" s="1"/>
  <c r="B357" i="10"/>
  <c r="K357" i="10" s="1"/>
  <c r="B358" i="10"/>
  <c r="K358" i="10" s="1"/>
  <c r="B359" i="10"/>
  <c r="K359" i="10" s="1"/>
  <c r="B360" i="10"/>
  <c r="K360" i="10" s="1"/>
  <c r="B361" i="10"/>
  <c r="K361" i="10" s="1"/>
  <c r="B362" i="10"/>
  <c r="K362" i="10" s="1"/>
  <c r="B363" i="10"/>
  <c r="K363" i="10" s="1"/>
  <c r="B364" i="10"/>
  <c r="K364" i="10" s="1"/>
  <c r="B365" i="10"/>
  <c r="K365" i="10" s="1"/>
  <c r="B366" i="10"/>
  <c r="K366" i="10" s="1"/>
  <c r="B367" i="10"/>
  <c r="K367" i="10" s="1"/>
  <c r="B368" i="10"/>
  <c r="K368" i="10" s="1"/>
  <c r="B369" i="10"/>
  <c r="K369" i="10" s="1"/>
  <c r="B370" i="10"/>
  <c r="K370" i="10" s="1"/>
  <c r="B371" i="10"/>
  <c r="K371" i="10" s="1"/>
  <c r="B372" i="10"/>
  <c r="K372" i="10" s="1"/>
  <c r="B373" i="10"/>
  <c r="K373" i="10" s="1"/>
  <c r="B374" i="10"/>
  <c r="K374" i="10" s="1"/>
  <c r="B375" i="10"/>
  <c r="K375" i="10" s="1"/>
  <c r="B376" i="10"/>
  <c r="K376" i="10" s="1"/>
  <c r="B377" i="10"/>
  <c r="K377" i="10" s="1"/>
  <c r="B378" i="10"/>
  <c r="K378" i="10" s="1"/>
  <c r="B379" i="10"/>
  <c r="K379" i="10" s="1"/>
  <c r="B380" i="10"/>
  <c r="K380" i="10" s="1"/>
  <c r="B381" i="10"/>
  <c r="K381" i="10" s="1"/>
  <c r="B382" i="10"/>
  <c r="K382" i="10" s="1"/>
  <c r="B383" i="10"/>
  <c r="K383" i="10" s="1"/>
  <c r="B384" i="10"/>
  <c r="K384" i="10" s="1"/>
  <c r="B385" i="10"/>
  <c r="K385" i="10" s="1"/>
  <c r="B386" i="10"/>
  <c r="K386" i="10" s="1"/>
  <c r="B387" i="10"/>
  <c r="K387" i="10" s="1"/>
  <c r="B388" i="10"/>
  <c r="K388" i="10" s="1"/>
  <c r="B389" i="10"/>
  <c r="K389" i="10" s="1"/>
  <c r="B390" i="10"/>
  <c r="K390" i="10" s="1"/>
  <c r="B391" i="10"/>
  <c r="K391" i="10" s="1"/>
  <c r="B392" i="10"/>
  <c r="K392" i="10" s="1"/>
  <c r="B393" i="10"/>
  <c r="K393" i="10" s="1"/>
  <c r="B394" i="10"/>
  <c r="K394" i="10" s="1"/>
  <c r="B395" i="10"/>
  <c r="K395" i="10" s="1"/>
  <c r="B396" i="10"/>
  <c r="K396" i="10" s="1"/>
  <c r="B397" i="10"/>
  <c r="K397" i="10" s="1"/>
  <c r="B398" i="10"/>
  <c r="K398" i="10" s="1"/>
  <c r="B399" i="10"/>
  <c r="K399" i="10" s="1"/>
  <c r="B400" i="10"/>
  <c r="K400" i="10" s="1"/>
  <c r="B401" i="10"/>
  <c r="K401" i="10" s="1"/>
  <c r="B402" i="10"/>
  <c r="K402" i="10" s="1"/>
  <c r="B403" i="10"/>
  <c r="K403" i="10" s="1"/>
  <c r="B404" i="10"/>
  <c r="K404" i="10" s="1"/>
  <c r="B405" i="10"/>
  <c r="K405" i="10" s="1"/>
  <c r="B406" i="10"/>
  <c r="K406" i="10" s="1"/>
  <c r="B407" i="10"/>
  <c r="K407" i="10" s="1"/>
  <c r="B408" i="10"/>
  <c r="K408" i="10" s="1"/>
  <c r="B409" i="10"/>
  <c r="K409" i="10" s="1"/>
  <c r="B410" i="10"/>
  <c r="K410" i="10" s="1"/>
  <c r="B411" i="10"/>
  <c r="K411" i="10" s="1"/>
  <c r="B412" i="10"/>
  <c r="K412" i="10" s="1"/>
  <c r="B413" i="10"/>
  <c r="K413" i="10" s="1"/>
  <c r="B414" i="10"/>
  <c r="K414" i="10" s="1"/>
  <c r="B415" i="10"/>
  <c r="K415" i="10" s="1"/>
  <c r="B416" i="10"/>
  <c r="K416" i="10" s="1"/>
  <c r="B417" i="10"/>
  <c r="K417" i="10" s="1"/>
  <c r="B418" i="10"/>
  <c r="K418" i="10" s="1"/>
  <c r="B419" i="10"/>
  <c r="K419" i="10" s="1"/>
  <c r="B420" i="10"/>
  <c r="K420" i="10" s="1"/>
  <c r="B421" i="10"/>
  <c r="K421" i="10" s="1"/>
  <c r="B422" i="10"/>
  <c r="K422" i="10" s="1"/>
  <c r="B423" i="10"/>
  <c r="K423" i="10" s="1"/>
  <c r="B424" i="10"/>
  <c r="K424" i="10" s="1"/>
  <c r="B425" i="10"/>
  <c r="K425" i="10" s="1"/>
  <c r="B426" i="10"/>
  <c r="K426" i="10" s="1"/>
  <c r="B427" i="10"/>
  <c r="K427" i="10" s="1"/>
  <c r="B428" i="10"/>
  <c r="K428" i="10" s="1"/>
  <c r="B429" i="10"/>
  <c r="K429" i="10" s="1"/>
  <c r="B430" i="10"/>
  <c r="K430" i="10" s="1"/>
  <c r="B431" i="10"/>
  <c r="K431" i="10" s="1"/>
  <c r="B432" i="10"/>
  <c r="K432" i="10" s="1"/>
  <c r="B433" i="10"/>
  <c r="K433" i="10" s="1"/>
  <c r="B434" i="10"/>
  <c r="K434" i="10" s="1"/>
  <c r="B435" i="10"/>
  <c r="K435" i="10" s="1"/>
  <c r="B436" i="10"/>
  <c r="K436" i="10" s="1"/>
  <c r="B437" i="10"/>
  <c r="K437" i="10" s="1"/>
  <c r="B438" i="10"/>
  <c r="K438" i="10" s="1"/>
  <c r="B439" i="10"/>
  <c r="K439" i="10" s="1"/>
  <c r="B440" i="10"/>
  <c r="K440" i="10" s="1"/>
  <c r="B441" i="10"/>
  <c r="K441" i="10" s="1"/>
  <c r="B442" i="10"/>
  <c r="K442" i="10" s="1"/>
  <c r="B443" i="10"/>
  <c r="K443" i="10" s="1"/>
  <c r="B444" i="10"/>
  <c r="K444" i="10" s="1"/>
  <c r="B445" i="10"/>
  <c r="K445" i="10" s="1"/>
  <c r="B446" i="10"/>
  <c r="K446" i="10" s="1"/>
  <c r="B447" i="10"/>
  <c r="K447" i="10" s="1"/>
  <c r="B448" i="10"/>
  <c r="K448" i="10" s="1"/>
  <c r="B449" i="10"/>
  <c r="K449" i="10" s="1"/>
  <c r="B450" i="10"/>
  <c r="K450" i="10" s="1"/>
  <c r="B451" i="10"/>
  <c r="K451" i="10" s="1"/>
  <c r="B452" i="10"/>
  <c r="K452" i="10" s="1"/>
  <c r="B453" i="10"/>
  <c r="K453" i="10" s="1"/>
  <c r="B454" i="10"/>
  <c r="K454" i="10" s="1"/>
  <c r="B455" i="10"/>
  <c r="K455" i="10" s="1"/>
  <c r="B456" i="10"/>
  <c r="K456" i="10" s="1"/>
  <c r="B457" i="10"/>
  <c r="K457" i="10" s="1"/>
  <c r="B458" i="10"/>
  <c r="K458" i="10" s="1"/>
  <c r="B459" i="10"/>
  <c r="K459" i="10" s="1"/>
  <c r="B460" i="10"/>
  <c r="K460" i="10" s="1"/>
  <c r="B461" i="10"/>
  <c r="K461" i="10" s="1"/>
  <c r="B462" i="10"/>
  <c r="K462" i="10" s="1"/>
  <c r="B463" i="10"/>
  <c r="K463" i="10" s="1"/>
  <c r="B464" i="10"/>
  <c r="K464" i="10" s="1"/>
  <c r="B465" i="10"/>
  <c r="K465" i="10" s="1"/>
  <c r="B466" i="10"/>
  <c r="K466" i="10" s="1"/>
  <c r="B467" i="10"/>
  <c r="K467" i="10" s="1"/>
  <c r="B468" i="10"/>
  <c r="K468" i="10" s="1"/>
  <c r="B469" i="10"/>
  <c r="K469" i="10" s="1"/>
  <c r="B470" i="10"/>
  <c r="K470" i="10" s="1"/>
  <c r="B471" i="10"/>
  <c r="K471" i="10" s="1"/>
  <c r="B472" i="10"/>
  <c r="K472" i="10" s="1"/>
  <c r="B473" i="10"/>
  <c r="K473" i="10" s="1"/>
  <c r="B474" i="10"/>
  <c r="K474" i="10" s="1"/>
  <c r="B475" i="10"/>
  <c r="K475" i="10" s="1"/>
  <c r="B476" i="10"/>
  <c r="K476" i="10" s="1"/>
  <c r="B477" i="10"/>
  <c r="K477" i="10" s="1"/>
  <c r="B478" i="10"/>
  <c r="K478" i="10" s="1"/>
  <c r="B479" i="10"/>
  <c r="K479" i="10" s="1"/>
  <c r="B480" i="10"/>
  <c r="K480" i="10" s="1"/>
  <c r="B481" i="10"/>
  <c r="K481" i="10" s="1"/>
  <c r="B482" i="10"/>
  <c r="K482" i="10" s="1"/>
  <c r="B483" i="10"/>
  <c r="K483" i="10" s="1"/>
  <c r="B484" i="10"/>
  <c r="K484" i="10" s="1"/>
  <c r="B485" i="10"/>
  <c r="K485" i="10" s="1"/>
  <c r="B486" i="10"/>
  <c r="K486" i="10" s="1"/>
  <c r="B487" i="10"/>
  <c r="K487" i="10" s="1"/>
  <c r="B488" i="10"/>
  <c r="K488" i="10" s="1"/>
  <c r="B489" i="10"/>
  <c r="K489" i="10" s="1"/>
  <c r="B490" i="10"/>
  <c r="K490" i="10" s="1"/>
  <c r="B491" i="10"/>
  <c r="K491" i="10" s="1"/>
  <c r="B492" i="10"/>
  <c r="K492" i="10" s="1"/>
  <c r="B493" i="10"/>
  <c r="K493" i="10" s="1"/>
  <c r="B494" i="10"/>
  <c r="K494" i="10" s="1"/>
  <c r="B495" i="10"/>
  <c r="K495" i="10" s="1"/>
  <c r="B496" i="10"/>
  <c r="K496" i="10" s="1"/>
  <c r="B497" i="10"/>
  <c r="K497" i="10" s="1"/>
  <c r="B498" i="10"/>
  <c r="K498" i="10" s="1"/>
  <c r="B499" i="10"/>
  <c r="K499" i="10" s="1"/>
  <c r="B500" i="10"/>
  <c r="K500" i="10" s="1"/>
  <c r="B501" i="10"/>
  <c r="K501" i="10" s="1"/>
  <c r="B502" i="10"/>
  <c r="K502" i="10" s="1"/>
  <c r="B503" i="10"/>
  <c r="K503" i="10" s="1"/>
  <c r="B504" i="10"/>
  <c r="K504" i="10" s="1"/>
  <c r="B505" i="10"/>
  <c r="K505" i="10" s="1"/>
  <c r="B506" i="10"/>
  <c r="K506" i="10" s="1"/>
  <c r="B507" i="10"/>
  <c r="K507" i="10" s="1"/>
  <c r="B508" i="10"/>
  <c r="K508" i="10" s="1"/>
  <c r="B509" i="10"/>
  <c r="K509" i="10" s="1"/>
  <c r="B510" i="10"/>
  <c r="K510" i="10" s="1"/>
  <c r="B511" i="10"/>
  <c r="K511" i="10" s="1"/>
  <c r="B512" i="10"/>
  <c r="K512" i="10" s="1"/>
  <c r="B513" i="10"/>
  <c r="K513" i="10" s="1"/>
  <c r="B514" i="10"/>
  <c r="K514" i="10" s="1"/>
  <c r="B515" i="10"/>
  <c r="K515" i="10" s="1"/>
  <c r="B516" i="10"/>
  <c r="K516" i="10" s="1"/>
  <c r="B517" i="10"/>
  <c r="K517" i="10" s="1"/>
  <c r="B518" i="10"/>
  <c r="K518" i="10" s="1"/>
  <c r="B519" i="10"/>
  <c r="K519" i="10" s="1"/>
  <c r="B520" i="10"/>
  <c r="K520" i="10" s="1"/>
  <c r="B521" i="10"/>
  <c r="K521" i="10" s="1"/>
  <c r="B522" i="10"/>
  <c r="K522" i="10" s="1"/>
  <c r="B523" i="10"/>
  <c r="K523" i="10" s="1"/>
  <c r="B524" i="10"/>
  <c r="K524" i="10" s="1"/>
  <c r="B525" i="10"/>
  <c r="K525" i="10" s="1"/>
  <c r="B526" i="10"/>
  <c r="K526" i="10" s="1"/>
  <c r="B527" i="10"/>
  <c r="K527" i="10" s="1"/>
  <c r="B528" i="10"/>
  <c r="K528" i="10" s="1"/>
  <c r="B529" i="10"/>
  <c r="K529" i="10" s="1"/>
  <c r="B530" i="10"/>
  <c r="K530" i="10" s="1"/>
  <c r="B531" i="10"/>
  <c r="K531" i="10" s="1"/>
  <c r="B532" i="10"/>
  <c r="K532" i="10" s="1"/>
  <c r="B533" i="10"/>
  <c r="K533" i="10" s="1"/>
  <c r="B534" i="10"/>
  <c r="K534" i="10" s="1"/>
  <c r="B535" i="10"/>
  <c r="K535" i="10" s="1"/>
  <c r="B536" i="10"/>
  <c r="K536" i="10" s="1"/>
  <c r="B537" i="10"/>
  <c r="K537" i="10" s="1"/>
  <c r="B538" i="10"/>
  <c r="K538" i="10" s="1"/>
  <c r="B539" i="10"/>
  <c r="K539" i="10" s="1"/>
  <c r="B540" i="10"/>
  <c r="K540" i="10" s="1"/>
  <c r="B541" i="10"/>
  <c r="K541" i="10" s="1"/>
  <c r="B542" i="10"/>
  <c r="K542" i="10" s="1"/>
  <c r="B543" i="10"/>
  <c r="K543" i="10" s="1"/>
  <c r="B544" i="10"/>
  <c r="K544" i="10" s="1"/>
  <c r="B545" i="10"/>
  <c r="K545" i="10" s="1"/>
  <c r="B546" i="10"/>
  <c r="K546" i="10" s="1"/>
  <c r="B547" i="10"/>
  <c r="K547" i="10" s="1"/>
  <c r="B548" i="10"/>
  <c r="K548" i="10" s="1"/>
  <c r="B549" i="10"/>
  <c r="K549" i="10" s="1"/>
  <c r="B550" i="10"/>
  <c r="K550" i="10" s="1"/>
  <c r="B551" i="10"/>
  <c r="K551" i="10" s="1"/>
  <c r="B552" i="10"/>
  <c r="K552" i="10" s="1"/>
  <c r="B553" i="10"/>
  <c r="K553" i="10" s="1"/>
  <c r="B554" i="10"/>
  <c r="K554" i="10" s="1"/>
  <c r="B555" i="10"/>
  <c r="K555" i="10" s="1"/>
  <c r="B556" i="10"/>
  <c r="K556" i="10" s="1"/>
  <c r="B557" i="10"/>
  <c r="K557" i="10" s="1"/>
  <c r="B558" i="10"/>
  <c r="K558" i="10" s="1"/>
  <c r="B559" i="10"/>
  <c r="K559" i="10" s="1"/>
  <c r="B560" i="10"/>
  <c r="K560" i="10" s="1"/>
  <c r="B561" i="10"/>
  <c r="K561" i="10" s="1"/>
  <c r="B562" i="10"/>
  <c r="K562" i="10" s="1"/>
  <c r="B563" i="10"/>
  <c r="K563" i="10" s="1"/>
  <c r="B564" i="10"/>
  <c r="K564" i="10" s="1"/>
  <c r="B565" i="10"/>
  <c r="K565" i="10" s="1"/>
  <c r="B566" i="10"/>
  <c r="K566" i="10" s="1"/>
  <c r="B567" i="10"/>
  <c r="K567" i="10" s="1"/>
  <c r="B568" i="10"/>
  <c r="K568" i="10" s="1"/>
  <c r="B569" i="10"/>
  <c r="K569" i="10" s="1"/>
  <c r="B570" i="10"/>
  <c r="K570" i="10" s="1"/>
  <c r="B571" i="10"/>
  <c r="K571" i="10" s="1"/>
  <c r="B572" i="10"/>
  <c r="K572" i="10" s="1"/>
  <c r="B573" i="10"/>
  <c r="K573" i="10" s="1"/>
  <c r="B574" i="10"/>
  <c r="K574" i="10" s="1"/>
  <c r="B575" i="10"/>
  <c r="K575" i="10" s="1"/>
  <c r="B576" i="10"/>
  <c r="K576" i="10" s="1"/>
  <c r="B577" i="10"/>
  <c r="K577" i="10" s="1"/>
  <c r="B578" i="10"/>
  <c r="K578" i="10" s="1"/>
  <c r="B579" i="10"/>
  <c r="K579" i="10" s="1"/>
  <c r="B580" i="10"/>
  <c r="K580" i="10" s="1"/>
  <c r="B581" i="10"/>
  <c r="K581" i="10" s="1"/>
  <c r="B582" i="10"/>
  <c r="K582" i="10" s="1"/>
  <c r="B583" i="10"/>
  <c r="K583" i="10" s="1"/>
  <c r="B584" i="10"/>
  <c r="K584" i="10" s="1"/>
  <c r="B585" i="10"/>
  <c r="K585" i="10" s="1"/>
  <c r="B586" i="10"/>
  <c r="K586" i="10" s="1"/>
  <c r="B587" i="10"/>
  <c r="K587" i="10" s="1"/>
  <c r="B588" i="10"/>
  <c r="K588" i="10" s="1"/>
  <c r="B589" i="10"/>
  <c r="K589" i="10" s="1"/>
  <c r="B590" i="10"/>
  <c r="K590" i="10" s="1"/>
  <c r="B591" i="10"/>
  <c r="K591" i="10" s="1"/>
  <c r="B592" i="10"/>
  <c r="K592" i="10" s="1"/>
  <c r="B593" i="10"/>
  <c r="K593" i="10" s="1"/>
  <c r="B594" i="10"/>
  <c r="K594" i="10" s="1"/>
  <c r="B595" i="10"/>
  <c r="K595" i="10" s="1"/>
  <c r="B596" i="10"/>
  <c r="K596" i="10" s="1"/>
  <c r="B597" i="10"/>
  <c r="K597" i="10" s="1"/>
  <c r="B598" i="10"/>
  <c r="K598" i="10" s="1"/>
  <c r="B599" i="10"/>
  <c r="K599" i="10" s="1"/>
  <c r="B600" i="10"/>
  <c r="K600" i="10" s="1"/>
  <c r="B601" i="10"/>
  <c r="K601" i="10" s="1"/>
  <c r="B602" i="10"/>
  <c r="K602" i="10" s="1"/>
  <c r="B603" i="10"/>
  <c r="K603" i="10" s="1"/>
  <c r="B604" i="10"/>
  <c r="K604" i="10" s="1"/>
  <c r="B605" i="10"/>
  <c r="K605" i="10" s="1"/>
  <c r="B606" i="10"/>
  <c r="K606" i="10" s="1"/>
  <c r="B607" i="10"/>
  <c r="K607" i="10" s="1"/>
  <c r="B608" i="10"/>
  <c r="K608" i="10" s="1"/>
  <c r="B609" i="10"/>
  <c r="K609" i="10" s="1"/>
  <c r="B610" i="10"/>
  <c r="K610" i="10" s="1"/>
  <c r="B611" i="10"/>
  <c r="K611" i="10" s="1"/>
  <c r="B612" i="10"/>
  <c r="K612" i="10" s="1"/>
  <c r="B613" i="10"/>
  <c r="K613" i="10" s="1"/>
  <c r="B614" i="10"/>
  <c r="K614" i="10" s="1"/>
  <c r="B615" i="10"/>
  <c r="K615" i="10" s="1"/>
  <c r="B616" i="10"/>
  <c r="K616" i="10" s="1"/>
  <c r="B617" i="10"/>
  <c r="K617" i="10" s="1"/>
  <c r="B618" i="10"/>
  <c r="K618" i="10" s="1"/>
  <c r="B619" i="10"/>
  <c r="K619" i="10" s="1"/>
  <c r="B620" i="10"/>
  <c r="K620" i="10" s="1"/>
  <c r="B621" i="10"/>
  <c r="K621" i="10" s="1"/>
  <c r="B622" i="10"/>
  <c r="K622" i="10" s="1"/>
  <c r="B623" i="10"/>
  <c r="K623" i="10" s="1"/>
  <c r="B624" i="10"/>
  <c r="K624" i="10" s="1"/>
  <c r="B625" i="10"/>
  <c r="K625" i="10" s="1"/>
  <c r="B626" i="10"/>
  <c r="K626" i="10" s="1"/>
  <c r="B627" i="10"/>
  <c r="K627" i="10" s="1"/>
  <c r="B628" i="10"/>
  <c r="K628" i="10" s="1"/>
  <c r="B629" i="10"/>
  <c r="K629" i="10" s="1"/>
  <c r="B630" i="10"/>
  <c r="K630" i="10" s="1"/>
  <c r="B631" i="10"/>
  <c r="K631" i="10" s="1"/>
  <c r="B632" i="10"/>
  <c r="K632" i="10" s="1"/>
  <c r="B633" i="10"/>
  <c r="K633" i="10" s="1"/>
  <c r="B634" i="10"/>
  <c r="K634" i="10" s="1"/>
  <c r="B635" i="10"/>
  <c r="K635" i="10" s="1"/>
  <c r="B636" i="10"/>
  <c r="K636" i="10" s="1"/>
  <c r="B637" i="10"/>
  <c r="K637" i="10" s="1"/>
  <c r="B638" i="10"/>
  <c r="K638" i="10" s="1"/>
  <c r="B639" i="10"/>
  <c r="K639" i="10" s="1"/>
  <c r="B640" i="10"/>
  <c r="K640" i="10" s="1"/>
  <c r="B641" i="10"/>
  <c r="K641" i="10" s="1"/>
  <c r="B642" i="10"/>
  <c r="K642" i="10" s="1"/>
  <c r="B643" i="10"/>
  <c r="K643" i="10" s="1"/>
  <c r="B644" i="10"/>
  <c r="K644" i="10" s="1"/>
  <c r="B645" i="10"/>
  <c r="K645" i="10" s="1"/>
  <c r="B646" i="10"/>
  <c r="K646" i="10" s="1"/>
  <c r="B647" i="10"/>
  <c r="K647" i="10" s="1"/>
  <c r="B648" i="10"/>
  <c r="K648" i="10" s="1"/>
  <c r="B649" i="10"/>
  <c r="K649" i="10" s="1"/>
  <c r="B650" i="10"/>
  <c r="K650" i="10" s="1"/>
  <c r="B651" i="10"/>
  <c r="K651" i="10" s="1"/>
  <c r="B652" i="10"/>
  <c r="K652" i="10" s="1"/>
  <c r="B653" i="10"/>
  <c r="K653" i="10" s="1"/>
  <c r="B654" i="10"/>
  <c r="K654" i="10" s="1"/>
  <c r="B655" i="10"/>
  <c r="K655" i="10" s="1"/>
  <c r="B656" i="10"/>
  <c r="K656" i="10" s="1"/>
  <c r="B657" i="10"/>
  <c r="K657" i="10" s="1"/>
  <c r="B658" i="10"/>
  <c r="K658" i="10" s="1"/>
  <c r="B659" i="10"/>
  <c r="K659" i="10" s="1"/>
  <c r="B660" i="10"/>
  <c r="K660" i="10" s="1"/>
  <c r="B661" i="10"/>
  <c r="K661" i="10" s="1"/>
  <c r="B662" i="10"/>
  <c r="K662" i="10" s="1"/>
  <c r="B663" i="10"/>
  <c r="K663" i="10" s="1"/>
  <c r="B664" i="10"/>
  <c r="K664" i="10" s="1"/>
  <c r="B665" i="10"/>
  <c r="K665" i="10" s="1"/>
  <c r="B666" i="10"/>
  <c r="K666" i="10" s="1"/>
  <c r="B667" i="10"/>
  <c r="K667" i="10" s="1"/>
  <c r="B668" i="10"/>
  <c r="K668" i="10" s="1"/>
  <c r="B669" i="10"/>
  <c r="K669" i="10" s="1"/>
  <c r="B670" i="10"/>
  <c r="K670" i="10" s="1"/>
  <c r="B671" i="10"/>
  <c r="K671" i="10" s="1"/>
  <c r="B672" i="10"/>
  <c r="K672" i="10" s="1"/>
  <c r="B673" i="10"/>
  <c r="K673" i="10" s="1"/>
  <c r="B674" i="10"/>
  <c r="K674" i="10" s="1"/>
  <c r="B675" i="10"/>
  <c r="K675" i="10" s="1"/>
  <c r="B676" i="10"/>
  <c r="K676" i="10" s="1"/>
  <c r="B677" i="10"/>
  <c r="K677" i="10" s="1"/>
  <c r="B678" i="10"/>
  <c r="K678" i="10" s="1"/>
  <c r="B679" i="10"/>
  <c r="K679" i="10" s="1"/>
  <c r="B680" i="10"/>
  <c r="K680" i="10" s="1"/>
  <c r="B681" i="10"/>
  <c r="K681" i="10" s="1"/>
  <c r="B682" i="10"/>
  <c r="K682" i="10" s="1"/>
  <c r="B683" i="10"/>
  <c r="K683" i="10" s="1"/>
  <c r="B684" i="10"/>
  <c r="K684" i="10" s="1"/>
  <c r="B685" i="10"/>
  <c r="K685" i="10" s="1"/>
  <c r="B686" i="10"/>
  <c r="K686" i="10" s="1"/>
  <c r="B687" i="10"/>
  <c r="K687" i="10" s="1"/>
  <c r="B688" i="10"/>
  <c r="K688" i="10" s="1"/>
  <c r="B689" i="10"/>
  <c r="K689" i="10" s="1"/>
  <c r="B690" i="10"/>
  <c r="K690" i="10" s="1"/>
  <c r="B691" i="10"/>
  <c r="K691" i="10" s="1"/>
  <c r="B692" i="10"/>
  <c r="K692" i="10" s="1"/>
  <c r="B693" i="10"/>
  <c r="K693" i="10" s="1"/>
  <c r="B694" i="10"/>
  <c r="K694" i="10" s="1"/>
  <c r="B695" i="10"/>
  <c r="K695" i="10" s="1"/>
  <c r="B696" i="10"/>
  <c r="K696" i="10" s="1"/>
  <c r="B697" i="10"/>
  <c r="K697" i="10" s="1"/>
  <c r="B698" i="10"/>
  <c r="K698" i="10" s="1"/>
  <c r="B699" i="10"/>
  <c r="K699" i="10" s="1"/>
  <c r="B700" i="10"/>
  <c r="K700" i="10" s="1"/>
  <c r="B701" i="10"/>
  <c r="K701" i="10" s="1"/>
  <c r="B702" i="10"/>
  <c r="K702" i="10" s="1"/>
  <c r="B703" i="10"/>
  <c r="K703" i="10" s="1"/>
  <c r="B704" i="10"/>
  <c r="K704" i="10" s="1"/>
  <c r="B705" i="10"/>
  <c r="K705" i="10" s="1"/>
  <c r="B706" i="10"/>
  <c r="K706" i="10" s="1"/>
  <c r="B707" i="10"/>
  <c r="K707" i="10" s="1"/>
  <c r="B708" i="10"/>
  <c r="K708" i="10" s="1"/>
  <c r="B709" i="10"/>
  <c r="K709" i="10" s="1"/>
  <c r="B710" i="10"/>
  <c r="K710" i="10" s="1"/>
  <c r="B711" i="10"/>
  <c r="K711" i="10" s="1"/>
  <c r="B712" i="10"/>
  <c r="K712" i="10" s="1"/>
  <c r="B713" i="10"/>
  <c r="K713" i="10" s="1"/>
  <c r="B714" i="10"/>
  <c r="K714" i="10" s="1"/>
  <c r="B715" i="10"/>
  <c r="K715" i="10" s="1"/>
  <c r="B716" i="10"/>
  <c r="K716" i="10" s="1"/>
  <c r="B717" i="10"/>
  <c r="K717" i="10" s="1"/>
  <c r="B718" i="10"/>
  <c r="K718" i="10" s="1"/>
  <c r="B719" i="10"/>
  <c r="K719" i="10" s="1"/>
  <c r="B720" i="10"/>
  <c r="K720" i="10" s="1"/>
  <c r="B721" i="10"/>
  <c r="K721" i="10" s="1"/>
  <c r="B722" i="10"/>
  <c r="K722" i="10" s="1"/>
  <c r="B723" i="10"/>
  <c r="K723" i="10" s="1"/>
  <c r="B724" i="10"/>
  <c r="K724" i="10" s="1"/>
  <c r="B725" i="10"/>
  <c r="K725" i="10" s="1"/>
  <c r="B726" i="10"/>
  <c r="K726" i="10" s="1"/>
  <c r="B727" i="10"/>
  <c r="K727" i="10" s="1"/>
  <c r="B728" i="10"/>
  <c r="K728" i="10" s="1"/>
  <c r="B729" i="10"/>
  <c r="K729" i="10" s="1"/>
  <c r="B730" i="10"/>
  <c r="K730" i="10" s="1"/>
  <c r="B731" i="10"/>
  <c r="K731" i="10" s="1"/>
  <c r="B732" i="10"/>
  <c r="K732" i="10" s="1"/>
  <c r="B733" i="10"/>
  <c r="K733" i="10" s="1"/>
  <c r="B734" i="10"/>
  <c r="K734" i="10" s="1"/>
  <c r="B735" i="10"/>
  <c r="K735" i="10" s="1"/>
  <c r="B736" i="10"/>
  <c r="K736" i="10" s="1"/>
  <c r="B737" i="10"/>
  <c r="K737" i="10" s="1"/>
  <c r="B738" i="10"/>
  <c r="K738" i="10" s="1"/>
  <c r="B739" i="10"/>
  <c r="K739" i="10" s="1"/>
  <c r="B740" i="10"/>
  <c r="K740" i="10" s="1"/>
  <c r="B741" i="10"/>
  <c r="K741" i="10" s="1"/>
  <c r="B742" i="10"/>
  <c r="K742" i="10" s="1"/>
  <c r="B743" i="10"/>
  <c r="K743" i="10" s="1"/>
  <c r="B744" i="10"/>
  <c r="K744" i="10" s="1"/>
  <c r="B745" i="10"/>
  <c r="K745" i="10" s="1"/>
  <c r="B746" i="10"/>
  <c r="K746" i="10" s="1"/>
  <c r="B747" i="10"/>
  <c r="K747" i="10" s="1"/>
  <c r="B748" i="10"/>
  <c r="K748" i="10" s="1"/>
  <c r="B749" i="10"/>
  <c r="K749" i="10" s="1"/>
  <c r="B750" i="10"/>
  <c r="K750" i="10" s="1"/>
  <c r="B751" i="10"/>
  <c r="K751" i="10" s="1"/>
  <c r="B752" i="10"/>
  <c r="K752" i="10" s="1"/>
  <c r="B753" i="10"/>
  <c r="K753" i="10" s="1"/>
  <c r="B754" i="10"/>
  <c r="K754" i="10" s="1"/>
  <c r="B755" i="10"/>
  <c r="K755" i="10" s="1"/>
  <c r="B756" i="10"/>
  <c r="K756" i="10" s="1"/>
  <c r="B757" i="10"/>
  <c r="K757" i="10" s="1"/>
  <c r="B758" i="10"/>
  <c r="K758" i="10" s="1"/>
  <c r="B759" i="10"/>
  <c r="K759" i="10" s="1"/>
  <c r="B760" i="10"/>
  <c r="K760" i="10" s="1"/>
  <c r="B761" i="10"/>
  <c r="K761" i="10" s="1"/>
  <c r="B762" i="10"/>
  <c r="K762" i="10" s="1"/>
  <c r="B763" i="10"/>
  <c r="K763" i="10" s="1"/>
  <c r="B764" i="10"/>
  <c r="K764" i="10" s="1"/>
  <c r="B765" i="10"/>
  <c r="K765" i="10" s="1"/>
  <c r="B766" i="10"/>
  <c r="K766" i="10" s="1"/>
  <c r="B767" i="10"/>
  <c r="K767" i="10" s="1"/>
  <c r="B768" i="10"/>
  <c r="K768" i="10" s="1"/>
  <c r="B769" i="10"/>
  <c r="K769" i="10" s="1"/>
  <c r="B770" i="10"/>
  <c r="K770" i="10" s="1"/>
  <c r="B771" i="10"/>
  <c r="K771" i="10" s="1"/>
  <c r="B772" i="10"/>
  <c r="K772" i="10" s="1"/>
  <c r="B773" i="10"/>
  <c r="K773" i="10" s="1"/>
  <c r="B774" i="10"/>
  <c r="K774" i="10" s="1"/>
  <c r="B775" i="10"/>
  <c r="K775" i="10" s="1"/>
  <c r="B776" i="10"/>
  <c r="K776" i="10" s="1"/>
  <c r="B777" i="10"/>
  <c r="K777" i="10" s="1"/>
  <c r="B778" i="10"/>
  <c r="K778" i="10" s="1"/>
  <c r="B779" i="10"/>
  <c r="K779" i="10" s="1"/>
  <c r="B780" i="10"/>
  <c r="K780" i="10" s="1"/>
  <c r="B781" i="10"/>
  <c r="K781" i="10" s="1"/>
  <c r="B782" i="10"/>
  <c r="K782" i="10" s="1"/>
  <c r="B783" i="10"/>
  <c r="K783" i="10" s="1"/>
  <c r="B784" i="10"/>
  <c r="K784" i="10" s="1"/>
  <c r="B785" i="10"/>
  <c r="K785" i="10" s="1"/>
  <c r="B786" i="10"/>
  <c r="K786" i="10" s="1"/>
  <c r="B787" i="10"/>
  <c r="K787" i="10" s="1"/>
  <c r="B788" i="10"/>
  <c r="K788" i="10" s="1"/>
  <c r="B789" i="10"/>
  <c r="K789" i="10" s="1"/>
  <c r="B790" i="10"/>
  <c r="K790" i="10" s="1"/>
  <c r="B791" i="10"/>
  <c r="K791" i="10" s="1"/>
  <c r="B792" i="10"/>
  <c r="K792" i="10" s="1"/>
  <c r="B793" i="10"/>
  <c r="K793" i="10" s="1"/>
  <c r="B794" i="10"/>
  <c r="K794" i="10" s="1"/>
  <c r="B795" i="10"/>
  <c r="K795" i="10" s="1"/>
  <c r="B796" i="10"/>
  <c r="K796" i="10" s="1"/>
  <c r="B797" i="10"/>
  <c r="K797" i="10" s="1"/>
  <c r="B798" i="10"/>
  <c r="K798" i="10" s="1"/>
  <c r="B799" i="10"/>
  <c r="K799" i="10" s="1"/>
  <c r="B800" i="10"/>
  <c r="K800" i="10" s="1"/>
  <c r="B801" i="10"/>
  <c r="K801" i="10" s="1"/>
  <c r="B802" i="10"/>
  <c r="K802" i="10" s="1"/>
  <c r="B803" i="10"/>
  <c r="K803" i="10" s="1"/>
  <c r="B804" i="10"/>
  <c r="K804" i="10" s="1"/>
  <c r="B805" i="10"/>
  <c r="K805" i="10" s="1"/>
  <c r="B806" i="10"/>
  <c r="K806" i="10" s="1"/>
  <c r="B807" i="10"/>
  <c r="K807" i="10" s="1"/>
  <c r="B808" i="10"/>
  <c r="K808" i="10" s="1"/>
  <c r="B809" i="10"/>
  <c r="K809" i="10" s="1"/>
  <c r="B810" i="10"/>
  <c r="K810" i="10" s="1"/>
  <c r="B811" i="10"/>
  <c r="K811" i="10" s="1"/>
  <c r="B812" i="10"/>
  <c r="K812" i="10" s="1"/>
  <c r="B813" i="10"/>
  <c r="K813" i="10" s="1"/>
  <c r="B814" i="10"/>
  <c r="K814" i="10" s="1"/>
  <c r="B815" i="10"/>
  <c r="K815" i="10" s="1"/>
  <c r="B816" i="10"/>
  <c r="K816" i="10" s="1"/>
  <c r="B817" i="10"/>
  <c r="K817" i="10" s="1"/>
  <c r="B818" i="10"/>
  <c r="K818" i="10" s="1"/>
  <c r="B819" i="10"/>
  <c r="K819" i="10" s="1"/>
  <c r="B820" i="10"/>
  <c r="K820" i="10" s="1"/>
  <c r="B821" i="10"/>
  <c r="K821" i="10" s="1"/>
  <c r="B822" i="10"/>
  <c r="K822" i="10" s="1"/>
  <c r="B823" i="10"/>
  <c r="K823" i="10" s="1"/>
  <c r="B824" i="10"/>
  <c r="K824" i="10" s="1"/>
  <c r="B825" i="10"/>
  <c r="K825" i="10" s="1"/>
  <c r="B826" i="10"/>
  <c r="K826" i="10" s="1"/>
  <c r="B827" i="10"/>
  <c r="K827" i="10" s="1"/>
  <c r="B828" i="10"/>
  <c r="K828" i="10" s="1"/>
  <c r="B829" i="10"/>
  <c r="K829" i="10" s="1"/>
  <c r="B830" i="10"/>
  <c r="K830" i="10" s="1"/>
  <c r="B831" i="10"/>
  <c r="K831" i="10" s="1"/>
  <c r="B832" i="10"/>
  <c r="K832" i="10" s="1"/>
  <c r="B833" i="10"/>
  <c r="K833" i="10" s="1"/>
  <c r="B834" i="10"/>
  <c r="K834" i="10" s="1"/>
  <c r="B835" i="10"/>
  <c r="K835" i="10" s="1"/>
  <c r="B836" i="10"/>
  <c r="K836" i="10" s="1"/>
  <c r="B837" i="10"/>
  <c r="K837" i="10" s="1"/>
  <c r="B838" i="10"/>
  <c r="K838" i="10" s="1"/>
  <c r="B839" i="10"/>
  <c r="K839" i="10" s="1"/>
  <c r="B840" i="10"/>
  <c r="K840" i="10" s="1"/>
  <c r="B841" i="10"/>
  <c r="K841" i="10" s="1"/>
  <c r="B842" i="10"/>
  <c r="K842" i="10" s="1"/>
  <c r="B843" i="10"/>
  <c r="K843" i="10" s="1"/>
  <c r="B844" i="10"/>
  <c r="K844" i="10" s="1"/>
  <c r="B845" i="10"/>
  <c r="K845" i="10" s="1"/>
  <c r="B846" i="10"/>
  <c r="K846" i="10" s="1"/>
  <c r="B847" i="10"/>
  <c r="K847" i="10" s="1"/>
  <c r="B848" i="10"/>
  <c r="K848" i="10" s="1"/>
  <c r="B849" i="10"/>
  <c r="K849" i="10" s="1"/>
  <c r="B850" i="10"/>
  <c r="K850" i="10" s="1"/>
  <c r="B851" i="10"/>
  <c r="K851" i="10" s="1"/>
  <c r="B852" i="10"/>
  <c r="K852" i="10" s="1"/>
  <c r="B853" i="10"/>
  <c r="K853" i="10" s="1"/>
  <c r="B854" i="10"/>
  <c r="K854" i="10" s="1"/>
  <c r="B855" i="10"/>
  <c r="K855" i="10" s="1"/>
  <c r="B856" i="10"/>
  <c r="K856" i="10" s="1"/>
  <c r="B857" i="10"/>
  <c r="K857" i="10" s="1"/>
  <c r="B858" i="10"/>
  <c r="K858" i="10" s="1"/>
  <c r="B859" i="10"/>
  <c r="K859" i="10" s="1"/>
  <c r="B860" i="10"/>
  <c r="K860" i="10" s="1"/>
  <c r="B861" i="10"/>
  <c r="K861" i="10" s="1"/>
  <c r="B862" i="10"/>
  <c r="K862" i="10" s="1"/>
  <c r="B863" i="10"/>
  <c r="K863" i="10" s="1"/>
  <c r="B864" i="10"/>
  <c r="K864" i="10" s="1"/>
  <c r="B865" i="10"/>
  <c r="K865" i="10" s="1"/>
  <c r="B866" i="10"/>
  <c r="K866" i="10" s="1"/>
  <c r="B867" i="10"/>
  <c r="K867" i="10" s="1"/>
  <c r="B868" i="10"/>
  <c r="K868" i="10" s="1"/>
  <c r="B869" i="10"/>
  <c r="K869" i="10" s="1"/>
  <c r="B870" i="10"/>
  <c r="K870" i="10" s="1"/>
  <c r="B871" i="10"/>
  <c r="K871" i="10" s="1"/>
  <c r="B872" i="10"/>
  <c r="K872" i="10" s="1"/>
  <c r="B873" i="10"/>
  <c r="K873" i="10" s="1"/>
  <c r="B874" i="10"/>
  <c r="K874" i="10" s="1"/>
  <c r="B875" i="10"/>
  <c r="K875" i="10" s="1"/>
  <c r="B876" i="10"/>
  <c r="K876" i="10" s="1"/>
  <c r="B877" i="10"/>
  <c r="K877" i="10" s="1"/>
  <c r="B878" i="10"/>
  <c r="K878" i="10" s="1"/>
  <c r="B879" i="10"/>
  <c r="K879" i="10" s="1"/>
  <c r="B880" i="10"/>
  <c r="K880" i="10" s="1"/>
  <c r="B881" i="10"/>
  <c r="K881" i="10" s="1"/>
  <c r="B882" i="10"/>
  <c r="K882" i="10" s="1"/>
  <c r="B883" i="10"/>
  <c r="K883" i="10" s="1"/>
  <c r="B884" i="10"/>
  <c r="K884" i="10" s="1"/>
  <c r="B885" i="10"/>
  <c r="K885" i="10" s="1"/>
  <c r="B886" i="10"/>
  <c r="K886" i="10" s="1"/>
  <c r="B887" i="10"/>
  <c r="K887" i="10" s="1"/>
  <c r="B888" i="10"/>
  <c r="K888" i="10" s="1"/>
  <c r="B889" i="10"/>
  <c r="K889" i="10" s="1"/>
  <c r="B890" i="10"/>
  <c r="K890" i="10" s="1"/>
  <c r="B891" i="10"/>
  <c r="K891" i="10" s="1"/>
  <c r="B892" i="10"/>
  <c r="K892" i="10" s="1"/>
  <c r="B893" i="10"/>
  <c r="K893" i="10" s="1"/>
  <c r="B894" i="10"/>
  <c r="K894" i="10" s="1"/>
  <c r="B895" i="10"/>
  <c r="K895" i="10" s="1"/>
  <c r="B896" i="10"/>
  <c r="K896" i="10" s="1"/>
  <c r="B897" i="10"/>
  <c r="K897" i="10" s="1"/>
  <c r="B898" i="10"/>
  <c r="K898" i="10" s="1"/>
  <c r="B899" i="10"/>
  <c r="K899" i="10" s="1"/>
  <c r="B900" i="10"/>
  <c r="K900" i="10" s="1"/>
  <c r="B901" i="10"/>
  <c r="K901" i="10" s="1"/>
  <c r="B902" i="10"/>
  <c r="K902" i="10" s="1"/>
  <c r="B903" i="10"/>
  <c r="K903" i="10" s="1"/>
  <c r="B904" i="10"/>
  <c r="K904" i="10" s="1"/>
  <c r="B905" i="10"/>
  <c r="K905" i="10" s="1"/>
  <c r="B906" i="10"/>
  <c r="K906" i="10" s="1"/>
  <c r="B907" i="10"/>
  <c r="K907" i="10" s="1"/>
  <c r="B908" i="10"/>
  <c r="K908" i="10" s="1"/>
  <c r="B909" i="10"/>
  <c r="K909" i="10" s="1"/>
  <c r="B910" i="10"/>
  <c r="K910" i="10" s="1"/>
  <c r="B911" i="10"/>
  <c r="K911" i="10" s="1"/>
  <c r="B912" i="10"/>
  <c r="K912" i="10" s="1"/>
  <c r="B913" i="10"/>
  <c r="K913" i="10" s="1"/>
  <c r="B914" i="10"/>
  <c r="K914" i="10" s="1"/>
  <c r="B915" i="10"/>
  <c r="K915" i="10" s="1"/>
  <c r="B916" i="10"/>
  <c r="K916" i="10" s="1"/>
  <c r="B917" i="10"/>
  <c r="K917" i="10" s="1"/>
  <c r="B918" i="10"/>
  <c r="K918" i="10" s="1"/>
  <c r="B919" i="10"/>
  <c r="K919" i="10" s="1"/>
  <c r="B920" i="10"/>
  <c r="K920" i="10" s="1"/>
  <c r="B921" i="10"/>
  <c r="K921" i="10" s="1"/>
  <c r="B922" i="10"/>
  <c r="K922" i="10" s="1"/>
  <c r="B923" i="10"/>
  <c r="K923" i="10" s="1"/>
  <c r="B924" i="10"/>
  <c r="K924" i="10" s="1"/>
  <c r="B925" i="10"/>
  <c r="K925" i="10" s="1"/>
  <c r="B926" i="10"/>
  <c r="K926" i="10" s="1"/>
  <c r="B927" i="10"/>
  <c r="K927" i="10" s="1"/>
  <c r="B928" i="10"/>
  <c r="K928" i="10" s="1"/>
  <c r="B929" i="10"/>
  <c r="K929" i="10" s="1"/>
  <c r="B930" i="10"/>
  <c r="K930" i="10" s="1"/>
  <c r="B931" i="10"/>
  <c r="K931" i="10" s="1"/>
  <c r="B932" i="10"/>
  <c r="K932" i="10" s="1"/>
  <c r="B933" i="10"/>
  <c r="K933" i="10" s="1"/>
  <c r="B934" i="10"/>
  <c r="K934" i="10" s="1"/>
  <c r="B935" i="10"/>
  <c r="K935" i="10" s="1"/>
  <c r="B936" i="10"/>
  <c r="K936" i="10" s="1"/>
  <c r="B937" i="10"/>
  <c r="K937" i="10" s="1"/>
  <c r="B938" i="10"/>
  <c r="K938" i="10" s="1"/>
  <c r="B939" i="10"/>
  <c r="K939" i="10" s="1"/>
  <c r="B940" i="10"/>
  <c r="K940" i="10" s="1"/>
  <c r="B941" i="10"/>
  <c r="K941" i="10" s="1"/>
  <c r="B942" i="10"/>
  <c r="K942" i="10" s="1"/>
  <c r="B943" i="10"/>
  <c r="K943" i="10" s="1"/>
  <c r="B944" i="10"/>
  <c r="K944" i="10" s="1"/>
  <c r="B945" i="10"/>
  <c r="K945" i="10" s="1"/>
  <c r="B946" i="10"/>
  <c r="K946" i="10" s="1"/>
  <c r="B947" i="10"/>
  <c r="K947" i="10" s="1"/>
  <c r="B948" i="10"/>
  <c r="K948" i="10" s="1"/>
  <c r="B949" i="10"/>
  <c r="K949" i="10" s="1"/>
  <c r="B950" i="10"/>
  <c r="K950" i="10" s="1"/>
  <c r="B951" i="10"/>
  <c r="K951" i="10" s="1"/>
  <c r="B952" i="10"/>
  <c r="K952" i="10" s="1"/>
  <c r="B953" i="10"/>
  <c r="K953" i="10" s="1"/>
  <c r="B954" i="10"/>
  <c r="K954" i="10" s="1"/>
  <c r="B955" i="10"/>
  <c r="K955" i="10" s="1"/>
  <c r="B956" i="10"/>
  <c r="K956" i="10" s="1"/>
  <c r="B957" i="10"/>
  <c r="K957" i="10" s="1"/>
  <c r="B958" i="10"/>
  <c r="K958" i="10" s="1"/>
  <c r="B959" i="10"/>
  <c r="K959" i="10" s="1"/>
  <c r="B960" i="10"/>
  <c r="K960" i="10" s="1"/>
  <c r="B961" i="10"/>
  <c r="K961" i="10" s="1"/>
  <c r="B962" i="10"/>
  <c r="K962" i="10" s="1"/>
  <c r="B963" i="10"/>
  <c r="K963" i="10" s="1"/>
  <c r="B964" i="10"/>
  <c r="K964" i="10" s="1"/>
  <c r="B965" i="10"/>
  <c r="K965" i="10" s="1"/>
  <c r="B966" i="10"/>
  <c r="K966" i="10" s="1"/>
  <c r="B967" i="10"/>
  <c r="K967" i="10" s="1"/>
  <c r="B968" i="10"/>
  <c r="K968" i="10" s="1"/>
  <c r="B969" i="10"/>
  <c r="K969" i="10" s="1"/>
  <c r="B970" i="10"/>
  <c r="K970" i="10" s="1"/>
  <c r="B971" i="10"/>
  <c r="K971" i="10" s="1"/>
  <c r="B972" i="10"/>
  <c r="K972" i="10" s="1"/>
  <c r="B2" i="10"/>
  <c r="K2" i="10" s="1"/>
  <c r="P3" i="10"/>
  <c r="K66" i="8"/>
  <c r="G4" i="8"/>
  <c r="J66" i="8"/>
  <c r="K19" i="8" s="1"/>
  <c r="J19" i="8" s="1"/>
  <c r="H19" i="8" s="1"/>
  <c r="G6" i="8"/>
  <c r="O5" i="8"/>
  <c r="I19" i="8" l="1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Z2" i="10"/>
  <c r="Z3" i="10"/>
  <c r="M66" i="8"/>
  <c r="L66" i="8" s="1"/>
  <c r="P4" i="10"/>
  <c r="F14" i="4"/>
  <c r="G6" i="4"/>
  <c r="H11" i="4"/>
  <c r="O5" i="4"/>
  <c r="D5" i="11" l="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L66" i="1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O19" i="4" l="1"/>
  <c r="Q19" i="4"/>
  <c r="M66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P19" i="4" l="1"/>
  <c r="E6" i="4"/>
  <c r="L66" i="4"/>
  <c r="P66" i="4" s="1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sharedStrings.xml><?xml version="1.0" encoding="utf-8"?>
<sst xmlns="http://schemas.openxmlformats.org/spreadsheetml/2006/main" count="242" uniqueCount="116">
  <si>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</si>
  <si>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</si>
  <si>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</si>
  <si>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</si>
  <si>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</si>
  <si>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</si>
  <si>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</si>
  <si>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</si>
  <si>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</si>
  <si>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</si>
  <si>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</si>
  <si>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</si>
  <si>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</si>
  <si>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</si>
  <si>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</si>
  <si>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</si>
  <si>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</si>
  <si>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</si>
  <si>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</si>
  <si>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</si>
  <si>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</si>
  <si>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</si>
  <si>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</si>
  <si>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</si>
  <si>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</si>
  <si>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</si>
  <si>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</si>
  <si>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</si>
  <si>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</si>
  <si>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</si>
  <si>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</si>
  <si>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</si>
  <si>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</si>
  <si>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</si>
  <si>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</si>
  <si>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</si>
  <si>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</si>
  <si>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</si>
  <si>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</si>
  <si>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</si>
  <si>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</si>
  <si>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</si>
  <si>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</si>
  <si>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</si>
  <si>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</si>
  <si>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</si>
  <si>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</si>
  <si>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</si>
  <si>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</si>
  <si>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</si>
  <si>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</si>
  <si>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</si>
  <si>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</si>
  <si>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</si>
  <si>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</si>
  <si>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</si>
  <si>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</si>
  <si>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</si>
  <si>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</si>
  <si>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</si>
  <si>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</si>
  <si>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</si>
  <si>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</si>
  <si>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</si>
  <si>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</si>
  <si>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</si>
  <si>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</si>
  <si>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</si>
  <si>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</si>
  <si>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</si>
  <si>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</si>
  <si>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</si>
  <si>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</si>
  <si>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</si>
  <si>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</si>
  <si>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</si>
  <si>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</si>
  <si>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</si>
  <si>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</si>
  <si>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</si>
  <si>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</si>
  <si>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</si>
  <si>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</si>
  <si>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</si>
  <si>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</si>
  <si>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</si>
  <si>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</si>
  <si>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</si>
  <si>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</si>
  <si>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</si>
  <si>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</si>
  <si>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</si>
  <si>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</si>
  <si>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</si>
  <si>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</si>
  <si>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</si>
  <si>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</si>
  <si>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</si>
  <si>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</si>
  <si>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</si>
  <si>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</si>
  <si>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</si>
  <si>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</si>
  <si>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</si>
  <si>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</si>
  <si>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</si>
  <si>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</si>
  <si>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</si>
  <si>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</si>
  <si>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</si>
  <si>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</si>
  <si>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</si>
  <si>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</si>
  <si>
    <t>gabriel-rgomes@hotmai.com</t>
  </si>
  <si>
    <t>email/PIX:</t>
  </si>
  <si>
    <t>PIX: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</si>
</sst>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R$&quot;\ #,##0.00;\-&quot;R$&quot;\ #,##0.00"/>
    <numFmt numFmtId="164" formatCode="&quot;$&quot;#,##0.00"/>
    <numFmt numFmtId="165" formatCode="&quot;R$&quot;\ #,##0.00"/>
    <numFmt numFmtId="166" formatCode="0.0%"/>
  </numFmts>
  <fonts count="25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  <font>
      <sz val="10"/>
      <color theme="0"/>
      <name val="Gill Sans MT"/>
      <family val="2"/>
      <scheme val="minor"/>
    </font>
    <font>
      <b/>
      <sz val="12"/>
      <color theme="0"/>
      <name val="Gill Sans MT"/>
      <family val="2"/>
      <scheme val="minor"/>
    </font>
    <font>
      <b/>
      <sz val="14"/>
      <color theme="0"/>
      <name val="Gill Sans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55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165" fontId="14" fillId="6" borderId="17" xfId="0" applyNumberFormat="1" applyFont="1" applyFill="1" applyBorder="1" applyAlignment="1" applyProtection="1">
      <alignment horizontal="left"/>
    </xf>
    <xf numFmtId="0" fontId="2" fillId="3" borderId="0" xfId="0" applyFont="1" applyFill="1" applyAlignment="1" applyProtection="1">
      <alignment horizontal="center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0" fillId="2" borderId="0" xfId="0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12" fillId="5" borderId="0" xfId="0" applyNumberFormat="1" applyFont="1" applyFill="1" applyAlignment="1" applyProtection="1"/>
    <xf numFmtId="0" fontId="11" fillId="5" borderId="7" xfId="0" applyFont="1" applyFill="1" applyBorder="1" applyAlignment="1" applyProtection="1">
      <alignment horizontal="left"/>
    </xf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0" fontId="3" fillId="5" borderId="7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1" fontId="4" fillId="5" borderId="0" xfId="0" applyNumberFormat="1" applyFont="1" applyFill="1" applyAlignment="1" applyProtection="1"/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22" fillId="3" borderId="0" xfId="0" applyFont="1" applyFill="1" applyProtection="1"/>
    <xf numFmtId="0" fontId="23" fillId="3" borderId="0" xfId="0" applyFont="1" applyFill="1" applyProtection="1"/>
    <xf numFmtId="0" fontId="24" fillId="3" borderId="0" xfId="0" applyFont="1" applyFill="1" applyProtection="1"/>
  </cellXfs>
  <cellStyles count="2">
    <cellStyle name="Normal" xfId="0" builtinId="0"/>
    <cellStyle name="Porcentagem" xfId="1" builtinId="5"/>
  </cellStyles>
  <dxfs count="14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1"/>
      <tableStyleElement type="headerRow" dxfId="140"/>
      <tableStyleElement type="firstColumn" dxfId="139"/>
      <tableStyleElement type="lastColumn" dxfId="138"/>
      <tableStyleElement type="firstRowStripe" dxfId="137"/>
      <tableStyleElement type="secondRowStripe" dxfId="136"/>
      <tableStyleElement type="firstColumnStripe" dxfId="135"/>
      <tableStyleElement type="secondColumnStripe" dxfId="134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75"/>
</file>

<file path=xl/ctrlProps/ctrlProp2.xml><?xml version="1.0" encoding="utf-8"?>
<formControlPr xmlns="http://schemas.microsoft.com/office/spreadsheetml/2009/9/main" objectType="Spin" dx="22" fmlaLink="Patrimônio!$P$2" max="30000" min="2" page="10" val="75"/>
</file>

<file path=xl/ctrlProps/ctrlProp3.xml><?xml version="1.0" encoding="utf-8"?>
<formControlPr xmlns="http://schemas.microsoft.com/office/spreadsheetml/2009/9/main" objectType="Spin" dx="22" fmlaLink="Patrimônio!$P$2" max="30000" min="2" page="10" val="75"/>
</file>

<file path=xl/ctrlProps/ctrlProp4.xml><?xml version="1.0" encoding="utf-8"?>
<formControlPr xmlns="http://schemas.microsoft.com/office/spreadsheetml/2009/9/main" objectType="Spin" dx="22" fmlaLink="Patrimônio!$P$2" max="30000" min="2" page="10" val="75"/>
</file>

<file path=xl/ctrlProps/ctrlProp5.xml><?xml version="1.0" encoding="utf-8"?>
<formControlPr xmlns="http://schemas.microsoft.com/office/spreadsheetml/2009/9/main" objectType="Spin" dx="22" fmlaLink="$P$2" max="30000" min="2" page="10" val="7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png"/><Relationship Id="rId5" Type="http://schemas.openxmlformats.org/officeDocument/2006/relationships/hyperlink" Target="#A&#231;&#245;es!A1"/><Relationship Id="rId10" Type="http://schemas.openxmlformats.org/officeDocument/2006/relationships/image" Target="../media/image4.sv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18</xdr:row>
      <xdr:rowOff>35720</xdr:rowOff>
    </xdr:from>
    <xdr:to>
      <xdr:col>1</xdr:col>
      <xdr:colOff>850432</xdr:colOff>
      <xdr:row>26</xdr:row>
      <xdr:rowOff>11907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14F3F11-1208-43C3-8F30-984C60F26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5238751"/>
          <a:ext cx="1719588" cy="1690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274772</xdr:colOff>
      <xdr:row>25</xdr:row>
      <xdr:rowOff>117789</xdr:rowOff>
    </xdr:from>
    <xdr:to>
      <xdr:col>1</xdr:col>
      <xdr:colOff>322153</xdr:colOff>
      <xdr:row>29</xdr:row>
      <xdr:rowOff>169388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74772" y="6273320"/>
          <a:ext cx="916537" cy="908849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</xdr:colOff>
      <xdr:row>16</xdr:row>
      <xdr:rowOff>250031</xdr:rowOff>
    </xdr:from>
    <xdr:to>
      <xdr:col>2</xdr:col>
      <xdr:colOff>5087</xdr:colOff>
      <xdr:row>24</xdr:row>
      <xdr:rowOff>23812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A27105D-8785-4F2D-A8BE-7BB7A3B9E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2" y="4274344"/>
          <a:ext cx="1719588" cy="1690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261144</xdr:colOff>
      <xdr:row>24</xdr:row>
      <xdr:rowOff>150754</xdr:rowOff>
    </xdr:from>
    <xdr:to>
      <xdr:col>1</xdr:col>
      <xdr:colOff>308525</xdr:colOff>
      <xdr:row>28</xdr:row>
      <xdr:rowOff>205684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1144" y="6091973"/>
          <a:ext cx="916537" cy="9121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250032</xdr:rowOff>
    </xdr:from>
    <xdr:to>
      <xdr:col>1</xdr:col>
      <xdr:colOff>850432</xdr:colOff>
      <xdr:row>24</xdr:row>
      <xdr:rowOff>23813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4565783C-BC42-4A7A-A43A-FA8CB82D2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4274345"/>
          <a:ext cx="1719588" cy="16906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346904</xdr:colOff>
      <xdr:row>24</xdr:row>
      <xdr:rowOff>166495</xdr:rowOff>
    </xdr:from>
    <xdr:to>
      <xdr:col>1</xdr:col>
      <xdr:colOff>394285</xdr:colOff>
      <xdr:row>28</xdr:row>
      <xdr:rowOff>212930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46904" y="6107714"/>
          <a:ext cx="916537" cy="903685"/>
        </a:xfrm>
        <a:prstGeom prst="rect">
          <a:avLst/>
        </a:prstGeom>
      </xdr:spPr>
    </xdr:pic>
    <xdr:clientData/>
  </xdr:twoCellAnchor>
  <xdr:twoCellAnchor editAs="oneCell">
    <xdr:from>
      <xdr:col>0</xdr:col>
      <xdr:colOff>23813</xdr:colOff>
      <xdr:row>17</xdr:row>
      <xdr:rowOff>1</xdr:rowOff>
    </xdr:from>
    <xdr:to>
      <xdr:col>2</xdr:col>
      <xdr:colOff>5088</xdr:colOff>
      <xdr:row>24</xdr:row>
      <xdr:rowOff>47625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46F0BAFC-E88B-45BE-9F5D-6762D1C66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3" y="4298157"/>
          <a:ext cx="1719588" cy="16906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87.357497916666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asccv" u="1"/>
        <s v="acasd" u="1"/>
        <s v="asdasd" u="1"/>
        <s v="CRIs" u="1"/>
        <s v="asdfc" u="1"/>
        <s v="Outros" u="1"/>
        <s v="Shoppings" u="1"/>
        <s v="asdfasdf" u="1"/>
        <s v="sdasd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87.35749988426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87.357500810183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asdf" u="1"/>
        <s v="elet" u="1"/>
        <s v="ban" u="1"/>
        <s v="tec" u="1"/>
        <s v="pet" u="1"/>
        <s v="era" u="1"/>
        <s v="Social" u="1"/>
        <s v="banc" u="1"/>
        <s v="Tecnologia" u="1"/>
        <s v="varej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87.357503587962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15-12-31T00:00:00" maxDate="2096-11-01T00:00:00" count="971"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</sharedItems>
      <fieldGroup par="14" base="0">
        <rangePr groupBy="months" startDate="2015-12-31T00:00:00" endDate="2096-11-01T00:00:00"/>
        <groupItems count="14">
          <s v="&lt;31/12/201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1/2096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15-12-31T00:00:00" endDate="2096-11-01T00:00:00"/>
        <groupItems count="6">
          <s v="&lt;31/12/2015"/>
          <s v="Trim1"/>
          <s v="Trim2"/>
          <s v="Trim3"/>
          <s v="Trim4"/>
          <s v="&gt;01/11/2096"/>
        </groupItems>
      </fieldGroup>
    </cacheField>
    <cacheField name="Anos" numFmtId="0" databaseField="0">
      <fieldGroup base="0">
        <rangePr groupBy="years" startDate="2015-12-31T00:00:00" endDate="2096-11-01T00:00:00"/>
        <groupItems count="84">
          <s v="&lt;31/12/2015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&gt;01/11/2096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1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85"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0"/>
        <item h="1" x="1"/>
        <item h="1" x="2"/>
        <item h="1" x="3"/>
        <item h="1" x="4"/>
        <item h="1" x="5"/>
        <item h="1" x="6"/>
        <item h="1" x="7"/>
        <item h="1" x="83"/>
        <item t="default"/>
      </items>
    </pivotField>
  </pivotFields>
  <rowFields count="2">
    <field x="14"/>
    <field x="0"/>
  </rowFields>
  <rowItems count="1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4"/>
        <item m="1" x="6"/>
        <item m="1" x="7"/>
        <item x="0"/>
        <item m="1" x="3"/>
        <item m="1" x="9"/>
        <item m="1" x="1"/>
        <item m="1" x="2"/>
        <item m="1" x="8"/>
        <item m="1" x="5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9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outline="0" axis="axisValues" fieldPosition="0"/>
    </format>
    <format dxfId="9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12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7"/>
        <item m="1" x="9"/>
        <item m="1" x="8"/>
        <item m="1" x="6"/>
        <item m="1" x="4"/>
        <item m="1" x="1"/>
        <item m="1" x="3"/>
        <item m="1" x="2"/>
        <item m="1" x="5"/>
        <item m="1" x="10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3" dataDxfId="131" headerRowBorderDxfId="132" tableBorderDxfId="130">
  <tableColumns count="9">
    <tableColumn id="1" xr3:uid="{A266651F-06B7-4A70-BD93-C10E63A8151A}" name="Tipo" dataDxfId="129"/>
    <tableColumn id="2" xr3:uid="{2DB95F33-9847-416C-8E1D-9B10A1E3D4E8}" name="Investido" dataDxfId="128">
      <calculatedColumnFormula>BDRs!I4</calculatedColumnFormula>
    </tableColumn>
    <tableColumn id="5" xr3:uid="{F25D539E-44ED-407B-A2EF-0AEA45493E77}" name="L/P" dataDxfId="127"/>
    <tableColumn id="7" xr3:uid="{ABF29BFC-B2D5-4CD5-9B5F-C944174B219A}" name="%L/P" dataDxfId="126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5"/>
    <tableColumn id="8" xr3:uid="{7B22EFBC-CED2-4B08-8E03-6E88C6740813}" name="Peso ideal" dataDxfId="124" dataCellStyle="Porcentagem"/>
    <tableColumn id="9" xr3:uid="{747C78F2-014E-415A-9676-A479F2C225B7}" name="Peso atual " dataDxfId="123" dataCellStyle="Porcentagem">
      <calculatedColumnFormula>IFERROR(H12/$D$5,0)</calculatedColumnFormula>
    </tableColumn>
    <tableColumn id="10" xr3:uid="{362EC75B-631D-468B-B462-C5130CB822E4}" name="Status" dataDxfId="122">
      <calculatedColumnFormula>_xlfn.IFS(J12&lt;I12,"Abaixo",J12 = I12,"Ideal",J12&gt;I12,"Acima")</calculatedColumnFormula>
    </tableColumn>
    <tableColumn id="12" xr3:uid="{DA95A44C-7C3F-4905-9098-796F08D5B929}" name="Aporte equílibrio" dataDxfId="121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20" dataDxfId="118" headerRowBorderDxfId="119" tableBorderDxfId="117">
  <autoFilter ref="D65:P66" xr:uid="{ACD15B5E-F82D-4BFD-B41F-BD3B1D94E57E}"/>
  <tableColumns count="13">
    <tableColumn id="1" xr3:uid="{3EA95BAC-FB4E-4C2A-9312-2636B5273213}" name="Título" dataDxfId="116"/>
    <tableColumn id="2" xr3:uid="{73E74978-23E8-4305-9B33-E09DFC7DB77E}" name="Operação" dataDxfId="115"/>
    <tableColumn id="7" xr3:uid="{A8D3C1A3-59D8-4AA9-A5FE-B98852309AB2}" name="Data" dataDxfId="114"/>
    <tableColumn id="3" xr3:uid="{AC3191BE-B002-4536-BE31-BE9289EEDB09}" name="Setor" dataDxfId="113">
      <calculatedColumnFormula>IFERROR(VLOOKUP(His_Operacoes_acoes[[#This Row],[Título]],Interesse_Acoes[],2,0),"")</calculatedColumnFormula>
    </tableColumn>
    <tableColumn id="4" xr3:uid="{4DEF1777-E01C-4523-9B99-38C7A8814714}" name="Qtd." dataDxfId="112"/>
    <tableColumn id="5" xr3:uid="{2AF5BF2D-10FA-4B35-84D6-5CF4C39629FD}" name="Preço" dataDxfId="111"/>
    <tableColumn id="6" xr3:uid="{1CAA5BF2-6868-4167-84CB-3FA34840EE12}" name="Total" dataDxfId="110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09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08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07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06">
      <calculatedColumnFormula>EOMONTH(His_Operacoes_acoes[[#This Row],[Data]],0)</calculatedColumnFormula>
    </tableColumn>
    <tableColumn id="12" xr3:uid="{3AACDA9D-9630-4881-A0E0-D18AD6FF0891}" name="corret." dataDxfId="105"/>
    <tableColumn id="13" xr3:uid="{A7BE1D99-51B2-41D0-A792-D8F4B3298B4E}" name="Lucro" dataDxfId="104">
      <calculatedColumnFormula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3" dataDxfId="101" headerRowBorderDxfId="102" tableBorderDxfId="100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99"/>
    <tableColumn id="2" xr3:uid="{FCD08974-EA79-49DA-AD43-437B9F689A19}" name="Setor" dataDxfId="98"/>
    <tableColumn id="3" xr3:uid="{6EC294C3-414D-460A-9342-F16F86308A05}" name="Qtd." dataDxfId="97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96"/>
    <tableColumn id="5" xr3:uid="{B3E9D413-C1A0-41FC-8C5C-8284F886FD63}" name="%Div" dataDxfId="95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94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3">
      <calculatedColumnFormula>IFERROR(VLOOKUP(Interesse_Acoes[[#This Row],[Título]],His_Operacoes_acoes[],10,0),0)</calculatedColumnFormula>
    </tableColumn>
    <tableColumn id="8" xr3:uid="{BE2F836C-DC6B-4C65-BB36-5A35FC46F2FB}" name="Preço M." dataDxfId="92">
      <calculatedColumnFormula>IFERROR(Interesse_Acoes[[#This Row],[Patri. Invest.]]/Interesse_Acoes[[#This Row],[Qtd.]],0)</calculatedColumnFormula>
    </tableColumn>
    <tableColumn id="9" xr3:uid="{4CB24B76-EB12-41F3-8DAD-BFE20237F1D6}" name="Preço A." dataDxfId="91">
      <calculatedColumnFormula>COTAÇÃO(Interesse_Acoes[[#This Row],[Título]])</calculatedColumnFormula>
    </tableColumn>
    <tableColumn id="14" xr3:uid="{EB8F6DCD-5FB4-4400-B2B5-7DAD31A0DAAD}" name="Patri. Atual" dataDxfId="90">
      <calculatedColumnFormula>Interesse_Acoes[[#This Row],[Preço A.]]*Interesse_Acoes[[#This Row],[Qtd.]]</calculatedColumnFormula>
    </tableColumn>
    <tableColumn id="10" xr3:uid="{1B0020E4-5FCE-4A2B-90A5-CFD138061431}" name="%ideal" dataDxfId="89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88" dataCellStyle="Porcentagem">
      <calculatedColumnFormula>IFERROR(Interesse_Acoes[[#This Row],[Patri. Atual]]/($D$5 + $L$5),0)</calculatedColumnFormula>
    </tableColumn>
    <tableColumn id="12" xr3:uid="{904F3E0E-6C70-4AF9-A4CE-2657BDEC647F}" name="Status" dataDxfId="87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86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N66" totalsRowShown="0" headerRowDxfId="85" dataDxfId="83" headerRowBorderDxfId="84" tableBorderDxfId="82">
  <autoFilter ref="D65:N66" xr:uid="{ACD15B5E-F82D-4BFD-B41F-BD3B1D94E57E}"/>
  <tableColumns count="11">
    <tableColumn id="1" xr3:uid="{D6AF9E2A-30FC-424E-8D88-1BF90CF15BD6}" name="Título" dataDxfId="81"/>
    <tableColumn id="2" xr3:uid="{B7BB7A43-C816-412D-BE27-EB0DFCAA055B}" name="Operação" dataDxfId="80"/>
    <tableColumn id="7" xr3:uid="{BDEABF41-A166-4A75-A54B-2B38A5F921BE}" name="Data" dataDxfId="79"/>
    <tableColumn id="3" xr3:uid="{8C0548AA-8B86-4130-9E1B-0AF3B0BD9C7A}" name="Setor" dataDxfId="78">
      <calculatedColumnFormula>IFERROR(VLOOKUP(His_Operacoes_BDRs[[#This Row],[Título]],Interesse_BDRs[],2,0),"")</calculatedColumnFormula>
    </tableColumn>
    <tableColumn id="4" xr3:uid="{D638A759-8559-4EE1-B855-E3BF38BE11E4}" name="Qtd." dataDxfId="77"/>
    <tableColumn id="5" xr3:uid="{DF3BBBB2-9488-468F-BEEC-B381B0B57D51}" name="Preço" dataDxfId="76"/>
    <tableColumn id="6" xr3:uid="{2425390C-E0CA-4C10-90A0-B87A7037BEAA}" name="Total" dataDxfId="75">
      <calculatedColumnFormula>His_Operacoes_BDRs[[#This Row],[Qtd.]]*His_Operacoes_BDRs[[#This Row],[Preço]]</calculatedColumnFormula>
    </tableColumn>
    <tableColumn id="8" xr3:uid="{95B2B09D-4B55-451A-8B9A-9898986CA103}" name="Qtd Acum" dataDxfId="74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73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72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71">
      <calculatedColumnFormula>EOMONTH(His_Operacoes_BDRs[[#This Row],[Data]],0)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70" dataDxfId="68" headerRowBorderDxfId="69" tableBorderDxfId="67">
  <autoFilter ref="D18:Q19" xr:uid="{F36009DE-800B-40E7-BEEE-3C924091BC7F}"/>
  <tableColumns count="14">
    <tableColumn id="1" xr3:uid="{BBF53F7E-E4E0-452B-9569-512A0E3228FE}" name="Título" dataDxfId="66"/>
    <tableColumn id="2" xr3:uid="{932F598C-24E2-4C2B-90C2-50587C4E4673}" name="Setor" dataDxfId="65"/>
    <tableColumn id="3" xr3:uid="{6F0DB7E0-3423-4D0A-A479-914592D2122B}" name="Qtd." dataDxfId="64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63"/>
    <tableColumn id="5" xr3:uid="{A590CE3B-FA69-460A-A2CA-5693337790BD}" name="%Div" dataDxfId="62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61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60">
      <calculatedColumnFormula>Interesse_BDRs[[#This Row],[Preço M.]]*Interesse_BDRs[[#This Row],[Qtd.]]</calculatedColumnFormula>
    </tableColumn>
    <tableColumn id="8" xr3:uid="{6B100239-1BD3-4494-8D91-A13BC6CED588}" name="Preço M." dataDxfId="59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58">
      <calculatedColumnFormula>COTAÇÃO(Interesse_BDRs[[#This Row],[Título]])</calculatedColumnFormula>
    </tableColumn>
    <tableColumn id="14" xr3:uid="{FE04FFA1-3635-41E4-AB46-94B72C9D7F0F}" name="Patri. Atual" dataDxfId="57">
      <calculatedColumnFormula>IFERROR(Interesse_BDRs[[#This Row],[Preço A.]]*Interesse_BDRs[[#This Row],[Qtd.]],0)</calculatedColumnFormula>
    </tableColumn>
    <tableColumn id="10" xr3:uid="{47191F94-C684-45E2-A95D-0A8A96A38DB9}" name="%ideal" dataDxfId="56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55" dataCellStyle="Porcentagem">
      <calculatedColumnFormula>IFERROR(Interesse_BDRs[[#This Row],[Patri. Atual]]/($D$5 + $L$5),0)</calculatedColumnFormula>
    </tableColumn>
    <tableColumn id="12" xr3:uid="{4CAE99C7-66B2-4103-860D-47619E395856}" name="Status" dataDxfId="54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53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N66" totalsRowShown="0" headerRowDxfId="52" dataDxfId="50" headerRowBorderDxfId="51" tableBorderDxfId="49">
  <autoFilter ref="D65:N66" xr:uid="{ACD15B5E-F82D-4BFD-B41F-BD3B1D94E57E}"/>
  <tableColumns count="11">
    <tableColumn id="1" xr3:uid="{ED671001-B110-4FB3-A896-66F23B74D581}" name="Título" dataDxfId="48"/>
    <tableColumn id="2" xr3:uid="{4F3C5CDF-CF47-4927-B602-E81E55E95AB4}" name="Operação" dataDxfId="47"/>
    <tableColumn id="7" xr3:uid="{0E61AA45-359F-4125-9369-1F271926DE5F}" name="Data" dataDxfId="46"/>
    <tableColumn id="3" xr3:uid="{E048585D-D657-4F86-A763-806B5D650C2B}" name="Tipo" dataDxfId="45">
      <calculatedColumnFormula>IFERROR(VLOOKUP(His_Operacoes_FIIs[[#This Row],[Título]],Interesse_FIIs[],2,0),"")</calculatedColumnFormula>
    </tableColumn>
    <tableColumn id="4" xr3:uid="{9F1720C6-AB93-4979-8C89-5A7810942750}" name="Qtd." dataDxfId="44"/>
    <tableColumn id="5" xr3:uid="{669D3AA2-3703-4EEB-8481-324F1EE20F36}" name="Preço" dataDxfId="43"/>
    <tableColumn id="6" xr3:uid="{6035A04B-A67E-41B2-AC58-0178EA7BAB28}" name="Total" dataDxfId="42">
      <calculatedColumnFormula>His_Operacoes_FIIs[[#This Row],[Qtd.]]*His_Operacoes_FIIs[[#This Row],[Preço]]</calculatedColumnFormula>
    </tableColumn>
    <tableColumn id="8" xr3:uid="{BA28EB30-A583-453F-96A0-3F54551261C0}" name="Qtd Acum" dataDxfId="41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40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39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38">
      <calculatedColumnFormula>EOMONTH(His_Operacoes_FIIs[[#This Row],[Data]],0)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37" dataDxfId="35" headerRowBorderDxfId="36" tableBorderDxfId="34">
  <autoFilter ref="D18:Q19" xr:uid="{F36009DE-800B-40E7-BEEE-3C924091BC7F}"/>
  <tableColumns count="14">
    <tableColumn id="1" xr3:uid="{E9EC69AC-178C-47CF-9141-C9C113A5E054}" name="Título" dataDxfId="33"/>
    <tableColumn id="2" xr3:uid="{B2AC1550-FDF0-46E7-A77B-0787371D8853}" name="Tipo" dataDxfId="32"/>
    <tableColumn id="3" xr3:uid="{73196932-D61B-49AA-8FCA-B0140CC0C15A}" name="Qtd." dataDxfId="31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30"/>
    <tableColumn id="5" xr3:uid="{AF71DF2E-0C33-495C-9BAF-3788515C16DB}" name="%Div" dataDxfId="29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28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27">
      <calculatedColumnFormula>Interesse_FIIs[[#This Row],[Preço M.]]*Interesse_FIIs[[#This Row],[Qtd.]]</calculatedColumnFormula>
    </tableColumn>
    <tableColumn id="8" xr3:uid="{7E3B1981-C8DD-4E25-94B5-B59D4C97FA09}" name="Preço M." dataDxfId="26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25">
      <calculatedColumnFormula>COTAÇÃO(Interesse_FIIs[[#This Row],[Título]])</calculatedColumnFormula>
    </tableColumn>
    <tableColumn id="14" xr3:uid="{3732FBDC-5159-4211-9F2B-1A879E0FBFB4}" name="Patri. Atual" dataDxfId="24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23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22" dataCellStyle="Porcentagem">
      <calculatedColumnFormula>IFERROR(Interesse_FIIs[[#This Row],[Patri. Atual]]/($D$5 + $L$5),0)</calculatedColumnFormula>
    </tableColumn>
    <tableColumn id="12" xr3:uid="{81F98634-B19B-49FF-877A-3D968F1F7244}" name="Status" dataDxfId="21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20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opLeftCell="A10" zoomScale="80" zoomScaleNormal="80" workbookViewId="0">
      <selection activeCell="A14" sqref="A14"/>
    </sheetView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24" t="s">
        <v>19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>
        <v>2</v>
      </c>
      <c r="P2" s="124">
        <v>2</v>
      </c>
      <c r="Q2" s="124"/>
      <c r="R2" s="124"/>
    </row>
    <row r="4" spans="1:25" ht="25.5" thickBot="1" x14ac:dyDescent="0.55000000000000004">
      <c r="D4" s="125" t="s">
        <v>0</v>
      </c>
      <c r="E4" s="125"/>
      <c r="F4" s="21"/>
      <c r="G4" s="22"/>
      <c r="H4" s="125" t="s">
        <v>62</v>
      </c>
      <c r="I4" s="125"/>
      <c r="J4" s="23"/>
      <c r="K4" s="22"/>
      <c r="L4" s="125" t="s">
        <v>1</v>
      </c>
      <c r="M4" s="125"/>
      <c r="N4" s="125"/>
    </row>
    <row r="5" spans="1:25" ht="29.25" customHeight="1" x14ac:dyDescent="0.55000000000000004">
      <c r="D5" s="126">
        <f>SUM(L5,H12:H14)</f>
        <v>0</v>
      </c>
      <c r="E5" s="126"/>
      <c r="F5" s="21"/>
      <c r="G5" s="22"/>
      <c r="H5" s="126">
        <f>SUM(Dist_Classes[Investido],$L$5)</f>
        <v>0</v>
      </c>
      <c r="I5" s="126"/>
      <c r="J5" s="24"/>
      <c r="K5" s="22"/>
      <c r="L5" s="128">
        <v>0</v>
      </c>
      <c r="M5" s="128"/>
      <c r="N5" s="128"/>
      <c r="S5" s="127"/>
      <c r="T5" s="127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24" t="s">
        <v>26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A14" s="15" t="s">
        <v>89</v>
      </c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A15" s="16" t="s">
        <v>90</v>
      </c>
      <c r="I15" s="44"/>
    </row>
    <row r="16" spans="1:25" x14ac:dyDescent="0.35">
      <c r="A16" s="15" t="s">
        <v>114</v>
      </c>
    </row>
    <row r="17" spans="1:18" ht="21.75" x14ac:dyDescent="0.45">
      <c r="A17" s="152" t="s">
        <v>113</v>
      </c>
      <c r="D17" s="124" t="s">
        <v>57</v>
      </c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</row>
    <row r="18" spans="1:18" x14ac:dyDescent="0.35">
      <c r="A18" s="15" t="s">
        <v>105</v>
      </c>
    </row>
    <row r="36" spans="4:18" ht="21.75" x14ac:dyDescent="0.45">
      <c r="D36" s="124" t="s">
        <v>75</v>
      </c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</row>
  </sheetData>
  <mergeCells count="11">
    <mergeCell ref="S5:T5"/>
    <mergeCell ref="D9:R9"/>
    <mergeCell ref="L5:N5"/>
    <mergeCell ref="H4:I4"/>
    <mergeCell ref="H5:I5"/>
    <mergeCell ref="D17:R17"/>
    <mergeCell ref="D36:R36"/>
    <mergeCell ref="D2:R2"/>
    <mergeCell ref="D4:E4"/>
    <mergeCell ref="D5:E5"/>
    <mergeCell ref="L4:N4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topLeftCell="A10" zoomScale="80" zoomScaleNormal="80" workbookViewId="0">
      <selection activeCell="A32" sqref="A32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3:24" ht="22.5" thickBot="1" x14ac:dyDescent="0.5">
      <c r="D4" s="135" t="s">
        <v>22</v>
      </c>
      <c r="E4" s="135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35" t="s">
        <v>62</v>
      </c>
      <c r="J4" s="135"/>
      <c r="K4" s="22"/>
      <c r="L4" s="135" t="s">
        <v>46</v>
      </c>
      <c r="M4" s="135"/>
      <c r="N4" s="22"/>
      <c r="O4" s="46" t="s">
        <v>1</v>
      </c>
      <c r="P4" s="46"/>
      <c r="Q4" s="46"/>
    </row>
    <row r="5" spans="3:24" ht="24.75" x14ac:dyDescent="0.5">
      <c r="D5" s="134">
        <f>SUM(Interesse_Acoes[[#All],[Patri. Atual]])</f>
        <v>0</v>
      </c>
      <c r="E5" s="134"/>
      <c r="F5" s="21" t="s">
        <v>28</v>
      </c>
      <c r="G5" s="47">
        <f>'Visão Geral'!J12</f>
        <v>0</v>
      </c>
      <c r="H5" s="45"/>
      <c r="I5" s="137">
        <f>SUM(Interesse_Acoes[Patri. Invest.])</f>
        <v>0</v>
      </c>
      <c r="J5" s="137"/>
      <c r="K5" s="22"/>
      <c r="L5" s="134">
        <f>'Visão Geral'!L12</f>
        <v>0</v>
      </c>
      <c r="M5" s="134"/>
      <c r="N5" s="22"/>
      <c r="O5" s="136">
        <f>'Visão Geral'!L5</f>
        <v>0</v>
      </c>
      <c r="P5" s="136"/>
      <c r="Q5" s="136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110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38" t="s">
        <v>47</v>
      </c>
      <c r="N11" s="138"/>
      <c r="O11" s="138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39"/>
      <c r="O12" s="139"/>
      <c r="P12" s="23"/>
      <c r="Q12" s="23"/>
      <c r="R12" s="127"/>
      <c r="S12" s="127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29"/>
      <c r="O13" s="129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30">
        <f>IFERROR(N12/N13,0)</f>
        <v>0</v>
      </c>
      <c r="O14" s="130"/>
      <c r="P14" s="23"/>
      <c r="Q14" s="23"/>
    </row>
    <row r="15" spans="3:24" ht="21.75" customHeight="1" x14ac:dyDescent="0.35"/>
    <row r="16" spans="3:24" ht="21.75" customHeight="1" x14ac:dyDescent="0.45">
      <c r="C16" s="50"/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45">
      <c r="A17" s="154" t="s">
        <v>115</v>
      </c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75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4" spans="4:17" ht="18" thickBot="1" x14ac:dyDescent="0.4">
      <c r="K64" s="131" t="s">
        <v>107</v>
      </c>
      <c r="L64" s="132"/>
      <c r="M64" s="132"/>
      <c r="N64" s="133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108</v>
      </c>
      <c r="P65" s="107" t="s">
        <v>109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123"/>
      <c r="P66" s="63" t="e">
        <f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f>
        <v>#N/A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R12:S12"/>
    <mergeCell ref="L4:M4"/>
    <mergeCell ref="L5:M5"/>
    <mergeCell ref="O5:Q5"/>
    <mergeCell ref="I4:J4"/>
    <mergeCell ref="I5:J5"/>
    <mergeCell ref="M11:O11"/>
    <mergeCell ref="N12:O12"/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</mergeCells>
  <phoneticPr fontId="17" type="noConversion"/>
  <conditionalFormatting sqref="E66">
    <cfRule type="expression" dxfId="8" priority="9">
      <formula>OR(E66 =  "JCP",E66 = "Divid.",E66 = "Bonif.")</formula>
    </cfRule>
    <cfRule type="containsText" dxfId="7" priority="10" operator="containsText" text="Venda">
      <formula>NOT(ISERROR(SEARCH("Venda",E66)))</formula>
    </cfRule>
    <cfRule type="containsText" dxfId="6" priority="11" operator="containsText" text="Compra">
      <formula>NOT(ISERROR(SEARCH("Compra",E66)))</formula>
    </cfRule>
  </conditionalFormatting>
  <conditionalFormatting sqref="G19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52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3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topLeftCell="A7" zoomScale="80" zoomScaleNormal="80" workbookViewId="0">
      <selection activeCell="B17" sqref="B17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4:24" ht="22.5" thickBot="1" x14ac:dyDescent="0.5">
      <c r="D4" s="142" t="s">
        <v>55</v>
      </c>
      <c r="E4" s="142"/>
      <c r="F4" s="66" t="s">
        <v>45</v>
      </c>
      <c r="G4" s="67">
        <f>SUMIF(His_Operacoes_BDRs[Operação],"Provento",His_Operacoes_BDRs[Total])</f>
        <v>0</v>
      </c>
      <c r="H4" s="68"/>
      <c r="I4" s="142" t="s">
        <v>62</v>
      </c>
      <c r="J4" s="142"/>
      <c r="K4" s="48"/>
      <c r="L4" s="142" t="s">
        <v>46</v>
      </c>
      <c r="M4" s="142"/>
      <c r="N4" s="69"/>
      <c r="O4" s="70" t="s">
        <v>1</v>
      </c>
      <c r="P4" s="70"/>
      <c r="Q4" s="70"/>
    </row>
    <row r="5" spans="4:24" ht="24.75" x14ac:dyDescent="0.5">
      <c r="D5" s="143">
        <f>SUM(Interesse_BDRs[[#All],[Patri. Atual]])</f>
        <v>0</v>
      </c>
      <c r="E5" s="143"/>
      <c r="F5" s="66" t="s">
        <v>28</v>
      </c>
      <c r="G5" s="71">
        <f>'Visão Geral'!J12</f>
        <v>0</v>
      </c>
      <c r="H5" s="72"/>
      <c r="I5" s="145">
        <f>SUM(Interesse_BDRs[Patri. Invest.])</f>
        <v>0</v>
      </c>
      <c r="J5" s="145"/>
      <c r="K5" s="24"/>
      <c r="L5" s="143">
        <f>'Visão Geral'!L13</f>
        <v>0</v>
      </c>
      <c r="M5" s="143"/>
      <c r="N5" s="69"/>
      <c r="O5" s="144">
        <f>'Visão Geral'!L5</f>
        <v>0</v>
      </c>
      <c r="P5" s="144"/>
      <c r="Q5" s="144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0" t="s">
        <v>47</v>
      </c>
      <c r="N11" s="140"/>
      <c r="O11" s="140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1"/>
      <c r="O12" s="141"/>
      <c r="P12" s="75"/>
      <c r="Q12" s="75"/>
      <c r="R12" s="127"/>
      <c r="S12" s="127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1"/>
      <c r="O13" s="141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46">
        <f>IFERROR(N12/N13,0)</f>
        <v>0</v>
      </c>
      <c r="O14" s="146"/>
      <c r="P14" s="75"/>
      <c r="Q14" s="75"/>
    </row>
    <row r="15" spans="4:24" ht="21.75" customHeight="1" x14ac:dyDescent="0.35"/>
    <row r="16" spans="4:24" ht="21.75" customHeight="1" x14ac:dyDescent="0.45"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4">
      <c r="A17" s="153" t="s">
        <v>115</v>
      </c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32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4" spans="4:17" x14ac:dyDescent="0.35">
      <c r="K64" s="131" t="s">
        <v>107</v>
      </c>
      <c r="L64" s="132"/>
      <c r="M64" s="132"/>
      <c r="N64" s="133"/>
    </row>
    <row r="65" spans="4:14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</row>
    <row r="66" spans="4:14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</row>
    <row r="79" spans="4:14" x14ac:dyDescent="0.35">
      <c r="F79" s="64"/>
      <c r="I79" s="65"/>
    </row>
  </sheetData>
  <mergeCells count="19">
    <mergeCell ref="R12:S12"/>
    <mergeCell ref="N13:O13"/>
    <mergeCell ref="K64:N64"/>
    <mergeCell ref="D16:Q16"/>
    <mergeCell ref="D21:Q21"/>
    <mergeCell ref="D41:Q41"/>
    <mergeCell ref="D63:Q63"/>
    <mergeCell ref="N14:O14"/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</mergeCells>
  <phoneticPr fontId="17" type="noConversion"/>
  <conditionalFormatting sqref="E66">
    <cfRule type="containsText" dxfId="5" priority="6" operator="containsText" text="Provento">
      <formula>NOT(ISERROR(SEARCH("Provento",E66)))</formula>
    </cfRule>
    <cfRule type="containsText" dxfId="4" priority="7" operator="containsText" text="Venda">
      <formula>NOT(ISERROR(SEARCH("Venda",E66)))</formula>
    </cfRule>
    <cfRule type="containsText" dxfId="3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Auxiliar!$A$7:$A$9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abSelected="1" topLeftCell="A7" zoomScale="80" zoomScaleNormal="80" workbookViewId="0">
      <selection activeCell="B16" sqref="B16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4:24" ht="22.5" thickBot="1" x14ac:dyDescent="0.5">
      <c r="D4" s="142" t="s">
        <v>86</v>
      </c>
      <c r="E4" s="142"/>
      <c r="F4" s="66" t="s">
        <v>45</v>
      </c>
      <c r="G4" s="67">
        <f>SUMIF(His_Operacoes_FIIs[Operação],"Provento",His_Operacoes_FIIs[Total])</f>
        <v>0</v>
      </c>
      <c r="H4" s="68"/>
      <c r="I4" s="142" t="s">
        <v>62</v>
      </c>
      <c r="J4" s="142"/>
      <c r="K4" s="48"/>
      <c r="L4" s="142" t="s">
        <v>46</v>
      </c>
      <c r="M4" s="142"/>
      <c r="N4" s="69"/>
      <c r="O4" s="70" t="s">
        <v>1</v>
      </c>
      <c r="P4" s="70"/>
      <c r="Q4" s="70"/>
    </row>
    <row r="5" spans="4:24" ht="24.75" x14ac:dyDescent="0.5">
      <c r="D5" s="143">
        <f>SUM(Interesse_FIIs[[#All],[Patri. Atual]])</f>
        <v>0</v>
      </c>
      <c r="E5" s="143"/>
      <c r="F5" s="66" t="s">
        <v>28</v>
      </c>
      <c r="G5" s="71">
        <f>'Visão Geral'!J12</f>
        <v>0</v>
      </c>
      <c r="H5" s="72"/>
      <c r="I5" s="145">
        <f>SUM(Interesse_FIIs[Patri. Invest.])</f>
        <v>0</v>
      </c>
      <c r="J5" s="145"/>
      <c r="K5" s="24"/>
      <c r="L5" s="143">
        <f>'Visão Geral'!L14</f>
        <v>0</v>
      </c>
      <c r="M5" s="143"/>
      <c r="N5" s="69"/>
      <c r="O5" s="144">
        <f>'Visão Geral'!L5</f>
        <v>0</v>
      </c>
      <c r="P5" s="144"/>
      <c r="Q5" s="144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17</v>
      </c>
      <c r="F11" s="66" t="s">
        <v>14</v>
      </c>
      <c r="G11" s="92"/>
      <c r="H11" s="66" t="str">
        <f>IF(E11 = "Registro","","Data:")</f>
        <v/>
      </c>
      <c r="I11" s="94"/>
      <c r="J11" s="75"/>
      <c r="K11" s="75"/>
      <c r="L11" s="76"/>
      <c r="M11" s="140" t="s">
        <v>47</v>
      </c>
      <c r="N11" s="140"/>
      <c r="O11" s="140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Nota:</v>
      </c>
      <c r="G12" s="92"/>
      <c r="H12" s="75"/>
      <c r="I12" s="75"/>
      <c r="J12" s="75"/>
      <c r="K12" s="75"/>
      <c r="L12" s="75"/>
      <c r="M12" s="75" t="s">
        <v>48</v>
      </c>
      <c r="N12" s="141"/>
      <c r="O12" s="141"/>
      <c r="P12" s="75"/>
      <c r="Q12" s="75"/>
      <c r="R12" s="127"/>
      <c r="S12" s="127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/>
      </c>
      <c r="G13" s="93"/>
      <c r="H13" s="75"/>
      <c r="I13" s="75"/>
      <c r="J13" s="75"/>
      <c r="K13" s="75"/>
      <c r="L13" s="75"/>
      <c r="M13" s="75" t="s">
        <v>49</v>
      </c>
      <c r="N13" s="141"/>
      <c r="O13" s="141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>Tipo:</v>
      </c>
      <c r="G14" s="92"/>
      <c r="H14" s="75"/>
      <c r="I14" s="75"/>
      <c r="J14" s="75"/>
      <c r="K14" s="75"/>
      <c r="L14" s="75"/>
      <c r="M14" s="75" t="s">
        <v>50</v>
      </c>
      <c r="N14" s="146">
        <f>IFERROR(N12/N13,0)</f>
        <v>0</v>
      </c>
      <c r="O14" s="146"/>
      <c r="P14" s="75"/>
      <c r="Q14" s="75"/>
    </row>
    <row r="15" spans="4:24" ht="21.75" customHeight="1" x14ac:dyDescent="0.35"/>
    <row r="16" spans="4:24" ht="21.75" customHeight="1" x14ac:dyDescent="0.45"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4">
      <c r="A17" s="153" t="s">
        <v>115</v>
      </c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32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5" spans="4:14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</row>
    <row r="66" spans="4:14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</row>
    <row r="79" spans="4:14" x14ac:dyDescent="0.35">
      <c r="F79" s="64"/>
      <c r="I79" s="65"/>
    </row>
  </sheetData>
  <mergeCells count="18"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  <mergeCell ref="D16:Q16"/>
    <mergeCell ref="D21:Q21"/>
    <mergeCell ref="D41:Q41"/>
    <mergeCell ref="D63:Q63"/>
    <mergeCell ref="D9:Q9"/>
    <mergeCell ref="M11:O11"/>
    <mergeCell ref="N12:O12"/>
  </mergeCells>
  <conditionalFormatting sqref="E66">
    <cfRule type="containsText" dxfId="2" priority="6" operator="containsText" text="Provento">
      <formula>NOT(ISERROR(SEARCH("Provento",E66)))</formula>
    </cfRule>
    <cfRule type="containsText" dxfId="1" priority="7" operator="containsText" text="Venda">
      <formula>NOT(ISERROR(SEARCH("Venda",E66)))</formula>
    </cfRule>
    <cfRule type="containsText" dxfId="0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Auxiliar!$A$7:$A$9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zoomScale="80" zoomScaleNormal="80" workbookViewId="0">
      <selection activeCell="K2" sqref="K2"/>
    </sheetView>
  </sheetViews>
  <sheetFormatPr defaultRowHeight="17.25" x14ac:dyDescent="0.35"/>
  <cols>
    <col min="1" max="1" width="11.125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42370</v>
      </c>
      <c r="B2" s="7">
        <f>EOMONTH(A2,-1)</f>
        <v>42369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SUMIFS(His_Operacoes_acoes[Total],His_Operacoes_acoes[Fimmes],Patrimônio!B2,His_Operacoes_acoes[Operação],"JCP")
+ SUMIFS(His_Operacoes_acoes[Total],His_Operacoes_acoes[Fimmes],Patrimônio!B2,His_Operacoes_acoes[Operação],"Divid.")
+ SUMIFS(His_Operacoes_acoes[Total],His_Operacoes_acoes[Fimmes],Patrimônio!B2,His_Operacoes_acoes[Operação],"Bonif.")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75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42401</v>
      </c>
      <c r="B3" s="7">
        <f t="shared" ref="B3:B66" si="2">EOMONTH(A3,-1)</f>
        <v>42400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SUMIFS(His_Operacoes_acoes[Total],His_Operacoes_acoes[Fimmes],Patrimônio!B3,His_Operacoes_acoes[Operação],"JCP")
+ SUMIFS(His_Operacoes_acoes[Total],His_Operacoes_acoes[Fimmes],Patrimônio!B3,His_Operacoes_acoes[Operação],"Divid.")
+ SUMIFS(His_Operacoes_acoes[Total],His_Operacoes_acoes[Fimmes],Patrimônio!B3,His_Operacoes_acoes[Operação],"Bonif.")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76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42430</v>
      </c>
      <c r="B4" s="7">
        <f t="shared" si="2"/>
        <v>42429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SUMIFS(His_Operacoes_acoes[Total],His_Operacoes_acoes[Fimmes],Patrimônio!B4,His_Operacoes_acoes[Operação],"JCP")
+ SUMIFS(His_Operacoes_acoes[Total],His_Operacoes_acoes[Fimmes],Patrimônio!B4,His_Operacoes_acoes[Operação],"Divid.")
+ SUMIFS(His_Operacoes_acoes[Total],His_Operacoes_acoes[Fimmes],Patrimônio!B4,His_Operacoes_acoes[Operação],"Bonif.")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77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42461</v>
      </c>
      <c r="B5" s="7">
        <f t="shared" si="2"/>
        <v>42460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SUMIFS(His_Operacoes_acoes[Total],His_Operacoes_acoes[Fimmes],Patrimônio!B5,His_Operacoes_acoes[Operação],"JCP")
+ SUMIFS(His_Operacoes_acoes[Total],His_Operacoes_acoes[Fimmes],Patrimônio!B5,His_Operacoes_acoes[Operação],"Divid.")
+ SUMIFS(His_Operacoes_acoes[Total],His_Operacoes_acoes[Fimmes],Patrimônio!B5,His_Operacoes_acoes[Operação],"Bonif.")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78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42491</v>
      </c>
      <c r="B6" s="7">
        <f t="shared" si="2"/>
        <v>42490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SUMIFS(His_Operacoes_acoes[Total],His_Operacoes_acoes[Fimmes],Patrimônio!B6,His_Operacoes_acoes[Operação],"JCP")
+ SUMIFS(His_Operacoes_acoes[Total],His_Operacoes_acoes[Fimmes],Patrimônio!B6,His_Operacoes_acoes[Operação],"Divid.")
+ SUMIFS(His_Operacoes_acoes[Total],His_Operacoes_acoes[Fimmes],Patrimônio!B6,His_Operacoes_acoes[Operação],"Bonif.")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79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42522</v>
      </c>
      <c r="B7" s="7">
        <f t="shared" si="2"/>
        <v>42521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SUMIFS(His_Operacoes_acoes[Total],His_Operacoes_acoes[Fimmes],Patrimônio!B7,His_Operacoes_acoes[Operação],"JCP")
+ SUMIFS(His_Operacoes_acoes[Total],His_Operacoes_acoes[Fimmes],Patrimônio!B7,His_Operacoes_acoes[Operação],"Divid.")
+ SUMIFS(His_Operacoes_acoes[Total],His_Operacoes_acoes[Fimmes],Patrimônio!B7,His_Operacoes_acoes[Operação],"Bonif.")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80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42552</v>
      </c>
      <c r="B8" s="7">
        <f t="shared" si="2"/>
        <v>42551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SUMIFS(His_Operacoes_acoes[Total],His_Operacoes_acoes[Fimmes],Patrimônio!B8,His_Operacoes_acoes[Operação],"JCP")
+ SUMIFS(His_Operacoes_acoes[Total],His_Operacoes_acoes[Fimmes],Patrimônio!B8,His_Operacoes_acoes[Operação],"Divid.")
+ SUMIFS(His_Operacoes_acoes[Total],His_Operacoes_acoes[Fimmes],Patrimônio!B8,His_Operacoes_acoes[Operação],"Bonif.")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81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42583</v>
      </c>
      <c r="B9" s="7">
        <f t="shared" si="2"/>
        <v>42582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SUMIFS(His_Operacoes_acoes[Total],His_Operacoes_acoes[Fimmes],Patrimônio!B9,His_Operacoes_acoes[Operação],"JCP")
+ SUMIFS(His_Operacoes_acoes[Total],His_Operacoes_acoes[Fimmes],Patrimônio!B9,His_Operacoes_acoes[Operação],"Divid.")
+ SUMIFS(His_Operacoes_acoes[Total],His_Operacoes_acoes[Fimmes],Patrimônio!B9,His_Operacoes_acoes[Operação],"Bonif.")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82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42614</v>
      </c>
      <c r="B10" s="7">
        <f t="shared" si="2"/>
        <v>42613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SUMIFS(His_Operacoes_acoes[Total],His_Operacoes_acoes[Fimmes],Patrimônio!B10,His_Operacoes_acoes[Operação],"JCP")
+ SUMIFS(His_Operacoes_acoes[Total],His_Operacoes_acoes[Fimmes],Patrimônio!B10,His_Operacoes_acoes[Operação],"Divid.")
+ SUMIFS(His_Operacoes_acoes[Total],His_Operacoes_acoes[Fimmes],Patrimônio!B10,His_Operacoes_acoes[Operação],"Bonif.")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83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42644</v>
      </c>
      <c r="B11" s="7">
        <f t="shared" si="2"/>
        <v>42643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SUMIFS(His_Operacoes_acoes[Total],His_Operacoes_acoes[Fimmes],Patrimônio!B11,His_Operacoes_acoes[Operação],"JCP")
+ SUMIFS(His_Operacoes_acoes[Total],His_Operacoes_acoes[Fimmes],Patrimônio!B11,His_Operacoes_acoes[Operação],"Divid.")
+ SUMIFS(His_Operacoes_acoes[Total],His_Operacoes_acoes[Fimmes],Patrimônio!B11,His_Operacoes_acoes[Operação],"Bonif.")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84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42675</v>
      </c>
      <c r="B12" s="7">
        <f t="shared" si="2"/>
        <v>42674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SUMIFS(His_Operacoes_acoes[Total],His_Operacoes_acoes[Fimmes],Patrimônio!B12,His_Operacoes_acoes[Operação],"JCP")
+ SUMIFS(His_Operacoes_acoes[Total],His_Operacoes_acoes[Fimmes],Patrimônio!B12,His_Operacoes_acoes[Operação],"Divid.")
+ SUMIFS(His_Operacoes_acoes[Total],His_Operacoes_acoes[Fimmes],Patrimônio!B12,His_Operacoes_acoes[Operação],"Bonif.")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85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42705</v>
      </c>
      <c r="B13" s="7">
        <f t="shared" si="2"/>
        <v>42704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SUMIFS(His_Operacoes_acoes[Total],His_Operacoes_acoes[Fimmes],Patrimônio!B13,His_Operacoes_acoes[Operação],"JCP")
+ SUMIFS(His_Operacoes_acoes[Total],His_Operacoes_acoes[Fimmes],Patrimônio!B13,His_Operacoes_acoes[Operação],"Divid.")
+ SUMIFS(His_Operacoes_acoes[Total],His_Operacoes_acoes[Fimmes],Patrimônio!B13,His_Operacoes_acoes[Operação],"Bonif.")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86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42736</v>
      </c>
      <c r="B14" s="7">
        <f t="shared" si="2"/>
        <v>42735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SUMIFS(His_Operacoes_acoes[Total],His_Operacoes_acoes[Fimmes],Patrimônio!B14,His_Operacoes_acoes[Operação],"JCP")
+ SUMIFS(His_Operacoes_acoes[Total],His_Operacoes_acoes[Fimmes],Patrimônio!B14,His_Operacoes_acoes[Operação],"Divid.")
+ SUMIFS(His_Operacoes_acoes[Total],His_Operacoes_acoes[Fimmes],Patrimônio!B14,His_Operacoes_acoes[Operação],"Bonif.")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42767</v>
      </c>
      <c r="B15" s="7">
        <f t="shared" si="2"/>
        <v>42766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SUMIFS(His_Operacoes_acoes[Total],His_Operacoes_acoes[Fimmes],Patrimônio!B15,His_Operacoes_acoes[Operação],"JCP")
+ SUMIFS(His_Operacoes_acoes[Total],His_Operacoes_acoes[Fimmes],Patrimônio!B15,His_Operacoes_acoes[Operação],"Divid.")
+ SUMIFS(His_Operacoes_acoes[Total],His_Operacoes_acoes[Fimmes],Patrimônio!B15,His_Operacoes_acoes[Operação],"Bonif.")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42795</v>
      </c>
      <c r="B16" s="7">
        <f t="shared" si="2"/>
        <v>42794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SUMIFS(His_Operacoes_acoes[Total],His_Operacoes_acoes[Fimmes],Patrimônio!B16,His_Operacoes_acoes[Operação],"JCP")
+ SUMIFS(His_Operacoes_acoes[Total],His_Operacoes_acoes[Fimmes],Patrimônio!B16,His_Operacoes_acoes[Operação],"Divid.")
+ SUMIFS(His_Operacoes_acoes[Total],His_Operacoes_acoes[Fimmes],Patrimônio!B16,His_Operacoes_acoes[Operação],"Bonif.")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42826</v>
      </c>
      <c r="B17" s="7">
        <f t="shared" si="2"/>
        <v>42825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SUMIFS(His_Operacoes_acoes[Total],His_Operacoes_acoes[Fimmes],Patrimônio!B17,His_Operacoes_acoes[Operação],"JCP")
+ SUMIFS(His_Operacoes_acoes[Total],His_Operacoes_acoes[Fimmes],Patrimônio!B17,His_Operacoes_acoes[Operação],"Divid.")
+ SUMIFS(His_Operacoes_acoes[Total],His_Operacoes_acoes[Fimmes],Patrimônio!B17,His_Operacoes_acoes[Operação],"Bonif.")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42856</v>
      </c>
      <c r="B18" s="7">
        <f t="shared" si="2"/>
        <v>42855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SUMIFS(His_Operacoes_acoes[Total],His_Operacoes_acoes[Fimmes],Patrimônio!B18,His_Operacoes_acoes[Operação],"JCP")
+ SUMIFS(His_Operacoes_acoes[Total],His_Operacoes_acoes[Fimmes],Patrimônio!B18,His_Operacoes_acoes[Operação],"Divid.")
+ SUMIFS(His_Operacoes_acoes[Total],His_Operacoes_acoes[Fimmes],Patrimônio!B18,His_Operacoes_acoes[Operação],"Bonif.")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42887</v>
      </c>
      <c r="B19" s="7">
        <f t="shared" si="2"/>
        <v>42886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SUMIFS(His_Operacoes_acoes[Total],His_Operacoes_acoes[Fimmes],Patrimônio!B19,His_Operacoes_acoes[Operação],"JCP")
+ SUMIFS(His_Operacoes_acoes[Total],His_Operacoes_acoes[Fimmes],Patrimônio!B19,His_Operacoes_acoes[Operação],"Divid.")
+ SUMIFS(His_Operacoes_acoes[Total],His_Operacoes_acoes[Fimmes],Patrimônio!B19,His_Operacoes_acoes[Operação],"Bonif.")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42917</v>
      </c>
      <c r="B20" s="7">
        <f t="shared" si="2"/>
        <v>42916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SUMIFS(His_Operacoes_acoes[Total],His_Operacoes_acoes[Fimmes],Patrimônio!B20,His_Operacoes_acoes[Operação],"JCP")
+ SUMIFS(His_Operacoes_acoes[Total],His_Operacoes_acoes[Fimmes],Patrimônio!B20,His_Operacoes_acoes[Operação],"Divid.")
+ SUMIFS(His_Operacoes_acoes[Total],His_Operacoes_acoes[Fimmes],Patrimônio!B20,His_Operacoes_acoes[Operação],"Bonif.")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42948</v>
      </c>
      <c r="B21" s="7">
        <f t="shared" si="2"/>
        <v>42947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SUMIFS(His_Operacoes_acoes[Total],His_Operacoes_acoes[Fimmes],Patrimônio!B21,His_Operacoes_acoes[Operação],"JCP")
+ SUMIFS(His_Operacoes_acoes[Total],His_Operacoes_acoes[Fimmes],Patrimônio!B21,His_Operacoes_acoes[Operação],"Divid.")
+ SUMIFS(His_Operacoes_acoes[Total],His_Operacoes_acoes[Fimmes],Patrimônio!B21,His_Operacoes_acoes[Operação],"Bonif.")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42979</v>
      </c>
      <c r="B22" s="7">
        <f t="shared" si="2"/>
        <v>42978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SUMIFS(His_Operacoes_acoes[Total],His_Operacoes_acoes[Fimmes],Patrimônio!B22,His_Operacoes_acoes[Operação],"JCP")
+ SUMIFS(His_Operacoes_acoes[Total],His_Operacoes_acoes[Fimmes],Patrimônio!B22,His_Operacoes_acoes[Operação],"Divid.")
+ SUMIFS(His_Operacoes_acoes[Total],His_Operacoes_acoes[Fimmes],Patrimônio!B22,His_Operacoes_acoes[Operação],"Bonif.")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91</v>
      </c>
    </row>
    <row r="23" spans="1:25" x14ac:dyDescent="0.35">
      <c r="A23" s="7">
        <v>43009</v>
      </c>
      <c r="B23" s="7">
        <f t="shared" si="2"/>
        <v>43008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SUMIFS(His_Operacoes_acoes[Total],His_Operacoes_acoes[Fimmes],Patrimônio!B23,His_Operacoes_acoes[Operação],"JCP")
+ SUMIFS(His_Operacoes_acoes[Total],His_Operacoes_acoes[Fimmes],Patrimônio!B23,His_Operacoes_acoes[Operação],"Divid.")
+ SUMIFS(His_Operacoes_acoes[Total],His_Operacoes_acoes[Fimmes],Patrimônio!B23,His_Operacoes_acoes[Operação],"Bonif.")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92</v>
      </c>
      <c r="R23" s="8">
        <v>0</v>
      </c>
    </row>
    <row r="24" spans="1:25" x14ac:dyDescent="0.35">
      <c r="A24" s="7">
        <v>43040</v>
      </c>
      <c r="B24" s="7">
        <f t="shared" si="2"/>
        <v>43039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SUMIFS(His_Operacoes_acoes[Total],His_Operacoes_acoes[Fimmes],Patrimônio!B24,His_Operacoes_acoes[Operação],"JCP")
+ SUMIFS(His_Operacoes_acoes[Total],His_Operacoes_acoes[Fimmes],Patrimônio!B24,His_Operacoes_acoes[Operação],"Divid.")
+ SUMIFS(His_Operacoes_acoes[Total],His_Operacoes_acoes[Fimmes],Patrimônio!B24,His_Operacoes_acoes[Operação],"Bonif.")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93</v>
      </c>
      <c r="R24" s="8">
        <v>0</v>
      </c>
    </row>
    <row r="25" spans="1:25" x14ac:dyDescent="0.35">
      <c r="A25" s="7">
        <v>43070</v>
      </c>
      <c r="B25" s="7">
        <f t="shared" si="2"/>
        <v>43069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SUMIFS(His_Operacoes_acoes[Total],His_Operacoes_acoes[Fimmes],Patrimônio!B25,His_Operacoes_acoes[Operação],"JCP")
+ SUMIFS(His_Operacoes_acoes[Total],His_Operacoes_acoes[Fimmes],Patrimônio!B25,His_Operacoes_acoes[Operação],"Divid.")
+ SUMIFS(His_Operacoes_acoes[Total],His_Operacoes_acoes[Fimmes],Patrimônio!B25,His_Operacoes_acoes[Operação],"Bonif.")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94</v>
      </c>
      <c r="R25" s="8">
        <v>0</v>
      </c>
    </row>
    <row r="26" spans="1:25" x14ac:dyDescent="0.35">
      <c r="A26" s="7">
        <v>43101</v>
      </c>
      <c r="B26" s="7">
        <f t="shared" si="2"/>
        <v>43100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SUMIFS(His_Operacoes_acoes[Total],His_Operacoes_acoes[Fimmes],Patrimônio!B26,His_Operacoes_acoes[Operação],"JCP")
+ SUMIFS(His_Operacoes_acoes[Total],His_Operacoes_acoes[Fimmes],Patrimônio!B26,His_Operacoes_acoes[Operação],"Divid.")
+ SUMIFS(His_Operacoes_acoes[Total],His_Operacoes_acoes[Fimmes],Patrimônio!B26,His_Operacoes_acoes[Operação],"Bonif.")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95</v>
      </c>
      <c r="R26" s="8">
        <v>0</v>
      </c>
    </row>
    <row r="27" spans="1:25" x14ac:dyDescent="0.35">
      <c r="A27" s="7">
        <v>43132</v>
      </c>
      <c r="B27" s="7">
        <f t="shared" si="2"/>
        <v>43131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SUMIFS(His_Operacoes_acoes[Total],His_Operacoes_acoes[Fimmes],Patrimônio!B27,His_Operacoes_acoes[Operação],"JCP")
+ SUMIFS(His_Operacoes_acoes[Total],His_Operacoes_acoes[Fimmes],Patrimônio!B27,His_Operacoes_acoes[Operação],"Divid.")
+ SUMIFS(His_Operacoes_acoes[Total],His_Operacoes_acoes[Fimmes],Patrimônio!B27,His_Operacoes_acoes[Operação],"Bonif.")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96</v>
      </c>
      <c r="R27" s="8">
        <v>0</v>
      </c>
    </row>
    <row r="28" spans="1:25" x14ac:dyDescent="0.35">
      <c r="A28" s="7">
        <v>43160</v>
      </c>
      <c r="B28" s="7">
        <f t="shared" si="2"/>
        <v>43159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SUMIFS(His_Operacoes_acoes[Total],His_Operacoes_acoes[Fimmes],Patrimônio!B28,His_Operacoes_acoes[Operação],"JCP")
+ SUMIFS(His_Operacoes_acoes[Total],His_Operacoes_acoes[Fimmes],Patrimônio!B28,His_Operacoes_acoes[Operação],"Divid.")
+ SUMIFS(His_Operacoes_acoes[Total],His_Operacoes_acoes[Fimmes],Patrimônio!B28,His_Operacoes_acoes[Operação],"Bonif.")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97</v>
      </c>
      <c r="R28" s="8">
        <v>0</v>
      </c>
    </row>
    <row r="29" spans="1:25" x14ac:dyDescent="0.35">
      <c r="A29" s="7">
        <v>43191</v>
      </c>
      <c r="B29" s="7">
        <f t="shared" si="2"/>
        <v>43190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SUMIFS(His_Operacoes_acoes[Total],His_Operacoes_acoes[Fimmes],Patrimônio!B29,His_Operacoes_acoes[Operação],"JCP")
+ SUMIFS(His_Operacoes_acoes[Total],His_Operacoes_acoes[Fimmes],Patrimônio!B29,His_Operacoes_acoes[Operação],"Divid.")
+ SUMIFS(His_Operacoes_acoes[Total],His_Operacoes_acoes[Fimmes],Patrimônio!B29,His_Operacoes_acoes[Operação],"Bonif.")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98</v>
      </c>
      <c r="R29" s="8">
        <v>0</v>
      </c>
    </row>
    <row r="30" spans="1:25" x14ac:dyDescent="0.35">
      <c r="A30" s="7">
        <v>43221</v>
      </c>
      <c r="B30" s="7">
        <f t="shared" si="2"/>
        <v>43220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SUMIFS(His_Operacoes_acoes[Total],His_Operacoes_acoes[Fimmes],Patrimônio!B30,His_Operacoes_acoes[Operação],"JCP")
+ SUMIFS(His_Operacoes_acoes[Total],His_Operacoes_acoes[Fimmes],Patrimônio!B30,His_Operacoes_acoes[Operação],"Divid.")
+ SUMIFS(His_Operacoes_acoes[Total],His_Operacoes_acoes[Fimmes],Patrimônio!B30,His_Operacoes_acoes[Operação],"Bonif.")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99</v>
      </c>
      <c r="R30" s="8">
        <v>0</v>
      </c>
    </row>
    <row r="31" spans="1:25" x14ac:dyDescent="0.35">
      <c r="A31" s="7">
        <v>43252</v>
      </c>
      <c r="B31" s="7">
        <f t="shared" si="2"/>
        <v>43251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SUMIFS(His_Operacoes_acoes[Total],His_Operacoes_acoes[Fimmes],Patrimônio!B31,His_Operacoes_acoes[Operação],"JCP")
+ SUMIFS(His_Operacoes_acoes[Total],His_Operacoes_acoes[Fimmes],Patrimônio!B31,His_Operacoes_acoes[Operação],"Divid.")
+ SUMIFS(His_Operacoes_acoes[Total],His_Operacoes_acoes[Fimmes],Patrimônio!B31,His_Operacoes_acoes[Operação],"Bonif.")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100</v>
      </c>
      <c r="R31" s="8">
        <v>0</v>
      </c>
    </row>
    <row r="32" spans="1:25" x14ac:dyDescent="0.35">
      <c r="A32" s="7">
        <v>43282</v>
      </c>
      <c r="B32" s="7">
        <f t="shared" si="2"/>
        <v>43281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SUMIFS(His_Operacoes_acoes[Total],His_Operacoes_acoes[Fimmes],Patrimônio!B32,His_Operacoes_acoes[Operação],"JCP")
+ SUMIFS(His_Operacoes_acoes[Total],His_Operacoes_acoes[Fimmes],Patrimônio!B32,His_Operacoes_acoes[Operação],"Divid.")
+ SUMIFS(His_Operacoes_acoes[Total],His_Operacoes_acoes[Fimmes],Patrimônio!B32,His_Operacoes_acoes[Operação],"Bonif.")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101</v>
      </c>
      <c r="R32" s="8">
        <v>0</v>
      </c>
    </row>
    <row r="33" spans="1:18" x14ac:dyDescent="0.35">
      <c r="A33" s="7">
        <v>43313</v>
      </c>
      <c r="B33" s="7">
        <f t="shared" si="2"/>
        <v>43312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SUMIFS(His_Operacoes_acoes[Total],His_Operacoes_acoes[Fimmes],Patrimônio!B33,His_Operacoes_acoes[Operação],"JCP")
+ SUMIFS(His_Operacoes_acoes[Total],His_Operacoes_acoes[Fimmes],Patrimônio!B33,His_Operacoes_acoes[Operação],"Divid.")
+ SUMIFS(His_Operacoes_acoes[Total],His_Operacoes_acoes[Fimmes],Patrimônio!B33,His_Operacoes_acoes[Operação],"Bonif.")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102</v>
      </c>
      <c r="R33" s="8">
        <v>0</v>
      </c>
    </row>
    <row r="34" spans="1:18" x14ac:dyDescent="0.35">
      <c r="A34" s="7">
        <v>43344</v>
      </c>
      <c r="B34" s="7">
        <f t="shared" si="2"/>
        <v>43343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SUMIFS(His_Operacoes_acoes[Total],His_Operacoes_acoes[Fimmes],Patrimônio!B34,His_Operacoes_acoes[Operação],"JCP")
+ SUMIFS(His_Operacoes_acoes[Total],His_Operacoes_acoes[Fimmes],Patrimônio!B34,His_Operacoes_acoes[Operação],"Divid.")
+ SUMIFS(His_Operacoes_acoes[Total],His_Operacoes_acoes[Fimmes],Patrimônio!B34,His_Operacoes_acoes[Operação],"Bonif.")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103</v>
      </c>
      <c r="R34" s="8">
        <v>0</v>
      </c>
    </row>
    <row r="35" spans="1:18" x14ac:dyDescent="0.35">
      <c r="A35" s="7">
        <v>43374</v>
      </c>
      <c r="B35" s="7">
        <f t="shared" si="2"/>
        <v>43373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SUMIFS(His_Operacoes_acoes[Total],His_Operacoes_acoes[Fimmes],Patrimônio!B35,His_Operacoes_acoes[Operação],"JCP")
+ SUMIFS(His_Operacoes_acoes[Total],His_Operacoes_acoes[Fimmes],Patrimônio!B35,His_Operacoes_acoes[Operação],"Divid.")
+ SUMIFS(His_Operacoes_acoes[Total],His_Operacoes_acoes[Fimmes],Patrimônio!B35,His_Operacoes_acoes[Operação],"Bonif.")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104</v>
      </c>
      <c r="R35" s="8">
        <v>0</v>
      </c>
    </row>
    <row r="36" spans="1:18" x14ac:dyDescent="0.35">
      <c r="A36" s="7">
        <v>43405</v>
      </c>
      <c r="B36" s="7">
        <f t="shared" si="2"/>
        <v>43404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SUMIFS(His_Operacoes_acoes[Total],His_Operacoes_acoes[Fimmes],Patrimônio!B36,His_Operacoes_acoes[Operação],"JCP")
+ SUMIFS(His_Operacoes_acoes[Total],His_Operacoes_acoes[Fimmes],Patrimônio!B36,His_Operacoes_acoes[Operação],"Divid.")
+ SUMIFS(His_Operacoes_acoes[Total],His_Operacoes_acoes[Fimmes],Patrimônio!B36,His_Operacoes_acoes[Operação],"Bonif.")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43435</v>
      </c>
      <c r="B37" s="7">
        <f t="shared" si="2"/>
        <v>43434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SUMIFS(His_Operacoes_acoes[Total],His_Operacoes_acoes[Fimmes],Patrimônio!B37,His_Operacoes_acoes[Operação],"JCP")
+ SUMIFS(His_Operacoes_acoes[Total],His_Operacoes_acoes[Fimmes],Patrimônio!B37,His_Operacoes_acoes[Operação],"Divid.")
+ SUMIFS(His_Operacoes_acoes[Total],His_Operacoes_acoes[Fimmes],Patrimônio!B37,His_Operacoes_acoes[Operação],"Bonif.")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43466</v>
      </c>
      <c r="B38" s="7">
        <f t="shared" si="2"/>
        <v>43465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SUMIFS(His_Operacoes_acoes[Total],His_Operacoes_acoes[Fimmes],Patrimônio!B38,His_Operacoes_acoes[Operação],"JCP")
+ SUMIFS(His_Operacoes_acoes[Total],His_Operacoes_acoes[Fimmes],Patrimônio!B38,His_Operacoes_acoes[Operação],"Divid.")
+ SUMIFS(His_Operacoes_acoes[Total],His_Operacoes_acoes[Fimmes],Patrimônio!B38,His_Operacoes_acoes[Operação],"Bonif.")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43497</v>
      </c>
      <c r="B39" s="7">
        <f t="shared" si="2"/>
        <v>43496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SUMIFS(His_Operacoes_acoes[Total],His_Operacoes_acoes[Fimmes],Patrimônio!B39,His_Operacoes_acoes[Operação],"JCP")
+ SUMIFS(His_Operacoes_acoes[Total],His_Operacoes_acoes[Fimmes],Patrimônio!B39,His_Operacoes_acoes[Operação],"Divid.")
+ SUMIFS(His_Operacoes_acoes[Total],His_Operacoes_acoes[Fimmes],Patrimônio!B39,His_Operacoes_acoes[Operação],"Bonif.")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43525</v>
      </c>
      <c r="B40" s="7">
        <f t="shared" si="2"/>
        <v>43524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SUMIFS(His_Operacoes_acoes[Total],His_Operacoes_acoes[Fimmes],Patrimônio!B40,His_Operacoes_acoes[Operação],"JCP")
+ SUMIFS(His_Operacoes_acoes[Total],His_Operacoes_acoes[Fimmes],Patrimônio!B40,His_Operacoes_acoes[Operação],"Divid.")
+ SUMIFS(His_Operacoes_acoes[Total],His_Operacoes_acoes[Fimmes],Patrimônio!B40,His_Operacoes_acoes[Operação],"Bonif.")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43556</v>
      </c>
      <c r="B41" s="7">
        <f t="shared" si="2"/>
        <v>43555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SUMIFS(His_Operacoes_acoes[Total],His_Operacoes_acoes[Fimmes],Patrimônio!B41,His_Operacoes_acoes[Operação],"JCP")
+ SUMIFS(His_Operacoes_acoes[Total],His_Operacoes_acoes[Fimmes],Patrimônio!B41,His_Operacoes_acoes[Operação],"Divid.")
+ SUMIFS(His_Operacoes_acoes[Total],His_Operacoes_acoes[Fimmes],Patrimônio!B41,His_Operacoes_acoes[Operação],"Bonif.")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43586</v>
      </c>
      <c r="B42" s="7">
        <f t="shared" si="2"/>
        <v>43585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SUMIFS(His_Operacoes_acoes[Total],His_Operacoes_acoes[Fimmes],Patrimônio!B42,His_Operacoes_acoes[Operação],"JCP")
+ SUMIFS(His_Operacoes_acoes[Total],His_Operacoes_acoes[Fimmes],Patrimônio!B42,His_Operacoes_acoes[Operação],"Divid.")
+ SUMIFS(His_Operacoes_acoes[Total],His_Operacoes_acoes[Fimmes],Patrimônio!B42,His_Operacoes_acoes[Operação],"Bonif.")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43617</v>
      </c>
      <c r="B43" s="7">
        <f t="shared" si="2"/>
        <v>43616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SUMIFS(His_Operacoes_acoes[Total],His_Operacoes_acoes[Fimmes],Patrimônio!B43,His_Operacoes_acoes[Operação],"JCP")
+ SUMIFS(His_Operacoes_acoes[Total],His_Operacoes_acoes[Fimmes],Patrimônio!B43,His_Operacoes_acoes[Operação],"Divid.")
+ SUMIFS(His_Operacoes_acoes[Total],His_Operacoes_acoes[Fimmes],Patrimônio!B43,His_Operacoes_acoes[Operação],"Bonif.")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43647</v>
      </c>
      <c r="B44" s="7">
        <f t="shared" si="2"/>
        <v>43646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SUMIFS(His_Operacoes_acoes[Total],His_Operacoes_acoes[Fimmes],Patrimônio!B44,His_Operacoes_acoes[Operação],"JCP")
+ SUMIFS(His_Operacoes_acoes[Total],His_Operacoes_acoes[Fimmes],Patrimônio!B44,His_Operacoes_acoes[Operação],"Divid.")
+ SUMIFS(His_Operacoes_acoes[Total],His_Operacoes_acoes[Fimmes],Patrimônio!B44,His_Operacoes_acoes[Operação],"Bonif.")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43678</v>
      </c>
      <c r="B45" s="7">
        <f t="shared" si="2"/>
        <v>43677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SUMIFS(His_Operacoes_acoes[Total],His_Operacoes_acoes[Fimmes],Patrimônio!B45,His_Operacoes_acoes[Operação],"JCP")
+ SUMIFS(His_Operacoes_acoes[Total],His_Operacoes_acoes[Fimmes],Patrimônio!B45,His_Operacoes_acoes[Operação],"Divid.")
+ SUMIFS(His_Operacoes_acoes[Total],His_Operacoes_acoes[Fimmes],Patrimônio!B45,His_Operacoes_acoes[Operação],"Bonif.")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43709</v>
      </c>
      <c r="B46" s="7">
        <f t="shared" si="2"/>
        <v>43708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SUMIFS(His_Operacoes_acoes[Total],His_Operacoes_acoes[Fimmes],Patrimônio!B46,His_Operacoes_acoes[Operação],"JCP")
+ SUMIFS(His_Operacoes_acoes[Total],His_Operacoes_acoes[Fimmes],Patrimônio!B46,His_Operacoes_acoes[Operação],"Divid.")
+ SUMIFS(His_Operacoes_acoes[Total],His_Operacoes_acoes[Fimmes],Patrimônio!B46,His_Operacoes_acoes[Operação],"Bonif.")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43739</v>
      </c>
      <c r="B47" s="7">
        <f t="shared" si="2"/>
        <v>43738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SUMIFS(His_Operacoes_acoes[Total],His_Operacoes_acoes[Fimmes],Patrimônio!B47,His_Operacoes_acoes[Operação],"JCP")
+ SUMIFS(His_Operacoes_acoes[Total],His_Operacoes_acoes[Fimmes],Patrimônio!B47,His_Operacoes_acoes[Operação],"Divid.")
+ SUMIFS(His_Operacoes_acoes[Total],His_Operacoes_acoes[Fimmes],Patrimônio!B47,His_Operacoes_acoes[Operação],"Bonif.")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43770</v>
      </c>
      <c r="B48" s="7">
        <f t="shared" si="2"/>
        <v>43769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SUMIFS(His_Operacoes_acoes[Total],His_Operacoes_acoes[Fimmes],Patrimônio!B48,His_Operacoes_acoes[Operação],"JCP")
+ SUMIFS(His_Operacoes_acoes[Total],His_Operacoes_acoes[Fimmes],Patrimônio!B48,His_Operacoes_acoes[Operação],"Divid.")
+ SUMIFS(His_Operacoes_acoes[Total],His_Operacoes_acoes[Fimmes],Patrimônio!B48,His_Operacoes_acoes[Operação],"Bonif.")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43800</v>
      </c>
      <c r="B49" s="7">
        <f t="shared" si="2"/>
        <v>43799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SUMIFS(His_Operacoes_acoes[Total],His_Operacoes_acoes[Fimmes],Patrimônio!B49,His_Operacoes_acoes[Operação],"JCP")
+ SUMIFS(His_Operacoes_acoes[Total],His_Operacoes_acoes[Fimmes],Patrimônio!B49,His_Operacoes_acoes[Operação],"Divid.")
+ SUMIFS(His_Operacoes_acoes[Total],His_Operacoes_acoes[Fimmes],Patrimônio!B49,His_Operacoes_acoes[Operação],"Bonif.")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43831</v>
      </c>
      <c r="B50" s="7">
        <f t="shared" si="2"/>
        <v>43830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SUMIFS(His_Operacoes_acoes[Total],His_Operacoes_acoes[Fimmes],Patrimônio!B50,His_Operacoes_acoes[Operação],"JCP")
+ SUMIFS(His_Operacoes_acoes[Total],His_Operacoes_acoes[Fimmes],Patrimônio!B50,His_Operacoes_acoes[Operação],"Divid.")
+ SUMIFS(His_Operacoes_acoes[Total],His_Operacoes_acoes[Fimmes],Patrimônio!B50,His_Operacoes_acoes[Operação],"Bonif.")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43862</v>
      </c>
      <c r="B51" s="7">
        <f t="shared" si="2"/>
        <v>43861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SUMIFS(His_Operacoes_acoes[Total],His_Operacoes_acoes[Fimmes],Patrimônio!B51,His_Operacoes_acoes[Operação],"JCP")
+ SUMIFS(His_Operacoes_acoes[Total],His_Operacoes_acoes[Fimmes],Patrimônio!B51,His_Operacoes_acoes[Operação],"Divid.")
+ SUMIFS(His_Operacoes_acoes[Total],His_Operacoes_acoes[Fimmes],Patrimônio!B51,His_Operacoes_acoes[Operação],"Bonif.")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43891</v>
      </c>
      <c r="B52" s="7">
        <f t="shared" si="2"/>
        <v>43890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SUMIFS(His_Operacoes_acoes[Total],His_Operacoes_acoes[Fimmes],Patrimônio!B52,His_Operacoes_acoes[Operação],"JCP")
+ SUMIFS(His_Operacoes_acoes[Total],His_Operacoes_acoes[Fimmes],Patrimônio!B52,His_Operacoes_acoes[Operação],"Divid.")
+ SUMIFS(His_Operacoes_acoes[Total],His_Operacoes_acoes[Fimmes],Patrimônio!B52,His_Operacoes_acoes[Operação],"Bonif.")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43922</v>
      </c>
      <c r="B53" s="7">
        <f t="shared" si="2"/>
        <v>43921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SUMIFS(His_Operacoes_acoes[Total],His_Operacoes_acoes[Fimmes],Patrimônio!B53,His_Operacoes_acoes[Operação],"JCP")
+ SUMIFS(His_Operacoes_acoes[Total],His_Operacoes_acoes[Fimmes],Patrimônio!B53,His_Operacoes_acoes[Operação],"Divid.")
+ SUMIFS(His_Operacoes_acoes[Total],His_Operacoes_acoes[Fimmes],Patrimônio!B53,His_Operacoes_acoes[Operação],"Bonif.")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43952</v>
      </c>
      <c r="B54" s="7">
        <f t="shared" si="2"/>
        <v>43951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SUMIFS(His_Operacoes_acoes[Total],His_Operacoes_acoes[Fimmes],Patrimônio!B54,His_Operacoes_acoes[Operação],"JCP")
+ SUMIFS(His_Operacoes_acoes[Total],His_Operacoes_acoes[Fimmes],Patrimônio!B54,His_Operacoes_acoes[Operação],"Divid.")
+ SUMIFS(His_Operacoes_acoes[Total],His_Operacoes_acoes[Fimmes],Patrimônio!B54,His_Operacoes_acoes[Operação],"Bonif.")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43983</v>
      </c>
      <c r="B55" s="7">
        <f t="shared" si="2"/>
        <v>43982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SUMIFS(His_Operacoes_acoes[Total],His_Operacoes_acoes[Fimmes],Patrimônio!B55,His_Operacoes_acoes[Operação],"JCP")
+ SUMIFS(His_Operacoes_acoes[Total],His_Operacoes_acoes[Fimmes],Patrimônio!B55,His_Operacoes_acoes[Operação],"Divid.")
+ SUMIFS(His_Operacoes_acoes[Total],His_Operacoes_acoes[Fimmes],Patrimônio!B55,His_Operacoes_acoes[Operação],"Bonif.")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44013</v>
      </c>
      <c r="B56" s="7">
        <f t="shared" si="2"/>
        <v>44012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SUMIFS(His_Operacoes_acoes[Total],His_Operacoes_acoes[Fimmes],Patrimônio!B56,His_Operacoes_acoes[Operação],"JCP")
+ SUMIFS(His_Operacoes_acoes[Total],His_Operacoes_acoes[Fimmes],Patrimônio!B56,His_Operacoes_acoes[Operação],"Divid.")
+ SUMIFS(His_Operacoes_acoes[Total],His_Operacoes_acoes[Fimmes],Patrimônio!B56,His_Operacoes_acoes[Operação],"Bonif.")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44044</v>
      </c>
      <c r="B57" s="7">
        <f t="shared" si="2"/>
        <v>44043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SUMIFS(His_Operacoes_acoes[Total],His_Operacoes_acoes[Fimmes],Patrimônio!B57,His_Operacoes_acoes[Operação],"JCP")
+ SUMIFS(His_Operacoes_acoes[Total],His_Operacoes_acoes[Fimmes],Patrimônio!B57,His_Operacoes_acoes[Operação],"Divid.")
+ SUMIFS(His_Operacoes_acoes[Total],His_Operacoes_acoes[Fimmes],Patrimônio!B57,His_Operacoes_acoes[Operação],"Bonif.")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44075</v>
      </c>
      <c r="B58" s="7">
        <f t="shared" si="2"/>
        <v>44074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SUMIFS(His_Operacoes_acoes[Total],His_Operacoes_acoes[Fimmes],Patrimônio!B58,His_Operacoes_acoes[Operação],"JCP")
+ SUMIFS(His_Operacoes_acoes[Total],His_Operacoes_acoes[Fimmes],Patrimônio!B58,His_Operacoes_acoes[Operação],"Divid.")
+ SUMIFS(His_Operacoes_acoes[Total],His_Operacoes_acoes[Fimmes],Patrimônio!B58,His_Operacoes_acoes[Operação],"Bonif.")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44105</v>
      </c>
      <c r="B59" s="7">
        <f t="shared" si="2"/>
        <v>44104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SUMIFS(His_Operacoes_acoes[Total],His_Operacoes_acoes[Fimmes],Patrimônio!B59,His_Operacoes_acoes[Operação],"JCP")
+ SUMIFS(His_Operacoes_acoes[Total],His_Operacoes_acoes[Fimmes],Patrimônio!B59,His_Operacoes_acoes[Operação],"Divid.")
+ SUMIFS(His_Operacoes_acoes[Total],His_Operacoes_acoes[Fimmes],Patrimônio!B59,His_Operacoes_acoes[Operação],"Bonif.")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44136</v>
      </c>
      <c r="B60" s="7">
        <f t="shared" si="2"/>
        <v>44135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SUMIFS(His_Operacoes_acoes[Total],His_Operacoes_acoes[Fimmes],Patrimônio!B60,His_Operacoes_acoes[Operação],"JCP")
+ SUMIFS(His_Operacoes_acoes[Total],His_Operacoes_acoes[Fimmes],Patrimônio!B60,His_Operacoes_acoes[Operação],"Divid.")
+ SUMIFS(His_Operacoes_acoes[Total],His_Operacoes_acoes[Fimmes],Patrimônio!B60,His_Operacoes_acoes[Operação],"Bonif.")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44166</v>
      </c>
      <c r="B61" s="7">
        <f t="shared" si="2"/>
        <v>44165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SUMIFS(His_Operacoes_acoes[Total],His_Operacoes_acoes[Fimmes],Patrimônio!B61,His_Operacoes_acoes[Operação],"JCP")
+ SUMIFS(His_Operacoes_acoes[Total],His_Operacoes_acoes[Fimmes],Patrimônio!B61,His_Operacoes_acoes[Operação],"Divid.")
+ SUMIFS(His_Operacoes_acoes[Total],His_Operacoes_acoes[Fimmes],Patrimônio!B61,His_Operacoes_acoes[Operação],"Bonif.")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44197</v>
      </c>
      <c r="B62" s="7">
        <f t="shared" si="2"/>
        <v>44196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SUMIFS(His_Operacoes_acoes[Total],His_Operacoes_acoes[Fimmes],Patrimônio!B62,His_Operacoes_acoes[Operação],"JCP")
+ SUMIFS(His_Operacoes_acoes[Total],His_Operacoes_acoes[Fimmes],Patrimônio!B62,His_Operacoes_acoes[Operação],"Divid.")
+ SUMIFS(His_Operacoes_acoes[Total],His_Operacoes_acoes[Fimmes],Patrimônio!B62,His_Operacoes_acoes[Operação],"Bonif.")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44228</v>
      </c>
      <c r="B63" s="7">
        <f t="shared" si="2"/>
        <v>44227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SUMIFS(His_Operacoes_acoes[Total],His_Operacoes_acoes[Fimmes],Patrimônio!B63,His_Operacoes_acoes[Operação],"JCP")
+ SUMIFS(His_Operacoes_acoes[Total],His_Operacoes_acoes[Fimmes],Patrimônio!B63,His_Operacoes_acoes[Operação],"Divid.")
+ SUMIFS(His_Operacoes_acoes[Total],His_Operacoes_acoes[Fimmes],Patrimônio!B63,His_Operacoes_acoes[Operação],"Bonif.")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44256</v>
      </c>
      <c r="B64" s="7">
        <f t="shared" si="2"/>
        <v>44255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SUMIFS(His_Operacoes_acoes[Total],His_Operacoes_acoes[Fimmes],Patrimônio!B64,His_Operacoes_acoes[Operação],"JCP")
+ SUMIFS(His_Operacoes_acoes[Total],His_Operacoes_acoes[Fimmes],Patrimônio!B64,His_Operacoes_acoes[Operação],"Divid.")
+ SUMIFS(His_Operacoes_acoes[Total],His_Operacoes_acoes[Fimmes],Patrimônio!B64,His_Operacoes_acoes[Operação],"Bonif.")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44287</v>
      </c>
      <c r="B65" s="7">
        <f t="shared" si="2"/>
        <v>44286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SUMIFS(His_Operacoes_acoes[Total],His_Operacoes_acoes[Fimmes],Patrimônio!B65,His_Operacoes_acoes[Operação],"JCP")
+ SUMIFS(His_Operacoes_acoes[Total],His_Operacoes_acoes[Fimmes],Patrimônio!B65,His_Operacoes_acoes[Operação],"Divid.")
+ SUMIFS(His_Operacoes_acoes[Total],His_Operacoes_acoes[Fimmes],Patrimônio!B65,His_Operacoes_acoes[Operação],"Bonif.")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44317</v>
      </c>
      <c r="B66" s="7">
        <f t="shared" si="2"/>
        <v>44316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SUMIFS(His_Operacoes_acoes[Total],His_Operacoes_acoes[Fimmes],Patrimônio!B66,His_Operacoes_acoes[Operação],"JCP")
+ SUMIFS(His_Operacoes_acoes[Total],His_Operacoes_acoes[Fimmes],Patrimônio!B66,His_Operacoes_acoes[Operação],"Divid.")
+ SUMIFS(His_Operacoes_acoes[Total],His_Operacoes_acoes[Fimmes],Patrimônio!B66,His_Operacoes_acoes[Operação],"Bonif.")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44348</v>
      </c>
      <c r="B67" s="7">
        <f t="shared" ref="B67:B130" si="7">EOMONTH(A67,-1)</f>
        <v>44347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SUMIFS(His_Operacoes_acoes[Total],His_Operacoes_acoes[Fimmes],Patrimônio!B67,His_Operacoes_acoes[Operação],"JCP")
+ SUMIFS(His_Operacoes_acoes[Total],His_Operacoes_acoes[Fimmes],Patrimônio!B67,His_Operacoes_acoes[Operação],"Divid.")
+ SUMIFS(His_Operacoes_acoes[Total],His_Operacoes_acoes[Fimmes],Patrimônio!B67,His_Operacoes_acoes[Operação],"Bonif.")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44378</v>
      </c>
      <c r="B68" s="7">
        <f t="shared" si="7"/>
        <v>44377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SUMIFS(His_Operacoes_acoes[Total],His_Operacoes_acoes[Fimmes],Patrimônio!B68,His_Operacoes_acoes[Operação],"JCP")
+ SUMIFS(His_Operacoes_acoes[Total],His_Operacoes_acoes[Fimmes],Patrimônio!B68,His_Operacoes_acoes[Operação],"Divid.")
+ SUMIFS(His_Operacoes_acoes[Total],His_Operacoes_acoes[Fimmes],Patrimônio!B68,His_Operacoes_acoes[Operação],"Bonif.")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44409</v>
      </c>
      <c r="B69" s="7">
        <f t="shared" si="7"/>
        <v>44408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SUMIFS(His_Operacoes_acoes[Total],His_Operacoes_acoes[Fimmes],Patrimônio!B69,His_Operacoes_acoes[Operação],"JCP")
+ SUMIFS(His_Operacoes_acoes[Total],His_Operacoes_acoes[Fimmes],Patrimônio!B69,His_Operacoes_acoes[Operação],"Divid.")
+ SUMIFS(His_Operacoes_acoes[Total],His_Operacoes_acoes[Fimmes],Patrimônio!B69,His_Operacoes_acoes[Operação],"Bonif.")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44440</v>
      </c>
      <c r="B70" s="7">
        <f t="shared" si="7"/>
        <v>44439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SUMIFS(His_Operacoes_acoes[Total],His_Operacoes_acoes[Fimmes],Patrimônio!B70,His_Operacoes_acoes[Operação],"JCP")
+ SUMIFS(His_Operacoes_acoes[Total],His_Operacoes_acoes[Fimmes],Patrimônio!B70,His_Operacoes_acoes[Operação],"Divid.")
+ SUMIFS(His_Operacoes_acoes[Total],His_Operacoes_acoes[Fimmes],Patrimônio!B70,His_Operacoes_acoes[Operação],"Bonif.")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44470</v>
      </c>
      <c r="B71" s="7">
        <f t="shared" si="7"/>
        <v>44469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SUMIFS(His_Operacoes_acoes[Total],His_Operacoes_acoes[Fimmes],Patrimônio!B71,His_Operacoes_acoes[Operação],"JCP")
+ SUMIFS(His_Operacoes_acoes[Total],His_Operacoes_acoes[Fimmes],Patrimônio!B71,His_Operacoes_acoes[Operação],"Divid.")
+ SUMIFS(His_Operacoes_acoes[Total],His_Operacoes_acoes[Fimmes],Patrimônio!B71,His_Operacoes_acoes[Operação],"Bonif.")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44501</v>
      </c>
      <c r="B72" s="7">
        <f t="shared" si="7"/>
        <v>44500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SUMIFS(His_Operacoes_acoes[Total],His_Operacoes_acoes[Fimmes],Patrimônio!B72,His_Operacoes_acoes[Operação],"JCP")
+ SUMIFS(His_Operacoes_acoes[Total],His_Operacoes_acoes[Fimmes],Patrimônio!B72,His_Operacoes_acoes[Operação],"Divid.")
+ SUMIFS(His_Operacoes_acoes[Total],His_Operacoes_acoes[Fimmes],Patrimônio!B72,His_Operacoes_acoes[Operação],"Bonif.")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44531</v>
      </c>
      <c r="B73" s="7">
        <f t="shared" si="7"/>
        <v>44530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SUMIFS(His_Operacoes_acoes[Total],His_Operacoes_acoes[Fimmes],Patrimônio!B73,His_Operacoes_acoes[Operação],"JCP")
+ SUMIFS(His_Operacoes_acoes[Total],His_Operacoes_acoes[Fimmes],Patrimônio!B73,His_Operacoes_acoes[Operação],"Divid.")
+ SUMIFS(His_Operacoes_acoes[Total],His_Operacoes_acoes[Fimmes],Patrimônio!B73,His_Operacoes_acoes[Operação],"Bonif.")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44562</v>
      </c>
      <c r="B74" s="7">
        <f t="shared" si="7"/>
        <v>44561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SUMIFS(His_Operacoes_acoes[Total],His_Operacoes_acoes[Fimmes],Patrimônio!B74,His_Operacoes_acoes[Operação],"JCP")
+ SUMIFS(His_Operacoes_acoes[Total],His_Operacoes_acoes[Fimmes],Patrimônio!B74,His_Operacoes_acoes[Operação],"Divid.")
+ SUMIFS(His_Operacoes_acoes[Total],His_Operacoes_acoes[Fimmes],Patrimônio!B74,His_Operacoes_acoes[Operação],"Bonif.")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44593</v>
      </c>
      <c r="B75" s="7">
        <f t="shared" si="7"/>
        <v>44592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SUMIFS(His_Operacoes_acoes[Total],His_Operacoes_acoes[Fimmes],Patrimônio!B75,His_Operacoes_acoes[Operação],"JCP")
+ SUMIFS(His_Operacoes_acoes[Total],His_Operacoes_acoes[Fimmes],Patrimônio!B75,His_Operacoes_acoes[Operação],"Divid.")
+ SUMIFS(His_Operacoes_acoes[Total],His_Operacoes_acoes[Fimmes],Patrimônio!B75,His_Operacoes_acoes[Operação],"Bonif.")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44621</v>
      </c>
      <c r="B76" s="7">
        <f t="shared" si="7"/>
        <v>44620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SUMIFS(His_Operacoes_acoes[Total],His_Operacoes_acoes[Fimmes],Patrimônio!B76,His_Operacoes_acoes[Operação],"JCP")
+ SUMIFS(His_Operacoes_acoes[Total],His_Operacoes_acoes[Fimmes],Patrimônio!B76,His_Operacoes_acoes[Operação],"Divid.")
+ SUMIFS(His_Operacoes_acoes[Total],His_Operacoes_acoes[Fimmes],Patrimônio!B76,His_Operacoes_acoes[Operação],"Bonif.")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44652</v>
      </c>
      <c r="B77" s="7">
        <f t="shared" si="7"/>
        <v>44651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SUMIFS(His_Operacoes_acoes[Total],His_Operacoes_acoes[Fimmes],Patrimônio!B77,His_Operacoes_acoes[Operação],"JCP")
+ SUMIFS(His_Operacoes_acoes[Total],His_Operacoes_acoes[Fimmes],Patrimônio!B77,His_Operacoes_acoes[Operação],"Divid.")
+ SUMIFS(His_Operacoes_acoes[Total],His_Operacoes_acoes[Fimmes],Patrimônio!B77,His_Operacoes_acoes[Operação],"Bonif.")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44682</v>
      </c>
      <c r="B78" s="7">
        <f t="shared" si="7"/>
        <v>44681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SUMIFS(His_Operacoes_acoes[Total],His_Operacoes_acoes[Fimmes],Patrimônio!B78,His_Operacoes_acoes[Operação],"JCP")
+ SUMIFS(His_Operacoes_acoes[Total],His_Operacoes_acoes[Fimmes],Patrimônio!B78,His_Operacoes_acoes[Operação],"Divid.")
+ SUMIFS(His_Operacoes_acoes[Total],His_Operacoes_acoes[Fimmes],Patrimônio!B78,His_Operacoes_acoes[Operação],"Bonif.")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44713</v>
      </c>
      <c r="B79" s="7">
        <f t="shared" si="7"/>
        <v>44712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SUMIFS(His_Operacoes_acoes[Total],His_Operacoes_acoes[Fimmes],Patrimônio!B79,His_Operacoes_acoes[Operação],"JCP")
+ SUMIFS(His_Operacoes_acoes[Total],His_Operacoes_acoes[Fimmes],Patrimônio!B79,His_Operacoes_acoes[Operação],"Divid.")
+ SUMIFS(His_Operacoes_acoes[Total],His_Operacoes_acoes[Fimmes],Patrimônio!B79,His_Operacoes_acoes[Operação],"Bonif.")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44743</v>
      </c>
      <c r="B80" s="7">
        <f t="shared" si="7"/>
        <v>44742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SUMIFS(His_Operacoes_acoes[Total],His_Operacoes_acoes[Fimmes],Patrimônio!B80,His_Operacoes_acoes[Operação],"JCP")
+ SUMIFS(His_Operacoes_acoes[Total],His_Operacoes_acoes[Fimmes],Patrimônio!B80,His_Operacoes_acoes[Operação],"Divid.")
+ SUMIFS(His_Operacoes_acoes[Total],His_Operacoes_acoes[Fimmes],Patrimônio!B80,His_Operacoes_acoes[Operação],"Bonif.")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44774</v>
      </c>
      <c r="B81" s="7">
        <f t="shared" si="7"/>
        <v>44773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SUMIFS(His_Operacoes_acoes[Total],His_Operacoes_acoes[Fimmes],Patrimônio!B81,His_Operacoes_acoes[Operação],"JCP")
+ SUMIFS(His_Operacoes_acoes[Total],His_Operacoes_acoes[Fimmes],Patrimônio!B81,His_Operacoes_acoes[Operação],"Divid.")
+ SUMIFS(His_Operacoes_acoes[Total],His_Operacoes_acoes[Fimmes],Patrimônio!B81,His_Operacoes_acoes[Operação],"Bonif.")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44805</v>
      </c>
      <c r="B82" s="7">
        <f t="shared" si="7"/>
        <v>44804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SUMIFS(His_Operacoes_acoes[Total],His_Operacoes_acoes[Fimmes],Patrimônio!B82,His_Operacoes_acoes[Operação],"JCP")
+ SUMIFS(His_Operacoes_acoes[Total],His_Operacoes_acoes[Fimmes],Patrimônio!B82,His_Operacoes_acoes[Operação],"Divid.")
+ SUMIFS(His_Operacoes_acoes[Total],His_Operacoes_acoes[Fimmes],Patrimônio!B82,His_Operacoes_acoes[Operação],"Bonif.")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44835</v>
      </c>
      <c r="B83" s="7">
        <f t="shared" si="7"/>
        <v>44834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SUMIFS(His_Operacoes_acoes[Total],His_Operacoes_acoes[Fimmes],Patrimônio!B83,His_Operacoes_acoes[Operação],"JCP")
+ SUMIFS(His_Operacoes_acoes[Total],His_Operacoes_acoes[Fimmes],Patrimônio!B83,His_Operacoes_acoes[Operação],"Divid.")
+ SUMIFS(His_Operacoes_acoes[Total],His_Operacoes_acoes[Fimmes],Patrimônio!B83,His_Operacoes_acoes[Operação],"Bonif.")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44866</v>
      </c>
      <c r="B84" s="7">
        <f t="shared" si="7"/>
        <v>44865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SUMIFS(His_Operacoes_acoes[Total],His_Operacoes_acoes[Fimmes],Patrimônio!B84,His_Operacoes_acoes[Operação],"JCP")
+ SUMIFS(His_Operacoes_acoes[Total],His_Operacoes_acoes[Fimmes],Patrimônio!B84,His_Operacoes_acoes[Operação],"Divid.")
+ SUMIFS(His_Operacoes_acoes[Total],His_Operacoes_acoes[Fimmes],Patrimônio!B84,His_Operacoes_acoes[Operação],"Bonif.")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44896</v>
      </c>
      <c r="B85" s="7">
        <f t="shared" si="7"/>
        <v>44895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SUMIFS(His_Operacoes_acoes[Total],His_Operacoes_acoes[Fimmes],Patrimônio!B85,His_Operacoes_acoes[Operação],"JCP")
+ SUMIFS(His_Operacoes_acoes[Total],His_Operacoes_acoes[Fimmes],Patrimônio!B85,His_Operacoes_acoes[Operação],"Divid.")
+ SUMIFS(His_Operacoes_acoes[Total],His_Operacoes_acoes[Fimmes],Patrimônio!B85,His_Operacoes_acoes[Operação],"Bonif.")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44927</v>
      </c>
      <c r="B86" s="7">
        <f t="shared" si="7"/>
        <v>44926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SUMIFS(His_Operacoes_acoes[Total],His_Operacoes_acoes[Fimmes],Patrimônio!B86,His_Operacoes_acoes[Operação],"JCP")
+ SUMIFS(His_Operacoes_acoes[Total],His_Operacoes_acoes[Fimmes],Patrimônio!B86,His_Operacoes_acoes[Operação],"Divid.")
+ SUMIFS(His_Operacoes_acoes[Total],His_Operacoes_acoes[Fimmes],Patrimônio!B86,His_Operacoes_acoes[Operação],"Bonif.")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44958</v>
      </c>
      <c r="B87" s="7">
        <f t="shared" si="7"/>
        <v>44957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SUMIFS(His_Operacoes_acoes[Total],His_Operacoes_acoes[Fimmes],Patrimônio!B87,His_Operacoes_acoes[Operação],"JCP")
+ SUMIFS(His_Operacoes_acoes[Total],His_Operacoes_acoes[Fimmes],Patrimônio!B87,His_Operacoes_acoes[Operação],"Divid.")
+ SUMIFS(His_Operacoes_acoes[Total],His_Operacoes_acoes[Fimmes],Patrimônio!B87,His_Operacoes_acoes[Operação],"Bonif.")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44986</v>
      </c>
      <c r="B88" s="7">
        <f t="shared" si="7"/>
        <v>44985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SUMIFS(His_Operacoes_acoes[Total],His_Operacoes_acoes[Fimmes],Patrimônio!B88,His_Operacoes_acoes[Operação],"JCP")
+ SUMIFS(His_Operacoes_acoes[Total],His_Operacoes_acoes[Fimmes],Patrimônio!B88,His_Operacoes_acoes[Operação],"Divid.")
+ SUMIFS(His_Operacoes_acoes[Total],His_Operacoes_acoes[Fimmes],Patrimônio!B88,His_Operacoes_acoes[Operação],"Bonif.")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45017</v>
      </c>
      <c r="B89" s="7">
        <f t="shared" si="7"/>
        <v>45016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SUMIFS(His_Operacoes_acoes[Total],His_Operacoes_acoes[Fimmes],Patrimônio!B89,His_Operacoes_acoes[Operação],"JCP")
+ SUMIFS(His_Operacoes_acoes[Total],His_Operacoes_acoes[Fimmes],Patrimônio!B89,His_Operacoes_acoes[Operação],"Divid.")
+ SUMIFS(His_Operacoes_acoes[Total],His_Operacoes_acoes[Fimmes],Patrimônio!B89,His_Operacoes_acoes[Operação],"Bonif.")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45047</v>
      </c>
      <c r="B90" s="7">
        <f t="shared" si="7"/>
        <v>45046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SUMIFS(His_Operacoes_acoes[Total],His_Operacoes_acoes[Fimmes],Patrimônio!B90,His_Operacoes_acoes[Operação],"JCP")
+ SUMIFS(His_Operacoes_acoes[Total],His_Operacoes_acoes[Fimmes],Patrimônio!B90,His_Operacoes_acoes[Operação],"Divid.")
+ SUMIFS(His_Operacoes_acoes[Total],His_Operacoes_acoes[Fimmes],Patrimônio!B90,His_Operacoes_acoes[Operação],"Bonif.")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45078</v>
      </c>
      <c r="B91" s="7">
        <f t="shared" si="7"/>
        <v>45077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SUMIFS(His_Operacoes_acoes[Total],His_Operacoes_acoes[Fimmes],Patrimônio!B91,His_Operacoes_acoes[Operação],"JCP")
+ SUMIFS(His_Operacoes_acoes[Total],His_Operacoes_acoes[Fimmes],Patrimônio!B91,His_Operacoes_acoes[Operação],"Divid.")
+ SUMIFS(His_Operacoes_acoes[Total],His_Operacoes_acoes[Fimmes],Patrimônio!B91,His_Operacoes_acoes[Operação],"Bonif.")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45108</v>
      </c>
      <c r="B92" s="7">
        <f t="shared" si="7"/>
        <v>45107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SUMIFS(His_Operacoes_acoes[Total],His_Operacoes_acoes[Fimmes],Patrimônio!B92,His_Operacoes_acoes[Operação],"JCP")
+ SUMIFS(His_Operacoes_acoes[Total],His_Operacoes_acoes[Fimmes],Patrimônio!B92,His_Operacoes_acoes[Operação],"Divid.")
+ SUMIFS(His_Operacoes_acoes[Total],His_Operacoes_acoes[Fimmes],Patrimônio!B92,His_Operacoes_acoes[Operação],"Bonif.")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45139</v>
      </c>
      <c r="B93" s="7">
        <f t="shared" si="7"/>
        <v>45138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SUMIFS(His_Operacoes_acoes[Total],His_Operacoes_acoes[Fimmes],Patrimônio!B93,His_Operacoes_acoes[Operação],"JCP")
+ SUMIFS(His_Operacoes_acoes[Total],His_Operacoes_acoes[Fimmes],Patrimônio!B93,His_Operacoes_acoes[Operação],"Divid.")
+ SUMIFS(His_Operacoes_acoes[Total],His_Operacoes_acoes[Fimmes],Patrimônio!B93,His_Operacoes_acoes[Operação],"Bonif.")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45170</v>
      </c>
      <c r="B94" s="7">
        <f t="shared" si="7"/>
        <v>45169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SUMIFS(His_Operacoes_acoes[Total],His_Operacoes_acoes[Fimmes],Patrimônio!B94,His_Operacoes_acoes[Operação],"JCP")
+ SUMIFS(His_Operacoes_acoes[Total],His_Operacoes_acoes[Fimmes],Patrimônio!B94,His_Operacoes_acoes[Operação],"Divid.")
+ SUMIFS(His_Operacoes_acoes[Total],His_Operacoes_acoes[Fimmes],Patrimônio!B94,His_Operacoes_acoes[Operação],"Bonif.")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45200</v>
      </c>
      <c r="B95" s="7">
        <f t="shared" si="7"/>
        <v>45199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SUMIFS(His_Operacoes_acoes[Total],His_Operacoes_acoes[Fimmes],Patrimônio!B95,His_Operacoes_acoes[Operação],"JCP")
+ SUMIFS(His_Operacoes_acoes[Total],His_Operacoes_acoes[Fimmes],Patrimônio!B95,His_Operacoes_acoes[Operação],"Divid.")
+ SUMIFS(His_Operacoes_acoes[Total],His_Operacoes_acoes[Fimmes],Patrimônio!B95,His_Operacoes_acoes[Operação],"Bonif.")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45231</v>
      </c>
      <c r="B96" s="7">
        <f t="shared" si="7"/>
        <v>45230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SUMIFS(His_Operacoes_acoes[Total],His_Operacoes_acoes[Fimmes],Patrimônio!B96,His_Operacoes_acoes[Operação],"JCP")
+ SUMIFS(His_Operacoes_acoes[Total],His_Operacoes_acoes[Fimmes],Patrimônio!B96,His_Operacoes_acoes[Operação],"Divid.")
+ SUMIFS(His_Operacoes_acoes[Total],His_Operacoes_acoes[Fimmes],Patrimônio!B96,His_Operacoes_acoes[Operação],"Bonif.")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45261</v>
      </c>
      <c r="B97" s="7">
        <f t="shared" si="7"/>
        <v>45260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SUMIFS(His_Operacoes_acoes[Total],His_Operacoes_acoes[Fimmes],Patrimônio!B97,His_Operacoes_acoes[Operação],"JCP")
+ SUMIFS(His_Operacoes_acoes[Total],His_Operacoes_acoes[Fimmes],Patrimônio!B97,His_Operacoes_acoes[Operação],"Divid.")
+ SUMIFS(His_Operacoes_acoes[Total],His_Operacoes_acoes[Fimmes],Patrimônio!B97,His_Operacoes_acoes[Operação],"Bonif.")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45292</v>
      </c>
      <c r="B98" s="7">
        <f t="shared" si="7"/>
        <v>45291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SUMIFS(His_Operacoes_acoes[Total],His_Operacoes_acoes[Fimmes],Patrimônio!B98,His_Operacoes_acoes[Operação],"JCP")
+ SUMIFS(His_Operacoes_acoes[Total],His_Operacoes_acoes[Fimmes],Patrimônio!B98,His_Operacoes_acoes[Operação],"Divid.")
+ SUMIFS(His_Operacoes_acoes[Total],His_Operacoes_acoes[Fimmes],Patrimônio!B98,His_Operacoes_acoes[Operação],"Bonif.")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45323</v>
      </c>
      <c r="B99" s="7">
        <f t="shared" si="7"/>
        <v>45322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SUMIFS(His_Operacoes_acoes[Total],His_Operacoes_acoes[Fimmes],Patrimônio!B99,His_Operacoes_acoes[Operação],"JCP")
+ SUMIFS(His_Operacoes_acoes[Total],His_Operacoes_acoes[Fimmes],Patrimônio!B99,His_Operacoes_acoes[Operação],"Divid.")
+ SUMIFS(His_Operacoes_acoes[Total],His_Operacoes_acoes[Fimmes],Patrimônio!B99,His_Operacoes_acoes[Operação],"Bonif.")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45352</v>
      </c>
      <c r="B100" s="7">
        <f t="shared" si="7"/>
        <v>45351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SUMIFS(His_Operacoes_acoes[Total],His_Operacoes_acoes[Fimmes],Patrimônio!B100,His_Operacoes_acoes[Operação],"JCP")
+ SUMIFS(His_Operacoes_acoes[Total],His_Operacoes_acoes[Fimmes],Patrimônio!B100,His_Operacoes_acoes[Operação],"Divid.")
+ SUMIFS(His_Operacoes_acoes[Total],His_Operacoes_acoes[Fimmes],Patrimônio!B100,His_Operacoes_acoes[Operação],"Bonif.")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45383</v>
      </c>
      <c r="B101" s="7">
        <f t="shared" si="7"/>
        <v>45382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SUMIFS(His_Operacoes_acoes[Total],His_Operacoes_acoes[Fimmes],Patrimônio!B101,His_Operacoes_acoes[Operação],"JCP")
+ SUMIFS(His_Operacoes_acoes[Total],His_Operacoes_acoes[Fimmes],Patrimônio!B101,His_Operacoes_acoes[Operação],"Divid.")
+ SUMIFS(His_Operacoes_acoes[Total],His_Operacoes_acoes[Fimmes],Patrimônio!B101,His_Operacoes_acoes[Operação],"Bonif.")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45413</v>
      </c>
      <c r="B102" s="7">
        <f t="shared" si="7"/>
        <v>45412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SUMIFS(His_Operacoes_acoes[Total],His_Operacoes_acoes[Fimmes],Patrimônio!B102,His_Operacoes_acoes[Operação],"JCP")
+ SUMIFS(His_Operacoes_acoes[Total],His_Operacoes_acoes[Fimmes],Patrimônio!B102,His_Operacoes_acoes[Operação],"Divid.")
+ SUMIFS(His_Operacoes_acoes[Total],His_Operacoes_acoes[Fimmes],Patrimônio!B102,His_Operacoes_acoes[Operação],"Bonif.")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45444</v>
      </c>
      <c r="B103" s="7">
        <f t="shared" si="7"/>
        <v>45443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SUMIFS(His_Operacoes_acoes[Total],His_Operacoes_acoes[Fimmes],Patrimônio!B103,His_Operacoes_acoes[Operação],"JCP")
+ SUMIFS(His_Operacoes_acoes[Total],His_Operacoes_acoes[Fimmes],Patrimônio!B103,His_Operacoes_acoes[Operação],"Divid.")
+ SUMIFS(His_Operacoes_acoes[Total],His_Operacoes_acoes[Fimmes],Patrimônio!B103,His_Operacoes_acoes[Operação],"Bonif.")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45474</v>
      </c>
      <c r="B104" s="7">
        <f t="shared" si="7"/>
        <v>45473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SUMIFS(His_Operacoes_acoes[Total],His_Operacoes_acoes[Fimmes],Patrimônio!B104,His_Operacoes_acoes[Operação],"JCP")
+ SUMIFS(His_Operacoes_acoes[Total],His_Operacoes_acoes[Fimmes],Patrimônio!B104,His_Operacoes_acoes[Operação],"Divid.")
+ SUMIFS(His_Operacoes_acoes[Total],His_Operacoes_acoes[Fimmes],Patrimônio!B104,His_Operacoes_acoes[Operação],"Bonif.")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45505</v>
      </c>
      <c r="B105" s="7">
        <f t="shared" si="7"/>
        <v>45504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SUMIFS(His_Operacoes_acoes[Total],His_Operacoes_acoes[Fimmes],Patrimônio!B105,His_Operacoes_acoes[Operação],"JCP")
+ SUMIFS(His_Operacoes_acoes[Total],His_Operacoes_acoes[Fimmes],Patrimônio!B105,His_Operacoes_acoes[Operação],"Divid.")
+ SUMIFS(His_Operacoes_acoes[Total],His_Operacoes_acoes[Fimmes],Patrimônio!B105,His_Operacoes_acoes[Operação],"Bonif.")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45536</v>
      </c>
      <c r="B106" s="7">
        <f t="shared" si="7"/>
        <v>45535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SUMIFS(His_Operacoes_acoes[Total],His_Operacoes_acoes[Fimmes],Patrimônio!B106,His_Operacoes_acoes[Operação],"JCP")
+ SUMIFS(His_Operacoes_acoes[Total],His_Operacoes_acoes[Fimmes],Patrimônio!B106,His_Operacoes_acoes[Operação],"Divid.")
+ SUMIFS(His_Operacoes_acoes[Total],His_Operacoes_acoes[Fimmes],Patrimônio!B106,His_Operacoes_acoes[Operação],"Bonif.")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45566</v>
      </c>
      <c r="B107" s="7">
        <f t="shared" si="7"/>
        <v>45565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SUMIFS(His_Operacoes_acoes[Total],His_Operacoes_acoes[Fimmes],Patrimônio!B107,His_Operacoes_acoes[Operação],"JCP")
+ SUMIFS(His_Operacoes_acoes[Total],His_Operacoes_acoes[Fimmes],Patrimônio!B107,His_Operacoes_acoes[Operação],"Divid.")
+ SUMIFS(His_Operacoes_acoes[Total],His_Operacoes_acoes[Fimmes],Patrimônio!B107,His_Operacoes_acoes[Operação],"Bonif.")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45597</v>
      </c>
      <c r="B108" s="7">
        <f t="shared" si="7"/>
        <v>45596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SUMIFS(His_Operacoes_acoes[Total],His_Operacoes_acoes[Fimmes],Patrimônio!B108,His_Operacoes_acoes[Operação],"JCP")
+ SUMIFS(His_Operacoes_acoes[Total],His_Operacoes_acoes[Fimmes],Patrimônio!B108,His_Operacoes_acoes[Operação],"Divid.")
+ SUMIFS(His_Operacoes_acoes[Total],His_Operacoes_acoes[Fimmes],Patrimônio!B108,His_Operacoes_acoes[Operação],"Bonif.")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45627</v>
      </c>
      <c r="B109" s="7">
        <f t="shared" si="7"/>
        <v>45626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SUMIFS(His_Operacoes_acoes[Total],His_Operacoes_acoes[Fimmes],Patrimônio!B109,His_Operacoes_acoes[Operação],"JCP")
+ SUMIFS(His_Operacoes_acoes[Total],His_Operacoes_acoes[Fimmes],Patrimônio!B109,His_Operacoes_acoes[Operação],"Divid.")
+ SUMIFS(His_Operacoes_acoes[Total],His_Operacoes_acoes[Fimmes],Patrimônio!B109,His_Operacoes_acoes[Operação],"Bonif.")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45658</v>
      </c>
      <c r="B110" s="7">
        <f t="shared" si="7"/>
        <v>45657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SUMIFS(His_Operacoes_acoes[Total],His_Operacoes_acoes[Fimmes],Patrimônio!B110,His_Operacoes_acoes[Operação],"JCP")
+ SUMIFS(His_Operacoes_acoes[Total],His_Operacoes_acoes[Fimmes],Patrimônio!B110,His_Operacoes_acoes[Operação],"Divid.")
+ SUMIFS(His_Operacoes_acoes[Total],His_Operacoes_acoes[Fimmes],Patrimônio!B110,His_Operacoes_acoes[Operação],"Bonif.")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45689</v>
      </c>
      <c r="B111" s="7">
        <f t="shared" si="7"/>
        <v>45688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SUMIFS(His_Operacoes_acoes[Total],His_Operacoes_acoes[Fimmes],Patrimônio!B111,His_Operacoes_acoes[Operação],"JCP")
+ SUMIFS(His_Operacoes_acoes[Total],His_Operacoes_acoes[Fimmes],Patrimônio!B111,His_Operacoes_acoes[Operação],"Divid.")
+ SUMIFS(His_Operacoes_acoes[Total],His_Operacoes_acoes[Fimmes],Patrimônio!B111,His_Operacoes_acoes[Operação],"Bonif.")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45717</v>
      </c>
      <c r="B112" s="7">
        <f t="shared" si="7"/>
        <v>45716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SUMIFS(His_Operacoes_acoes[Total],His_Operacoes_acoes[Fimmes],Patrimônio!B112,His_Operacoes_acoes[Operação],"JCP")
+ SUMIFS(His_Operacoes_acoes[Total],His_Operacoes_acoes[Fimmes],Patrimônio!B112,His_Operacoes_acoes[Operação],"Divid.")
+ SUMIFS(His_Operacoes_acoes[Total],His_Operacoes_acoes[Fimmes],Patrimônio!B112,His_Operacoes_acoes[Operação],"Bonif.")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45748</v>
      </c>
      <c r="B113" s="7">
        <f t="shared" si="7"/>
        <v>45747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SUMIFS(His_Operacoes_acoes[Total],His_Operacoes_acoes[Fimmes],Patrimônio!B113,His_Operacoes_acoes[Operação],"JCP")
+ SUMIFS(His_Operacoes_acoes[Total],His_Operacoes_acoes[Fimmes],Patrimônio!B113,His_Operacoes_acoes[Operação],"Divid.")
+ SUMIFS(His_Operacoes_acoes[Total],His_Operacoes_acoes[Fimmes],Patrimônio!B113,His_Operacoes_acoes[Operação],"Bonif.")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45778</v>
      </c>
      <c r="B114" s="7">
        <f t="shared" si="7"/>
        <v>45777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SUMIFS(His_Operacoes_acoes[Total],His_Operacoes_acoes[Fimmes],Patrimônio!B114,His_Operacoes_acoes[Operação],"JCP")
+ SUMIFS(His_Operacoes_acoes[Total],His_Operacoes_acoes[Fimmes],Patrimônio!B114,His_Operacoes_acoes[Operação],"Divid.")
+ SUMIFS(His_Operacoes_acoes[Total],His_Operacoes_acoes[Fimmes],Patrimônio!B114,His_Operacoes_acoes[Operação],"Bonif.")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45809</v>
      </c>
      <c r="B115" s="7">
        <f t="shared" si="7"/>
        <v>45808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SUMIFS(His_Operacoes_acoes[Total],His_Operacoes_acoes[Fimmes],Patrimônio!B115,His_Operacoes_acoes[Operação],"JCP")
+ SUMIFS(His_Operacoes_acoes[Total],His_Operacoes_acoes[Fimmes],Patrimônio!B115,His_Operacoes_acoes[Operação],"Divid.")
+ SUMIFS(His_Operacoes_acoes[Total],His_Operacoes_acoes[Fimmes],Patrimônio!B115,His_Operacoes_acoes[Operação],"Bonif.")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45839</v>
      </c>
      <c r="B116" s="7">
        <f t="shared" si="7"/>
        <v>45838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SUMIFS(His_Operacoes_acoes[Total],His_Operacoes_acoes[Fimmes],Patrimônio!B116,His_Operacoes_acoes[Operação],"JCP")
+ SUMIFS(His_Operacoes_acoes[Total],His_Operacoes_acoes[Fimmes],Patrimônio!B116,His_Operacoes_acoes[Operação],"Divid.")
+ SUMIFS(His_Operacoes_acoes[Total],His_Operacoes_acoes[Fimmes],Patrimônio!B116,His_Operacoes_acoes[Operação],"Bonif.")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45870</v>
      </c>
      <c r="B117" s="7">
        <f t="shared" si="7"/>
        <v>45869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SUMIFS(His_Operacoes_acoes[Total],His_Operacoes_acoes[Fimmes],Patrimônio!B117,His_Operacoes_acoes[Operação],"JCP")
+ SUMIFS(His_Operacoes_acoes[Total],His_Operacoes_acoes[Fimmes],Patrimônio!B117,His_Operacoes_acoes[Operação],"Divid.")
+ SUMIFS(His_Operacoes_acoes[Total],His_Operacoes_acoes[Fimmes],Patrimônio!B117,His_Operacoes_acoes[Operação],"Bonif.")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45901</v>
      </c>
      <c r="B118" s="7">
        <f t="shared" si="7"/>
        <v>45900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SUMIFS(His_Operacoes_acoes[Total],His_Operacoes_acoes[Fimmes],Patrimônio!B118,His_Operacoes_acoes[Operação],"JCP")
+ SUMIFS(His_Operacoes_acoes[Total],His_Operacoes_acoes[Fimmes],Patrimônio!B118,His_Operacoes_acoes[Operação],"Divid.")
+ SUMIFS(His_Operacoes_acoes[Total],His_Operacoes_acoes[Fimmes],Patrimônio!B118,His_Operacoes_acoes[Operação],"Bonif.")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45931</v>
      </c>
      <c r="B119" s="7">
        <f t="shared" si="7"/>
        <v>45930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SUMIFS(His_Operacoes_acoes[Total],His_Operacoes_acoes[Fimmes],Patrimônio!B119,His_Operacoes_acoes[Operação],"JCP")
+ SUMIFS(His_Operacoes_acoes[Total],His_Operacoes_acoes[Fimmes],Patrimônio!B119,His_Operacoes_acoes[Operação],"Divid.")
+ SUMIFS(His_Operacoes_acoes[Total],His_Operacoes_acoes[Fimmes],Patrimônio!B119,His_Operacoes_acoes[Operação],"Bonif.")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45962</v>
      </c>
      <c r="B120" s="7">
        <f t="shared" si="7"/>
        <v>45961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SUMIFS(His_Operacoes_acoes[Total],His_Operacoes_acoes[Fimmes],Patrimônio!B120,His_Operacoes_acoes[Operação],"JCP")
+ SUMIFS(His_Operacoes_acoes[Total],His_Operacoes_acoes[Fimmes],Patrimônio!B120,His_Operacoes_acoes[Operação],"Divid.")
+ SUMIFS(His_Operacoes_acoes[Total],His_Operacoes_acoes[Fimmes],Patrimônio!B120,His_Operacoes_acoes[Operação],"Bonif.")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45992</v>
      </c>
      <c r="B121" s="7">
        <f t="shared" si="7"/>
        <v>45991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SUMIFS(His_Operacoes_acoes[Total],His_Operacoes_acoes[Fimmes],Patrimônio!B121,His_Operacoes_acoes[Operação],"JCP")
+ SUMIFS(His_Operacoes_acoes[Total],His_Operacoes_acoes[Fimmes],Patrimônio!B121,His_Operacoes_acoes[Operação],"Divid.")
+ SUMIFS(His_Operacoes_acoes[Total],His_Operacoes_acoes[Fimmes],Patrimônio!B121,His_Operacoes_acoes[Operação],"Bonif.")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46023</v>
      </c>
      <c r="B122" s="7">
        <f t="shared" si="7"/>
        <v>46022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SUMIFS(His_Operacoes_acoes[Total],His_Operacoes_acoes[Fimmes],Patrimônio!B122,His_Operacoes_acoes[Operação],"JCP")
+ SUMIFS(His_Operacoes_acoes[Total],His_Operacoes_acoes[Fimmes],Patrimônio!B122,His_Operacoes_acoes[Operação],"Divid.")
+ SUMIFS(His_Operacoes_acoes[Total],His_Operacoes_acoes[Fimmes],Patrimônio!B122,His_Operacoes_acoes[Operação],"Bonif.")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46054</v>
      </c>
      <c r="B123" s="7">
        <f t="shared" si="7"/>
        <v>46053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SUMIFS(His_Operacoes_acoes[Total],His_Operacoes_acoes[Fimmes],Patrimônio!B123,His_Operacoes_acoes[Operação],"JCP")
+ SUMIFS(His_Operacoes_acoes[Total],His_Operacoes_acoes[Fimmes],Patrimônio!B123,His_Operacoes_acoes[Operação],"Divid.")
+ SUMIFS(His_Operacoes_acoes[Total],His_Operacoes_acoes[Fimmes],Patrimônio!B123,His_Operacoes_acoes[Operação],"Bonif.")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46082</v>
      </c>
      <c r="B124" s="7">
        <f t="shared" si="7"/>
        <v>46081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SUMIFS(His_Operacoes_acoes[Total],His_Operacoes_acoes[Fimmes],Patrimônio!B124,His_Operacoes_acoes[Operação],"JCP")
+ SUMIFS(His_Operacoes_acoes[Total],His_Operacoes_acoes[Fimmes],Patrimônio!B124,His_Operacoes_acoes[Operação],"Divid.")
+ SUMIFS(His_Operacoes_acoes[Total],His_Operacoes_acoes[Fimmes],Patrimônio!B124,His_Operacoes_acoes[Operação],"Bonif.")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46113</v>
      </c>
      <c r="B125" s="7">
        <f t="shared" si="7"/>
        <v>46112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SUMIFS(His_Operacoes_acoes[Total],His_Operacoes_acoes[Fimmes],Patrimônio!B125,His_Operacoes_acoes[Operação],"JCP")
+ SUMIFS(His_Operacoes_acoes[Total],His_Operacoes_acoes[Fimmes],Patrimônio!B125,His_Operacoes_acoes[Operação],"Divid.")
+ SUMIFS(His_Operacoes_acoes[Total],His_Operacoes_acoes[Fimmes],Patrimônio!B125,His_Operacoes_acoes[Operação],"Bonif.")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46143</v>
      </c>
      <c r="B126" s="7">
        <f t="shared" si="7"/>
        <v>46142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SUMIFS(His_Operacoes_acoes[Total],His_Operacoes_acoes[Fimmes],Patrimônio!B126,His_Operacoes_acoes[Operação],"JCP")
+ SUMIFS(His_Operacoes_acoes[Total],His_Operacoes_acoes[Fimmes],Patrimônio!B126,His_Operacoes_acoes[Operação],"Divid.")
+ SUMIFS(His_Operacoes_acoes[Total],His_Operacoes_acoes[Fimmes],Patrimônio!B126,His_Operacoes_acoes[Operação],"Bonif.")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46174</v>
      </c>
      <c r="B127" s="7">
        <f t="shared" si="7"/>
        <v>46173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SUMIFS(His_Operacoes_acoes[Total],His_Operacoes_acoes[Fimmes],Patrimônio!B127,His_Operacoes_acoes[Operação],"JCP")
+ SUMIFS(His_Operacoes_acoes[Total],His_Operacoes_acoes[Fimmes],Patrimônio!B127,His_Operacoes_acoes[Operação],"Divid.")
+ SUMIFS(His_Operacoes_acoes[Total],His_Operacoes_acoes[Fimmes],Patrimônio!B127,His_Operacoes_acoes[Operação],"Bonif.")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46204</v>
      </c>
      <c r="B128" s="7">
        <f t="shared" si="7"/>
        <v>46203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SUMIFS(His_Operacoes_acoes[Total],His_Operacoes_acoes[Fimmes],Patrimônio!B128,His_Operacoes_acoes[Operação],"JCP")
+ SUMIFS(His_Operacoes_acoes[Total],His_Operacoes_acoes[Fimmes],Patrimônio!B128,His_Operacoes_acoes[Operação],"Divid.")
+ SUMIFS(His_Operacoes_acoes[Total],His_Operacoes_acoes[Fimmes],Patrimônio!B128,His_Operacoes_acoes[Operação],"Bonif.")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46235</v>
      </c>
      <c r="B129" s="7">
        <f t="shared" si="7"/>
        <v>46234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SUMIFS(His_Operacoes_acoes[Total],His_Operacoes_acoes[Fimmes],Patrimônio!B129,His_Operacoes_acoes[Operação],"JCP")
+ SUMIFS(His_Operacoes_acoes[Total],His_Operacoes_acoes[Fimmes],Patrimônio!B129,His_Operacoes_acoes[Operação],"Divid.")
+ SUMIFS(His_Operacoes_acoes[Total],His_Operacoes_acoes[Fimmes],Patrimônio!B129,His_Operacoes_acoes[Operação],"Bonif.")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46266</v>
      </c>
      <c r="B130" s="7">
        <f t="shared" si="7"/>
        <v>46265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SUMIFS(His_Operacoes_acoes[Total],His_Operacoes_acoes[Fimmes],Patrimônio!B130,His_Operacoes_acoes[Operação],"JCP")
+ SUMIFS(His_Operacoes_acoes[Total],His_Operacoes_acoes[Fimmes],Patrimônio!B130,His_Operacoes_acoes[Operação],"Divid.")
+ SUMIFS(His_Operacoes_acoes[Total],His_Operacoes_acoes[Fimmes],Patrimônio!B130,His_Operacoes_acoes[Operação],"Bonif.")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46296</v>
      </c>
      <c r="B131" s="7">
        <f t="shared" ref="B131:B194" si="11">EOMONTH(A131,-1)</f>
        <v>46295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SUMIFS(His_Operacoes_acoes[Total],His_Operacoes_acoes[Fimmes],Patrimônio!B131,His_Operacoes_acoes[Operação],"JCP")
+ SUMIFS(His_Operacoes_acoes[Total],His_Operacoes_acoes[Fimmes],Patrimônio!B131,His_Operacoes_acoes[Operação],"Divid.")
+ SUMIFS(His_Operacoes_acoes[Total],His_Operacoes_acoes[Fimmes],Patrimônio!B131,His_Operacoes_acoes[Operação],"Bonif.")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46327</v>
      </c>
      <c r="B132" s="7">
        <f t="shared" si="11"/>
        <v>46326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SUMIFS(His_Operacoes_acoes[Total],His_Operacoes_acoes[Fimmes],Patrimônio!B132,His_Operacoes_acoes[Operação],"JCP")
+ SUMIFS(His_Operacoes_acoes[Total],His_Operacoes_acoes[Fimmes],Patrimônio!B132,His_Operacoes_acoes[Operação],"Divid.")
+ SUMIFS(His_Operacoes_acoes[Total],His_Operacoes_acoes[Fimmes],Patrimônio!B132,His_Operacoes_acoes[Operação],"Bonif.")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46357</v>
      </c>
      <c r="B133" s="7">
        <f t="shared" si="11"/>
        <v>46356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SUMIFS(His_Operacoes_acoes[Total],His_Operacoes_acoes[Fimmes],Patrimônio!B133,His_Operacoes_acoes[Operação],"JCP")
+ SUMIFS(His_Operacoes_acoes[Total],His_Operacoes_acoes[Fimmes],Patrimônio!B133,His_Operacoes_acoes[Operação],"Divid.")
+ SUMIFS(His_Operacoes_acoes[Total],His_Operacoes_acoes[Fimmes],Patrimônio!B133,His_Operacoes_acoes[Operação],"Bonif.")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46388</v>
      </c>
      <c r="B134" s="7">
        <f t="shared" si="11"/>
        <v>46387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SUMIFS(His_Operacoes_acoes[Total],His_Operacoes_acoes[Fimmes],Patrimônio!B134,His_Operacoes_acoes[Operação],"JCP")
+ SUMIFS(His_Operacoes_acoes[Total],His_Operacoes_acoes[Fimmes],Patrimônio!B134,His_Operacoes_acoes[Operação],"Divid.")
+ SUMIFS(His_Operacoes_acoes[Total],His_Operacoes_acoes[Fimmes],Patrimônio!B134,His_Operacoes_acoes[Operação],"Bonif.")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46419</v>
      </c>
      <c r="B135" s="7">
        <f t="shared" si="11"/>
        <v>46418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SUMIFS(His_Operacoes_acoes[Total],His_Operacoes_acoes[Fimmes],Patrimônio!B135,His_Operacoes_acoes[Operação],"JCP")
+ SUMIFS(His_Operacoes_acoes[Total],His_Operacoes_acoes[Fimmes],Patrimônio!B135,His_Operacoes_acoes[Operação],"Divid.")
+ SUMIFS(His_Operacoes_acoes[Total],His_Operacoes_acoes[Fimmes],Patrimônio!B135,His_Operacoes_acoes[Operação],"Bonif.")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46447</v>
      </c>
      <c r="B136" s="7">
        <f t="shared" si="11"/>
        <v>46446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SUMIFS(His_Operacoes_acoes[Total],His_Operacoes_acoes[Fimmes],Patrimônio!B136,His_Operacoes_acoes[Operação],"JCP")
+ SUMIFS(His_Operacoes_acoes[Total],His_Operacoes_acoes[Fimmes],Patrimônio!B136,His_Operacoes_acoes[Operação],"Divid.")
+ SUMIFS(His_Operacoes_acoes[Total],His_Operacoes_acoes[Fimmes],Patrimônio!B136,His_Operacoes_acoes[Operação],"Bonif.")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46478</v>
      </c>
      <c r="B137" s="7">
        <f t="shared" si="11"/>
        <v>46477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SUMIFS(His_Operacoes_acoes[Total],His_Operacoes_acoes[Fimmes],Patrimônio!B137,His_Operacoes_acoes[Operação],"JCP")
+ SUMIFS(His_Operacoes_acoes[Total],His_Operacoes_acoes[Fimmes],Patrimônio!B137,His_Operacoes_acoes[Operação],"Divid.")
+ SUMIFS(His_Operacoes_acoes[Total],His_Operacoes_acoes[Fimmes],Patrimônio!B137,His_Operacoes_acoes[Operação],"Bonif.")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46508</v>
      </c>
      <c r="B138" s="7">
        <f t="shared" si="11"/>
        <v>46507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SUMIFS(His_Operacoes_acoes[Total],His_Operacoes_acoes[Fimmes],Patrimônio!B138,His_Operacoes_acoes[Operação],"JCP")
+ SUMIFS(His_Operacoes_acoes[Total],His_Operacoes_acoes[Fimmes],Patrimônio!B138,His_Operacoes_acoes[Operação],"Divid.")
+ SUMIFS(His_Operacoes_acoes[Total],His_Operacoes_acoes[Fimmes],Patrimônio!B138,His_Operacoes_acoes[Operação],"Bonif.")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46539</v>
      </c>
      <c r="B139" s="7">
        <f t="shared" si="11"/>
        <v>46538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SUMIFS(His_Operacoes_acoes[Total],His_Operacoes_acoes[Fimmes],Patrimônio!B139,His_Operacoes_acoes[Operação],"JCP")
+ SUMIFS(His_Operacoes_acoes[Total],His_Operacoes_acoes[Fimmes],Patrimônio!B139,His_Operacoes_acoes[Operação],"Divid.")
+ SUMIFS(His_Operacoes_acoes[Total],His_Operacoes_acoes[Fimmes],Patrimônio!B139,His_Operacoes_acoes[Operação],"Bonif.")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46569</v>
      </c>
      <c r="B140" s="7">
        <f t="shared" si="11"/>
        <v>46568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SUMIFS(His_Operacoes_acoes[Total],His_Operacoes_acoes[Fimmes],Patrimônio!B140,His_Operacoes_acoes[Operação],"JCP")
+ SUMIFS(His_Operacoes_acoes[Total],His_Operacoes_acoes[Fimmes],Patrimônio!B140,His_Operacoes_acoes[Operação],"Divid.")
+ SUMIFS(His_Operacoes_acoes[Total],His_Operacoes_acoes[Fimmes],Patrimônio!B140,His_Operacoes_acoes[Operação],"Bonif.")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46600</v>
      </c>
      <c r="B141" s="7">
        <f t="shared" si="11"/>
        <v>46599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SUMIFS(His_Operacoes_acoes[Total],His_Operacoes_acoes[Fimmes],Patrimônio!B141,His_Operacoes_acoes[Operação],"JCP")
+ SUMIFS(His_Operacoes_acoes[Total],His_Operacoes_acoes[Fimmes],Patrimônio!B141,His_Operacoes_acoes[Operação],"Divid.")
+ SUMIFS(His_Operacoes_acoes[Total],His_Operacoes_acoes[Fimmes],Patrimônio!B141,His_Operacoes_acoes[Operação],"Bonif.")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46631</v>
      </c>
      <c r="B142" s="7">
        <f t="shared" si="11"/>
        <v>46630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SUMIFS(His_Operacoes_acoes[Total],His_Operacoes_acoes[Fimmes],Patrimônio!B142,His_Operacoes_acoes[Operação],"JCP")
+ SUMIFS(His_Operacoes_acoes[Total],His_Operacoes_acoes[Fimmes],Patrimônio!B142,His_Operacoes_acoes[Operação],"Divid.")
+ SUMIFS(His_Operacoes_acoes[Total],His_Operacoes_acoes[Fimmes],Patrimônio!B142,His_Operacoes_acoes[Operação],"Bonif.")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46661</v>
      </c>
      <c r="B143" s="7">
        <f t="shared" si="11"/>
        <v>46660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SUMIFS(His_Operacoes_acoes[Total],His_Operacoes_acoes[Fimmes],Patrimônio!B143,His_Operacoes_acoes[Operação],"JCP")
+ SUMIFS(His_Operacoes_acoes[Total],His_Operacoes_acoes[Fimmes],Patrimônio!B143,His_Operacoes_acoes[Operação],"Divid.")
+ SUMIFS(His_Operacoes_acoes[Total],His_Operacoes_acoes[Fimmes],Patrimônio!B143,His_Operacoes_acoes[Operação],"Bonif.")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46692</v>
      </c>
      <c r="B144" s="7">
        <f t="shared" si="11"/>
        <v>46691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SUMIFS(His_Operacoes_acoes[Total],His_Operacoes_acoes[Fimmes],Patrimônio!B144,His_Operacoes_acoes[Operação],"JCP")
+ SUMIFS(His_Operacoes_acoes[Total],His_Operacoes_acoes[Fimmes],Patrimônio!B144,His_Operacoes_acoes[Operação],"Divid.")
+ SUMIFS(His_Operacoes_acoes[Total],His_Operacoes_acoes[Fimmes],Patrimônio!B144,His_Operacoes_acoes[Operação],"Bonif.")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46722</v>
      </c>
      <c r="B145" s="7">
        <f t="shared" si="11"/>
        <v>46721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SUMIFS(His_Operacoes_acoes[Total],His_Operacoes_acoes[Fimmes],Patrimônio!B145,His_Operacoes_acoes[Operação],"JCP")
+ SUMIFS(His_Operacoes_acoes[Total],His_Operacoes_acoes[Fimmes],Patrimônio!B145,His_Operacoes_acoes[Operação],"Divid.")
+ SUMIFS(His_Operacoes_acoes[Total],His_Operacoes_acoes[Fimmes],Patrimônio!B145,His_Operacoes_acoes[Operação],"Bonif.")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46753</v>
      </c>
      <c r="B146" s="7">
        <f t="shared" si="11"/>
        <v>46752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SUMIFS(His_Operacoes_acoes[Total],His_Operacoes_acoes[Fimmes],Patrimônio!B146,His_Operacoes_acoes[Operação],"JCP")
+ SUMIFS(His_Operacoes_acoes[Total],His_Operacoes_acoes[Fimmes],Patrimônio!B146,His_Operacoes_acoes[Operação],"Divid.")
+ SUMIFS(His_Operacoes_acoes[Total],His_Operacoes_acoes[Fimmes],Patrimônio!B146,His_Operacoes_acoes[Operação],"Bonif.")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46784</v>
      </c>
      <c r="B147" s="7">
        <f t="shared" si="11"/>
        <v>46783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SUMIFS(His_Operacoes_acoes[Total],His_Operacoes_acoes[Fimmes],Patrimônio!B147,His_Operacoes_acoes[Operação],"JCP")
+ SUMIFS(His_Operacoes_acoes[Total],His_Operacoes_acoes[Fimmes],Patrimônio!B147,His_Operacoes_acoes[Operação],"Divid.")
+ SUMIFS(His_Operacoes_acoes[Total],His_Operacoes_acoes[Fimmes],Patrimônio!B147,His_Operacoes_acoes[Operação],"Bonif.")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46813</v>
      </c>
      <c r="B148" s="7">
        <f t="shared" si="11"/>
        <v>46812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SUMIFS(His_Operacoes_acoes[Total],His_Operacoes_acoes[Fimmes],Patrimônio!B148,His_Operacoes_acoes[Operação],"JCP")
+ SUMIFS(His_Operacoes_acoes[Total],His_Operacoes_acoes[Fimmes],Patrimônio!B148,His_Operacoes_acoes[Operação],"Divid.")
+ SUMIFS(His_Operacoes_acoes[Total],His_Operacoes_acoes[Fimmes],Patrimônio!B148,His_Operacoes_acoes[Operação],"Bonif.")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46844</v>
      </c>
      <c r="B149" s="7">
        <f t="shared" si="11"/>
        <v>46843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SUMIFS(His_Operacoes_acoes[Total],His_Operacoes_acoes[Fimmes],Patrimônio!B149,His_Operacoes_acoes[Operação],"JCP")
+ SUMIFS(His_Operacoes_acoes[Total],His_Operacoes_acoes[Fimmes],Patrimônio!B149,His_Operacoes_acoes[Operação],"Divid.")
+ SUMIFS(His_Operacoes_acoes[Total],His_Operacoes_acoes[Fimmes],Patrimônio!B149,His_Operacoes_acoes[Operação],"Bonif.")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46874</v>
      </c>
      <c r="B150" s="7">
        <f t="shared" si="11"/>
        <v>46873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SUMIFS(His_Operacoes_acoes[Total],His_Operacoes_acoes[Fimmes],Patrimônio!B150,His_Operacoes_acoes[Operação],"JCP")
+ SUMIFS(His_Operacoes_acoes[Total],His_Operacoes_acoes[Fimmes],Patrimônio!B150,His_Operacoes_acoes[Operação],"Divid.")
+ SUMIFS(His_Operacoes_acoes[Total],His_Operacoes_acoes[Fimmes],Patrimônio!B150,His_Operacoes_acoes[Operação],"Bonif.")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46905</v>
      </c>
      <c r="B151" s="7">
        <f t="shared" si="11"/>
        <v>46904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SUMIFS(His_Operacoes_acoes[Total],His_Operacoes_acoes[Fimmes],Patrimônio!B151,His_Operacoes_acoes[Operação],"JCP")
+ SUMIFS(His_Operacoes_acoes[Total],His_Operacoes_acoes[Fimmes],Patrimônio!B151,His_Operacoes_acoes[Operação],"Divid.")
+ SUMIFS(His_Operacoes_acoes[Total],His_Operacoes_acoes[Fimmes],Patrimônio!B151,His_Operacoes_acoes[Operação],"Bonif.")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46935</v>
      </c>
      <c r="B152" s="7">
        <f t="shared" si="11"/>
        <v>46934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SUMIFS(His_Operacoes_acoes[Total],His_Operacoes_acoes[Fimmes],Patrimônio!B152,His_Operacoes_acoes[Operação],"JCP")
+ SUMIFS(His_Operacoes_acoes[Total],His_Operacoes_acoes[Fimmes],Patrimônio!B152,His_Operacoes_acoes[Operação],"Divid.")
+ SUMIFS(His_Operacoes_acoes[Total],His_Operacoes_acoes[Fimmes],Patrimônio!B152,His_Operacoes_acoes[Operação],"Bonif.")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46966</v>
      </c>
      <c r="B153" s="7">
        <f t="shared" si="11"/>
        <v>46965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SUMIFS(His_Operacoes_acoes[Total],His_Operacoes_acoes[Fimmes],Patrimônio!B153,His_Operacoes_acoes[Operação],"JCP")
+ SUMIFS(His_Operacoes_acoes[Total],His_Operacoes_acoes[Fimmes],Patrimônio!B153,His_Operacoes_acoes[Operação],"Divid.")
+ SUMIFS(His_Operacoes_acoes[Total],His_Operacoes_acoes[Fimmes],Patrimônio!B153,His_Operacoes_acoes[Operação],"Bonif.")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46997</v>
      </c>
      <c r="B154" s="7">
        <f t="shared" si="11"/>
        <v>46996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SUMIFS(His_Operacoes_acoes[Total],His_Operacoes_acoes[Fimmes],Patrimônio!B154,His_Operacoes_acoes[Operação],"JCP")
+ SUMIFS(His_Operacoes_acoes[Total],His_Operacoes_acoes[Fimmes],Patrimônio!B154,His_Operacoes_acoes[Operação],"Divid.")
+ SUMIFS(His_Operacoes_acoes[Total],His_Operacoes_acoes[Fimmes],Patrimônio!B154,His_Operacoes_acoes[Operação],"Bonif.")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47027</v>
      </c>
      <c r="B155" s="7">
        <f t="shared" si="11"/>
        <v>47026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SUMIFS(His_Operacoes_acoes[Total],His_Operacoes_acoes[Fimmes],Patrimônio!B155,His_Operacoes_acoes[Operação],"JCP")
+ SUMIFS(His_Operacoes_acoes[Total],His_Operacoes_acoes[Fimmes],Patrimônio!B155,His_Operacoes_acoes[Operação],"Divid.")
+ SUMIFS(His_Operacoes_acoes[Total],His_Operacoes_acoes[Fimmes],Patrimônio!B155,His_Operacoes_acoes[Operação],"Bonif.")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47058</v>
      </c>
      <c r="B156" s="7">
        <f t="shared" si="11"/>
        <v>47057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SUMIFS(His_Operacoes_acoes[Total],His_Operacoes_acoes[Fimmes],Patrimônio!B156,His_Operacoes_acoes[Operação],"JCP")
+ SUMIFS(His_Operacoes_acoes[Total],His_Operacoes_acoes[Fimmes],Patrimônio!B156,His_Operacoes_acoes[Operação],"Divid.")
+ SUMIFS(His_Operacoes_acoes[Total],His_Operacoes_acoes[Fimmes],Patrimônio!B156,His_Operacoes_acoes[Operação],"Bonif.")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47088</v>
      </c>
      <c r="B157" s="7">
        <f t="shared" si="11"/>
        <v>47087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SUMIFS(His_Operacoes_acoes[Total],His_Operacoes_acoes[Fimmes],Patrimônio!B157,His_Operacoes_acoes[Operação],"JCP")
+ SUMIFS(His_Operacoes_acoes[Total],His_Operacoes_acoes[Fimmes],Patrimônio!B157,His_Operacoes_acoes[Operação],"Divid.")
+ SUMIFS(His_Operacoes_acoes[Total],His_Operacoes_acoes[Fimmes],Patrimônio!B157,His_Operacoes_acoes[Operação],"Bonif.")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47119</v>
      </c>
      <c r="B158" s="7">
        <f t="shared" si="11"/>
        <v>47118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SUMIFS(His_Operacoes_acoes[Total],His_Operacoes_acoes[Fimmes],Patrimônio!B158,His_Operacoes_acoes[Operação],"JCP")
+ SUMIFS(His_Operacoes_acoes[Total],His_Operacoes_acoes[Fimmes],Patrimônio!B158,His_Operacoes_acoes[Operação],"Divid.")
+ SUMIFS(His_Operacoes_acoes[Total],His_Operacoes_acoes[Fimmes],Patrimônio!B158,His_Operacoes_acoes[Operação],"Bonif.")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47150</v>
      </c>
      <c r="B159" s="7">
        <f t="shared" si="11"/>
        <v>47149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SUMIFS(His_Operacoes_acoes[Total],His_Operacoes_acoes[Fimmes],Patrimônio!B159,His_Operacoes_acoes[Operação],"JCP")
+ SUMIFS(His_Operacoes_acoes[Total],His_Operacoes_acoes[Fimmes],Patrimônio!B159,His_Operacoes_acoes[Operação],"Divid.")
+ SUMIFS(His_Operacoes_acoes[Total],His_Operacoes_acoes[Fimmes],Patrimônio!B159,His_Operacoes_acoes[Operação],"Bonif.")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47178</v>
      </c>
      <c r="B160" s="7">
        <f t="shared" si="11"/>
        <v>47177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SUMIFS(His_Operacoes_acoes[Total],His_Operacoes_acoes[Fimmes],Patrimônio!B160,His_Operacoes_acoes[Operação],"JCP")
+ SUMIFS(His_Operacoes_acoes[Total],His_Operacoes_acoes[Fimmes],Patrimônio!B160,His_Operacoes_acoes[Operação],"Divid.")
+ SUMIFS(His_Operacoes_acoes[Total],His_Operacoes_acoes[Fimmes],Patrimônio!B160,His_Operacoes_acoes[Operação],"Bonif.")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47209</v>
      </c>
      <c r="B161" s="7">
        <f t="shared" si="11"/>
        <v>47208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SUMIFS(His_Operacoes_acoes[Total],His_Operacoes_acoes[Fimmes],Patrimônio!B161,His_Operacoes_acoes[Operação],"JCP")
+ SUMIFS(His_Operacoes_acoes[Total],His_Operacoes_acoes[Fimmes],Patrimônio!B161,His_Operacoes_acoes[Operação],"Divid.")
+ SUMIFS(His_Operacoes_acoes[Total],His_Operacoes_acoes[Fimmes],Patrimônio!B161,His_Operacoes_acoes[Operação],"Bonif.")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47239</v>
      </c>
      <c r="B162" s="7">
        <f t="shared" si="11"/>
        <v>47238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SUMIFS(His_Operacoes_acoes[Total],His_Operacoes_acoes[Fimmes],Patrimônio!B162,His_Operacoes_acoes[Operação],"JCP")
+ SUMIFS(His_Operacoes_acoes[Total],His_Operacoes_acoes[Fimmes],Patrimônio!B162,His_Operacoes_acoes[Operação],"Divid.")
+ SUMIFS(His_Operacoes_acoes[Total],His_Operacoes_acoes[Fimmes],Patrimônio!B162,His_Operacoes_acoes[Operação],"Bonif.")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47270</v>
      </c>
      <c r="B163" s="7">
        <f t="shared" si="11"/>
        <v>47269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SUMIFS(His_Operacoes_acoes[Total],His_Operacoes_acoes[Fimmes],Patrimônio!B163,His_Operacoes_acoes[Operação],"JCP")
+ SUMIFS(His_Operacoes_acoes[Total],His_Operacoes_acoes[Fimmes],Patrimônio!B163,His_Operacoes_acoes[Operação],"Divid.")
+ SUMIFS(His_Operacoes_acoes[Total],His_Operacoes_acoes[Fimmes],Patrimônio!B163,His_Operacoes_acoes[Operação],"Bonif.")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47300</v>
      </c>
      <c r="B164" s="7">
        <f t="shared" si="11"/>
        <v>47299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SUMIFS(His_Operacoes_acoes[Total],His_Operacoes_acoes[Fimmes],Patrimônio!B164,His_Operacoes_acoes[Operação],"JCP")
+ SUMIFS(His_Operacoes_acoes[Total],His_Operacoes_acoes[Fimmes],Patrimônio!B164,His_Operacoes_acoes[Operação],"Divid.")
+ SUMIFS(His_Operacoes_acoes[Total],His_Operacoes_acoes[Fimmes],Patrimônio!B164,His_Operacoes_acoes[Operação],"Bonif.")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47331</v>
      </c>
      <c r="B165" s="7">
        <f t="shared" si="11"/>
        <v>47330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SUMIFS(His_Operacoes_acoes[Total],His_Operacoes_acoes[Fimmes],Patrimônio!B165,His_Operacoes_acoes[Operação],"JCP")
+ SUMIFS(His_Operacoes_acoes[Total],His_Operacoes_acoes[Fimmes],Patrimônio!B165,His_Operacoes_acoes[Operação],"Divid.")
+ SUMIFS(His_Operacoes_acoes[Total],His_Operacoes_acoes[Fimmes],Patrimônio!B165,His_Operacoes_acoes[Operação],"Bonif.")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47362</v>
      </c>
      <c r="B166" s="7">
        <f t="shared" si="11"/>
        <v>47361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SUMIFS(His_Operacoes_acoes[Total],His_Operacoes_acoes[Fimmes],Patrimônio!B166,His_Operacoes_acoes[Operação],"JCP")
+ SUMIFS(His_Operacoes_acoes[Total],His_Operacoes_acoes[Fimmes],Patrimônio!B166,His_Operacoes_acoes[Operação],"Divid.")
+ SUMIFS(His_Operacoes_acoes[Total],His_Operacoes_acoes[Fimmes],Patrimônio!B166,His_Operacoes_acoes[Operação],"Bonif.")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47392</v>
      </c>
      <c r="B167" s="7">
        <f t="shared" si="11"/>
        <v>47391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SUMIFS(His_Operacoes_acoes[Total],His_Operacoes_acoes[Fimmes],Patrimônio!B167,His_Operacoes_acoes[Operação],"JCP")
+ SUMIFS(His_Operacoes_acoes[Total],His_Operacoes_acoes[Fimmes],Patrimônio!B167,His_Operacoes_acoes[Operação],"Divid.")
+ SUMIFS(His_Operacoes_acoes[Total],His_Operacoes_acoes[Fimmes],Patrimônio!B167,His_Operacoes_acoes[Operação],"Bonif.")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47423</v>
      </c>
      <c r="B168" s="7">
        <f t="shared" si="11"/>
        <v>47422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SUMIFS(His_Operacoes_acoes[Total],His_Operacoes_acoes[Fimmes],Patrimônio!B168,His_Operacoes_acoes[Operação],"JCP")
+ SUMIFS(His_Operacoes_acoes[Total],His_Operacoes_acoes[Fimmes],Patrimônio!B168,His_Operacoes_acoes[Operação],"Divid.")
+ SUMIFS(His_Operacoes_acoes[Total],His_Operacoes_acoes[Fimmes],Patrimônio!B168,His_Operacoes_acoes[Operação],"Bonif.")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47453</v>
      </c>
      <c r="B169" s="7">
        <f t="shared" si="11"/>
        <v>47452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SUMIFS(His_Operacoes_acoes[Total],His_Operacoes_acoes[Fimmes],Patrimônio!B169,His_Operacoes_acoes[Operação],"JCP")
+ SUMIFS(His_Operacoes_acoes[Total],His_Operacoes_acoes[Fimmes],Patrimônio!B169,His_Operacoes_acoes[Operação],"Divid.")
+ SUMIFS(His_Operacoes_acoes[Total],His_Operacoes_acoes[Fimmes],Patrimônio!B169,His_Operacoes_acoes[Operação],"Bonif.")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47484</v>
      </c>
      <c r="B170" s="7">
        <f t="shared" si="11"/>
        <v>47483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SUMIFS(His_Operacoes_acoes[Total],His_Operacoes_acoes[Fimmes],Patrimônio!B170,His_Operacoes_acoes[Operação],"JCP")
+ SUMIFS(His_Operacoes_acoes[Total],His_Operacoes_acoes[Fimmes],Patrimônio!B170,His_Operacoes_acoes[Operação],"Divid.")
+ SUMIFS(His_Operacoes_acoes[Total],His_Operacoes_acoes[Fimmes],Patrimônio!B170,His_Operacoes_acoes[Operação],"Bonif.")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47515</v>
      </c>
      <c r="B171" s="7">
        <f t="shared" si="11"/>
        <v>47514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SUMIFS(His_Operacoes_acoes[Total],His_Operacoes_acoes[Fimmes],Patrimônio!B171,His_Operacoes_acoes[Operação],"JCP")
+ SUMIFS(His_Operacoes_acoes[Total],His_Operacoes_acoes[Fimmes],Patrimônio!B171,His_Operacoes_acoes[Operação],"Divid.")
+ SUMIFS(His_Operacoes_acoes[Total],His_Operacoes_acoes[Fimmes],Patrimônio!B171,His_Operacoes_acoes[Operação],"Bonif.")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47543</v>
      </c>
      <c r="B172" s="7">
        <f t="shared" si="11"/>
        <v>47542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SUMIFS(His_Operacoes_acoes[Total],His_Operacoes_acoes[Fimmes],Patrimônio!B172,His_Operacoes_acoes[Operação],"JCP")
+ SUMIFS(His_Operacoes_acoes[Total],His_Operacoes_acoes[Fimmes],Patrimônio!B172,His_Operacoes_acoes[Operação],"Divid.")
+ SUMIFS(His_Operacoes_acoes[Total],His_Operacoes_acoes[Fimmes],Patrimônio!B172,His_Operacoes_acoes[Operação],"Bonif.")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47574</v>
      </c>
      <c r="B173" s="7">
        <f t="shared" si="11"/>
        <v>47573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SUMIFS(His_Operacoes_acoes[Total],His_Operacoes_acoes[Fimmes],Patrimônio!B173,His_Operacoes_acoes[Operação],"JCP")
+ SUMIFS(His_Operacoes_acoes[Total],His_Operacoes_acoes[Fimmes],Patrimônio!B173,His_Operacoes_acoes[Operação],"Divid.")
+ SUMIFS(His_Operacoes_acoes[Total],His_Operacoes_acoes[Fimmes],Patrimônio!B173,His_Operacoes_acoes[Operação],"Bonif.")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47604</v>
      </c>
      <c r="B174" s="7">
        <f t="shared" si="11"/>
        <v>47603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SUMIFS(His_Operacoes_acoes[Total],His_Operacoes_acoes[Fimmes],Patrimônio!B174,His_Operacoes_acoes[Operação],"JCP")
+ SUMIFS(His_Operacoes_acoes[Total],His_Operacoes_acoes[Fimmes],Patrimônio!B174,His_Operacoes_acoes[Operação],"Divid.")
+ SUMIFS(His_Operacoes_acoes[Total],His_Operacoes_acoes[Fimmes],Patrimônio!B174,His_Operacoes_acoes[Operação],"Bonif.")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47635</v>
      </c>
      <c r="B175" s="7">
        <f t="shared" si="11"/>
        <v>47634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SUMIFS(His_Operacoes_acoes[Total],His_Operacoes_acoes[Fimmes],Patrimônio!B175,His_Operacoes_acoes[Operação],"JCP")
+ SUMIFS(His_Operacoes_acoes[Total],His_Operacoes_acoes[Fimmes],Patrimônio!B175,His_Operacoes_acoes[Operação],"Divid.")
+ SUMIFS(His_Operacoes_acoes[Total],His_Operacoes_acoes[Fimmes],Patrimônio!B175,His_Operacoes_acoes[Operação],"Bonif.")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47665</v>
      </c>
      <c r="B176" s="7">
        <f t="shared" si="11"/>
        <v>47664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SUMIFS(His_Operacoes_acoes[Total],His_Operacoes_acoes[Fimmes],Patrimônio!B176,His_Operacoes_acoes[Operação],"JCP")
+ SUMIFS(His_Operacoes_acoes[Total],His_Operacoes_acoes[Fimmes],Patrimônio!B176,His_Operacoes_acoes[Operação],"Divid.")
+ SUMIFS(His_Operacoes_acoes[Total],His_Operacoes_acoes[Fimmes],Patrimônio!B176,His_Operacoes_acoes[Operação],"Bonif.")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47696</v>
      </c>
      <c r="B177" s="7">
        <f t="shared" si="11"/>
        <v>47695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SUMIFS(His_Operacoes_acoes[Total],His_Operacoes_acoes[Fimmes],Patrimônio!B177,His_Operacoes_acoes[Operação],"JCP")
+ SUMIFS(His_Operacoes_acoes[Total],His_Operacoes_acoes[Fimmes],Patrimônio!B177,His_Operacoes_acoes[Operação],"Divid.")
+ SUMIFS(His_Operacoes_acoes[Total],His_Operacoes_acoes[Fimmes],Patrimônio!B177,His_Operacoes_acoes[Operação],"Bonif.")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47727</v>
      </c>
      <c r="B178" s="7">
        <f t="shared" si="11"/>
        <v>47726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SUMIFS(His_Operacoes_acoes[Total],His_Operacoes_acoes[Fimmes],Patrimônio!B178,His_Operacoes_acoes[Operação],"JCP")
+ SUMIFS(His_Operacoes_acoes[Total],His_Operacoes_acoes[Fimmes],Patrimônio!B178,His_Operacoes_acoes[Operação],"Divid.")
+ SUMIFS(His_Operacoes_acoes[Total],His_Operacoes_acoes[Fimmes],Patrimônio!B178,His_Operacoes_acoes[Operação],"Bonif.")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47757</v>
      </c>
      <c r="B179" s="7">
        <f t="shared" si="11"/>
        <v>47756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SUMIFS(His_Operacoes_acoes[Total],His_Operacoes_acoes[Fimmes],Patrimônio!B179,His_Operacoes_acoes[Operação],"JCP")
+ SUMIFS(His_Operacoes_acoes[Total],His_Operacoes_acoes[Fimmes],Patrimônio!B179,His_Operacoes_acoes[Operação],"Divid.")
+ SUMIFS(His_Operacoes_acoes[Total],His_Operacoes_acoes[Fimmes],Patrimônio!B179,His_Operacoes_acoes[Operação],"Bonif.")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47788</v>
      </c>
      <c r="B180" s="7">
        <f t="shared" si="11"/>
        <v>47787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SUMIFS(His_Operacoes_acoes[Total],His_Operacoes_acoes[Fimmes],Patrimônio!B180,His_Operacoes_acoes[Operação],"JCP")
+ SUMIFS(His_Operacoes_acoes[Total],His_Operacoes_acoes[Fimmes],Patrimônio!B180,His_Operacoes_acoes[Operação],"Divid.")
+ SUMIFS(His_Operacoes_acoes[Total],His_Operacoes_acoes[Fimmes],Patrimônio!B180,His_Operacoes_acoes[Operação],"Bonif.")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47818</v>
      </c>
      <c r="B181" s="7">
        <f t="shared" si="11"/>
        <v>47817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SUMIFS(His_Operacoes_acoes[Total],His_Operacoes_acoes[Fimmes],Patrimônio!B181,His_Operacoes_acoes[Operação],"JCP")
+ SUMIFS(His_Operacoes_acoes[Total],His_Operacoes_acoes[Fimmes],Patrimônio!B181,His_Operacoes_acoes[Operação],"Divid.")
+ SUMIFS(His_Operacoes_acoes[Total],His_Operacoes_acoes[Fimmes],Patrimônio!B181,His_Operacoes_acoes[Operação],"Bonif.")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47849</v>
      </c>
      <c r="B182" s="7">
        <f t="shared" si="11"/>
        <v>47848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SUMIFS(His_Operacoes_acoes[Total],His_Operacoes_acoes[Fimmes],Patrimônio!B182,His_Operacoes_acoes[Operação],"JCP")
+ SUMIFS(His_Operacoes_acoes[Total],His_Operacoes_acoes[Fimmes],Patrimônio!B182,His_Operacoes_acoes[Operação],"Divid.")
+ SUMIFS(His_Operacoes_acoes[Total],His_Operacoes_acoes[Fimmes],Patrimônio!B182,His_Operacoes_acoes[Operação],"Bonif.")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47880</v>
      </c>
      <c r="B183" s="7">
        <f t="shared" si="11"/>
        <v>47879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SUMIFS(His_Operacoes_acoes[Total],His_Operacoes_acoes[Fimmes],Patrimônio!B183,His_Operacoes_acoes[Operação],"JCP")
+ SUMIFS(His_Operacoes_acoes[Total],His_Operacoes_acoes[Fimmes],Patrimônio!B183,His_Operacoes_acoes[Operação],"Divid.")
+ SUMIFS(His_Operacoes_acoes[Total],His_Operacoes_acoes[Fimmes],Patrimônio!B183,His_Operacoes_acoes[Operação],"Bonif.")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47908</v>
      </c>
      <c r="B184" s="7">
        <f t="shared" si="11"/>
        <v>47907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SUMIFS(His_Operacoes_acoes[Total],His_Operacoes_acoes[Fimmes],Patrimônio!B184,His_Operacoes_acoes[Operação],"JCP")
+ SUMIFS(His_Operacoes_acoes[Total],His_Operacoes_acoes[Fimmes],Patrimônio!B184,His_Operacoes_acoes[Operação],"Divid.")
+ SUMIFS(His_Operacoes_acoes[Total],His_Operacoes_acoes[Fimmes],Patrimônio!B184,His_Operacoes_acoes[Operação],"Bonif.")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47939</v>
      </c>
      <c r="B185" s="7">
        <f t="shared" si="11"/>
        <v>47938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SUMIFS(His_Operacoes_acoes[Total],His_Operacoes_acoes[Fimmes],Patrimônio!B185,His_Operacoes_acoes[Operação],"JCP")
+ SUMIFS(His_Operacoes_acoes[Total],His_Operacoes_acoes[Fimmes],Patrimônio!B185,His_Operacoes_acoes[Operação],"Divid.")
+ SUMIFS(His_Operacoes_acoes[Total],His_Operacoes_acoes[Fimmes],Patrimônio!B185,His_Operacoes_acoes[Operação],"Bonif.")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47969</v>
      </c>
      <c r="B186" s="7">
        <f t="shared" si="11"/>
        <v>47968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SUMIFS(His_Operacoes_acoes[Total],His_Operacoes_acoes[Fimmes],Patrimônio!B186,His_Operacoes_acoes[Operação],"JCP")
+ SUMIFS(His_Operacoes_acoes[Total],His_Operacoes_acoes[Fimmes],Patrimônio!B186,His_Operacoes_acoes[Operação],"Divid.")
+ SUMIFS(His_Operacoes_acoes[Total],His_Operacoes_acoes[Fimmes],Patrimônio!B186,His_Operacoes_acoes[Operação],"Bonif.")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48000</v>
      </c>
      <c r="B187" s="7">
        <f t="shared" si="11"/>
        <v>47999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SUMIFS(His_Operacoes_acoes[Total],His_Operacoes_acoes[Fimmes],Patrimônio!B187,His_Operacoes_acoes[Operação],"JCP")
+ SUMIFS(His_Operacoes_acoes[Total],His_Operacoes_acoes[Fimmes],Patrimônio!B187,His_Operacoes_acoes[Operação],"Divid.")
+ SUMIFS(His_Operacoes_acoes[Total],His_Operacoes_acoes[Fimmes],Patrimônio!B187,His_Operacoes_acoes[Operação],"Bonif.")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48030</v>
      </c>
      <c r="B188" s="7">
        <f t="shared" si="11"/>
        <v>48029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SUMIFS(His_Operacoes_acoes[Total],His_Operacoes_acoes[Fimmes],Patrimônio!B188,His_Operacoes_acoes[Operação],"JCP")
+ SUMIFS(His_Operacoes_acoes[Total],His_Operacoes_acoes[Fimmes],Patrimônio!B188,His_Operacoes_acoes[Operação],"Divid.")
+ SUMIFS(His_Operacoes_acoes[Total],His_Operacoes_acoes[Fimmes],Patrimônio!B188,His_Operacoes_acoes[Operação],"Bonif.")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48061</v>
      </c>
      <c r="B189" s="7">
        <f t="shared" si="11"/>
        <v>48060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SUMIFS(His_Operacoes_acoes[Total],His_Operacoes_acoes[Fimmes],Patrimônio!B189,His_Operacoes_acoes[Operação],"JCP")
+ SUMIFS(His_Operacoes_acoes[Total],His_Operacoes_acoes[Fimmes],Patrimônio!B189,His_Operacoes_acoes[Operação],"Divid.")
+ SUMIFS(His_Operacoes_acoes[Total],His_Operacoes_acoes[Fimmes],Patrimônio!B189,His_Operacoes_acoes[Operação],"Bonif.")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48092</v>
      </c>
      <c r="B190" s="7">
        <f t="shared" si="11"/>
        <v>48091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SUMIFS(His_Operacoes_acoes[Total],His_Operacoes_acoes[Fimmes],Patrimônio!B190,His_Operacoes_acoes[Operação],"JCP")
+ SUMIFS(His_Operacoes_acoes[Total],His_Operacoes_acoes[Fimmes],Patrimônio!B190,His_Operacoes_acoes[Operação],"Divid.")
+ SUMIFS(His_Operacoes_acoes[Total],His_Operacoes_acoes[Fimmes],Patrimônio!B190,His_Operacoes_acoes[Operação],"Bonif.")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48122</v>
      </c>
      <c r="B191" s="7">
        <f t="shared" si="11"/>
        <v>48121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SUMIFS(His_Operacoes_acoes[Total],His_Operacoes_acoes[Fimmes],Patrimônio!B191,His_Operacoes_acoes[Operação],"JCP")
+ SUMIFS(His_Operacoes_acoes[Total],His_Operacoes_acoes[Fimmes],Patrimônio!B191,His_Operacoes_acoes[Operação],"Divid.")
+ SUMIFS(His_Operacoes_acoes[Total],His_Operacoes_acoes[Fimmes],Patrimônio!B191,His_Operacoes_acoes[Operação],"Bonif.")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48153</v>
      </c>
      <c r="B192" s="7">
        <f t="shared" si="11"/>
        <v>48152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SUMIFS(His_Operacoes_acoes[Total],His_Operacoes_acoes[Fimmes],Patrimônio!B192,His_Operacoes_acoes[Operação],"JCP")
+ SUMIFS(His_Operacoes_acoes[Total],His_Operacoes_acoes[Fimmes],Patrimônio!B192,His_Operacoes_acoes[Operação],"Divid.")
+ SUMIFS(His_Operacoes_acoes[Total],His_Operacoes_acoes[Fimmes],Patrimônio!B192,His_Operacoes_acoes[Operação],"Bonif.")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48183</v>
      </c>
      <c r="B193" s="7">
        <f t="shared" si="11"/>
        <v>48182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SUMIFS(His_Operacoes_acoes[Total],His_Operacoes_acoes[Fimmes],Patrimônio!B193,His_Operacoes_acoes[Operação],"JCP")
+ SUMIFS(His_Operacoes_acoes[Total],His_Operacoes_acoes[Fimmes],Patrimônio!B193,His_Operacoes_acoes[Operação],"Divid.")
+ SUMIFS(His_Operacoes_acoes[Total],His_Operacoes_acoes[Fimmes],Patrimônio!B193,His_Operacoes_acoes[Operação],"Bonif.")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48214</v>
      </c>
      <c r="B194" s="7">
        <f t="shared" si="11"/>
        <v>48213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SUMIFS(His_Operacoes_acoes[Total],His_Operacoes_acoes[Fimmes],Patrimônio!B194,His_Operacoes_acoes[Operação],"JCP")
+ SUMIFS(His_Operacoes_acoes[Total],His_Operacoes_acoes[Fimmes],Patrimônio!B194,His_Operacoes_acoes[Operação],"Divid.")
+ SUMIFS(His_Operacoes_acoes[Total],His_Operacoes_acoes[Fimmes],Patrimônio!B194,His_Operacoes_acoes[Operação],"Bonif.")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48245</v>
      </c>
      <c r="B195" s="7">
        <f t="shared" ref="B195:B258" si="15">EOMONTH(A195,-1)</f>
        <v>48244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SUMIFS(His_Operacoes_acoes[Total],His_Operacoes_acoes[Fimmes],Patrimônio!B195,His_Operacoes_acoes[Operação],"JCP")
+ SUMIFS(His_Operacoes_acoes[Total],His_Operacoes_acoes[Fimmes],Patrimônio!B195,His_Operacoes_acoes[Operação],"Divid.")
+ SUMIFS(His_Operacoes_acoes[Total],His_Operacoes_acoes[Fimmes],Patrimônio!B195,His_Operacoes_acoes[Operação],"Bonif.")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48274</v>
      </c>
      <c r="B196" s="7">
        <f t="shared" si="15"/>
        <v>48273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SUMIFS(His_Operacoes_acoes[Total],His_Operacoes_acoes[Fimmes],Patrimônio!B196,His_Operacoes_acoes[Operação],"JCP")
+ SUMIFS(His_Operacoes_acoes[Total],His_Operacoes_acoes[Fimmes],Patrimônio!B196,His_Operacoes_acoes[Operação],"Divid.")
+ SUMIFS(His_Operacoes_acoes[Total],His_Operacoes_acoes[Fimmes],Patrimônio!B196,His_Operacoes_acoes[Operação],"Bonif.")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48305</v>
      </c>
      <c r="B197" s="7">
        <f t="shared" si="15"/>
        <v>48304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SUMIFS(His_Operacoes_acoes[Total],His_Operacoes_acoes[Fimmes],Patrimônio!B197,His_Operacoes_acoes[Operação],"JCP")
+ SUMIFS(His_Operacoes_acoes[Total],His_Operacoes_acoes[Fimmes],Patrimônio!B197,His_Operacoes_acoes[Operação],"Divid.")
+ SUMIFS(His_Operacoes_acoes[Total],His_Operacoes_acoes[Fimmes],Patrimônio!B197,His_Operacoes_acoes[Operação],"Bonif.")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48335</v>
      </c>
      <c r="B198" s="7">
        <f t="shared" si="15"/>
        <v>48334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SUMIFS(His_Operacoes_acoes[Total],His_Operacoes_acoes[Fimmes],Patrimônio!B198,His_Operacoes_acoes[Operação],"JCP")
+ SUMIFS(His_Operacoes_acoes[Total],His_Operacoes_acoes[Fimmes],Patrimônio!B198,His_Operacoes_acoes[Operação],"Divid.")
+ SUMIFS(His_Operacoes_acoes[Total],His_Operacoes_acoes[Fimmes],Patrimônio!B198,His_Operacoes_acoes[Operação],"Bonif.")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48366</v>
      </c>
      <c r="B199" s="7">
        <f t="shared" si="15"/>
        <v>48365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SUMIFS(His_Operacoes_acoes[Total],His_Operacoes_acoes[Fimmes],Patrimônio!B199,His_Operacoes_acoes[Operação],"JCP")
+ SUMIFS(His_Operacoes_acoes[Total],His_Operacoes_acoes[Fimmes],Patrimônio!B199,His_Operacoes_acoes[Operação],"Divid.")
+ SUMIFS(His_Operacoes_acoes[Total],His_Operacoes_acoes[Fimmes],Patrimônio!B199,His_Operacoes_acoes[Operação],"Bonif.")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48396</v>
      </c>
      <c r="B200" s="7">
        <f t="shared" si="15"/>
        <v>48395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SUMIFS(His_Operacoes_acoes[Total],His_Operacoes_acoes[Fimmes],Patrimônio!B200,His_Operacoes_acoes[Operação],"JCP")
+ SUMIFS(His_Operacoes_acoes[Total],His_Operacoes_acoes[Fimmes],Patrimônio!B200,His_Operacoes_acoes[Operação],"Divid.")
+ SUMIFS(His_Operacoes_acoes[Total],His_Operacoes_acoes[Fimmes],Patrimônio!B200,His_Operacoes_acoes[Operação],"Bonif.")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48427</v>
      </c>
      <c r="B201" s="7">
        <f t="shared" si="15"/>
        <v>48426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SUMIFS(His_Operacoes_acoes[Total],His_Operacoes_acoes[Fimmes],Patrimônio!B201,His_Operacoes_acoes[Operação],"JCP")
+ SUMIFS(His_Operacoes_acoes[Total],His_Operacoes_acoes[Fimmes],Patrimônio!B201,His_Operacoes_acoes[Operação],"Divid.")
+ SUMIFS(His_Operacoes_acoes[Total],His_Operacoes_acoes[Fimmes],Patrimônio!B201,His_Operacoes_acoes[Operação],"Bonif.")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48458</v>
      </c>
      <c r="B202" s="7">
        <f t="shared" si="15"/>
        <v>48457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SUMIFS(His_Operacoes_acoes[Total],His_Operacoes_acoes[Fimmes],Patrimônio!B202,His_Operacoes_acoes[Operação],"JCP")
+ SUMIFS(His_Operacoes_acoes[Total],His_Operacoes_acoes[Fimmes],Patrimônio!B202,His_Operacoes_acoes[Operação],"Divid.")
+ SUMIFS(His_Operacoes_acoes[Total],His_Operacoes_acoes[Fimmes],Patrimônio!B202,His_Operacoes_acoes[Operação],"Bonif.")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48488</v>
      </c>
      <c r="B203" s="7">
        <f t="shared" si="15"/>
        <v>48487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SUMIFS(His_Operacoes_acoes[Total],His_Operacoes_acoes[Fimmes],Patrimônio!B203,His_Operacoes_acoes[Operação],"JCP")
+ SUMIFS(His_Operacoes_acoes[Total],His_Operacoes_acoes[Fimmes],Patrimônio!B203,His_Operacoes_acoes[Operação],"Divid.")
+ SUMIFS(His_Operacoes_acoes[Total],His_Operacoes_acoes[Fimmes],Patrimônio!B203,His_Operacoes_acoes[Operação],"Bonif.")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48519</v>
      </c>
      <c r="B204" s="7">
        <f t="shared" si="15"/>
        <v>48518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SUMIFS(His_Operacoes_acoes[Total],His_Operacoes_acoes[Fimmes],Patrimônio!B204,His_Operacoes_acoes[Operação],"JCP")
+ SUMIFS(His_Operacoes_acoes[Total],His_Operacoes_acoes[Fimmes],Patrimônio!B204,His_Operacoes_acoes[Operação],"Divid.")
+ SUMIFS(His_Operacoes_acoes[Total],His_Operacoes_acoes[Fimmes],Patrimônio!B204,His_Operacoes_acoes[Operação],"Bonif.")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48549</v>
      </c>
      <c r="B205" s="7">
        <f t="shared" si="15"/>
        <v>48548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SUMIFS(His_Operacoes_acoes[Total],His_Operacoes_acoes[Fimmes],Patrimônio!B205,His_Operacoes_acoes[Operação],"JCP")
+ SUMIFS(His_Operacoes_acoes[Total],His_Operacoes_acoes[Fimmes],Patrimônio!B205,His_Operacoes_acoes[Operação],"Divid.")
+ SUMIFS(His_Operacoes_acoes[Total],His_Operacoes_acoes[Fimmes],Patrimônio!B205,His_Operacoes_acoes[Operação],"Bonif.")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48580</v>
      </c>
      <c r="B206" s="7">
        <f t="shared" si="15"/>
        <v>48579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SUMIFS(His_Operacoes_acoes[Total],His_Operacoes_acoes[Fimmes],Patrimônio!B206,His_Operacoes_acoes[Operação],"JCP")
+ SUMIFS(His_Operacoes_acoes[Total],His_Operacoes_acoes[Fimmes],Patrimônio!B206,His_Operacoes_acoes[Operação],"Divid.")
+ SUMIFS(His_Operacoes_acoes[Total],His_Operacoes_acoes[Fimmes],Patrimônio!B206,His_Operacoes_acoes[Operação],"Bonif.")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48611</v>
      </c>
      <c r="B207" s="7">
        <f t="shared" si="15"/>
        <v>48610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SUMIFS(His_Operacoes_acoes[Total],His_Operacoes_acoes[Fimmes],Patrimônio!B207,His_Operacoes_acoes[Operação],"JCP")
+ SUMIFS(His_Operacoes_acoes[Total],His_Operacoes_acoes[Fimmes],Patrimônio!B207,His_Operacoes_acoes[Operação],"Divid.")
+ SUMIFS(His_Operacoes_acoes[Total],His_Operacoes_acoes[Fimmes],Patrimônio!B207,His_Operacoes_acoes[Operação],"Bonif.")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48639</v>
      </c>
      <c r="B208" s="7">
        <f t="shared" si="15"/>
        <v>48638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SUMIFS(His_Operacoes_acoes[Total],His_Operacoes_acoes[Fimmes],Patrimônio!B208,His_Operacoes_acoes[Operação],"JCP")
+ SUMIFS(His_Operacoes_acoes[Total],His_Operacoes_acoes[Fimmes],Patrimônio!B208,His_Operacoes_acoes[Operação],"Divid.")
+ SUMIFS(His_Operacoes_acoes[Total],His_Operacoes_acoes[Fimmes],Patrimônio!B208,His_Operacoes_acoes[Operação],"Bonif.")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48670</v>
      </c>
      <c r="B209" s="7">
        <f t="shared" si="15"/>
        <v>48669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SUMIFS(His_Operacoes_acoes[Total],His_Operacoes_acoes[Fimmes],Patrimônio!B209,His_Operacoes_acoes[Operação],"JCP")
+ SUMIFS(His_Operacoes_acoes[Total],His_Operacoes_acoes[Fimmes],Patrimônio!B209,His_Operacoes_acoes[Operação],"Divid.")
+ SUMIFS(His_Operacoes_acoes[Total],His_Operacoes_acoes[Fimmes],Patrimônio!B209,His_Operacoes_acoes[Operação],"Bonif.")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48700</v>
      </c>
      <c r="B210" s="7">
        <f t="shared" si="15"/>
        <v>48699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SUMIFS(His_Operacoes_acoes[Total],His_Operacoes_acoes[Fimmes],Patrimônio!B210,His_Operacoes_acoes[Operação],"JCP")
+ SUMIFS(His_Operacoes_acoes[Total],His_Operacoes_acoes[Fimmes],Patrimônio!B210,His_Operacoes_acoes[Operação],"Divid.")
+ SUMIFS(His_Operacoes_acoes[Total],His_Operacoes_acoes[Fimmes],Patrimônio!B210,His_Operacoes_acoes[Operação],"Bonif.")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48731</v>
      </c>
      <c r="B211" s="7">
        <f t="shared" si="15"/>
        <v>48730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SUMIFS(His_Operacoes_acoes[Total],His_Operacoes_acoes[Fimmes],Patrimônio!B211,His_Operacoes_acoes[Operação],"JCP")
+ SUMIFS(His_Operacoes_acoes[Total],His_Operacoes_acoes[Fimmes],Patrimônio!B211,His_Operacoes_acoes[Operação],"Divid.")
+ SUMIFS(His_Operacoes_acoes[Total],His_Operacoes_acoes[Fimmes],Patrimônio!B211,His_Operacoes_acoes[Operação],"Bonif.")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48761</v>
      </c>
      <c r="B212" s="7">
        <f t="shared" si="15"/>
        <v>48760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SUMIFS(His_Operacoes_acoes[Total],His_Operacoes_acoes[Fimmes],Patrimônio!B212,His_Operacoes_acoes[Operação],"JCP")
+ SUMIFS(His_Operacoes_acoes[Total],His_Operacoes_acoes[Fimmes],Patrimônio!B212,His_Operacoes_acoes[Operação],"Divid.")
+ SUMIFS(His_Operacoes_acoes[Total],His_Operacoes_acoes[Fimmes],Patrimônio!B212,His_Operacoes_acoes[Operação],"Bonif.")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48792</v>
      </c>
      <c r="B213" s="7">
        <f t="shared" si="15"/>
        <v>48791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SUMIFS(His_Operacoes_acoes[Total],His_Operacoes_acoes[Fimmes],Patrimônio!B213,His_Operacoes_acoes[Operação],"JCP")
+ SUMIFS(His_Operacoes_acoes[Total],His_Operacoes_acoes[Fimmes],Patrimônio!B213,His_Operacoes_acoes[Operação],"Divid.")
+ SUMIFS(His_Operacoes_acoes[Total],His_Operacoes_acoes[Fimmes],Patrimônio!B213,His_Operacoes_acoes[Operação],"Bonif.")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48823</v>
      </c>
      <c r="B214" s="7">
        <f t="shared" si="15"/>
        <v>48822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SUMIFS(His_Operacoes_acoes[Total],His_Operacoes_acoes[Fimmes],Patrimônio!B214,His_Operacoes_acoes[Operação],"JCP")
+ SUMIFS(His_Operacoes_acoes[Total],His_Operacoes_acoes[Fimmes],Patrimônio!B214,His_Operacoes_acoes[Operação],"Divid.")
+ SUMIFS(His_Operacoes_acoes[Total],His_Operacoes_acoes[Fimmes],Patrimônio!B214,His_Operacoes_acoes[Operação],"Bonif.")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48853</v>
      </c>
      <c r="B215" s="7">
        <f t="shared" si="15"/>
        <v>48852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SUMIFS(His_Operacoes_acoes[Total],His_Operacoes_acoes[Fimmes],Patrimônio!B215,His_Operacoes_acoes[Operação],"JCP")
+ SUMIFS(His_Operacoes_acoes[Total],His_Operacoes_acoes[Fimmes],Patrimônio!B215,His_Operacoes_acoes[Operação],"Divid.")
+ SUMIFS(His_Operacoes_acoes[Total],His_Operacoes_acoes[Fimmes],Patrimônio!B215,His_Operacoes_acoes[Operação],"Bonif.")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48884</v>
      </c>
      <c r="B216" s="7">
        <f t="shared" si="15"/>
        <v>48883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SUMIFS(His_Operacoes_acoes[Total],His_Operacoes_acoes[Fimmes],Patrimônio!B216,His_Operacoes_acoes[Operação],"JCP")
+ SUMIFS(His_Operacoes_acoes[Total],His_Operacoes_acoes[Fimmes],Patrimônio!B216,His_Operacoes_acoes[Operação],"Divid.")
+ SUMIFS(His_Operacoes_acoes[Total],His_Operacoes_acoes[Fimmes],Patrimônio!B216,His_Operacoes_acoes[Operação],"Bonif.")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48914</v>
      </c>
      <c r="B217" s="7">
        <f t="shared" si="15"/>
        <v>48913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SUMIFS(His_Operacoes_acoes[Total],His_Operacoes_acoes[Fimmes],Patrimônio!B217,His_Operacoes_acoes[Operação],"JCP")
+ SUMIFS(His_Operacoes_acoes[Total],His_Operacoes_acoes[Fimmes],Patrimônio!B217,His_Operacoes_acoes[Operação],"Divid.")
+ SUMIFS(His_Operacoes_acoes[Total],His_Operacoes_acoes[Fimmes],Patrimônio!B217,His_Operacoes_acoes[Operação],"Bonif.")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48945</v>
      </c>
      <c r="B218" s="7">
        <f t="shared" si="15"/>
        <v>48944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SUMIFS(His_Operacoes_acoes[Total],His_Operacoes_acoes[Fimmes],Patrimônio!B218,His_Operacoes_acoes[Operação],"JCP")
+ SUMIFS(His_Operacoes_acoes[Total],His_Operacoes_acoes[Fimmes],Patrimônio!B218,His_Operacoes_acoes[Operação],"Divid.")
+ SUMIFS(His_Operacoes_acoes[Total],His_Operacoes_acoes[Fimmes],Patrimônio!B218,His_Operacoes_acoes[Operação],"Bonif.")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48976</v>
      </c>
      <c r="B219" s="7">
        <f t="shared" si="15"/>
        <v>48975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SUMIFS(His_Operacoes_acoes[Total],His_Operacoes_acoes[Fimmes],Patrimônio!B219,His_Operacoes_acoes[Operação],"JCP")
+ SUMIFS(His_Operacoes_acoes[Total],His_Operacoes_acoes[Fimmes],Patrimônio!B219,His_Operacoes_acoes[Operação],"Divid.")
+ SUMIFS(His_Operacoes_acoes[Total],His_Operacoes_acoes[Fimmes],Patrimônio!B219,His_Operacoes_acoes[Operação],"Bonif.")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49004</v>
      </c>
      <c r="B220" s="7">
        <f t="shared" si="15"/>
        <v>49003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SUMIFS(His_Operacoes_acoes[Total],His_Operacoes_acoes[Fimmes],Patrimônio!B220,His_Operacoes_acoes[Operação],"JCP")
+ SUMIFS(His_Operacoes_acoes[Total],His_Operacoes_acoes[Fimmes],Patrimônio!B220,His_Operacoes_acoes[Operação],"Divid.")
+ SUMIFS(His_Operacoes_acoes[Total],His_Operacoes_acoes[Fimmes],Patrimônio!B220,His_Operacoes_acoes[Operação],"Bonif.")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49035</v>
      </c>
      <c r="B221" s="7">
        <f t="shared" si="15"/>
        <v>49034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SUMIFS(His_Operacoes_acoes[Total],His_Operacoes_acoes[Fimmes],Patrimônio!B221,His_Operacoes_acoes[Operação],"JCP")
+ SUMIFS(His_Operacoes_acoes[Total],His_Operacoes_acoes[Fimmes],Patrimônio!B221,His_Operacoes_acoes[Operação],"Divid.")
+ SUMIFS(His_Operacoes_acoes[Total],His_Operacoes_acoes[Fimmes],Patrimônio!B221,His_Operacoes_acoes[Operação],"Bonif.")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49065</v>
      </c>
      <c r="B222" s="7">
        <f t="shared" si="15"/>
        <v>49064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SUMIFS(His_Operacoes_acoes[Total],His_Operacoes_acoes[Fimmes],Patrimônio!B222,His_Operacoes_acoes[Operação],"JCP")
+ SUMIFS(His_Operacoes_acoes[Total],His_Operacoes_acoes[Fimmes],Patrimônio!B222,His_Operacoes_acoes[Operação],"Divid.")
+ SUMIFS(His_Operacoes_acoes[Total],His_Operacoes_acoes[Fimmes],Patrimônio!B222,His_Operacoes_acoes[Operação],"Bonif.")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49096</v>
      </c>
      <c r="B223" s="7">
        <f t="shared" si="15"/>
        <v>49095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SUMIFS(His_Operacoes_acoes[Total],His_Operacoes_acoes[Fimmes],Patrimônio!B223,His_Operacoes_acoes[Operação],"JCP")
+ SUMIFS(His_Operacoes_acoes[Total],His_Operacoes_acoes[Fimmes],Patrimônio!B223,His_Operacoes_acoes[Operação],"Divid.")
+ SUMIFS(His_Operacoes_acoes[Total],His_Operacoes_acoes[Fimmes],Patrimônio!B223,His_Operacoes_acoes[Operação],"Bonif.")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49126</v>
      </c>
      <c r="B224" s="7">
        <f t="shared" si="15"/>
        <v>49125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SUMIFS(His_Operacoes_acoes[Total],His_Operacoes_acoes[Fimmes],Patrimônio!B224,His_Operacoes_acoes[Operação],"JCP")
+ SUMIFS(His_Operacoes_acoes[Total],His_Operacoes_acoes[Fimmes],Patrimônio!B224,His_Operacoes_acoes[Operação],"Divid.")
+ SUMIFS(His_Operacoes_acoes[Total],His_Operacoes_acoes[Fimmes],Patrimônio!B224,His_Operacoes_acoes[Operação],"Bonif.")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49157</v>
      </c>
      <c r="B225" s="7">
        <f t="shared" si="15"/>
        <v>49156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SUMIFS(His_Operacoes_acoes[Total],His_Operacoes_acoes[Fimmes],Patrimônio!B225,His_Operacoes_acoes[Operação],"JCP")
+ SUMIFS(His_Operacoes_acoes[Total],His_Operacoes_acoes[Fimmes],Patrimônio!B225,His_Operacoes_acoes[Operação],"Divid.")
+ SUMIFS(His_Operacoes_acoes[Total],His_Operacoes_acoes[Fimmes],Patrimônio!B225,His_Operacoes_acoes[Operação],"Bonif.")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49188</v>
      </c>
      <c r="B226" s="7">
        <f t="shared" si="15"/>
        <v>49187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SUMIFS(His_Operacoes_acoes[Total],His_Operacoes_acoes[Fimmes],Patrimônio!B226,His_Operacoes_acoes[Operação],"JCP")
+ SUMIFS(His_Operacoes_acoes[Total],His_Operacoes_acoes[Fimmes],Patrimônio!B226,His_Operacoes_acoes[Operação],"Divid.")
+ SUMIFS(His_Operacoes_acoes[Total],His_Operacoes_acoes[Fimmes],Patrimônio!B226,His_Operacoes_acoes[Operação],"Bonif.")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49218</v>
      </c>
      <c r="B227" s="7">
        <f t="shared" si="15"/>
        <v>49217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SUMIFS(His_Operacoes_acoes[Total],His_Operacoes_acoes[Fimmes],Patrimônio!B227,His_Operacoes_acoes[Operação],"JCP")
+ SUMIFS(His_Operacoes_acoes[Total],His_Operacoes_acoes[Fimmes],Patrimônio!B227,His_Operacoes_acoes[Operação],"Divid.")
+ SUMIFS(His_Operacoes_acoes[Total],His_Operacoes_acoes[Fimmes],Patrimônio!B227,His_Operacoes_acoes[Operação],"Bonif.")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49249</v>
      </c>
      <c r="B228" s="7">
        <f t="shared" si="15"/>
        <v>49248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SUMIFS(His_Operacoes_acoes[Total],His_Operacoes_acoes[Fimmes],Patrimônio!B228,His_Operacoes_acoes[Operação],"JCP")
+ SUMIFS(His_Operacoes_acoes[Total],His_Operacoes_acoes[Fimmes],Patrimônio!B228,His_Operacoes_acoes[Operação],"Divid.")
+ SUMIFS(His_Operacoes_acoes[Total],His_Operacoes_acoes[Fimmes],Patrimônio!B228,His_Operacoes_acoes[Operação],"Bonif.")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49279</v>
      </c>
      <c r="B229" s="7">
        <f t="shared" si="15"/>
        <v>49278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SUMIFS(His_Operacoes_acoes[Total],His_Operacoes_acoes[Fimmes],Patrimônio!B229,His_Operacoes_acoes[Operação],"JCP")
+ SUMIFS(His_Operacoes_acoes[Total],His_Operacoes_acoes[Fimmes],Patrimônio!B229,His_Operacoes_acoes[Operação],"Divid.")
+ SUMIFS(His_Operacoes_acoes[Total],His_Operacoes_acoes[Fimmes],Patrimônio!B229,His_Operacoes_acoes[Operação],"Bonif.")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49310</v>
      </c>
      <c r="B230" s="7">
        <f t="shared" si="15"/>
        <v>49309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SUMIFS(His_Operacoes_acoes[Total],His_Operacoes_acoes[Fimmes],Patrimônio!B230,His_Operacoes_acoes[Operação],"JCP")
+ SUMIFS(His_Operacoes_acoes[Total],His_Operacoes_acoes[Fimmes],Patrimônio!B230,His_Operacoes_acoes[Operação],"Divid.")
+ SUMIFS(His_Operacoes_acoes[Total],His_Operacoes_acoes[Fimmes],Patrimônio!B230,His_Operacoes_acoes[Operação],"Bonif.")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49341</v>
      </c>
      <c r="B231" s="7">
        <f t="shared" si="15"/>
        <v>49340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SUMIFS(His_Operacoes_acoes[Total],His_Operacoes_acoes[Fimmes],Patrimônio!B231,His_Operacoes_acoes[Operação],"JCP")
+ SUMIFS(His_Operacoes_acoes[Total],His_Operacoes_acoes[Fimmes],Patrimônio!B231,His_Operacoes_acoes[Operação],"Divid.")
+ SUMIFS(His_Operacoes_acoes[Total],His_Operacoes_acoes[Fimmes],Patrimônio!B231,His_Operacoes_acoes[Operação],"Bonif.")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49369</v>
      </c>
      <c r="B232" s="7">
        <f t="shared" si="15"/>
        <v>49368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SUMIFS(His_Operacoes_acoes[Total],His_Operacoes_acoes[Fimmes],Patrimônio!B232,His_Operacoes_acoes[Operação],"JCP")
+ SUMIFS(His_Operacoes_acoes[Total],His_Operacoes_acoes[Fimmes],Patrimônio!B232,His_Operacoes_acoes[Operação],"Divid.")
+ SUMIFS(His_Operacoes_acoes[Total],His_Operacoes_acoes[Fimmes],Patrimônio!B232,His_Operacoes_acoes[Operação],"Bonif.")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49400</v>
      </c>
      <c r="B233" s="7">
        <f t="shared" si="15"/>
        <v>49399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SUMIFS(His_Operacoes_acoes[Total],His_Operacoes_acoes[Fimmes],Patrimônio!B233,His_Operacoes_acoes[Operação],"JCP")
+ SUMIFS(His_Operacoes_acoes[Total],His_Operacoes_acoes[Fimmes],Patrimônio!B233,His_Operacoes_acoes[Operação],"Divid.")
+ SUMIFS(His_Operacoes_acoes[Total],His_Operacoes_acoes[Fimmes],Patrimônio!B233,His_Operacoes_acoes[Operação],"Bonif.")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49430</v>
      </c>
      <c r="B234" s="7">
        <f t="shared" si="15"/>
        <v>49429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SUMIFS(His_Operacoes_acoes[Total],His_Operacoes_acoes[Fimmes],Patrimônio!B234,His_Operacoes_acoes[Operação],"JCP")
+ SUMIFS(His_Operacoes_acoes[Total],His_Operacoes_acoes[Fimmes],Patrimônio!B234,His_Operacoes_acoes[Operação],"Divid.")
+ SUMIFS(His_Operacoes_acoes[Total],His_Operacoes_acoes[Fimmes],Patrimônio!B234,His_Operacoes_acoes[Operação],"Bonif.")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49461</v>
      </c>
      <c r="B235" s="7">
        <f t="shared" si="15"/>
        <v>49460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SUMIFS(His_Operacoes_acoes[Total],His_Operacoes_acoes[Fimmes],Patrimônio!B235,His_Operacoes_acoes[Operação],"JCP")
+ SUMIFS(His_Operacoes_acoes[Total],His_Operacoes_acoes[Fimmes],Patrimônio!B235,His_Operacoes_acoes[Operação],"Divid.")
+ SUMIFS(His_Operacoes_acoes[Total],His_Operacoes_acoes[Fimmes],Patrimônio!B235,His_Operacoes_acoes[Operação],"Bonif.")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49491</v>
      </c>
      <c r="B236" s="7">
        <f t="shared" si="15"/>
        <v>49490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SUMIFS(His_Operacoes_acoes[Total],His_Operacoes_acoes[Fimmes],Patrimônio!B236,His_Operacoes_acoes[Operação],"JCP")
+ SUMIFS(His_Operacoes_acoes[Total],His_Operacoes_acoes[Fimmes],Patrimônio!B236,His_Operacoes_acoes[Operação],"Divid.")
+ SUMIFS(His_Operacoes_acoes[Total],His_Operacoes_acoes[Fimmes],Patrimônio!B236,His_Operacoes_acoes[Operação],"Bonif.")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49522</v>
      </c>
      <c r="B237" s="7">
        <f t="shared" si="15"/>
        <v>49521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SUMIFS(His_Operacoes_acoes[Total],His_Operacoes_acoes[Fimmes],Patrimônio!B237,His_Operacoes_acoes[Operação],"JCP")
+ SUMIFS(His_Operacoes_acoes[Total],His_Operacoes_acoes[Fimmes],Patrimônio!B237,His_Operacoes_acoes[Operação],"Divid.")
+ SUMIFS(His_Operacoes_acoes[Total],His_Operacoes_acoes[Fimmes],Patrimônio!B237,His_Operacoes_acoes[Operação],"Bonif.")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49553</v>
      </c>
      <c r="B238" s="7">
        <f t="shared" si="15"/>
        <v>49552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SUMIFS(His_Operacoes_acoes[Total],His_Operacoes_acoes[Fimmes],Patrimônio!B238,His_Operacoes_acoes[Operação],"JCP")
+ SUMIFS(His_Operacoes_acoes[Total],His_Operacoes_acoes[Fimmes],Patrimônio!B238,His_Operacoes_acoes[Operação],"Divid.")
+ SUMIFS(His_Operacoes_acoes[Total],His_Operacoes_acoes[Fimmes],Patrimônio!B238,His_Operacoes_acoes[Operação],"Bonif.")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49583</v>
      </c>
      <c r="B239" s="7">
        <f t="shared" si="15"/>
        <v>49582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SUMIFS(His_Operacoes_acoes[Total],His_Operacoes_acoes[Fimmes],Patrimônio!B239,His_Operacoes_acoes[Operação],"JCP")
+ SUMIFS(His_Operacoes_acoes[Total],His_Operacoes_acoes[Fimmes],Patrimônio!B239,His_Operacoes_acoes[Operação],"Divid.")
+ SUMIFS(His_Operacoes_acoes[Total],His_Operacoes_acoes[Fimmes],Patrimônio!B239,His_Operacoes_acoes[Operação],"Bonif.")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49614</v>
      </c>
      <c r="B240" s="7">
        <f t="shared" si="15"/>
        <v>49613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SUMIFS(His_Operacoes_acoes[Total],His_Operacoes_acoes[Fimmes],Patrimônio!B240,His_Operacoes_acoes[Operação],"JCP")
+ SUMIFS(His_Operacoes_acoes[Total],His_Operacoes_acoes[Fimmes],Patrimônio!B240,His_Operacoes_acoes[Operação],"Divid.")
+ SUMIFS(His_Operacoes_acoes[Total],His_Operacoes_acoes[Fimmes],Patrimônio!B240,His_Operacoes_acoes[Operação],"Bonif.")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49644</v>
      </c>
      <c r="B241" s="7">
        <f t="shared" si="15"/>
        <v>49643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SUMIFS(His_Operacoes_acoes[Total],His_Operacoes_acoes[Fimmes],Patrimônio!B241,His_Operacoes_acoes[Operação],"JCP")
+ SUMIFS(His_Operacoes_acoes[Total],His_Operacoes_acoes[Fimmes],Patrimônio!B241,His_Operacoes_acoes[Operação],"Divid.")
+ SUMIFS(His_Operacoes_acoes[Total],His_Operacoes_acoes[Fimmes],Patrimônio!B241,His_Operacoes_acoes[Operação],"Bonif.")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49675</v>
      </c>
      <c r="B242" s="7">
        <f t="shared" si="15"/>
        <v>49674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SUMIFS(His_Operacoes_acoes[Total],His_Operacoes_acoes[Fimmes],Patrimônio!B242,His_Operacoes_acoes[Operação],"JCP")
+ SUMIFS(His_Operacoes_acoes[Total],His_Operacoes_acoes[Fimmes],Patrimônio!B242,His_Operacoes_acoes[Operação],"Divid.")
+ SUMIFS(His_Operacoes_acoes[Total],His_Operacoes_acoes[Fimmes],Patrimônio!B242,His_Operacoes_acoes[Operação],"Bonif.")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49706</v>
      </c>
      <c r="B243" s="7">
        <f t="shared" si="15"/>
        <v>49705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SUMIFS(His_Operacoes_acoes[Total],His_Operacoes_acoes[Fimmes],Patrimônio!B243,His_Operacoes_acoes[Operação],"JCP")
+ SUMIFS(His_Operacoes_acoes[Total],His_Operacoes_acoes[Fimmes],Patrimônio!B243,His_Operacoes_acoes[Operação],"Divid.")
+ SUMIFS(His_Operacoes_acoes[Total],His_Operacoes_acoes[Fimmes],Patrimônio!B243,His_Operacoes_acoes[Operação],"Bonif.")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49735</v>
      </c>
      <c r="B244" s="7">
        <f t="shared" si="15"/>
        <v>49734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SUMIFS(His_Operacoes_acoes[Total],His_Operacoes_acoes[Fimmes],Patrimônio!B244,His_Operacoes_acoes[Operação],"JCP")
+ SUMIFS(His_Operacoes_acoes[Total],His_Operacoes_acoes[Fimmes],Patrimônio!B244,His_Operacoes_acoes[Operação],"Divid.")
+ SUMIFS(His_Operacoes_acoes[Total],His_Operacoes_acoes[Fimmes],Patrimônio!B244,His_Operacoes_acoes[Operação],"Bonif.")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49766</v>
      </c>
      <c r="B245" s="7">
        <f t="shared" si="15"/>
        <v>49765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SUMIFS(His_Operacoes_acoes[Total],His_Operacoes_acoes[Fimmes],Patrimônio!B245,His_Operacoes_acoes[Operação],"JCP")
+ SUMIFS(His_Operacoes_acoes[Total],His_Operacoes_acoes[Fimmes],Patrimônio!B245,His_Operacoes_acoes[Operação],"Divid.")
+ SUMIFS(His_Operacoes_acoes[Total],His_Operacoes_acoes[Fimmes],Patrimônio!B245,His_Operacoes_acoes[Operação],"Bonif.")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49796</v>
      </c>
      <c r="B246" s="7">
        <f t="shared" si="15"/>
        <v>49795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SUMIFS(His_Operacoes_acoes[Total],His_Operacoes_acoes[Fimmes],Patrimônio!B246,His_Operacoes_acoes[Operação],"JCP")
+ SUMIFS(His_Operacoes_acoes[Total],His_Operacoes_acoes[Fimmes],Patrimônio!B246,His_Operacoes_acoes[Operação],"Divid.")
+ SUMIFS(His_Operacoes_acoes[Total],His_Operacoes_acoes[Fimmes],Patrimônio!B246,His_Operacoes_acoes[Operação],"Bonif.")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49827</v>
      </c>
      <c r="B247" s="7">
        <f t="shared" si="15"/>
        <v>49826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SUMIFS(His_Operacoes_acoes[Total],His_Operacoes_acoes[Fimmes],Patrimônio!B247,His_Operacoes_acoes[Operação],"JCP")
+ SUMIFS(His_Operacoes_acoes[Total],His_Operacoes_acoes[Fimmes],Patrimônio!B247,His_Operacoes_acoes[Operação],"Divid.")
+ SUMIFS(His_Operacoes_acoes[Total],His_Operacoes_acoes[Fimmes],Patrimônio!B247,His_Operacoes_acoes[Operação],"Bonif.")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49857</v>
      </c>
      <c r="B248" s="7">
        <f t="shared" si="15"/>
        <v>49856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SUMIFS(His_Operacoes_acoes[Total],His_Operacoes_acoes[Fimmes],Patrimônio!B248,His_Operacoes_acoes[Operação],"JCP")
+ SUMIFS(His_Operacoes_acoes[Total],His_Operacoes_acoes[Fimmes],Patrimônio!B248,His_Operacoes_acoes[Operação],"Divid.")
+ SUMIFS(His_Operacoes_acoes[Total],His_Operacoes_acoes[Fimmes],Patrimônio!B248,His_Operacoes_acoes[Operação],"Bonif.")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49888</v>
      </c>
      <c r="B249" s="7">
        <f t="shared" si="15"/>
        <v>49887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SUMIFS(His_Operacoes_acoes[Total],His_Operacoes_acoes[Fimmes],Patrimônio!B249,His_Operacoes_acoes[Operação],"JCP")
+ SUMIFS(His_Operacoes_acoes[Total],His_Operacoes_acoes[Fimmes],Patrimônio!B249,His_Operacoes_acoes[Operação],"Divid.")
+ SUMIFS(His_Operacoes_acoes[Total],His_Operacoes_acoes[Fimmes],Patrimônio!B249,His_Operacoes_acoes[Operação],"Bonif.")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49919</v>
      </c>
      <c r="B250" s="7">
        <f t="shared" si="15"/>
        <v>49918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SUMIFS(His_Operacoes_acoes[Total],His_Operacoes_acoes[Fimmes],Patrimônio!B250,His_Operacoes_acoes[Operação],"JCP")
+ SUMIFS(His_Operacoes_acoes[Total],His_Operacoes_acoes[Fimmes],Patrimônio!B250,His_Operacoes_acoes[Operação],"Divid.")
+ SUMIFS(His_Operacoes_acoes[Total],His_Operacoes_acoes[Fimmes],Patrimônio!B250,His_Operacoes_acoes[Operação],"Bonif.")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49949</v>
      </c>
      <c r="B251" s="7">
        <f t="shared" si="15"/>
        <v>49948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SUMIFS(His_Operacoes_acoes[Total],His_Operacoes_acoes[Fimmes],Patrimônio!B251,His_Operacoes_acoes[Operação],"JCP")
+ SUMIFS(His_Operacoes_acoes[Total],His_Operacoes_acoes[Fimmes],Patrimônio!B251,His_Operacoes_acoes[Operação],"Divid.")
+ SUMIFS(His_Operacoes_acoes[Total],His_Operacoes_acoes[Fimmes],Patrimônio!B251,His_Operacoes_acoes[Operação],"Bonif.")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49980</v>
      </c>
      <c r="B252" s="7">
        <f t="shared" si="15"/>
        <v>49979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SUMIFS(His_Operacoes_acoes[Total],His_Operacoes_acoes[Fimmes],Patrimônio!B252,His_Operacoes_acoes[Operação],"JCP")
+ SUMIFS(His_Operacoes_acoes[Total],His_Operacoes_acoes[Fimmes],Patrimônio!B252,His_Operacoes_acoes[Operação],"Divid.")
+ SUMIFS(His_Operacoes_acoes[Total],His_Operacoes_acoes[Fimmes],Patrimônio!B252,His_Operacoes_acoes[Operação],"Bonif.")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50010</v>
      </c>
      <c r="B253" s="7">
        <f t="shared" si="15"/>
        <v>50009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SUMIFS(His_Operacoes_acoes[Total],His_Operacoes_acoes[Fimmes],Patrimônio!B253,His_Operacoes_acoes[Operação],"JCP")
+ SUMIFS(His_Operacoes_acoes[Total],His_Operacoes_acoes[Fimmes],Patrimônio!B253,His_Operacoes_acoes[Operação],"Divid.")
+ SUMIFS(His_Operacoes_acoes[Total],His_Operacoes_acoes[Fimmes],Patrimônio!B253,His_Operacoes_acoes[Operação],"Bonif.")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50041</v>
      </c>
      <c r="B254" s="7">
        <f t="shared" si="15"/>
        <v>50040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SUMIFS(His_Operacoes_acoes[Total],His_Operacoes_acoes[Fimmes],Patrimônio!B254,His_Operacoes_acoes[Operação],"JCP")
+ SUMIFS(His_Operacoes_acoes[Total],His_Operacoes_acoes[Fimmes],Patrimônio!B254,His_Operacoes_acoes[Operação],"Divid.")
+ SUMIFS(His_Operacoes_acoes[Total],His_Operacoes_acoes[Fimmes],Patrimônio!B254,His_Operacoes_acoes[Operação],"Bonif.")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50072</v>
      </c>
      <c r="B255" s="7">
        <f t="shared" si="15"/>
        <v>50071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SUMIFS(His_Operacoes_acoes[Total],His_Operacoes_acoes[Fimmes],Patrimônio!B255,His_Operacoes_acoes[Operação],"JCP")
+ SUMIFS(His_Operacoes_acoes[Total],His_Operacoes_acoes[Fimmes],Patrimônio!B255,His_Operacoes_acoes[Operação],"Divid.")
+ SUMIFS(His_Operacoes_acoes[Total],His_Operacoes_acoes[Fimmes],Patrimônio!B255,His_Operacoes_acoes[Operação],"Bonif.")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50100</v>
      </c>
      <c r="B256" s="7">
        <f t="shared" si="15"/>
        <v>50099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SUMIFS(His_Operacoes_acoes[Total],His_Operacoes_acoes[Fimmes],Patrimônio!B256,His_Operacoes_acoes[Operação],"JCP")
+ SUMIFS(His_Operacoes_acoes[Total],His_Operacoes_acoes[Fimmes],Patrimônio!B256,His_Operacoes_acoes[Operação],"Divid.")
+ SUMIFS(His_Operacoes_acoes[Total],His_Operacoes_acoes[Fimmes],Patrimônio!B256,His_Operacoes_acoes[Operação],"Bonif.")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50131</v>
      </c>
      <c r="B257" s="7">
        <f t="shared" si="15"/>
        <v>50130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SUMIFS(His_Operacoes_acoes[Total],His_Operacoes_acoes[Fimmes],Patrimônio!B257,His_Operacoes_acoes[Operação],"JCP")
+ SUMIFS(His_Operacoes_acoes[Total],His_Operacoes_acoes[Fimmes],Patrimônio!B257,His_Operacoes_acoes[Operação],"Divid.")
+ SUMIFS(His_Operacoes_acoes[Total],His_Operacoes_acoes[Fimmes],Patrimônio!B257,His_Operacoes_acoes[Operação],"Bonif.")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50161</v>
      </c>
      <c r="B258" s="7">
        <f t="shared" si="15"/>
        <v>50160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SUMIFS(His_Operacoes_acoes[Total],His_Operacoes_acoes[Fimmes],Patrimônio!B258,His_Operacoes_acoes[Operação],"JCP")
+ SUMIFS(His_Operacoes_acoes[Total],His_Operacoes_acoes[Fimmes],Patrimônio!B258,His_Operacoes_acoes[Operação],"Divid.")
+ SUMIFS(His_Operacoes_acoes[Total],His_Operacoes_acoes[Fimmes],Patrimônio!B258,His_Operacoes_acoes[Operação],"Bonif.")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50192</v>
      </c>
      <c r="B259" s="7">
        <f t="shared" ref="B259:B322" si="19">EOMONTH(A259,-1)</f>
        <v>50191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SUMIFS(His_Operacoes_acoes[Total],His_Operacoes_acoes[Fimmes],Patrimônio!B259,His_Operacoes_acoes[Operação],"JCP")
+ SUMIFS(His_Operacoes_acoes[Total],His_Operacoes_acoes[Fimmes],Patrimônio!B259,His_Operacoes_acoes[Operação],"Divid.")
+ SUMIFS(His_Operacoes_acoes[Total],His_Operacoes_acoes[Fimmes],Patrimônio!B259,His_Operacoes_acoes[Operação],"Bonif.")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50222</v>
      </c>
      <c r="B260" s="7">
        <f t="shared" si="19"/>
        <v>50221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SUMIFS(His_Operacoes_acoes[Total],His_Operacoes_acoes[Fimmes],Patrimônio!B260,His_Operacoes_acoes[Operação],"JCP")
+ SUMIFS(His_Operacoes_acoes[Total],His_Operacoes_acoes[Fimmes],Patrimônio!B260,His_Operacoes_acoes[Operação],"Divid.")
+ SUMIFS(His_Operacoes_acoes[Total],His_Operacoes_acoes[Fimmes],Patrimônio!B260,His_Operacoes_acoes[Operação],"Bonif.")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50253</v>
      </c>
      <c r="B261" s="7">
        <f t="shared" si="19"/>
        <v>50252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SUMIFS(His_Operacoes_acoes[Total],His_Operacoes_acoes[Fimmes],Patrimônio!B261,His_Operacoes_acoes[Operação],"JCP")
+ SUMIFS(His_Operacoes_acoes[Total],His_Operacoes_acoes[Fimmes],Patrimônio!B261,His_Operacoes_acoes[Operação],"Divid.")
+ SUMIFS(His_Operacoes_acoes[Total],His_Operacoes_acoes[Fimmes],Patrimônio!B261,His_Operacoes_acoes[Operação],"Bonif.")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50284</v>
      </c>
      <c r="B262" s="7">
        <f t="shared" si="19"/>
        <v>50283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SUMIFS(His_Operacoes_acoes[Total],His_Operacoes_acoes[Fimmes],Patrimônio!B262,His_Operacoes_acoes[Operação],"JCP")
+ SUMIFS(His_Operacoes_acoes[Total],His_Operacoes_acoes[Fimmes],Patrimônio!B262,His_Operacoes_acoes[Operação],"Divid.")
+ SUMIFS(His_Operacoes_acoes[Total],His_Operacoes_acoes[Fimmes],Patrimônio!B262,His_Operacoes_acoes[Operação],"Bonif.")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50314</v>
      </c>
      <c r="B263" s="7">
        <f t="shared" si="19"/>
        <v>50313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SUMIFS(His_Operacoes_acoes[Total],His_Operacoes_acoes[Fimmes],Patrimônio!B263,His_Operacoes_acoes[Operação],"JCP")
+ SUMIFS(His_Operacoes_acoes[Total],His_Operacoes_acoes[Fimmes],Patrimônio!B263,His_Operacoes_acoes[Operação],"Divid.")
+ SUMIFS(His_Operacoes_acoes[Total],His_Operacoes_acoes[Fimmes],Patrimônio!B263,His_Operacoes_acoes[Operação],"Bonif.")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50345</v>
      </c>
      <c r="B264" s="7">
        <f t="shared" si="19"/>
        <v>50344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SUMIFS(His_Operacoes_acoes[Total],His_Operacoes_acoes[Fimmes],Patrimônio!B264,His_Operacoes_acoes[Operação],"JCP")
+ SUMIFS(His_Operacoes_acoes[Total],His_Operacoes_acoes[Fimmes],Patrimônio!B264,His_Operacoes_acoes[Operação],"Divid.")
+ SUMIFS(His_Operacoes_acoes[Total],His_Operacoes_acoes[Fimmes],Patrimônio!B264,His_Operacoes_acoes[Operação],"Bonif.")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50375</v>
      </c>
      <c r="B265" s="7">
        <f t="shared" si="19"/>
        <v>50374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SUMIFS(His_Operacoes_acoes[Total],His_Operacoes_acoes[Fimmes],Patrimônio!B265,His_Operacoes_acoes[Operação],"JCP")
+ SUMIFS(His_Operacoes_acoes[Total],His_Operacoes_acoes[Fimmes],Patrimônio!B265,His_Operacoes_acoes[Operação],"Divid.")
+ SUMIFS(His_Operacoes_acoes[Total],His_Operacoes_acoes[Fimmes],Patrimônio!B265,His_Operacoes_acoes[Operação],"Bonif.")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50406</v>
      </c>
      <c r="B266" s="7">
        <f t="shared" si="19"/>
        <v>50405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SUMIFS(His_Operacoes_acoes[Total],His_Operacoes_acoes[Fimmes],Patrimônio!B266,His_Operacoes_acoes[Operação],"JCP")
+ SUMIFS(His_Operacoes_acoes[Total],His_Operacoes_acoes[Fimmes],Patrimônio!B266,His_Operacoes_acoes[Operação],"Divid.")
+ SUMIFS(His_Operacoes_acoes[Total],His_Operacoes_acoes[Fimmes],Patrimônio!B266,His_Operacoes_acoes[Operação],"Bonif.")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50437</v>
      </c>
      <c r="B267" s="7">
        <f t="shared" si="19"/>
        <v>50436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SUMIFS(His_Operacoes_acoes[Total],His_Operacoes_acoes[Fimmes],Patrimônio!B267,His_Operacoes_acoes[Operação],"JCP")
+ SUMIFS(His_Operacoes_acoes[Total],His_Operacoes_acoes[Fimmes],Patrimônio!B267,His_Operacoes_acoes[Operação],"Divid.")
+ SUMIFS(His_Operacoes_acoes[Total],His_Operacoes_acoes[Fimmes],Patrimônio!B267,His_Operacoes_acoes[Operação],"Bonif.")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50465</v>
      </c>
      <c r="B268" s="7">
        <f t="shared" si="19"/>
        <v>50464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SUMIFS(His_Operacoes_acoes[Total],His_Operacoes_acoes[Fimmes],Patrimônio!B268,His_Operacoes_acoes[Operação],"JCP")
+ SUMIFS(His_Operacoes_acoes[Total],His_Operacoes_acoes[Fimmes],Patrimônio!B268,His_Operacoes_acoes[Operação],"Divid.")
+ SUMIFS(His_Operacoes_acoes[Total],His_Operacoes_acoes[Fimmes],Patrimônio!B268,His_Operacoes_acoes[Operação],"Bonif.")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50496</v>
      </c>
      <c r="B269" s="7">
        <f t="shared" si="19"/>
        <v>50495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SUMIFS(His_Operacoes_acoes[Total],His_Operacoes_acoes[Fimmes],Patrimônio!B269,His_Operacoes_acoes[Operação],"JCP")
+ SUMIFS(His_Operacoes_acoes[Total],His_Operacoes_acoes[Fimmes],Patrimônio!B269,His_Operacoes_acoes[Operação],"Divid.")
+ SUMIFS(His_Operacoes_acoes[Total],His_Operacoes_acoes[Fimmes],Patrimônio!B269,His_Operacoes_acoes[Operação],"Bonif.")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50526</v>
      </c>
      <c r="B270" s="7">
        <f t="shared" si="19"/>
        <v>50525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SUMIFS(His_Operacoes_acoes[Total],His_Operacoes_acoes[Fimmes],Patrimônio!B270,His_Operacoes_acoes[Operação],"JCP")
+ SUMIFS(His_Operacoes_acoes[Total],His_Operacoes_acoes[Fimmes],Patrimônio!B270,His_Operacoes_acoes[Operação],"Divid.")
+ SUMIFS(His_Operacoes_acoes[Total],His_Operacoes_acoes[Fimmes],Patrimônio!B270,His_Operacoes_acoes[Operação],"Bonif.")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50557</v>
      </c>
      <c r="B271" s="7">
        <f t="shared" si="19"/>
        <v>50556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SUMIFS(His_Operacoes_acoes[Total],His_Operacoes_acoes[Fimmes],Patrimônio!B271,His_Operacoes_acoes[Operação],"JCP")
+ SUMIFS(His_Operacoes_acoes[Total],His_Operacoes_acoes[Fimmes],Patrimônio!B271,His_Operacoes_acoes[Operação],"Divid.")
+ SUMIFS(His_Operacoes_acoes[Total],His_Operacoes_acoes[Fimmes],Patrimônio!B271,His_Operacoes_acoes[Operação],"Bonif.")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50587</v>
      </c>
      <c r="B272" s="7">
        <f t="shared" si="19"/>
        <v>50586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SUMIFS(His_Operacoes_acoes[Total],His_Operacoes_acoes[Fimmes],Patrimônio!B272,His_Operacoes_acoes[Operação],"JCP")
+ SUMIFS(His_Operacoes_acoes[Total],His_Operacoes_acoes[Fimmes],Patrimônio!B272,His_Operacoes_acoes[Operação],"Divid.")
+ SUMIFS(His_Operacoes_acoes[Total],His_Operacoes_acoes[Fimmes],Patrimônio!B272,His_Operacoes_acoes[Operação],"Bonif.")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50618</v>
      </c>
      <c r="B273" s="7">
        <f t="shared" si="19"/>
        <v>50617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SUMIFS(His_Operacoes_acoes[Total],His_Operacoes_acoes[Fimmes],Patrimônio!B273,His_Operacoes_acoes[Operação],"JCP")
+ SUMIFS(His_Operacoes_acoes[Total],His_Operacoes_acoes[Fimmes],Patrimônio!B273,His_Operacoes_acoes[Operação],"Divid.")
+ SUMIFS(His_Operacoes_acoes[Total],His_Operacoes_acoes[Fimmes],Patrimônio!B273,His_Operacoes_acoes[Operação],"Bonif.")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50649</v>
      </c>
      <c r="B274" s="7">
        <f t="shared" si="19"/>
        <v>50648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SUMIFS(His_Operacoes_acoes[Total],His_Operacoes_acoes[Fimmes],Patrimônio!B274,His_Operacoes_acoes[Operação],"JCP")
+ SUMIFS(His_Operacoes_acoes[Total],His_Operacoes_acoes[Fimmes],Patrimônio!B274,His_Operacoes_acoes[Operação],"Divid.")
+ SUMIFS(His_Operacoes_acoes[Total],His_Operacoes_acoes[Fimmes],Patrimônio!B274,His_Operacoes_acoes[Operação],"Bonif.")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50679</v>
      </c>
      <c r="B275" s="7">
        <f t="shared" si="19"/>
        <v>50678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SUMIFS(His_Operacoes_acoes[Total],His_Operacoes_acoes[Fimmes],Patrimônio!B275,His_Operacoes_acoes[Operação],"JCP")
+ SUMIFS(His_Operacoes_acoes[Total],His_Operacoes_acoes[Fimmes],Patrimônio!B275,His_Operacoes_acoes[Operação],"Divid.")
+ SUMIFS(His_Operacoes_acoes[Total],His_Operacoes_acoes[Fimmes],Patrimônio!B275,His_Operacoes_acoes[Operação],"Bonif.")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50710</v>
      </c>
      <c r="B276" s="7">
        <f t="shared" si="19"/>
        <v>50709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SUMIFS(His_Operacoes_acoes[Total],His_Operacoes_acoes[Fimmes],Patrimônio!B276,His_Operacoes_acoes[Operação],"JCP")
+ SUMIFS(His_Operacoes_acoes[Total],His_Operacoes_acoes[Fimmes],Patrimônio!B276,His_Operacoes_acoes[Operação],"Divid.")
+ SUMIFS(His_Operacoes_acoes[Total],His_Operacoes_acoes[Fimmes],Patrimônio!B276,His_Operacoes_acoes[Operação],"Bonif.")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50740</v>
      </c>
      <c r="B277" s="7">
        <f t="shared" si="19"/>
        <v>50739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SUMIFS(His_Operacoes_acoes[Total],His_Operacoes_acoes[Fimmes],Patrimônio!B277,His_Operacoes_acoes[Operação],"JCP")
+ SUMIFS(His_Operacoes_acoes[Total],His_Operacoes_acoes[Fimmes],Patrimônio!B277,His_Operacoes_acoes[Operação],"Divid.")
+ SUMIFS(His_Operacoes_acoes[Total],His_Operacoes_acoes[Fimmes],Patrimônio!B277,His_Operacoes_acoes[Operação],"Bonif.")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50771</v>
      </c>
      <c r="B278" s="7">
        <f t="shared" si="19"/>
        <v>50770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SUMIFS(His_Operacoes_acoes[Total],His_Operacoes_acoes[Fimmes],Patrimônio!B278,His_Operacoes_acoes[Operação],"JCP")
+ SUMIFS(His_Operacoes_acoes[Total],His_Operacoes_acoes[Fimmes],Patrimônio!B278,His_Operacoes_acoes[Operação],"Divid.")
+ SUMIFS(His_Operacoes_acoes[Total],His_Operacoes_acoes[Fimmes],Patrimônio!B278,His_Operacoes_acoes[Operação],"Bonif.")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50802</v>
      </c>
      <c r="B279" s="7">
        <f t="shared" si="19"/>
        <v>50801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SUMIFS(His_Operacoes_acoes[Total],His_Operacoes_acoes[Fimmes],Patrimônio!B279,His_Operacoes_acoes[Operação],"JCP")
+ SUMIFS(His_Operacoes_acoes[Total],His_Operacoes_acoes[Fimmes],Patrimônio!B279,His_Operacoes_acoes[Operação],"Divid.")
+ SUMIFS(His_Operacoes_acoes[Total],His_Operacoes_acoes[Fimmes],Patrimônio!B279,His_Operacoes_acoes[Operação],"Bonif.")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50830</v>
      </c>
      <c r="B280" s="7">
        <f t="shared" si="19"/>
        <v>50829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SUMIFS(His_Operacoes_acoes[Total],His_Operacoes_acoes[Fimmes],Patrimônio!B280,His_Operacoes_acoes[Operação],"JCP")
+ SUMIFS(His_Operacoes_acoes[Total],His_Operacoes_acoes[Fimmes],Patrimônio!B280,His_Operacoes_acoes[Operação],"Divid.")
+ SUMIFS(His_Operacoes_acoes[Total],His_Operacoes_acoes[Fimmes],Patrimônio!B280,His_Operacoes_acoes[Operação],"Bonif.")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50861</v>
      </c>
      <c r="B281" s="7">
        <f t="shared" si="19"/>
        <v>50860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SUMIFS(His_Operacoes_acoes[Total],His_Operacoes_acoes[Fimmes],Patrimônio!B281,His_Operacoes_acoes[Operação],"JCP")
+ SUMIFS(His_Operacoes_acoes[Total],His_Operacoes_acoes[Fimmes],Patrimônio!B281,His_Operacoes_acoes[Operação],"Divid.")
+ SUMIFS(His_Operacoes_acoes[Total],His_Operacoes_acoes[Fimmes],Patrimônio!B281,His_Operacoes_acoes[Operação],"Bonif.")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50891</v>
      </c>
      <c r="B282" s="7">
        <f t="shared" si="19"/>
        <v>50890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SUMIFS(His_Operacoes_acoes[Total],His_Operacoes_acoes[Fimmes],Patrimônio!B282,His_Operacoes_acoes[Operação],"JCP")
+ SUMIFS(His_Operacoes_acoes[Total],His_Operacoes_acoes[Fimmes],Patrimônio!B282,His_Operacoes_acoes[Operação],"Divid.")
+ SUMIFS(His_Operacoes_acoes[Total],His_Operacoes_acoes[Fimmes],Patrimônio!B282,His_Operacoes_acoes[Operação],"Bonif.")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50922</v>
      </c>
      <c r="B283" s="7">
        <f t="shared" si="19"/>
        <v>50921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SUMIFS(His_Operacoes_acoes[Total],His_Operacoes_acoes[Fimmes],Patrimônio!B283,His_Operacoes_acoes[Operação],"JCP")
+ SUMIFS(His_Operacoes_acoes[Total],His_Operacoes_acoes[Fimmes],Patrimônio!B283,His_Operacoes_acoes[Operação],"Divid.")
+ SUMIFS(His_Operacoes_acoes[Total],His_Operacoes_acoes[Fimmes],Patrimônio!B283,His_Operacoes_acoes[Operação],"Bonif.")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50952</v>
      </c>
      <c r="B284" s="7">
        <f t="shared" si="19"/>
        <v>50951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SUMIFS(His_Operacoes_acoes[Total],His_Operacoes_acoes[Fimmes],Patrimônio!B284,His_Operacoes_acoes[Operação],"JCP")
+ SUMIFS(His_Operacoes_acoes[Total],His_Operacoes_acoes[Fimmes],Patrimônio!B284,His_Operacoes_acoes[Operação],"Divid.")
+ SUMIFS(His_Operacoes_acoes[Total],His_Operacoes_acoes[Fimmes],Patrimônio!B284,His_Operacoes_acoes[Operação],"Bonif.")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50983</v>
      </c>
      <c r="B285" s="7">
        <f t="shared" si="19"/>
        <v>50982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SUMIFS(His_Operacoes_acoes[Total],His_Operacoes_acoes[Fimmes],Patrimônio!B285,His_Operacoes_acoes[Operação],"JCP")
+ SUMIFS(His_Operacoes_acoes[Total],His_Operacoes_acoes[Fimmes],Patrimônio!B285,His_Operacoes_acoes[Operação],"Divid.")
+ SUMIFS(His_Operacoes_acoes[Total],His_Operacoes_acoes[Fimmes],Patrimônio!B285,His_Operacoes_acoes[Operação],"Bonif.")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51014</v>
      </c>
      <c r="B286" s="7">
        <f t="shared" si="19"/>
        <v>51013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SUMIFS(His_Operacoes_acoes[Total],His_Operacoes_acoes[Fimmes],Patrimônio!B286,His_Operacoes_acoes[Operação],"JCP")
+ SUMIFS(His_Operacoes_acoes[Total],His_Operacoes_acoes[Fimmes],Patrimônio!B286,His_Operacoes_acoes[Operação],"Divid.")
+ SUMIFS(His_Operacoes_acoes[Total],His_Operacoes_acoes[Fimmes],Patrimônio!B286,His_Operacoes_acoes[Operação],"Bonif.")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51044</v>
      </c>
      <c r="B287" s="7">
        <f t="shared" si="19"/>
        <v>51043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SUMIFS(His_Operacoes_acoes[Total],His_Operacoes_acoes[Fimmes],Patrimônio!B287,His_Operacoes_acoes[Operação],"JCP")
+ SUMIFS(His_Operacoes_acoes[Total],His_Operacoes_acoes[Fimmes],Patrimônio!B287,His_Operacoes_acoes[Operação],"Divid.")
+ SUMIFS(His_Operacoes_acoes[Total],His_Operacoes_acoes[Fimmes],Patrimônio!B287,His_Operacoes_acoes[Operação],"Bonif.")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51075</v>
      </c>
      <c r="B288" s="7">
        <f t="shared" si="19"/>
        <v>51074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SUMIFS(His_Operacoes_acoes[Total],His_Operacoes_acoes[Fimmes],Patrimônio!B288,His_Operacoes_acoes[Operação],"JCP")
+ SUMIFS(His_Operacoes_acoes[Total],His_Operacoes_acoes[Fimmes],Patrimônio!B288,His_Operacoes_acoes[Operação],"Divid.")
+ SUMIFS(His_Operacoes_acoes[Total],His_Operacoes_acoes[Fimmes],Patrimônio!B288,His_Operacoes_acoes[Operação],"Bonif.")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51105</v>
      </c>
      <c r="B289" s="7">
        <f t="shared" si="19"/>
        <v>51104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SUMIFS(His_Operacoes_acoes[Total],His_Operacoes_acoes[Fimmes],Patrimônio!B289,His_Operacoes_acoes[Operação],"JCP")
+ SUMIFS(His_Operacoes_acoes[Total],His_Operacoes_acoes[Fimmes],Patrimônio!B289,His_Operacoes_acoes[Operação],"Divid.")
+ SUMIFS(His_Operacoes_acoes[Total],His_Operacoes_acoes[Fimmes],Patrimônio!B289,His_Operacoes_acoes[Operação],"Bonif.")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51136</v>
      </c>
      <c r="B290" s="7">
        <f t="shared" si="19"/>
        <v>51135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SUMIFS(His_Operacoes_acoes[Total],His_Operacoes_acoes[Fimmes],Patrimônio!B290,His_Operacoes_acoes[Operação],"JCP")
+ SUMIFS(His_Operacoes_acoes[Total],His_Operacoes_acoes[Fimmes],Patrimônio!B290,His_Operacoes_acoes[Operação],"Divid.")
+ SUMIFS(His_Operacoes_acoes[Total],His_Operacoes_acoes[Fimmes],Patrimônio!B290,His_Operacoes_acoes[Operação],"Bonif.")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51167</v>
      </c>
      <c r="B291" s="7">
        <f t="shared" si="19"/>
        <v>51166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SUMIFS(His_Operacoes_acoes[Total],His_Operacoes_acoes[Fimmes],Patrimônio!B291,His_Operacoes_acoes[Operação],"JCP")
+ SUMIFS(His_Operacoes_acoes[Total],His_Operacoes_acoes[Fimmes],Patrimônio!B291,His_Operacoes_acoes[Operação],"Divid.")
+ SUMIFS(His_Operacoes_acoes[Total],His_Operacoes_acoes[Fimmes],Patrimônio!B291,His_Operacoes_acoes[Operação],"Bonif.")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51196</v>
      </c>
      <c r="B292" s="7">
        <f t="shared" si="19"/>
        <v>51195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SUMIFS(His_Operacoes_acoes[Total],His_Operacoes_acoes[Fimmes],Patrimônio!B292,His_Operacoes_acoes[Operação],"JCP")
+ SUMIFS(His_Operacoes_acoes[Total],His_Operacoes_acoes[Fimmes],Patrimônio!B292,His_Operacoes_acoes[Operação],"Divid.")
+ SUMIFS(His_Operacoes_acoes[Total],His_Operacoes_acoes[Fimmes],Patrimônio!B292,His_Operacoes_acoes[Operação],"Bonif.")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51227</v>
      </c>
      <c r="B293" s="7">
        <f t="shared" si="19"/>
        <v>51226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SUMIFS(His_Operacoes_acoes[Total],His_Operacoes_acoes[Fimmes],Patrimônio!B293,His_Operacoes_acoes[Operação],"JCP")
+ SUMIFS(His_Operacoes_acoes[Total],His_Operacoes_acoes[Fimmes],Patrimônio!B293,His_Operacoes_acoes[Operação],"Divid.")
+ SUMIFS(His_Operacoes_acoes[Total],His_Operacoes_acoes[Fimmes],Patrimônio!B293,His_Operacoes_acoes[Operação],"Bonif.")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51257</v>
      </c>
      <c r="B294" s="7">
        <f t="shared" si="19"/>
        <v>51256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SUMIFS(His_Operacoes_acoes[Total],His_Operacoes_acoes[Fimmes],Patrimônio!B294,His_Operacoes_acoes[Operação],"JCP")
+ SUMIFS(His_Operacoes_acoes[Total],His_Operacoes_acoes[Fimmes],Patrimônio!B294,His_Operacoes_acoes[Operação],"Divid.")
+ SUMIFS(His_Operacoes_acoes[Total],His_Operacoes_acoes[Fimmes],Patrimônio!B294,His_Operacoes_acoes[Operação],"Bonif.")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51288</v>
      </c>
      <c r="B295" s="7">
        <f t="shared" si="19"/>
        <v>51287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SUMIFS(His_Operacoes_acoes[Total],His_Operacoes_acoes[Fimmes],Patrimônio!B295,His_Operacoes_acoes[Operação],"JCP")
+ SUMIFS(His_Operacoes_acoes[Total],His_Operacoes_acoes[Fimmes],Patrimônio!B295,His_Operacoes_acoes[Operação],"Divid.")
+ SUMIFS(His_Operacoes_acoes[Total],His_Operacoes_acoes[Fimmes],Patrimônio!B295,His_Operacoes_acoes[Operação],"Bonif.")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51318</v>
      </c>
      <c r="B296" s="7">
        <f t="shared" si="19"/>
        <v>51317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SUMIFS(His_Operacoes_acoes[Total],His_Operacoes_acoes[Fimmes],Patrimônio!B296,His_Operacoes_acoes[Operação],"JCP")
+ SUMIFS(His_Operacoes_acoes[Total],His_Operacoes_acoes[Fimmes],Patrimônio!B296,His_Operacoes_acoes[Operação],"Divid.")
+ SUMIFS(His_Operacoes_acoes[Total],His_Operacoes_acoes[Fimmes],Patrimônio!B296,His_Operacoes_acoes[Operação],"Bonif.")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51349</v>
      </c>
      <c r="B297" s="7">
        <f t="shared" si="19"/>
        <v>51348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SUMIFS(His_Operacoes_acoes[Total],His_Operacoes_acoes[Fimmes],Patrimônio!B297,His_Operacoes_acoes[Operação],"JCP")
+ SUMIFS(His_Operacoes_acoes[Total],His_Operacoes_acoes[Fimmes],Patrimônio!B297,His_Operacoes_acoes[Operação],"Divid.")
+ SUMIFS(His_Operacoes_acoes[Total],His_Operacoes_acoes[Fimmes],Patrimônio!B297,His_Operacoes_acoes[Operação],"Bonif.")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51380</v>
      </c>
      <c r="B298" s="7">
        <f t="shared" si="19"/>
        <v>51379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SUMIFS(His_Operacoes_acoes[Total],His_Operacoes_acoes[Fimmes],Patrimônio!B298,His_Operacoes_acoes[Operação],"JCP")
+ SUMIFS(His_Operacoes_acoes[Total],His_Operacoes_acoes[Fimmes],Patrimônio!B298,His_Operacoes_acoes[Operação],"Divid.")
+ SUMIFS(His_Operacoes_acoes[Total],His_Operacoes_acoes[Fimmes],Patrimônio!B298,His_Operacoes_acoes[Operação],"Bonif.")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51410</v>
      </c>
      <c r="B299" s="7">
        <f t="shared" si="19"/>
        <v>51409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SUMIFS(His_Operacoes_acoes[Total],His_Operacoes_acoes[Fimmes],Patrimônio!B299,His_Operacoes_acoes[Operação],"JCP")
+ SUMIFS(His_Operacoes_acoes[Total],His_Operacoes_acoes[Fimmes],Patrimônio!B299,His_Operacoes_acoes[Operação],"Divid.")
+ SUMIFS(His_Operacoes_acoes[Total],His_Operacoes_acoes[Fimmes],Patrimônio!B299,His_Operacoes_acoes[Operação],"Bonif.")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51441</v>
      </c>
      <c r="B300" s="7">
        <f t="shared" si="19"/>
        <v>51440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SUMIFS(His_Operacoes_acoes[Total],His_Operacoes_acoes[Fimmes],Patrimônio!B300,His_Operacoes_acoes[Operação],"JCP")
+ SUMIFS(His_Operacoes_acoes[Total],His_Operacoes_acoes[Fimmes],Patrimônio!B300,His_Operacoes_acoes[Operação],"Divid.")
+ SUMIFS(His_Operacoes_acoes[Total],His_Operacoes_acoes[Fimmes],Patrimônio!B300,His_Operacoes_acoes[Operação],"Bonif.")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51471</v>
      </c>
      <c r="B301" s="7">
        <f t="shared" si="19"/>
        <v>51470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SUMIFS(His_Operacoes_acoes[Total],His_Operacoes_acoes[Fimmes],Patrimônio!B301,His_Operacoes_acoes[Operação],"JCP")
+ SUMIFS(His_Operacoes_acoes[Total],His_Operacoes_acoes[Fimmes],Patrimônio!B301,His_Operacoes_acoes[Operação],"Divid.")
+ SUMIFS(His_Operacoes_acoes[Total],His_Operacoes_acoes[Fimmes],Patrimônio!B301,His_Operacoes_acoes[Operação],"Bonif.")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51502</v>
      </c>
      <c r="B302" s="7">
        <f t="shared" si="19"/>
        <v>51501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SUMIFS(His_Operacoes_acoes[Total],His_Operacoes_acoes[Fimmes],Patrimônio!B302,His_Operacoes_acoes[Operação],"JCP")
+ SUMIFS(His_Operacoes_acoes[Total],His_Operacoes_acoes[Fimmes],Patrimônio!B302,His_Operacoes_acoes[Operação],"Divid.")
+ SUMIFS(His_Operacoes_acoes[Total],His_Operacoes_acoes[Fimmes],Patrimônio!B302,His_Operacoes_acoes[Operação],"Bonif.")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51533</v>
      </c>
      <c r="B303" s="7">
        <f t="shared" si="19"/>
        <v>51532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SUMIFS(His_Operacoes_acoes[Total],His_Operacoes_acoes[Fimmes],Patrimônio!B303,His_Operacoes_acoes[Operação],"JCP")
+ SUMIFS(His_Operacoes_acoes[Total],His_Operacoes_acoes[Fimmes],Patrimônio!B303,His_Operacoes_acoes[Operação],"Divid.")
+ SUMIFS(His_Operacoes_acoes[Total],His_Operacoes_acoes[Fimmes],Patrimônio!B303,His_Operacoes_acoes[Operação],"Bonif.")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51561</v>
      </c>
      <c r="B304" s="7">
        <f t="shared" si="19"/>
        <v>51560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SUMIFS(His_Operacoes_acoes[Total],His_Operacoes_acoes[Fimmes],Patrimônio!B304,His_Operacoes_acoes[Operação],"JCP")
+ SUMIFS(His_Operacoes_acoes[Total],His_Operacoes_acoes[Fimmes],Patrimônio!B304,His_Operacoes_acoes[Operação],"Divid.")
+ SUMIFS(His_Operacoes_acoes[Total],His_Operacoes_acoes[Fimmes],Patrimônio!B304,His_Operacoes_acoes[Operação],"Bonif.")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51592</v>
      </c>
      <c r="B305" s="7">
        <f t="shared" si="19"/>
        <v>51591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SUMIFS(His_Operacoes_acoes[Total],His_Operacoes_acoes[Fimmes],Patrimônio!B305,His_Operacoes_acoes[Operação],"JCP")
+ SUMIFS(His_Operacoes_acoes[Total],His_Operacoes_acoes[Fimmes],Patrimônio!B305,His_Operacoes_acoes[Operação],"Divid.")
+ SUMIFS(His_Operacoes_acoes[Total],His_Operacoes_acoes[Fimmes],Patrimônio!B305,His_Operacoes_acoes[Operação],"Bonif.")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51622</v>
      </c>
      <c r="B306" s="7">
        <f t="shared" si="19"/>
        <v>51621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SUMIFS(His_Operacoes_acoes[Total],His_Operacoes_acoes[Fimmes],Patrimônio!B306,His_Operacoes_acoes[Operação],"JCP")
+ SUMIFS(His_Operacoes_acoes[Total],His_Operacoes_acoes[Fimmes],Patrimônio!B306,His_Operacoes_acoes[Operação],"Divid.")
+ SUMIFS(His_Operacoes_acoes[Total],His_Operacoes_acoes[Fimmes],Patrimônio!B306,His_Operacoes_acoes[Operação],"Bonif.")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51653</v>
      </c>
      <c r="B307" s="7">
        <f t="shared" si="19"/>
        <v>51652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SUMIFS(His_Operacoes_acoes[Total],His_Operacoes_acoes[Fimmes],Patrimônio!B307,His_Operacoes_acoes[Operação],"JCP")
+ SUMIFS(His_Operacoes_acoes[Total],His_Operacoes_acoes[Fimmes],Patrimônio!B307,His_Operacoes_acoes[Operação],"Divid.")
+ SUMIFS(His_Operacoes_acoes[Total],His_Operacoes_acoes[Fimmes],Patrimônio!B307,His_Operacoes_acoes[Operação],"Bonif.")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51683</v>
      </c>
      <c r="B308" s="7">
        <f t="shared" si="19"/>
        <v>51682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SUMIFS(His_Operacoes_acoes[Total],His_Operacoes_acoes[Fimmes],Patrimônio!B308,His_Operacoes_acoes[Operação],"JCP")
+ SUMIFS(His_Operacoes_acoes[Total],His_Operacoes_acoes[Fimmes],Patrimônio!B308,His_Operacoes_acoes[Operação],"Divid.")
+ SUMIFS(His_Operacoes_acoes[Total],His_Operacoes_acoes[Fimmes],Patrimônio!B308,His_Operacoes_acoes[Operação],"Bonif.")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51714</v>
      </c>
      <c r="B309" s="7">
        <f t="shared" si="19"/>
        <v>51713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SUMIFS(His_Operacoes_acoes[Total],His_Operacoes_acoes[Fimmes],Patrimônio!B309,His_Operacoes_acoes[Operação],"JCP")
+ SUMIFS(His_Operacoes_acoes[Total],His_Operacoes_acoes[Fimmes],Patrimônio!B309,His_Operacoes_acoes[Operação],"Divid.")
+ SUMIFS(His_Operacoes_acoes[Total],His_Operacoes_acoes[Fimmes],Patrimônio!B309,His_Operacoes_acoes[Operação],"Bonif.")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51745</v>
      </c>
      <c r="B310" s="7">
        <f t="shared" si="19"/>
        <v>51744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SUMIFS(His_Operacoes_acoes[Total],His_Operacoes_acoes[Fimmes],Patrimônio!B310,His_Operacoes_acoes[Operação],"JCP")
+ SUMIFS(His_Operacoes_acoes[Total],His_Operacoes_acoes[Fimmes],Patrimônio!B310,His_Operacoes_acoes[Operação],"Divid.")
+ SUMIFS(His_Operacoes_acoes[Total],His_Operacoes_acoes[Fimmes],Patrimônio!B310,His_Operacoes_acoes[Operação],"Bonif.")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51775</v>
      </c>
      <c r="B311" s="7">
        <f t="shared" si="19"/>
        <v>51774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SUMIFS(His_Operacoes_acoes[Total],His_Operacoes_acoes[Fimmes],Patrimônio!B311,His_Operacoes_acoes[Operação],"JCP")
+ SUMIFS(His_Operacoes_acoes[Total],His_Operacoes_acoes[Fimmes],Patrimônio!B311,His_Operacoes_acoes[Operação],"Divid.")
+ SUMIFS(His_Operacoes_acoes[Total],His_Operacoes_acoes[Fimmes],Patrimônio!B311,His_Operacoes_acoes[Operação],"Bonif.")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51806</v>
      </c>
      <c r="B312" s="7">
        <f t="shared" si="19"/>
        <v>51805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SUMIFS(His_Operacoes_acoes[Total],His_Operacoes_acoes[Fimmes],Patrimônio!B312,His_Operacoes_acoes[Operação],"JCP")
+ SUMIFS(His_Operacoes_acoes[Total],His_Operacoes_acoes[Fimmes],Patrimônio!B312,His_Operacoes_acoes[Operação],"Divid.")
+ SUMIFS(His_Operacoes_acoes[Total],His_Operacoes_acoes[Fimmes],Patrimônio!B312,His_Operacoes_acoes[Operação],"Bonif.")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51836</v>
      </c>
      <c r="B313" s="7">
        <f t="shared" si="19"/>
        <v>51835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SUMIFS(His_Operacoes_acoes[Total],His_Operacoes_acoes[Fimmes],Patrimônio!B313,His_Operacoes_acoes[Operação],"JCP")
+ SUMIFS(His_Operacoes_acoes[Total],His_Operacoes_acoes[Fimmes],Patrimônio!B313,His_Operacoes_acoes[Operação],"Divid.")
+ SUMIFS(His_Operacoes_acoes[Total],His_Operacoes_acoes[Fimmes],Patrimônio!B313,His_Operacoes_acoes[Operação],"Bonif.")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51867</v>
      </c>
      <c r="B314" s="7">
        <f t="shared" si="19"/>
        <v>51866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SUMIFS(His_Operacoes_acoes[Total],His_Operacoes_acoes[Fimmes],Patrimônio!B314,His_Operacoes_acoes[Operação],"JCP")
+ SUMIFS(His_Operacoes_acoes[Total],His_Operacoes_acoes[Fimmes],Patrimônio!B314,His_Operacoes_acoes[Operação],"Divid.")
+ SUMIFS(His_Operacoes_acoes[Total],His_Operacoes_acoes[Fimmes],Patrimônio!B314,His_Operacoes_acoes[Operação],"Bonif.")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51898</v>
      </c>
      <c r="B315" s="7">
        <f t="shared" si="19"/>
        <v>51897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SUMIFS(His_Operacoes_acoes[Total],His_Operacoes_acoes[Fimmes],Patrimônio!B315,His_Operacoes_acoes[Operação],"JCP")
+ SUMIFS(His_Operacoes_acoes[Total],His_Operacoes_acoes[Fimmes],Patrimônio!B315,His_Operacoes_acoes[Operação],"Divid.")
+ SUMIFS(His_Operacoes_acoes[Total],His_Operacoes_acoes[Fimmes],Patrimônio!B315,His_Operacoes_acoes[Operação],"Bonif.")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51926</v>
      </c>
      <c r="B316" s="7">
        <f t="shared" si="19"/>
        <v>51925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SUMIFS(His_Operacoes_acoes[Total],His_Operacoes_acoes[Fimmes],Patrimônio!B316,His_Operacoes_acoes[Operação],"JCP")
+ SUMIFS(His_Operacoes_acoes[Total],His_Operacoes_acoes[Fimmes],Patrimônio!B316,His_Operacoes_acoes[Operação],"Divid.")
+ SUMIFS(His_Operacoes_acoes[Total],His_Operacoes_acoes[Fimmes],Patrimônio!B316,His_Operacoes_acoes[Operação],"Bonif.")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51957</v>
      </c>
      <c r="B317" s="7">
        <f t="shared" si="19"/>
        <v>51956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SUMIFS(His_Operacoes_acoes[Total],His_Operacoes_acoes[Fimmes],Patrimônio!B317,His_Operacoes_acoes[Operação],"JCP")
+ SUMIFS(His_Operacoes_acoes[Total],His_Operacoes_acoes[Fimmes],Patrimônio!B317,His_Operacoes_acoes[Operação],"Divid.")
+ SUMIFS(His_Operacoes_acoes[Total],His_Operacoes_acoes[Fimmes],Patrimônio!B317,His_Operacoes_acoes[Operação],"Bonif.")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51987</v>
      </c>
      <c r="B318" s="7">
        <f t="shared" si="19"/>
        <v>51986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SUMIFS(His_Operacoes_acoes[Total],His_Operacoes_acoes[Fimmes],Patrimônio!B318,His_Operacoes_acoes[Operação],"JCP")
+ SUMIFS(His_Operacoes_acoes[Total],His_Operacoes_acoes[Fimmes],Patrimônio!B318,His_Operacoes_acoes[Operação],"Divid.")
+ SUMIFS(His_Operacoes_acoes[Total],His_Operacoes_acoes[Fimmes],Patrimônio!B318,His_Operacoes_acoes[Operação],"Bonif.")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52018</v>
      </c>
      <c r="B319" s="7">
        <f t="shared" si="19"/>
        <v>52017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SUMIFS(His_Operacoes_acoes[Total],His_Operacoes_acoes[Fimmes],Patrimônio!B319,His_Operacoes_acoes[Operação],"JCP")
+ SUMIFS(His_Operacoes_acoes[Total],His_Operacoes_acoes[Fimmes],Patrimônio!B319,His_Operacoes_acoes[Operação],"Divid.")
+ SUMIFS(His_Operacoes_acoes[Total],His_Operacoes_acoes[Fimmes],Patrimônio!B319,His_Operacoes_acoes[Operação],"Bonif.")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52048</v>
      </c>
      <c r="B320" s="7">
        <f t="shared" si="19"/>
        <v>52047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SUMIFS(His_Operacoes_acoes[Total],His_Operacoes_acoes[Fimmes],Patrimônio!B320,His_Operacoes_acoes[Operação],"JCP")
+ SUMIFS(His_Operacoes_acoes[Total],His_Operacoes_acoes[Fimmes],Patrimônio!B320,His_Operacoes_acoes[Operação],"Divid.")
+ SUMIFS(His_Operacoes_acoes[Total],His_Operacoes_acoes[Fimmes],Patrimônio!B320,His_Operacoes_acoes[Operação],"Bonif.")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52079</v>
      </c>
      <c r="B321" s="7">
        <f t="shared" si="19"/>
        <v>52078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SUMIFS(His_Operacoes_acoes[Total],His_Operacoes_acoes[Fimmes],Patrimônio!B321,His_Operacoes_acoes[Operação],"JCP")
+ SUMIFS(His_Operacoes_acoes[Total],His_Operacoes_acoes[Fimmes],Patrimônio!B321,His_Operacoes_acoes[Operação],"Divid.")
+ SUMIFS(His_Operacoes_acoes[Total],His_Operacoes_acoes[Fimmes],Patrimônio!B321,His_Operacoes_acoes[Operação],"Bonif.")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52110</v>
      </c>
      <c r="B322" s="7">
        <f t="shared" si="19"/>
        <v>52109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SUMIFS(His_Operacoes_acoes[Total],His_Operacoes_acoes[Fimmes],Patrimônio!B322,His_Operacoes_acoes[Operação],"JCP")
+ SUMIFS(His_Operacoes_acoes[Total],His_Operacoes_acoes[Fimmes],Patrimônio!B322,His_Operacoes_acoes[Operação],"Divid.")
+ SUMIFS(His_Operacoes_acoes[Total],His_Operacoes_acoes[Fimmes],Patrimônio!B322,His_Operacoes_acoes[Operação],"Bonif.")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52140</v>
      </c>
      <c r="B323" s="7">
        <f t="shared" ref="B323:B386" si="23">EOMONTH(A323,-1)</f>
        <v>52139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SUMIFS(His_Operacoes_acoes[Total],His_Operacoes_acoes[Fimmes],Patrimônio!B323,His_Operacoes_acoes[Operação],"JCP")
+ SUMIFS(His_Operacoes_acoes[Total],His_Operacoes_acoes[Fimmes],Patrimônio!B323,His_Operacoes_acoes[Operação],"Divid.")
+ SUMIFS(His_Operacoes_acoes[Total],His_Operacoes_acoes[Fimmes],Patrimônio!B323,His_Operacoes_acoes[Operação],"Bonif.")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52171</v>
      </c>
      <c r="B324" s="7">
        <f t="shared" si="23"/>
        <v>52170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SUMIFS(His_Operacoes_acoes[Total],His_Operacoes_acoes[Fimmes],Patrimônio!B324,His_Operacoes_acoes[Operação],"JCP")
+ SUMIFS(His_Operacoes_acoes[Total],His_Operacoes_acoes[Fimmes],Patrimônio!B324,His_Operacoes_acoes[Operação],"Divid.")
+ SUMIFS(His_Operacoes_acoes[Total],His_Operacoes_acoes[Fimmes],Patrimônio!B324,His_Operacoes_acoes[Operação],"Bonif.")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52201</v>
      </c>
      <c r="B325" s="7">
        <f t="shared" si="23"/>
        <v>52200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SUMIFS(His_Operacoes_acoes[Total],His_Operacoes_acoes[Fimmes],Patrimônio!B325,His_Operacoes_acoes[Operação],"JCP")
+ SUMIFS(His_Operacoes_acoes[Total],His_Operacoes_acoes[Fimmes],Patrimônio!B325,His_Operacoes_acoes[Operação],"Divid.")
+ SUMIFS(His_Operacoes_acoes[Total],His_Operacoes_acoes[Fimmes],Patrimônio!B325,His_Operacoes_acoes[Operação],"Bonif.")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52232</v>
      </c>
      <c r="B326" s="7">
        <f t="shared" si="23"/>
        <v>52231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SUMIFS(His_Operacoes_acoes[Total],His_Operacoes_acoes[Fimmes],Patrimônio!B326,His_Operacoes_acoes[Operação],"JCP")
+ SUMIFS(His_Operacoes_acoes[Total],His_Operacoes_acoes[Fimmes],Patrimônio!B326,His_Operacoes_acoes[Operação],"Divid.")
+ SUMIFS(His_Operacoes_acoes[Total],His_Operacoes_acoes[Fimmes],Patrimônio!B326,His_Operacoes_acoes[Operação],"Bonif.")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52263</v>
      </c>
      <c r="B327" s="7">
        <f t="shared" si="23"/>
        <v>52262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SUMIFS(His_Operacoes_acoes[Total],His_Operacoes_acoes[Fimmes],Patrimônio!B327,His_Operacoes_acoes[Operação],"JCP")
+ SUMIFS(His_Operacoes_acoes[Total],His_Operacoes_acoes[Fimmes],Patrimônio!B327,His_Operacoes_acoes[Operação],"Divid.")
+ SUMIFS(His_Operacoes_acoes[Total],His_Operacoes_acoes[Fimmes],Patrimônio!B327,His_Operacoes_acoes[Operação],"Bonif.")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52291</v>
      </c>
      <c r="B328" s="7">
        <f t="shared" si="23"/>
        <v>52290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SUMIFS(His_Operacoes_acoes[Total],His_Operacoes_acoes[Fimmes],Patrimônio!B328,His_Operacoes_acoes[Operação],"JCP")
+ SUMIFS(His_Operacoes_acoes[Total],His_Operacoes_acoes[Fimmes],Patrimônio!B328,His_Operacoes_acoes[Operação],"Divid.")
+ SUMIFS(His_Operacoes_acoes[Total],His_Operacoes_acoes[Fimmes],Patrimônio!B328,His_Operacoes_acoes[Operação],"Bonif.")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52322</v>
      </c>
      <c r="B329" s="7">
        <f t="shared" si="23"/>
        <v>52321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SUMIFS(His_Operacoes_acoes[Total],His_Operacoes_acoes[Fimmes],Patrimônio!B329,His_Operacoes_acoes[Operação],"JCP")
+ SUMIFS(His_Operacoes_acoes[Total],His_Operacoes_acoes[Fimmes],Patrimônio!B329,His_Operacoes_acoes[Operação],"Divid.")
+ SUMIFS(His_Operacoes_acoes[Total],His_Operacoes_acoes[Fimmes],Patrimônio!B329,His_Operacoes_acoes[Operação],"Bonif.")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52352</v>
      </c>
      <c r="B330" s="7">
        <f t="shared" si="23"/>
        <v>52351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SUMIFS(His_Operacoes_acoes[Total],His_Operacoes_acoes[Fimmes],Patrimônio!B330,His_Operacoes_acoes[Operação],"JCP")
+ SUMIFS(His_Operacoes_acoes[Total],His_Operacoes_acoes[Fimmes],Patrimônio!B330,His_Operacoes_acoes[Operação],"Divid.")
+ SUMIFS(His_Operacoes_acoes[Total],His_Operacoes_acoes[Fimmes],Patrimônio!B330,His_Operacoes_acoes[Operação],"Bonif.")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52383</v>
      </c>
      <c r="B331" s="7">
        <f t="shared" si="23"/>
        <v>52382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SUMIFS(His_Operacoes_acoes[Total],His_Operacoes_acoes[Fimmes],Patrimônio!B331,His_Operacoes_acoes[Operação],"JCP")
+ SUMIFS(His_Operacoes_acoes[Total],His_Operacoes_acoes[Fimmes],Patrimônio!B331,His_Operacoes_acoes[Operação],"Divid.")
+ SUMIFS(His_Operacoes_acoes[Total],His_Operacoes_acoes[Fimmes],Patrimônio!B331,His_Operacoes_acoes[Operação],"Bonif.")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52413</v>
      </c>
      <c r="B332" s="7">
        <f t="shared" si="23"/>
        <v>52412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SUMIFS(His_Operacoes_acoes[Total],His_Operacoes_acoes[Fimmes],Patrimônio!B332,His_Operacoes_acoes[Operação],"JCP")
+ SUMIFS(His_Operacoes_acoes[Total],His_Operacoes_acoes[Fimmes],Patrimônio!B332,His_Operacoes_acoes[Operação],"Divid.")
+ SUMIFS(His_Operacoes_acoes[Total],His_Operacoes_acoes[Fimmes],Patrimônio!B332,His_Operacoes_acoes[Operação],"Bonif.")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52444</v>
      </c>
      <c r="B333" s="7">
        <f t="shared" si="23"/>
        <v>52443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SUMIFS(His_Operacoes_acoes[Total],His_Operacoes_acoes[Fimmes],Patrimônio!B333,His_Operacoes_acoes[Operação],"JCP")
+ SUMIFS(His_Operacoes_acoes[Total],His_Operacoes_acoes[Fimmes],Patrimônio!B333,His_Operacoes_acoes[Operação],"Divid.")
+ SUMIFS(His_Operacoes_acoes[Total],His_Operacoes_acoes[Fimmes],Patrimônio!B333,His_Operacoes_acoes[Operação],"Bonif.")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52475</v>
      </c>
      <c r="B334" s="7">
        <f t="shared" si="23"/>
        <v>52474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SUMIFS(His_Operacoes_acoes[Total],His_Operacoes_acoes[Fimmes],Patrimônio!B334,His_Operacoes_acoes[Operação],"JCP")
+ SUMIFS(His_Operacoes_acoes[Total],His_Operacoes_acoes[Fimmes],Patrimônio!B334,His_Operacoes_acoes[Operação],"Divid.")
+ SUMIFS(His_Operacoes_acoes[Total],His_Operacoes_acoes[Fimmes],Patrimônio!B334,His_Operacoes_acoes[Operação],"Bonif.")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52505</v>
      </c>
      <c r="B335" s="7">
        <f t="shared" si="23"/>
        <v>52504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SUMIFS(His_Operacoes_acoes[Total],His_Operacoes_acoes[Fimmes],Patrimônio!B335,His_Operacoes_acoes[Operação],"JCP")
+ SUMIFS(His_Operacoes_acoes[Total],His_Operacoes_acoes[Fimmes],Patrimônio!B335,His_Operacoes_acoes[Operação],"Divid.")
+ SUMIFS(His_Operacoes_acoes[Total],His_Operacoes_acoes[Fimmes],Patrimônio!B335,His_Operacoes_acoes[Operação],"Bonif.")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52536</v>
      </c>
      <c r="B336" s="7">
        <f t="shared" si="23"/>
        <v>52535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SUMIFS(His_Operacoes_acoes[Total],His_Operacoes_acoes[Fimmes],Patrimônio!B336,His_Operacoes_acoes[Operação],"JCP")
+ SUMIFS(His_Operacoes_acoes[Total],His_Operacoes_acoes[Fimmes],Patrimônio!B336,His_Operacoes_acoes[Operação],"Divid.")
+ SUMIFS(His_Operacoes_acoes[Total],His_Operacoes_acoes[Fimmes],Patrimônio!B336,His_Operacoes_acoes[Operação],"Bonif.")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52566</v>
      </c>
      <c r="B337" s="7">
        <f t="shared" si="23"/>
        <v>52565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SUMIFS(His_Operacoes_acoes[Total],His_Operacoes_acoes[Fimmes],Patrimônio!B337,His_Operacoes_acoes[Operação],"JCP")
+ SUMIFS(His_Operacoes_acoes[Total],His_Operacoes_acoes[Fimmes],Patrimônio!B337,His_Operacoes_acoes[Operação],"Divid.")
+ SUMIFS(His_Operacoes_acoes[Total],His_Operacoes_acoes[Fimmes],Patrimônio!B337,His_Operacoes_acoes[Operação],"Bonif.")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52597</v>
      </c>
      <c r="B338" s="7">
        <f t="shared" si="23"/>
        <v>52596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SUMIFS(His_Operacoes_acoes[Total],His_Operacoes_acoes[Fimmes],Patrimônio!B338,His_Operacoes_acoes[Operação],"JCP")
+ SUMIFS(His_Operacoes_acoes[Total],His_Operacoes_acoes[Fimmes],Patrimônio!B338,His_Operacoes_acoes[Operação],"Divid.")
+ SUMIFS(His_Operacoes_acoes[Total],His_Operacoes_acoes[Fimmes],Patrimônio!B338,His_Operacoes_acoes[Operação],"Bonif.")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52628</v>
      </c>
      <c r="B339" s="7">
        <f t="shared" si="23"/>
        <v>52627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SUMIFS(His_Operacoes_acoes[Total],His_Operacoes_acoes[Fimmes],Patrimônio!B339,His_Operacoes_acoes[Operação],"JCP")
+ SUMIFS(His_Operacoes_acoes[Total],His_Operacoes_acoes[Fimmes],Patrimônio!B339,His_Operacoes_acoes[Operação],"Divid.")
+ SUMIFS(His_Operacoes_acoes[Total],His_Operacoes_acoes[Fimmes],Patrimônio!B339,His_Operacoes_acoes[Operação],"Bonif.")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52657</v>
      </c>
      <c r="B340" s="7">
        <f t="shared" si="23"/>
        <v>52656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SUMIFS(His_Operacoes_acoes[Total],His_Operacoes_acoes[Fimmes],Patrimônio!B340,His_Operacoes_acoes[Operação],"JCP")
+ SUMIFS(His_Operacoes_acoes[Total],His_Operacoes_acoes[Fimmes],Patrimônio!B340,His_Operacoes_acoes[Operação],"Divid.")
+ SUMIFS(His_Operacoes_acoes[Total],His_Operacoes_acoes[Fimmes],Patrimônio!B340,His_Operacoes_acoes[Operação],"Bonif.")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52688</v>
      </c>
      <c r="B341" s="7">
        <f t="shared" si="23"/>
        <v>52687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SUMIFS(His_Operacoes_acoes[Total],His_Operacoes_acoes[Fimmes],Patrimônio!B341,His_Operacoes_acoes[Operação],"JCP")
+ SUMIFS(His_Operacoes_acoes[Total],His_Operacoes_acoes[Fimmes],Patrimônio!B341,His_Operacoes_acoes[Operação],"Divid.")
+ SUMIFS(His_Operacoes_acoes[Total],His_Operacoes_acoes[Fimmes],Patrimônio!B341,His_Operacoes_acoes[Operação],"Bonif.")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52718</v>
      </c>
      <c r="B342" s="7">
        <f t="shared" si="23"/>
        <v>52717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SUMIFS(His_Operacoes_acoes[Total],His_Operacoes_acoes[Fimmes],Patrimônio!B342,His_Operacoes_acoes[Operação],"JCP")
+ SUMIFS(His_Operacoes_acoes[Total],His_Operacoes_acoes[Fimmes],Patrimônio!B342,His_Operacoes_acoes[Operação],"Divid.")
+ SUMIFS(His_Operacoes_acoes[Total],His_Operacoes_acoes[Fimmes],Patrimônio!B342,His_Operacoes_acoes[Operação],"Bonif.")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52749</v>
      </c>
      <c r="B343" s="7">
        <f t="shared" si="23"/>
        <v>52748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SUMIFS(His_Operacoes_acoes[Total],His_Operacoes_acoes[Fimmes],Patrimônio!B343,His_Operacoes_acoes[Operação],"JCP")
+ SUMIFS(His_Operacoes_acoes[Total],His_Operacoes_acoes[Fimmes],Patrimônio!B343,His_Operacoes_acoes[Operação],"Divid.")
+ SUMIFS(His_Operacoes_acoes[Total],His_Operacoes_acoes[Fimmes],Patrimônio!B343,His_Operacoes_acoes[Operação],"Bonif.")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52779</v>
      </c>
      <c r="B344" s="7">
        <f t="shared" si="23"/>
        <v>52778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SUMIFS(His_Operacoes_acoes[Total],His_Operacoes_acoes[Fimmes],Patrimônio!B344,His_Operacoes_acoes[Operação],"JCP")
+ SUMIFS(His_Operacoes_acoes[Total],His_Operacoes_acoes[Fimmes],Patrimônio!B344,His_Operacoes_acoes[Operação],"Divid.")
+ SUMIFS(His_Operacoes_acoes[Total],His_Operacoes_acoes[Fimmes],Patrimônio!B344,His_Operacoes_acoes[Operação],"Bonif.")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52810</v>
      </c>
      <c r="B345" s="7">
        <f t="shared" si="23"/>
        <v>52809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SUMIFS(His_Operacoes_acoes[Total],His_Operacoes_acoes[Fimmes],Patrimônio!B345,His_Operacoes_acoes[Operação],"JCP")
+ SUMIFS(His_Operacoes_acoes[Total],His_Operacoes_acoes[Fimmes],Patrimônio!B345,His_Operacoes_acoes[Operação],"Divid.")
+ SUMIFS(His_Operacoes_acoes[Total],His_Operacoes_acoes[Fimmes],Patrimônio!B345,His_Operacoes_acoes[Operação],"Bonif.")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52841</v>
      </c>
      <c r="B346" s="7">
        <f t="shared" si="23"/>
        <v>52840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SUMIFS(His_Operacoes_acoes[Total],His_Operacoes_acoes[Fimmes],Patrimônio!B346,His_Operacoes_acoes[Operação],"JCP")
+ SUMIFS(His_Operacoes_acoes[Total],His_Operacoes_acoes[Fimmes],Patrimônio!B346,His_Operacoes_acoes[Operação],"Divid.")
+ SUMIFS(His_Operacoes_acoes[Total],His_Operacoes_acoes[Fimmes],Patrimônio!B346,His_Operacoes_acoes[Operação],"Bonif.")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52871</v>
      </c>
      <c r="B347" s="7">
        <f t="shared" si="23"/>
        <v>52870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SUMIFS(His_Operacoes_acoes[Total],His_Operacoes_acoes[Fimmes],Patrimônio!B347,His_Operacoes_acoes[Operação],"JCP")
+ SUMIFS(His_Operacoes_acoes[Total],His_Operacoes_acoes[Fimmes],Patrimônio!B347,His_Operacoes_acoes[Operação],"Divid.")
+ SUMIFS(His_Operacoes_acoes[Total],His_Operacoes_acoes[Fimmes],Patrimônio!B347,His_Operacoes_acoes[Operação],"Bonif.")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52902</v>
      </c>
      <c r="B348" s="7">
        <f t="shared" si="23"/>
        <v>52901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SUMIFS(His_Operacoes_acoes[Total],His_Operacoes_acoes[Fimmes],Patrimônio!B348,His_Operacoes_acoes[Operação],"JCP")
+ SUMIFS(His_Operacoes_acoes[Total],His_Operacoes_acoes[Fimmes],Patrimônio!B348,His_Operacoes_acoes[Operação],"Divid.")
+ SUMIFS(His_Operacoes_acoes[Total],His_Operacoes_acoes[Fimmes],Patrimônio!B348,His_Operacoes_acoes[Operação],"Bonif.")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52932</v>
      </c>
      <c r="B349" s="7">
        <f t="shared" si="23"/>
        <v>52931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SUMIFS(His_Operacoes_acoes[Total],His_Operacoes_acoes[Fimmes],Patrimônio!B349,His_Operacoes_acoes[Operação],"JCP")
+ SUMIFS(His_Operacoes_acoes[Total],His_Operacoes_acoes[Fimmes],Patrimônio!B349,His_Operacoes_acoes[Operação],"Divid.")
+ SUMIFS(His_Operacoes_acoes[Total],His_Operacoes_acoes[Fimmes],Patrimônio!B349,His_Operacoes_acoes[Operação],"Bonif.")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52963</v>
      </c>
      <c r="B350" s="7">
        <f t="shared" si="23"/>
        <v>52962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SUMIFS(His_Operacoes_acoes[Total],His_Operacoes_acoes[Fimmes],Patrimônio!B350,His_Operacoes_acoes[Operação],"JCP")
+ SUMIFS(His_Operacoes_acoes[Total],His_Operacoes_acoes[Fimmes],Patrimônio!B350,His_Operacoes_acoes[Operação],"Divid.")
+ SUMIFS(His_Operacoes_acoes[Total],His_Operacoes_acoes[Fimmes],Patrimônio!B350,His_Operacoes_acoes[Operação],"Bonif.")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52994</v>
      </c>
      <c r="B351" s="7">
        <f t="shared" si="23"/>
        <v>52993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SUMIFS(His_Operacoes_acoes[Total],His_Operacoes_acoes[Fimmes],Patrimônio!B351,His_Operacoes_acoes[Operação],"JCP")
+ SUMIFS(His_Operacoes_acoes[Total],His_Operacoes_acoes[Fimmes],Patrimônio!B351,His_Operacoes_acoes[Operação],"Divid.")
+ SUMIFS(His_Operacoes_acoes[Total],His_Operacoes_acoes[Fimmes],Patrimônio!B351,His_Operacoes_acoes[Operação],"Bonif.")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53022</v>
      </c>
      <c r="B352" s="7">
        <f t="shared" si="23"/>
        <v>53021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SUMIFS(His_Operacoes_acoes[Total],His_Operacoes_acoes[Fimmes],Patrimônio!B352,His_Operacoes_acoes[Operação],"JCP")
+ SUMIFS(His_Operacoes_acoes[Total],His_Operacoes_acoes[Fimmes],Patrimônio!B352,His_Operacoes_acoes[Operação],"Divid.")
+ SUMIFS(His_Operacoes_acoes[Total],His_Operacoes_acoes[Fimmes],Patrimônio!B352,His_Operacoes_acoes[Operação],"Bonif.")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53053</v>
      </c>
      <c r="B353" s="7">
        <f t="shared" si="23"/>
        <v>53052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SUMIFS(His_Operacoes_acoes[Total],His_Operacoes_acoes[Fimmes],Patrimônio!B353,His_Operacoes_acoes[Operação],"JCP")
+ SUMIFS(His_Operacoes_acoes[Total],His_Operacoes_acoes[Fimmes],Patrimônio!B353,His_Operacoes_acoes[Operação],"Divid.")
+ SUMIFS(His_Operacoes_acoes[Total],His_Operacoes_acoes[Fimmes],Patrimônio!B353,His_Operacoes_acoes[Operação],"Bonif.")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53083</v>
      </c>
      <c r="B354" s="7">
        <f t="shared" si="23"/>
        <v>53082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SUMIFS(His_Operacoes_acoes[Total],His_Operacoes_acoes[Fimmes],Patrimônio!B354,His_Operacoes_acoes[Operação],"JCP")
+ SUMIFS(His_Operacoes_acoes[Total],His_Operacoes_acoes[Fimmes],Patrimônio!B354,His_Operacoes_acoes[Operação],"Divid.")
+ SUMIFS(His_Operacoes_acoes[Total],His_Operacoes_acoes[Fimmes],Patrimônio!B354,His_Operacoes_acoes[Operação],"Bonif.")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53114</v>
      </c>
      <c r="B355" s="7">
        <f t="shared" si="23"/>
        <v>53113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SUMIFS(His_Operacoes_acoes[Total],His_Operacoes_acoes[Fimmes],Patrimônio!B355,His_Operacoes_acoes[Operação],"JCP")
+ SUMIFS(His_Operacoes_acoes[Total],His_Operacoes_acoes[Fimmes],Patrimônio!B355,His_Operacoes_acoes[Operação],"Divid.")
+ SUMIFS(His_Operacoes_acoes[Total],His_Operacoes_acoes[Fimmes],Patrimônio!B355,His_Operacoes_acoes[Operação],"Bonif.")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53144</v>
      </c>
      <c r="B356" s="7">
        <f t="shared" si="23"/>
        <v>53143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SUMIFS(His_Operacoes_acoes[Total],His_Operacoes_acoes[Fimmes],Patrimônio!B356,His_Operacoes_acoes[Operação],"JCP")
+ SUMIFS(His_Operacoes_acoes[Total],His_Operacoes_acoes[Fimmes],Patrimônio!B356,His_Operacoes_acoes[Operação],"Divid.")
+ SUMIFS(His_Operacoes_acoes[Total],His_Operacoes_acoes[Fimmes],Patrimônio!B356,His_Operacoes_acoes[Operação],"Bonif.")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53175</v>
      </c>
      <c r="B357" s="7">
        <f t="shared" si="23"/>
        <v>53174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SUMIFS(His_Operacoes_acoes[Total],His_Operacoes_acoes[Fimmes],Patrimônio!B357,His_Operacoes_acoes[Operação],"JCP")
+ SUMIFS(His_Operacoes_acoes[Total],His_Operacoes_acoes[Fimmes],Patrimônio!B357,His_Operacoes_acoes[Operação],"Divid.")
+ SUMIFS(His_Operacoes_acoes[Total],His_Operacoes_acoes[Fimmes],Patrimônio!B357,His_Operacoes_acoes[Operação],"Bonif.")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53206</v>
      </c>
      <c r="B358" s="7">
        <f t="shared" si="23"/>
        <v>53205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SUMIFS(His_Operacoes_acoes[Total],His_Operacoes_acoes[Fimmes],Patrimônio!B358,His_Operacoes_acoes[Operação],"JCP")
+ SUMIFS(His_Operacoes_acoes[Total],His_Operacoes_acoes[Fimmes],Patrimônio!B358,His_Operacoes_acoes[Operação],"Divid.")
+ SUMIFS(His_Operacoes_acoes[Total],His_Operacoes_acoes[Fimmes],Patrimônio!B358,His_Operacoes_acoes[Operação],"Bonif.")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53236</v>
      </c>
      <c r="B359" s="7">
        <f t="shared" si="23"/>
        <v>53235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SUMIFS(His_Operacoes_acoes[Total],His_Operacoes_acoes[Fimmes],Patrimônio!B359,His_Operacoes_acoes[Operação],"JCP")
+ SUMIFS(His_Operacoes_acoes[Total],His_Operacoes_acoes[Fimmes],Patrimônio!B359,His_Operacoes_acoes[Operação],"Divid.")
+ SUMIFS(His_Operacoes_acoes[Total],His_Operacoes_acoes[Fimmes],Patrimônio!B359,His_Operacoes_acoes[Operação],"Bonif.")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53267</v>
      </c>
      <c r="B360" s="7">
        <f t="shared" si="23"/>
        <v>53266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SUMIFS(His_Operacoes_acoes[Total],His_Operacoes_acoes[Fimmes],Patrimônio!B360,His_Operacoes_acoes[Operação],"JCP")
+ SUMIFS(His_Operacoes_acoes[Total],His_Operacoes_acoes[Fimmes],Patrimônio!B360,His_Operacoes_acoes[Operação],"Divid.")
+ SUMIFS(His_Operacoes_acoes[Total],His_Operacoes_acoes[Fimmes],Patrimônio!B360,His_Operacoes_acoes[Operação],"Bonif.")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53297</v>
      </c>
      <c r="B361" s="7">
        <f t="shared" si="23"/>
        <v>53296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SUMIFS(His_Operacoes_acoes[Total],His_Operacoes_acoes[Fimmes],Patrimônio!B361,His_Operacoes_acoes[Operação],"JCP")
+ SUMIFS(His_Operacoes_acoes[Total],His_Operacoes_acoes[Fimmes],Patrimônio!B361,His_Operacoes_acoes[Operação],"Divid.")
+ SUMIFS(His_Operacoes_acoes[Total],His_Operacoes_acoes[Fimmes],Patrimônio!B361,His_Operacoes_acoes[Operação],"Bonif.")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53328</v>
      </c>
      <c r="B362" s="7">
        <f t="shared" si="23"/>
        <v>53327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SUMIFS(His_Operacoes_acoes[Total],His_Operacoes_acoes[Fimmes],Patrimônio!B362,His_Operacoes_acoes[Operação],"JCP")
+ SUMIFS(His_Operacoes_acoes[Total],His_Operacoes_acoes[Fimmes],Patrimônio!B362,His_Operacoes_acoes[Operação],"Divid.")
+ SUMIFS(His_Operacoes_acoes[Total],His_Operacoes_acoes[Fimmes],Patrimônio!B362,His_Operacoes_acoes[Operação],"Bonif.")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53359</v>
      </c>
      <c r="B363" s="7">
        <f t="shared" si="23"/>
        <v>53358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SUMIFS(His_Operacoes_acoes[Total],His_Operacoes_acoes[Fimmes],Patrimônio!B363,His_Operacoes_acoes[Operação],"JCP")
+ SUMIFS(His_Operacoes_acoes[Total],His_Operacoes_acoes[Fimmes],Patrimônio!B363,His_Operacoes_acoes[Operação],"Divid.")
+ SUMIFS(His_Operacoes_acoes[Total],His_Operacoes_acoes[Fimmes],Patrimônio!B363,His_Operacoes_acoes[Operação],"Bonif.")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53387</v>
      </c>
      <c r="B364" s="7">
        <f t="shared" si="23"/>
        <v>53386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SUMIFS(His_Operacoes_acoes[Total],His_Operacoes_acoes[Fimmes],Patrimônio!B364,His_Operacoes_acoes[Operação],"JCP")
+ SUMIFS(His_Operacoes_acoes[Total],His_Operacoes_acoes[Fimmes],Patrimônio!B364,His_Operacoes_acoes[Operação],"Divid.")
+ SUMIFS(His_Operacoes_acoes[Total],His_Operacoes_acoes[Fimmes],Patrimônio!B364,His_Operacoes_acoes[Operação],"Bonif.")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53418</v>
      </c>
      <c r="B365" s="7">
        <f t="shared" si="23"/>
        <v>53417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SUMIFS(His_Operacoes_acoes[Total],His_Operacoes_acoes[Fimmes],Patrimônio!B365,His_Operacoes_acoes[Operação],"JCP")
+ SUMIFS(His_Operacoes_acoes[Total],His_Operacoes_acoes[Fimmes],Patrimônio!B365,His_Operacoes_acoes[Operação],"Divid.")
+ SUMIFS(His_Operacoes_acoes[Total],His_Operacoes_acoes[Fimmes],Patrimônio!B365,His_Operacoes_acoes[Operação],"Bonif.")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53448</v>
      </c>
      <c r="B366" s="7">
        <f t="shared" si="23"/>
        <v>53447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SUMIFS(His_Operacoes_acoes[Total],His_Operacoes_acoes[Fimmes],Patrimônio!B366,His_Operacoes_acoes[Operação],"JCP")
+ SUMIFS(His_Operacoes_acoes[Total],His_Operacoes_acoes[Fimmes],Patrimônio!B366,His_Operacoes_acoes[Operação],"Divid.")
+ SUMIFS(His_Operacoes_acoes[Total],His_Operacoes_acoes[Fimmes],Patrimônio!B366,His_Operacoes_acoes[Operação],"Bonif.")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53479</v>
      </c>
      <c r="B367" s="7">
        <f t="shared" si="23"/>
        <v>53478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SUMIFS(His_Operacoes_acoes[Total],His_Operacoes_acoes[Fimmes],Patrimônio!B367,His_Operacoes_acoes[Operação],"JCP")
+ SUMIFS(His_Operacoes_acoes[Total],His_Operacoes_acoes[Fimmes],Patrimônio!B367,His_Operacoes_acoes[Operação],"Divid.")
+ SUMIFS(His_Operacoes_acoes[Total],His_Operacoes_acoes[Fimmes],Patrimônio!B367,His_Operacoes_acoes[Operação],"Bonif.")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53509</v>
      </c>
      <c r="B368" s="7">
        <f t="shared" si="23"/>
        <v>53508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SUMIFS(His_Operacoes_acoes[Total],His_Operacoes_acoes[Fimmes],Patrimônio!B368,His_Operacoes_acoes[Operação],"JCP")
+ SUMIFS(His_Operacoes_acoes[Total],His_Operacoes_acoes[Fimmes],Patrimônio!B368,His_Operacoes_acoes[Operação],"Divid.")
+ SUMIFS(His_Operacoes_acoes[Total],His_Operacoes_acoes[Fimmes],Patrimônio!B368,His_Operacoes_acoes[Operação],"Bonif.")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53540</v>
      </c>
      <c r="B369" s="7">
        <f t="shared" si="23"/>
        <v>53539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SUMIFS(His_Operacoes_acoes[Total],His_Operacoes_acoes[Fimmes],Patrimônio!B369,His_Operacoes_acoes[Operação],"JCP")
+ SUMIFS(His_Operacoes_acoes[Total],His_Operacoes_acoes[Fimmes],Patrimônio!B369,His_Operacoes_acoes[Operação],"Divid.")
+ SUMIFS(His_Operacoes_acoes[Total],His_Operacoes_acoes[Fimmes],Patrimônio!B369,His_Operacoes_acoes[Operação],"Bonif.")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53571</v>
      </c>
      <c r="B370" s="7">
        <f t="shared" si="23"/>
        <v>53570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SUMIFS(His_Operacoes_acoes[Total],His_Operacoes_acoes[Fimmes],Patrimônio!B370,His_Operacoes_acoes[Operação],"JCP")
+ SUMIFS(His_Operacoes_acoes[Total],His_Operacoes_acoes[Fimmes],Patrimônio!B370,His_Operacoes_acoes[Operação],"Divid.")
+ SUMIFS(His_Operacoes_acoes[Total],His_Operacoes_acoes[Fimmes],Patrimônio!B370,His_Operacoes_acoes[Operação],"Bonif.")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53601</v>
      </c>
      <c r="B371" s="7">
        <f t="shared" si="23"/>
        <v>53600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SUMIFS(His_Operacoes_acoes[Total],His_Operacoes_acoes[Fimmes],Patrimônio!B371,His_Operacoes_acoes[Operação],"JCP")
+ SUMIFS(His_Operacoes_acoes[Total],His_Operacoes_acoes[Fimmes],Patrimônio!B371,His_Operacoes_acoes[Operação],"Divid.")
+ SUMIFS(His_Operacoes_acoes[Total],His_Operacoes_acoes[Fimmes],Patrimônio!B371,His_Operacoes_acoes[Operação],"Bonif.")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53632</v>
      </c>
      <c r="B372" s="7">
        <f t="shared" si="23"/>
        <v>53631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SUMIFS(His_Operacoes_acoes[Total],His_Operacoes_acoes[Fimmes],Patrimônio!B372,His_Operacoes_acoes[Operação],"JCP")
+ SUMIFS(His_Operacoes_acoes[Total],His_Operacoes_acoes[Fimmes],Patrimônio!B372,His_Operacoes_acoes[Operação],"Divid.")
+ SUMIFS(His_Operacoes_acoes[Total],His_Operacoes_acoes[Fimmes],Patrimônio!B372,His_Operacoes_acoes[Operação],"Bonif.")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53662</v>
      </c>
      <c r="B373" s="7">
        <f t="shared" si="23"/>
        <v>53661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SUMIFS(His_Operacoes_acoes[Total],His_Operacoes_acoes[Fimmes],Patrimônio!B373,His_Operacoes_acoes[Operação],"JCP")
+ SUMIFS(His_Operacoes_acoes[Total],His_Operacoes_acoes[Fimmes],Patrimônio!B373,His_Operacoes_acoes[Operação],"Divid.")
+ SUMIFS(His_Operacoes_acoes[Total],His_Operacoes_acoes[Fimmes],Patrimônio!B373,His_Operacoes_acoes[Operação],"Bonif.")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53693</v>
      </c>
      <c r="B374" s="7">
        <f t="shared" si="23"/>
        <v>53692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SUMIFS(His_Operacoes_acoes[Total],His_Operacoes_acoes[Fimmes],Patrimônio!B374,His_Operacoes_acoes[Operação],"JCP")
+ SUMIFS(His_Operacoes_acoes[Total],His_Operacoes_acoes[Fimmes],Patrimônio!B374,His_Operacoes_acoes[Operação],"Divid.")
+ SUMIFS(His_Operacoes_acoes[Total],His_Operacoes_acoes[Fimmes],Patrimônio!B374,His_Operacoes_acoes[Operação],"Bonif.")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53724</v>
      </c>
      <c r="B375" s="7">
        <f t="shared" si="23"/>
        <v>53723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SUMIFS(His_Operacoes_acoes[Total],His_Operacoes_acoes[Fimmes],Patrimônio!B375,His_Operacoes_acoes[Operação],"JCP")
+ SUMIFS(His_Operacoes_acoes[Total],His_Operacoes_acoes[Fimmes],Patrimônio!B375,His_Operacoes_acoes[Operação],"Divid.")
+ SUMIFS(His_Operacoes_acoes[Total],His_Operacoes_acoes[Fimmes],Patrimônio!B375,His_Operacoes_acoes[Operação],"Bonif.")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53752</v>
      </c>
      <c r="B376" s="7">
        <f t="shared" si="23"/>
        <v>53751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SUMIFS(His_Operacoes_acoes[Total],His_Operacoes_acoes[Fimmes],Patrimônio!B376,His_Operacoes_acoes[Operação],"JCP")
+ SUMIFS(His_Operacoes_acoes[Total],His_Operacoes_acoes[Fimmes],Patrimônio!B376,His_Operacoes_acoes[Operação],"Divid.")
+ SUMIFS(His_Operacoes_acoes[Total],His_Operacoes_acoes[Fimmes],Patrimônio!B376,His_Operacoes_acoes[Operação],"Bonif.")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53783</v>
      </c>
      <c r="B377" s="7">
        <f t="shared" si="23"/>
        <v>53782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SUMIFS(His_Operacoes_acoes[Total],His_Operacoes_acoes[Fimmes],Patrimônio!B377,His_Operacoes_acoes[Operação],"JCP")
+ SUMIFS(His_Operacoes_acoes[Total],His_Operacoes_acoes[Fimmes],Patrimônio!B377,His_Operacoes_acoes[Operação],"Divid.")
+ SUMIFS(His_Operacoes_acoes[Total],His_Operacoes_acoes[Fimmes],Patrimônio!B377,His_Operacoes_acoes[Operação],"Bonif.")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53813</v>
      </c>
      <c r="B378" s="7">
        <f t="shared" si="23"/>
        <v>53812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SUMIFS(His_Operacoes_acoes[Total],His_Operacoes_acoes[Fimmes],Patrimônio!B378,His_Operacoes_acoes[Operação],"JCP")
+ SUMIFS(His_Operacoes_acoes[Total],His_Operacoes_acoes[Fimmes],Patrimônio!B378,His_Operacoes_acoes[Operação],"Divid.")
+ SUMIFS(His_Operacoes_acoes[Total],His_Operacoes_acoes[Fimmes],Patrimônio!B378,His_Operacoes_acoes[Operação],"Bonif.")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53844</v>
      </c>
      <c r="B379" s="7">
        <f t="shared" si="23"/>
        <v>53843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SUMIFS(His_Operacoes_acoes[Total],His_Operacoes_acoes[Fimmes],Patrimônio!B379,His_Operacoes_acoes[Operação],"JCP")
+ SUMIFS(His_Operacoes_acoes[Total],His_Operacoes_acoes[Fimmes],Patrimônio!B379,His_Operacoes_acoes[Operação],"Divid.")
+ SUMIFS(His_Operacoes_acoes[Total],His_Operacoes_acoes[Fimmes],Patrimônio!B379,His_Operacoes_acoes[Operação],"Bonif.")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53874</v>
      </c>
      <c r="B380" s="7">
        <f t="shared" si="23"/>
        <v>53873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SUMIFS(His_Operacoes_acoes[Total],His_Operacoes_acoes[Fimmes],Patrimônio!B380,His_Operacoes_acoes[Operação],"JCP")
+ SUMIFS(His_Operacoes_acoes[Total],His_Operacoes_acoes[Fimmes],Patrimônio!B380,His_Operacoes_acoes[Operação],"Divid.")
+ SUMIFS(His_Operacoes_acoes[Total],His_Operacoes_acoes[Fimmes],Patrimônio!B380,His_Operacoes_acoes[Operação],"Bonif.")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53905</v>
      </c>
      <c r="B381" s="7">
        <f t="shared" si="23"/>
        <v>53904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SUMIFS(His_Operacoes_acoes[Total],His_Operacoes_acoes[Fimmes],Patrimônio!B381,His_Operacoes_acoes[Operação],"JCP")
+ SUMIFS(His_Operacoes_acoes[Total],His_Operacoes_acoes[Fimmes],Patrimônio!B381,His_Operacoes_acoes[Operação],"Divid.")
+ SUMIFS(His_Operacoes_acoes[Total],His_Operacoes_acoes[Fimmes],Patrimônio!B381,His_Operacoes_acoes[Operação],"Bonif.")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53936</v>
      </c>
      <c r="B382" s="7">
        <f t="shared" si="23"/>
        <v>53935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SUMIFS(His_Operacoes_acoes[Total],His_Operacoes_acoes[Fimmes],Patrimônio!B382,His_Operacoes_acoes[Operação],"JCP")
+ SUMIFS(His_Operacoes_acoes[Total],His_Operacoes_acoes[Fimmes],Patrimônio!B382,His_Operacoes_acoes[Operação],"Divid.")
+ SUMIFS(His_Operacoes_acoes[Total],His_Operacoes_acoes[Fimmes],Patrimônio!B382,His_Operacoes_acoes[Operação],"Bonif.")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53966</v>
      </c>
      <c r="B383" s="7">
        <f t="shared" si="23"/>
        <v>53965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SUMIFS(His_Operacoes_acoes[Total],His_Operacoes_acoes[Fimmes],Patrimônio!B383,His_Operacoes_acoes[Operação],"JCP")
+ SUMIFS(His_Operacoes_acoes[Total],His_Operacoes_acoes[Fimmes],Patrimônio!B383,His_Operacoes_acoes[Operação],"Divid.")
+ SUMIFS(His_Operacoes_acoes[Total],His_Operacoes_acoes[Fimmes],Patrimônio!B383,His_Operacoes_acoes[Operação],"Bonif.")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53997</v>
      </c>
      <c r="B384" s="7">
        <f t="shared" si="23"/>
        <v>53996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SUMIFS(His_Operacoes_acoes[Total],His_Operacoes_acoes[Fimmes],Patrimônio!B384,His_Operacoes_acoes[Operação],"JCP")
+ SUMIFS(His_Operacoes_acoes[Total],His_Operacoes_acoes[Fimmes],Patrimônio!B384,His_Operacoes_acoes[Operação],"Divid.")
+ SUMIFS(His_Operacoes_acoes[Total],His_Operacoes_acoes[Fimmes],Patrimônio!B384,His_Operacoes_acoes[Operação],"Bonif.")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54027</v>
      </c>
      <c r="B385" s="7">
        <f t="shared" si="23"/>
        <v>54026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SUMIFS(His_Operacoes_acoes[Total],His_Operacoes_acoes[Fimmes],Patrimônio!B385,His_Operacoes_acoes[Operação],"JCP")
+ SUMIFS(His_Operacoes_acoes[Total],His_Operacoes_acoes[Fimmes],Patrimônio!B385,His_Operacoes_acoes[Operação],"Divid.")
+ SUMIFS(His_Operacoes_acoes[Total],His_Operacoes_acoes[Fimmes],Patrimônio!B385,His_Operacoes_acoes[Operação],"Bonif.")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54058</v>
      </c>
      <c r="B386" s="7">
        <f t="shared" si="23"/>
        <v>54057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SUMIFS(His_Operacoes_acoes[Total],His_Operacoes_acoes[Fimmes],Patrimônio!B386,His_Operacoes_acoes[Operação],"JCP")
+ SUMIFS(His_Operacoes_acoes[Total],His_Operacoes_acoes[Fimmes],Patrimônio!B386,His_Operacoes_acoes[Operação],"Divid.")
+ SUMIFS(His_Operacoes_acoes[Total],His_Operacoes_acoes[Fimmes],Patrimônio!B386,His_Operacoes_acoes[Operação],"Bonif.")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54089</v>
      </c>
      <c r="B387" s="7">
        <f t="shared" ref="B387:B450" si="27">EOMONTH(A387,-1)</f>
        <v>54088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SUMIFS(His_Operacoes_acoes[Total],His_Operacoes_acoes[Fimmes],Patrimônio!B387,His_Operacoes_acoes[Operação],"JCP")
+ SUMIFS(His_Operacoes_acoes[Total],His_Operacoes_acoes[Fimmes],Patrimônio!B387,His_Operacoes_acoes[Operação],"Divid.")
+ SUMIFS(His_Operacoes_acoes[Total],His_Operacoes_acoes[Fimmes],Patrimônio!B387,His_Operacoes_acoes[Operação],"Bonif.")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54118</v>
      </c>
      <c r="B388" s="7">
        <f t="shared" si="27"/>
        <v>54117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SUMIFS(His_Operacoes_acoes[Total],His_Operacoes_acoes[Fimmes],Patrimônio!B388,His_Operacoes_acoes[Operação],"JCP")
+ SUMIFS(His_Operacoes_acoes[Total],His_Operacoes_acoes[Fimmes],Patrimônio!B388,His_Operacoes_acoes[Operação],"Divid.")
+ SUMIFS(His_Operacoes_acoes[Total],His_Operacoes_acoes[Fimmes],Patrimônio!B388,His_Operacoes_acoes[Operação],"Bonif.")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54149</v>
      </c>
      <c r="B389" s="7">
        <f t="shared" si="27"/>
        <v>54148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SUMIFS(His_Operacoes_acoes[Total],His_Operacoes_acoes[Fimmes],Patrimônio!B389,His_Operacoes_acoes[Operação],"JCP")
+ SUMIFS(His_Operacoes_acoes[Total],His_Operacoes_acoes[Fimmes],Patrimônio!B389,His_Operacoes_acoes[Operação],"Divid.")
+ SUMIFS(His_Operacoes_acoes[Total],His_Operacoes_acoes[Fimmes],Patrimônio!B389,His_Operacoes_acoes[Operação],"Bonif.")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54179</v>
      </c>
      <c r="B390" s="7">
        <f t="shared" si="27"/>
        <v>54178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SUMIFS(His_Operacoes_acoes[Total],His_Operacoes_acoes[Fimmes],Patrimônio!B390,His_Operacoes_acoes[Operação],"JCP")
+ SUMIFS(His_Operacoes_acoes[Total],His_Operacoes_acoes[Fimmes],Patrimônio!B390,His_Operacoes_acoes[Operação],"Divid.")
+ SUMIFS(His_Operacoes_acoes[Total],His_Operacoes_acoes[Fimmes],Patrimônio!B390,His_Operacoes_acoes[Operação],"Bonif.")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54210</v>
      </c>
      <c r="B391" s="7">
        <f t="shared" si="27"/>
        <v>54209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SUMIFS(His_Operacoes_acoes[Total],His_Operacoes_acoes[Fimmes],Patrimônio!B391,His_Operacoes_acoes[Operação],"JCP")
+ SUMIFS(His_Operacoes_acoes[Total],His_Operacoes_acoes[Fimmes],Patrimônio!B391,His_Operacoes_acoes[Operação],"Divid.")
+ SUMIFS(His_Operacoes_acoes[Total],His_Operacoes_acoes[Fimmes],Patrimônio!B391,His_Operacoes_acoes[Operação],"Bonif.")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54240</v>
      </c>
      <c r="B392" s="7">
        <f t="shared" si="27"/>
        <v>54239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SUMIFS(His_Operacoes_acoes[Total],His_Operacoes_acoes[Fimmes],Patrimônio!B392,His_Operacoes_acoes[Operação],"JCP")
+ SUMIFS(His_Operacoes_acoes[Total],His_Operacoes_acoes[Fimmes],Patrimônio!B392,His_Operacoes_acoes[Operação],"Divid.")
+ SUMIFS(His_Operacoes_acoes[Total],His_Operacoes_acoes[Fimmes],Patrimônio!B392,His_Operacoes_acoes[Operação],"Bonif.")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54271</v>
      </c>
      <c r="B393" s="7">
        <f t="shared" si="27"/>
        <v>54270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SUMIFS(His_Operacoes_acoes[Total],His_Operacoes_acoes[Fimmes],Patrimônio!B393,His_Operacoes_acoes[Operação],"JCP")
+ SUMIFS(His_Operacoes_acoes[Total],His_Operacoes_acoes[Fimmes],Patrimônio!B393,His_Operacoes_acoes[Operação],"Divid.")
+ SUMIFS(His_Operacoes_acoes[Total],His_Operacoes_acoes[Fimmes],Patrimônio!B393,His_Operacoes_acoes[Operação],"Bonif.")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54302</v>
      </c>
      <c r="B394" s="7">
        <f t="shared" si="27"/>
        <v>54301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SUMIFS(His_Operacoes_acoes[Total],His_Operacoes_acoes[Fimmes],Patrimônio!B394,His_Operacoes_acoes[Operação],"JCP")
+ SUMIFS(His_Operacoes_acoes[Total],His_Operacoes_acoes[Fimmes],Patrimônio!B394,His_Operacoes_acoes[Operação],"Divid.")
+ SUMIFS(His_Operacoes_acoes[Total],His_Operacoes_acoes[Fimmes],Patrimônio!B394,His_Operacoes_acoes[Operação],"Bonif.")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54332</v>
      </c>
      <c r="B395" s="7">
        <f t="shared" si="27"/>
        <v>54331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SUMIFS(His_Operacoes_acoes[Total],His_Operacoes_acoes[Fimmes],Patrimônio!B395,His_Operacoes_acoes[Operação],"JCP")
+ SUMIFS(His_Operacoes_acoes[Total],His_Operacoes_acoes[Fimmes],Patrimônio!B395,His_Operacoes_acoes[Operação],"Divid.")
+ SUMIFS(His_Operacoes_acoes[Total],His_Operacoes_acoes[Fimmes],Patrimônio!B395,His_Operacoes_acoes[Operação],"Bonif.")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54363</v>
      </c>
      <c r="B396" s="7">
        <f t="shared" si="27"/>
        <v>54362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SUMIFS(His_Operacoes_acoes[Total],His_Operacoes_acoes[Fimmes],Patrimônio!B396,His_Operacoes_acoes[Operação],"JCP")
+ SUMIFS(His_Operacoes_acoes[Total],His_Operacoes_acoes[Fimmes],Patrimônio!B396,His_Operacoes_acoes[Operação],"Divid.")
+ SUMIFS(His_Operacoes_acoes[Total],His_Operacoes_acoes[Fimmes],Patrimônio!B396,His_Operacoes_acoes[Operação],"Bonif.")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54393</v>
      </c>
      <c r="B397" s="7">
        <f t="shared" si="27"/>
        <v>54392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SUMIFS(His_Operacoes_acoes[Total],His_Operacoes_acoes[Fimmes],Patrimônio!B397,His_Operacoes_acoes[Operação],"JCP")
+ SUMIFS(His_Operacoes_acoes[Total],His_Operacoes_acoes[Fimmes],Patrimônio!B397,His_Operacoes_acoes[Operação],"Divid.")
+ SUMIFS(His_Operacoes_acoes[Total],His_Operacoes_acoes[Fimmes],Patrimônio!B397,His_Operacoes_acoes[Operação],"Bonif.")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54424</v>
      </c>
      <c r="B398" s="7">
        <f t="shared" si="27"/>
        <v>54423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SUMIFS(His_Operacoes_acoes[Total],His_Operacoes_acoes[Fimmes],Patrimônio!B398,His_Operacoes_acoes[Operação],"JCP")
+ SUMIFS(His_Operacoes_acoes[Total],His_Operacoes_acoes[Fimmes],Patrimônio!B398,His_Operacoes_acoes[Operação],"Divid.")
+ SUMIFS(His_Operacoes_acoes[Total],His_Operacoes_acoes[Fimmes],Patrimônio!B398,His_Operacoes_acoes[Operação],"Bonif.")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54455</v>
      </c>
      <c r="B399" s="7">
        <f t="shared" si="27"/>
        <v>54454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SUMIFS(His_Operacoes_acoes[Total],His_Operacoes_acoes[Fimmes],Patrimônio!B399,His_Operacoes_acoes[Operação],"JCP")
+ SUMIFS(His_Operacoes_acoes[Total],His_Operacoes_acoes[Fimmes],Patrimônio!B399,His_Operacoes_acoes[Operação],"Divid.")
+ SUMIFS(His_Operacoes_acoes[Total],His_Operacoes_acoes[Fimmes],Patrimônio!B399,His_Operacoes_acoes[Operação],"Bonif.")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54483</v>
      </c>
      <c r="B400" s="7">
        <f t="shared" si="27"/>
        <v>54482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SUMIFS(His_Operacoes_acoes[Total],His_Operacoes_acoes[Fimmes],Patrimônio!B400,His_Operacoes_acoes[Operação],"JCP")
+ SUMIFS(His_Operacoes_acoes[Total],His_Operacoes_acoes[Fimmes],Patrimônio!B400,His_Operacoes_acoes[Operação],"Divid.")
+ SUMIFS(His_Operacoes_acoes[Total],His_Operacoes_acoes[Fimmes],Patrimônio!B400,His_Operacoes_acoes[Operação],"Bonif.")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54514</v>
      </c>
      <c r="B401" s="7">
        <f t="shared" si="27"/>
        <v>54513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SUMIFS(His_Operacoes_acoes[Total],His_Operacoes_acoes[Fimmes],Patrimônio!B401,His_Operacoes_acoes[Operação],"JCP")
+ SUMIFS(His_Operacoes_acoes[Total],His_Operacoes_acoes[Fimmes],Patrimônio!B401,His_Operacoes_acoes[Operação],"Divid.")
+ SUMIFS(His_Operacoes_acoes[Total],His_Operacoes_acoes[Fimmes],Patrimônio!B401,His_Operacoes_acoes[Operação],"Bonif.")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54544</v>
      </c>
      <c r="B402" s="7">
        <f t="shared" si="27"/>
        <v>54543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SUMIFS(His_Operacoes_acoes[Total],His_Operacoes_acoes[Fimmes],Patrimônio!B402,His_Operacoes_acoes[Operação],"JCP")
+ SUMIFS(His_Operacoes_acoes[Total],His_Operacoes_acoes[Fimmes],Patrimônio!B402,His_Operacoes_acoes[Operação],"Divid.")
+ SUMIFS(His_Operacoes_acoes[Total],His_Operacoes_acoes[Fimmes],Patrimônio!B402,His_Operacoes_acoes[Operação],"Bonif.")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54575</v>
      </c>
      <c r="B403" s="7">
        <f t="shared" si="27"/>
        <v>54574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SUMIFS(His_Operacoes_acoes[Total],His_Operacoes_acoes[Fimmes],Patrimônio!B403,His_Operacoes_acoes[Operação],"JCP")
+ SUMIFS(His_Operacoes_acoes[Total],His_Operacoes_acoes[Fimmes],Patrimônio!B403,His_Operacoes_acoes[Operação],"Divid.")
+ SUMIFS(His_Operacoes_acoes[Total],His_Operacoes_acoes[Fimmes],Patrimônio!B403,His_Operacoes_acoes[Operação],"Bonif.")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54605</v>
      </c>
      <c r="B404" s="7">
        <f t="shared" si="27"/>
        <v>54604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SUMIFS(His_Operacoes_acoes[Total],His_Operacoes_acoes[Fimmes],Patrimônio!B404,His_Operacoes_acoes[Operação],"JCP")
+ SUMIFS(His_Operacoes_acoes[Total],His_Operacoes_acoes[Fimmes],Patrimônio!B404,His_Operacoes_acoes[Operação],"Divid.")
+ SUMIFS(His_Operacoes_acoes[Total],His_Operacoes_acoes[Fimmes],Patrimônio!B404,His_Operacoes_acoes[Operação],"Bonif.")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54636</v>
      </c>
      <c r="B405" s="7">
        <f t="shared" si="27"/>
        <v>54635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SUMIFS(His_Operacoes_acoes[Total],His_Operacoes_acoes[Fimmes],Patrimônio!B405,His_Operacoes_acoes[Operação],"JCP")
+ SUMIFS(His_Operacoes_acoes[Total],His_Operacoes_acoes[Fimmes],Patrimônio!B405,His_Operacoes_acoes[Operação],"Divid.")
+ SUMIFS(His_Operacoes_acoes[Total],His_Operacoes_acoes[Fimmes],Patrimônio!B405,His_Operacoes_acoes[Operação],"Bonif.")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54667</v>
      </c>
      <c r="B406" s="7">
        <f t="shared" si="27"/>
        <v>54666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SUMIFS(His_Operacoes_acoes[Total],His_Operacoes_acoes[Fimmes],Patrimônio!B406,His_Operacoes_acoes[Operação],"JCP")
+ SUMIFS(His_Operacoes_acoes[Total],His_Operacoes_acoes[Fimmes],Patrimônio!B406,His_Operacoes_acoes[Operação],"Divid.")
+ SUMIFS(His_Operacoes_acoes[Total],His_Operacoes_acoes[Fimmes],Patrimônio!B406,His_Operacoes_acoes[Operação],"Bonif.")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54697</v>
      </c>
      <c r="B407" s="7">
        <f t="shared" si="27"/>
        <v>54696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SUMIFS(His_Operacoes_acoes[Total],His_Operacoes_acoes[Fimmes],Patrimônio!B407,His_Operacoes_acoes[Operação],"JCP")
+ SUMIFS(His_Operacoes_acoes[Total],His_Operacoes_acoes[Fimmes],Patrimônio!B407,His_Operacoes_acoes[Operação],"Divid.")
+ SUMIFS(His_Operacoes_acoes[Total],His_Operacoes_acoes[Fimmes],Patrimônio!B407,His_Operacoes_acoes[Operação],"Bonif.")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54728</v>
      </c>
      <c r="B408" s="7">
        <f t="shared" si="27"/>
        <v>54727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SUMIFS(His_Operacoes_acoes[Total],His_Operacoes_acoes[Fimmes],Patrimônio!B408,His_Operacoes_acoes[Operação],"JCP")
+ SUMIFS(His_Operacoes_acoes[Total],His_Operacoes_acoes[Fimmes],Patrimônio!B408,His_Operacoes_acoes[Operação],"Divid.")
+ SUMIFS(His_Operacoes_acoes[Total],His_Operacoes_acoes[Fimmes],Patrimônio!B408,His_Operacoes_acoes[Operação],"Bonif.")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54758</v>
      </c>
      <c r="B409" s="7">
        <f t="shared" si="27"/>
        <v>54757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SUMIFS(His_Operacoes_acoes[Total],His_Operacoes_acoes[Fimmes],Patrimônio!B409,His_Operacoes_acoes[Operação],"JCP")
+ SUMIFS(His_Operacoes_acoes[Total],His_Operacoes_acoes[Fimmes],Patrimônio!B409,His_Operacoes_acoes[Operação],"Divid.")
+ SUMIFS(His_Operacoes_acoes[Total],His_Operacoes_acoes[Fimmes],Patrimônio!B409,His_Operacoes_acoes[Operação],"Bonif.")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54789</v>
      </c>
      <c r="B410" s="7">
        <f t="shared" si="27"/>
        <v>54788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SUMIFS(His_Operacoes_acoes[Total],His_Operacoes_acoes[Fimmes],Patrimônio!B410,His_Operacoes_acoes[Operação],"JCP")
+ SUMIFS(His_Operacoes_acoes[Total],His_Operacoes_acoes[Fimmes],Patrimônio!B410,His_Operacoes_acoes[Operação],"Divid.")
+ SUMIFS(His_Operacoes_acoes[Total],His_Operacoes_acoes[Fimmes],Patrimônio!B410,His_Operacoes_acoes[Operação],"Bonif.")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54820</v>
      </c>
      <c r="B411" s="7">
        <f t="shared" si="27"/>
        <v>54819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SUMIFS(His_Operacoes_acoes[Total],His_Operacoes_acoes[Fimmes],Patrimônio!B411,His_Operacoes_acoes[Operação],"JCP")
+ SUMIFS(His_Operacoes_acoes[Total],His_Operacoes_acoes[Fimmes],Patrimônio!B411,His_Operacoes_acoes[Operação],"Divid.")
+ SUMIFS(His_Operacoes_acoes[Total],His_Operacoes_acoes[Fimmes],Patrimônio!B411,His_Operacoes_acoes[Operação],"Bonif.")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54848</v>
      </c>
      <c r="B412" s="7">
        <f t="shared" si="27"/>
        <v>54847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SUMIFS(His_Operacoes_acoes[Total],His_Operacoes_acoes[Fimmes],Patrimônio!B412,His_Operacoes_acoes[Operação],"JCP")
+ SUMIFS(His_Operacoes_acoes[Total],His_Operacoes_acoes[Fimmes],Patrimônio!B412,His_Operacoes_acoes[Operação],"Divid.")
+ SUMIFS(His_Operacoes_acoes[Total],His_Operacoes_acoes[Fimmes],Patrimônio!B412,His_Operacoes_acoes[Operação],"Bonif.")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54879</v>
      </c>
      <c r="B413" s="7">
        <f t="shared" si="27"/>
        <v>54878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SUMIFS(His_Operacoes_acoes[Total],His_Operacoes_acoes[Fimmes],Patrimônio!B413,His_Operacoes_acoes[Operação],"JCP")
+ SUMIFS(His_Operacoes_acoes[Total],His_Operacoes_acoes[Fimmes],Patrimônio!B413,His_Operacoes_acoes[Operação],"Divid.")
+ SUMIFS(His_Operacoes_acoes[Total],His_Operacoes_acoes[Fimmes],Patrimônio!B413,His_Operacoes_acoes[Operação],"Bonif.")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54909</v>
      </c>
      <c r="B414" s="7">
        <f t="shared" si="27"/>
        <v>54908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SUMIFS(His_Operacoes_acoes[Total],His_Operacoes_acoes[Fimmes],Patrimônio!B414,His_Operacoes_acoes[Operação],"JCP")
+ SUMIFS(His_Operacoes_acoes[Total],His_Operacoes_acoes[Fimmes],Patrimônio!B414,His_Operacoes_acoes[Operação],"Divid.")
+ SUMIFS(His_Operacoes_acoes[Total],His_Operacoes_acoes[Fimmes],Patrimônio!B414,His_Operacoes_acoes[Operação],"Bonif.")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54940</v>
      </c>
      <c r="B415" s="7">
        <f t="shared" si="27"/>
        <v>54939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SUMIFS(His_Operacoes_acoes[Total],His_Operacoes_acoes[Fimmes],Patrimônio!B415,His_Operacoes_acoes[Operação],"JCP")
+ SUMIFS(His_Operacoes_acoes[Total],His_Operacoes_acoes[Fimmes],Patrimônio!B415,His_Operacoes_acoes[Operação],"Divid.")
+ SUMIFS(His_Operacoes_acoes[Total],His_Operacoes_acoes[Fimmes],Patrimônio!B415,His_Operacoes_acoes[Operação],"Bonif.")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54970</v>
      </c>
      <c r="B416" s="7">
        <f t="shared" si="27"/>
        <v>54969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SUMIFS(His_Operacoes_acoes[Total],His_Operacoes_acoes[Fimmes],Patrimônio!B416,His_Operacoes_acoes[Operação],"JCP")
+ SUMIFS(His_Operacoes_acoes[Total],His_Operacoes_acoes[Fimmes],Patrimônio!B416,His_Operacoes_acoes[Operação],"Divid.")
+ SUMIFS(His_Operacoes_acoes[Total],His_Operacoes_acoes[Fimmes],Patrimônio!B416,His_Operacoes_acoes[Operação],"Bonif.")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55001</v>
      </c>
      <c r="B417" s="7">
        <f t="shared" si="27"/>
        <v>55000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SUMIFS(His_Operacoes_acoes[Total],His_Operacoes_acoes[Fimmes],Patrimônio!B417,His_Operacoes_acoes[Operação],"JCP")
+ SUMIFS(His_Operacoes_acoes[Total],His_Operacoes_acoes[Fimmes],Patrimônio!B417,His_Operacoes_acoes[Operação],"Divid.")
+ SUMIFS(His_Operacoes_acoes[Total],His_Operacoes_acoes[Fimmes],Patrimônio!B417,His_Operacoes_acoes[Operação],"Bonif.")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55032</v>
      </c>
      <c r="B418" s="7">
        <f t="shared" si="27"/>
        <v>55031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SUMIFS(His_Operacoes_acoes[Total],His_Operacoes_acoes[Fimmes],Patrimônio!B418,His_Operacoes_acoes[Operação],"JCP")
+ SUMIFS(His_Operacoes_acoes[Total],His_Operacoes_acoes[Fimmes],Patrimônio!B418,His_Operacoes_acoes[Operação],"Divid.")
+ SUMIFS(His_Operacoes_acoes[Total],His_Operacoes_acoes[Fimmes],Patrimônio!B418,His_Operacoes_acoes[Operação],"Bonif.")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55062</v>
      </c>
      <c r="B419" s="7">
        <f t="shared" si="27"/>
        <v>55061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SUMIFS(His_Operacoes_acoes[Total],His_Operacoes_acoes[Fimmes],Patrimônio!B419,His_Operacoes_acoes[Operação],"JCP")
+ SUMIFS(His_Operacoes_acoes[Total],His_Operacoes_acoes[Fimmes],Patrimônio!B419,His_Operacoes_acoes[Operação],"Divid.")
+ SUMIFS(His_Operacoes_acoes[Total],His_Operacoes_acoes[Fimmes],Patrimônio!B419,His_Operacoes_acoes[Operação],"Bonif.")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55093</v>
      </c>
      <c r="B420" s="7">
        <f t="shared" si="27"/>
        <v>55092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SUMIFS(His_Operacoes_acoes[Total],His_Operacoes_acoes[Fimmes],Patrimônio!B420,His_Operacoes_acoes[Operação],"JCP")
+ SUMIFS(His_Operacoes_acoes[Total],His_Operacoes_acoes[Fimmes],Patrimônio!B420,His_Operacoes_acoes[Operação],"Divid.")
+ SUMIFS(His_Operacoes_acoes[Total],His_Operacoes_acoes[Fimmes],Patrimônio!B420,His_Operacoes_acoes[Operação],"Bonif.")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55123</v>
      </c>
      <c r="B421" s="7">
        <f t="shared" si="27"/>
        <v>55122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SUMIFS(His_Operacoes_acoes[Total],His_Operacoes_acoes[Fimmes],Patrimônio!B421,His_Operacoes_acoes[Operação],"JCP")
+ SUMIFS(His_Operacoes_acoes[Total],His_Operacoes_acoes[Fimmes],Patrimônio!B421,His_Operacoes_acoes[Operação],"Divid.")
+ SUMIFS(His_Operacoes_acoes[Total],His_Operacoes_acoes[Fimmes],Patrimônio!B421,His_Operacoes_acoes[Operação],"Bonif.")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55154</v>
      </c>
      <c r="B422" s="7">
        <f t="shared" si="27"/>
        <v>55153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SUMIFS(His_Operacoes_acoes[Total],His_Operacoes_acoes[Fimmes],Patrimônio!B422,His_Operacoes_acoes[Operação],"JCP")
+ SUMIFS(His_Operacoes_acoes[Total],His_Operacoes_acoes[Fimmes],Patrimônio!B422,His_Operacoes_acoes[Operação],"Divid.")
+ SUMIFS(His_Operacoes_acoes[Total],His_Operacoes_acoes[Fimmes],Patrimônio!B422,His_Operacoes_acoes[Operação],"Bonif.")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55185</v>
      </c>
      <c r="B423" s="7">
        <f t="shared" si="27"/>
        <v>55184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SUMIFS(His_Operacoes_acoes[Total],His_Operacoes_acoes[Fimmes],Patrimônio!B423,His_Operacoes_acoes[Operação],"JCP")
+ SUMIFS(His_Operacoes_acoes[Total],His_Operacoes_acoes[Fimmes],Patrimônio!B423,His_Operacoes_acoes[Operação],"Divid.")
+ SUMIFS(His_Operacoes_acoes[Total],His_Operacoes_acoes[Fimmes],Patrimônio!B423,His_Operacoes_acoes[Operação],"Bonif.")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55213</v>
      </c>
      <c r="B424" s="7">
        <f t="shared" si="27"/>
        <v>55212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SUMIFS(His_Operacoes_acoes[Total],His_Operacoes_acoes[Fimmes],Patrimônio!B424,His_Operacoes_acoes[Operação],"JCP")
+ SUMIFS(His_Operacoes_acoes[Total],His_Operacoes_acoes[Fimmes],Patrimônio!B424,His_Operacoes_acoes[Operação],"Divid.")
+ SUMIFS(His_Operacoes_acoes[Total],His_Operacoes_acoes[Fimmes],Patrimônio!B424,His_Operacoes_acoes[Operação],"Bonif.")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55244</v>
      </c>
      <c r="B425" s="7">
        <f t="shared" si="27"/>
        <v>55243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SUMIFS(His_Operacoes_acoes[Total],His_Operacoes_acoes[Fimmes],Patrimônio!B425,His_Operacoes_acoes[Operação],"JCP")
+ SUMIFS(His_Operacoes_acoes[Total],His_Operacoes_acoes[Fimmes],Patrimônio!B425,His_Operacoes_acoes[Operação],"Divid.")
+ SUMIFS(His_Operacoes_acoes[Total],His_Operacoes_acoes[Fimmes],Patrimônio!B425,His_Operacoes_acoes[Operação],"Bonif.")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55274</v>
      </c>
      <c r="B426" s="7">
        <f t="shared" si="27"/>
        <v>55273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SUMIFS(His_Operacoes_acoes[Total],His_Operacoes_acoes[Fimmes],Patrimônio!B426,His_Operacoes_acoes[Operação],"JCP")
+ SUMIFS(His_Operacoes_acoes[Total],His_Operacoes_acoes[Fimmes],Patrimônio!B426,His_Operacoes_acoes[Operação],"Divid.")
+ SUMIFS(His_Operacoes_acoes[Total],His_Operacoes_acoes[Fimmes],Patrimônio!B426,His_Operacoes_acoes[Operação],"Bonif.")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55305</v>
      </c>
      <c r="B427" s="7">
        <f t="shared" si="27"/>
        <v>55304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SUMIFS(His_Operacoes_acoes[Total],His_Operacoes_acoes[Fimmes],Patrimônio!B427,His_Operacoes_acoes[Operação],"JCP")
+ SUMIFS(His_Operacoes_acoes[Total],His_Operacoes_acoes[Fimmes],Patrimônio!B427,His_Operacoes_acoes[Operação],"Divid.")
+ SUMIFS(His_Operacoes_acoes[Total],His_Operacoes_acoes[Fimmes],Patrimônio!B427,His_Operacoes_acoes[Operação],"Bonif.")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55335</v>
      </c>
      <c r="B428" s="7">
        <f t="shared" si="27"/>
        <v>55334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SUMIFS(His_Operacoes_acoes[Total],His_Operacoes_acoes[Fimmes],Patrimônio!B428,His_Operacoes_acoes[Operação],"JCP")
+ SUMIFS(His_Operacoes_acoes[Total],His_Operacoes_acoes[Fimmes],Patrimônio!B428,His_Operacoes_acoes[Operação],"Divid.")
+ SUMIFS(His_Operacoes_acoes[Total],His_Operacoes_acoes[Fimmes],Patrimônio!B428,His_Operacoes_acoes[Operação],"Bonif.")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55366</v>
      </c>
      <c r="B429" s="7">
        <f t="shared" si="27"/>
        <v>55365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SUMIFS(His_Operacoes_acoes[Total],His_Operacoes_acoes[Fimmes],Patrimônio!B429,His_Operacoes_acoes[Operação],"JCP")
+ SUMIFS(His_Operacoes_acoes[Total],His_Operacoes_acoes[Fimmes],Patrimônio!B429,His_Operacoes_acoes[Operação],"Divid.")
+ SUMIFS(His_Operacoes_acoes[Total],His_Operacoes_acoes[Fimmes],Patrimônio!B429,His_Operacoes_acoes[Operação],"Bonif.")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55397</v>
      </c>
      <c r="B430" s="7">
        <f t="shared" si="27"/>
        <v>55396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SUMIFS(His_Operacoes_acoes[Total],His_Operacoes_acoes[Fimmes],Patrimônio!B430,His_Operacoes_acoes[Operação],"JCP")
+ SUMIFS(His_Operacoes_acoes[Total],His_Operacoes_acoes[Fimmes],Patrimônio!B430,His_Operacoes_acoes[Operação],"Divid.")
+ SUMIFS(His_Operacoes_acoes[Total],His_Operacoes_acoes[Fimmes],Patrimônio!B430,His_Operacoes_acoes[Operação],"Bonif.")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55427</v>
      </c>
      <c r="B431" s="7">
        <f t="shared" si="27"/>
        <v>55426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SUMIFS(His_Operacoes_acoes[Total],His_Operacoes_acoes[Fimmes],Patrimônio!B431,His_Operacoes_acoes[Operação],"JCP")
+ SUMIFS(His_Operacoes_acoes[Total],His_Operacoes_acoes[Fimmes],Patrimônio!B431,His_Operacoes_acoes[Operação],"Divid.")
+ SUMIFS(His_Operacoes_acoes[Total],His_Operacoes_acoes[Fimmes],Patrimônio!B431,His_Operacoes_acoes[Operação],"Bonif.")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55458</v>
      </c>
      <c r="B432" s="7">
        <f t="shared" si="27"/>
        <v>55457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SUMIFS(His_Operacoes_acoes[Total],His_Operacoes_acoes[Fimmes],Patrimônio!B432,His_Operacoes_acoes[Operação],"JCP")
+ SUMIFS(His_Operacoes_acoes[Total],His_Operacoes_acoes[Fimmes],Patrimônio!B432,His_Operacoes_acoes[Operação],"Divid.")
+ SUMIFS(His_Operacoes_acoes[Total],His_Operacoes_acoes[Fimmes],Patrimônio!B432,His_Operacoes_acoes[Operação],"Bonif.")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55488</v>
      </c>
      <c r="B433" s="7">
        <f t="shared" si="27"/>
        <v>55487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SUMIFS(His_Operacoes_acoes[Total],His_Operacoes_acoes[Fimmes],Patrimônio!B433,His_Operacoes_acoes[Operação],"JCP")
+ SUMIFS(His_Operacoes_acoes[Total],His_Operacoes_acoes[Fimmes],Patrimônio!B433,His_Operacoes_acoes[Operação],"Divid.")
+ SUMIFS(His_Operacoes_acoes[Total],His_Operacoes_acoes[Fimmes],Patrimônio!B433,His_Operacoes_acoes[Operação],"Bonif.")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55519</v>
      </c>
      <c r="B434" s="7">
        <f t="shared" si="27"/>
        <v>55518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SUMIFS(His_Operacoes_acoes[Total],His_Operacoes_acoes[Fimmes],Patrimônio!B434,His_Operacoes_acoes[Operação],"JCP")
+ SUMIFS(His_Operacoes_acoes[Total],His_Operacoes_acoes[Fimmes],Patrimônio!B434,His_Operacoes_acoes[Operação],"Divid.")
+ SUMIFS(His_Operacoes_acoes[Total],His_Operacoes_acoes[Fimmes],Patrimônio!B434,His_Operacoes_acoes[Operação],"Bonif.")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55550</v>
      </c>
      <c r="B435" s="7">
        <f t="shared" si="27"/>
        <v>55549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SUMIFS(His_Operacoes_acoes[Total],His_Operacoes_acoes[Fimmes],Patrimônio!B435,His_Operacoes_acoes[Operação],"JCP")
+ SUMIFS(His_Operacoes_acoes[Total],His_Operacoes_acoes[Fimmes],Patrimônio!B435,His_Operacoes_acoes[Operação],"Divid.")
+ SUMIFS(His_Operacoes_acoes[Total],His_Operacoes_acoes[Fimmes],Patrimônio!B435,His_Operacoes_acoes[Operação],"Bonif.")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55579</v>
      </c>
      <c r="B436" s="7">
        <f t="shared" si="27"/>
        <v>55578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SUMIFS(His_Operacoes_acoes[Total],His_Operacoes_acoes[Fimmes],Patrimônio!B436,His_Operacoes_acoes[Operação],"JCP")
+ SUMIFS(His_Operacoes_acoes[Total],His_Operacoes_acoes[Fimmes],Patrimônio!B436,His_Operacoes_acoes[Operação],"Divid.")
+ SUMIFS(His_Operacoes_acoes[Total],His_Operacoes_acoes[Fimmes],Patrimônio!B436,His_Operacoes_acoes[Operação],"Bonif.")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55610</v>
      </c>
      <c r="B437" s="7">
        <f t="shared" si="27"/>
        <v>55609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SUMIFS(His_Operacoes_acoes[Total],His_Operacoes_acoes[Fimmes],Patrimônio!B437,His_Operacoes_acoes[Operação],"JCP")
+ SUMIFS(His_Operacoes_acoes[Total],His_Operacoes_acoes[Fimmes],Patrimônio!B437,His_Operacoes_acoes[Operação],"Divid.")
+ SUMIFS(His_Operacoes_acoes[Total],His_Operacoes_acoes[Fimmes],Patrimônio!B437,His_Operacoes_acoes[Operação],"Bonif.")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55640</v>
      </c>
      <c r="B438" s="7">
        <f t="shared" si="27"/>
        <v>55639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SUMIFS(His_Operacoes_acoes[Total],His_Operacoes_acoes[Fimmes],Patrimônio!B438,His_Operacoes_acoes[Operação],"JCP")
+ SUMIFS(His_Operacoes_acoes[Total],His_Operacoes_acoes[Fimmes],Patrimônio!B438,His_Operacoes_acoes[Operação],"Divid.")
+ SUMIFS(His_Operacoes_acoes[Total],His_Operacoes_acoes[Fimmes],Patrimônio!B438,His_Operacoes_acoes[Operação],"Bonif.")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55671</v>
      </c>
      <c r="B439" s="7">
        <f t="shared" si="27"/>
        <v>55670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SUMIFS(His_Operacoes_acoes[Total],His_Operacoes_acoes[Fimmes],Patrimônio!B439,His_Operacoes_acoes[Operação],"JCP")
+ SUMIFS(His_Operacoes_acoes[Total],His_Operacoes_acoes[Fimmes],Patrimônio!B439,His_Operacoes_acoes[Operação],"Divid.")
+ SUMIFS(His_Operacoes_acoes[Total],His_Operacoes_acoes[Fimmes],Patrimônio!B439,His_Operacoes_acoes[Operação],"Bonif.")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55701</v>
      </c>
      <c r="B440" s="7">
        <f t="shared" si="27"/>
        <v>55700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SUMIFS(His_Operacoes_acoes[Total],His_Operacoes_acoes[Fimmes],Patrimônio!B440,His_Operacoes_acoes[Operação],"JCP")
+ SUMIFS(His_Operacoes_acoes[Total],His_Operacoes_acoes[Fimmes],Patrimônio!B440,His_Operacoes_acoes[Operação],"Divid.")
+ SUMIFS(His_Operacoes_acoes[Total],His_Operacoes_acoes[Fimmes],Patrimônio!B440,His_Operacoes_acoes[Operação],"Bonif.")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55732</v>
      </c>
      <c r="B441" s="7">
        <f t="shared" si="27"/>
        <v>55731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SUMIFS(His_Operacoes_acoes[Total],His_Operacoes_acoes[Fimmes],Patrimônio!B441,His_Operacoes_acoes[Operação],"JCP")
+ SUMIFS(His_Operacoes_acoes[Total],His_Operacoes_acoes[Fimmes],Patrimônio!B441,His_Operacoes_acoes[Operação],"Divid.")
+ SUMIFS(His_Operacoes_acoes[Total],His_Operacoes_acoes[Fimmes],Patrimônio!B441,His_Operacoes_acoes[Operação],"Bonif.")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55763</v>
      </c>
      <c r="B442" s="7">
        <f t="shared" si="27"/>
        <v>55762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SUMIFS(His_Operacoes_acoes[Total],His_Operacoes_acoes[Fimmes],Patrimônio!B442,His_Operacoes_acoes[Operação],"JCP")
+ SUMIFS(His_Operacoes_acoes[Total],His_Operacoes_acoes[Fimmes],Patrimônio!B442,His_Operacoes_acoes[Operação],"Divid.")
+ SUMIFS(His_Operacoes_acoes[Total],His_Operacoes_acoes[Fimmes],Patrimônio!B442,His_Operacoes_acoes[Operação],"Bonif.")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55793</v>
      </c>
      <c r="B443" s="7">
        <f t="shared" si="27"/>
        <v>55792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SUMIFS(His_Operacoes_acoes[Total],His_Operacoes_acoes[Fimmes],Patrimônio!B443,His_Operacoes_acoes[Operação],"JCP")
+ SUMIFS(His_Operacoes_acoes[Total],His_Operacoes_acoes[Fimmes],Patrimônio!B443,His_Operacoes_acoes[Operação],"Divid.")
+ SUMIFS(His_Operacoes_acoes[Total],His_Operacoes_acoes[Fimmes],Patrimônio!B443,His_Operacoes_acoes[Operação],"Bonif.")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55824</v>
      </c>
      <c r="B444" s="7">
        <f t="shared" si="27"/>
        <v>55823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SUMIFS(His_Operacoes_acoes[Total],His_Operacoes_acoes[Fimmes],Patrimônio!B444,His_Operacoes_acoes[Operação],"JCP")
+ SUMIFS(His_Operacoes_acoes[Total],His_Operacoes_acoes[Fimmes],Patrimônio!B444,His_Operacoes_acoes[Operação],"Divid.")
+ SUMIFS(His_Operacoes_acoes[Total],His_Operacoes_acoes[Fimmes],Patrimônio!B444,His_Operacoes_acoes[Operação],"Bonif.")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55854</v>
      </c>
      <c r="B445" s="7">
        <f t="shared" si="27"/>
        <v>55853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SUMIFS(His_Operacoes_acoes[Total],His_Operacoes_acoes[Fimmes],Patrimônio!B445,His_Operacoes_acoes[Operação],"JCP")
+ SUMIFS(His_Operacoes_acoes[Total],His_Operacoes_acoes[Fimmes],Patrimônio!B445,His_Operacoes_acoes[Operação],"Divid.")
+ SUMIFS(His_Operacoes_acoes[Total],His_Operacoes_acoes[Fimmes],Patrimônio!B445,His_Operacoes_acoes[Operação],"Bonif.")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55885</v>
      </c>
      <c r="B446" s="7">
        <f t="shared" si="27"/>
        <v>55884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SUMIFS(His_Operacoes_acoes[Total],His_Operacoes_acoes[Fimmes],Patrimônio!B446,His_Operacoes_acoes[Operação],"JCP")
+ SUMIFS(His_Operacoes_acoes[Total],His_Operacoes_acoes[Fimmes],Patrimônio!B446,His_Operacoes_acoes[Operação],"Divid.")
+ SUMIFS(His_Operacoes_acoes[Total],His_Operacoes_acoes[Fimmes],Patrimônio!B446,His_Operacoes_acoes[Operação],"Bonif.")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55916</v>
      </c>
      <c r="B447" s="7">
        <f t="shared" si="27"/>
        <v>55915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SUMIFS(His_Operacoes_acoes[Total],His_Operacoes_acoes[Fimmes],Patrimônio!B447,His_Operacoes_acoes[Operação],"JCP")
+ SUMIFS(His_Operacoes_acoes[Total],His_Operacoes_acoes[Fimmes],Patrimônio!B447,His_Operacoes_acoes[Operação],"Divid.")
+ SUMIFS(His_Operacoes_acoes[Total],His_Operacoes_acoes[Fimmes],Patrimônio!B447,His_Operacoes_acoes[Operação],"Bonif.")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55944</v>
      </c>
      <c r="B448" s="7">
        <f t="shared" si="27"/>
        <v>55943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SUMIFS(His_Operacoes_acoes[Total],His_Operacoes_acoes[Fimmes],Patrimônio!B448,His_Operacoes_acoes[Operação],"JCP")
+ SUMIFS(His_Operacoes_acoes[Total],His_Operacoes_acoes[Fimmes],Patrimônio!B448,His_Operacoes_acoes[Operação],"Divid.")
+ SUMIFS(His_Operacoes_acoes[Total],His_Operacoes_acoes[Fimmes],Patrimônio!B448,His_Operacoes_acoes[Operação],"Bonif.")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55975</v>
      </c>
      <c r="B449" s="7">
        <f t="shared" si="27"/>
        <v>55974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SUMIFS(His_Operacoes_acoes[Total],His_Operacoes_acoes[Fimmes],Patrimônio!B449,His_Operacoes_acoes[Operação],"JCP")
+ SUMIFS(His_Operacoes_acoes[Total],His_Operacoes_acoes[Fimmes],Patrimônio!B449,His_Operacoes_acoes[Operação],"Divid.")
+ SUMIFS(His_Operacoes_acoes[Total],His_Operacoes_acoes[Fimmes],Patrimônio!B449,His_Operacoes_acoes[Operação],"Bonif.")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56005</v>
      </c>
      <c r="B450" s="7">
        <f t="shared" si="27"/>
        <v>56004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SUMIFS(His_Operacoes_acoes[Total],His_Operacoes_acoes[Fimmes],Patrimônio!B450,His_Operacoes_acoes[Operação],"JCP")
+ SUMIFS(His_Operacoes_acoes[Total],His_Operacoes_acoes[Fimmes],Patrimônio!B450,His_Operacoes_acoes[Operação],"Divid.")
+ SUMIFS(His_Operacoes_acoes[Total],His_Operacoes_acoes[Fimmes],Patrimônio!B450,His_Operacoes_acoes[Operação],"Bonif.")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56036</v>
      </c>
      <c r="B451" s="7">
        <f t="shared" ref="B451:B514" si="31">EOMONTH(A451,-1)</f>
        <v>56035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SUMIFS(His_Operacoes_acoes[Total],His_Operacoes_acoes[Fimmes],Patrimônio!B451,His_Operacoes_acoes[Operação],"JCP")
+ SUMIFS(His_Operacoes_acoes[Total],His_Operacoes_acoes[Fimmes],Patrimônio!B451,His_Operacoes_acoes[Operação],"Divid.")
+ SUMIFS(His_Operacoes_acoes[Total],His_Operacoes_acoes[Fimmes],Patrimônio!B451,His_Operacoes_acoes[Operação],"Bonif.")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56066</v>
      </c>
      <c r="B452" s="7">
        <f t="shared" si="31"/>
        <v>56065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SUMIFS(His_Operacoes_acoes[Total],His_Operacoes_acoes[Fimmes],Patrimônio!B452,His_Operacoes_acoes[Operação],"JCP")
+ SUMIFS(His_Operacoes_acoes[Total],His_Operacoes_acoes[Fimmes],Patrimônio!B452,His_Operacoes_acoes[Operação],"Divid.")
+ SUMIFS(His_Operacoes_acoes[Total],His_Operacoes_acoes[Fimmes],Patrimônio!B452,His_Operacoes_acoes[Operação],"Bonif.")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56097</v>
      </c>
      <c r="B453" s="7">
        <f t="shared" si="31"/>
        <v>56096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SUMIFS(His_Operacoes_acoes[Total],His_Operacoes_acoes[Fimmes],Patrimônio!B453,His_Operacoes_acoes[Operação],"JCP")
+ SUMIFS(His_Operacoes_acoes[Total],His_Operacoes_acoes[Fimmes],Patrimônio!B453,His_Operacoes_acoes[Operação],"Divid.")
+ SUMIFS(His_Operacoes_acoes[Total],His_Operacoes_acoes[Fimmes],Patrimônio!B453,His_Operacoes_acoes[Operação],"Bonif.")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56128</v>
      </c>
      <c r="B454" s="7">
        <f t="shared" si="31"/>
        <v>56127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SUMIFS(His_Operacoes_acoes[Total],His_Operacoes_acoes[Fimmes],Patrimônio!B454,His_Operacoes_acoes[Operação],"JCP")
+ SUMIFS(His_Operacoes_acoes[Total],His_Operacoes_acoes[Fimmes],Patrimônio!B454,His_Operacoes_acoes[Operação],"Divid.")
+ SUMIFS(His_Operacoes_acoes[Total],His_Operacoes_acoes[Fimmes],Patrimônio!B454,His_Operacoes_acoes[Operação],"Bonif.")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56158</v>
      </c>
      <c r="B455" s="7">
        <f t="shared" si="31"/>
        <v>56157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SUMIFS(His_Operacoes_acoes[Total],His_Operacoes_acoes[Fimmes],Patrimônio!B455,His_Operacoes_acoes[Operação],"JCP")
+ SUMIFS(His_Operacoes_acoes[Total],His_Operacoes_acoes[Fimmes],Patrimônio!B455,His_Operacoes_acoes[Operação],"Divid.")
+ SUMIFS(His_Operacoes_acoes[Total],His_Operacoes_acoes[Fimmes],Patrimônio!B455,His_Operacoes_acoes[Operação],"Bonif.")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56189</v>
      </c>
      <c r="B456" s="7">
        <f t="shared" si="31"/>
        <v>56188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SUMIFS(His_Operacoes_acoes[Total],His_Operacoes_acoes[Fimmes],Patrimônio!B456,His_Operacoes_acoes[Operação],"JCP")
+ SUMIFS(His_Operacoes_acoes[Total],His_Operacoes_acoes[Fimmes],Patrimônio!B456,His_Operacoes_acoes[Operação],"Divid.")
+ SUMIFS(His_Operacoes_acoes[Total],His_Operacoes_acoes[Fimmes],Patrimônio!B456,His_Operacoes_acoes[Operação],"Bonif.")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56219</v>
      </c>
      <c r="B457" s="7">
        <f t="shared" si="31"/>
        <v>56218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SUMIFS(His_Operacoes_acoes[Total],His_Operacoes_acoes[Fimmes],Patrimônio!B457,His_Operacoes_acoes[Operação],"JCP")
+ SUMIFS(His_Operacoes_acoes[Total],His_Operacoes_acoes[Fimmes],Patrimônio!B457,His_Operacoes_acoes[Operação],"Divid.")
+ SUMIFS(His_Operacoes_acoes[Total],His_Operacoes_acoes[Fimmes],Patrimônio!B457,His_Operacoes_acoes[Operação],"Bonif.")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56250</v>
      </c>
      <c r="B458" s="7">
        <f t="shared" si="31"/>
        <v>56249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SUMIFS(His_Operacoes_acoes[Total],His_Operacoes_acoes[Fimmes],Patrimônio!B458,His_Operacoes_acoes[Operação],"JCP")
+ SUMIFS(His_Operacoes_acoes[Total],His_Operacoes_acoes[Fimmes],Patrimônio!B458,His_Operacoes_acoes[Operação],"Divid.")
+ SUMIFS(His_Operacoes_acoes[Total],His_Operacoes_acoes[Fimmes],Patrimônio!B458,His_Operacoes_acoes[Operação],"Bonif.")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56281</v>
      </c>
      <c r="B459" s="7">
        <f t="shared" si="31"/>
        <v>56280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SUMIFS(His_Operacoes_acoes[Total],His_Operacoes_acoes[Fimmes],Patrimônio!B459,His_Operacoes_acoes[Operação],"JCP")
+ SUMIFS(His_Operacoes_acoes[Total],His_Operacoes_acoes[Fimmes],Patrimônio!B459,His_Operacoes_acoes[Operação],"Divid.")
+ SUMIFS(His_Operacoes_acoes[Total],His_Operacoes_acoes[Fimmes],Patrimônio!B459,His_Operacoes_acoes[Operação],"Bonif.")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56309</v>
      </c>
      <c r="B460" s="7">
        <f t="shared" si="31"/>
        <v>56308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SUMIFS(His_Operacoes_acoes[Total],His_Operacoes_acoes[Fimmes],Patrimônio!B460,His_Operacoes_acoes[Operação],"JCP")
+ SUMIFS(His_Operacoes_acoes[Total],His_Operacoes_acoes[Fimmes],Patrimônio!B460,His_Operacoes_acoes[Operação],"Divid.")
+ SUMIFS(His_Operacoes_acoes[Total],His_Operacoes_acoes[Fimmes],Patrimônio!B460,His_Operacoes_acoes[Operação],"Bonif.")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56340</v>
      </c>
      <c r="B461" s="7">
        <f t="shared" si="31"/>
        <v>56339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SUMIFS(His_Operacoes_acoes[Total],His_Operacoes_acoes[Fimmes],Patrimônio!B461,His_Operacoes_acoes[Operação],"JCP")
+ SUMIFS(His_Operacoes_acoes[Total],His_Operacoes_acoes[Fimmes],Patrimônio!B461,His_Operacoes_acoes[Operação],"Divid.")
+ SUMIFS(His_Operacoes_acoes[Total],His_Operacoes_acoes[Fimmes],Patrimônio!B461,His_Operacoes_acoes[Operação],"Bonif.")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56370</v>
      </c>
      <c r="B462" s="7">
        <f t="shared" si="31"/>
        <v>56369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SUMIFS(His_Operacoes_acoes[Total],His_Operacoes_acoes[Fimmes],Patrimônio!B462,His_Operacoes_acoes[Operação],"JCP")
+ SUMIFS(His_Operacoes_acoes[Total],His_Operacoes_acoes[Fimmes],Patrimônio!B462,His_Operacoes_acoes[Operação],"Divid.")
+ SUMIFS(His_Operacoes_acoes[Total],His_Operacoes_acoes[Fimmes],Patrimônio!B462,His_Operacoes_acoes[Operação],"Bonif.")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56401</v>
      </c>
      <c r="B463" s="7">
        <f t="shared" si="31"/>
        <v>56400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SUMIFS(His_Operacoes_acoes[Total],His_Operacoes_acoes[Fimmes],Patrimônio!B463,His_Operacoes_acoes[Operação],"JCP")
+ SUMIFS(His_Operacoes_acoes[Total],His_Operacoes_acoes[Fimmes],Patrimônio!B463,His_Operacoes_acoes[Operação],"Divid.")
+ SUMIFS(His_Operacoes_acoes[Total],His_Operacoes_acoes[Fimmes],Patrimônio!B463,His_Operacoes_acoes[Operação],"Bonif.")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56431</v>
      </c>
      <c r="B464" s="7">
        <f t="shared" si="31"/>
        <v>56430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SUMIFS(His_Operacoes_acoes[Total],His_Operacoes_acoes[Fimmes],Patrimônio!B464,His_Operacoes_acoes[Operação],"JCP")
+ SUMIFS(His_Operacoes_acoes[Total],His_Operacoes_acoes[Fimmes],Patrimônio!B464,His_Operacoes_acoes[Operação],"Divid.")
+ SUMIFS(His_Operacoes_acoes[Total],His_Operacoes_acoes[Fimmes],Patrimônio!B464,His_Operacoes_acoes[Operação],"Bonif.")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56462</v>
      </c>
      <c r="B465" s="7">
        <f t="shared" si="31"/>
        <v>56461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SUMIFS(His_Operacoes_acoes[Total],His_Operacoes_acoes[Fimmes],Patrimônio!B465,His_Operacoes_acoes[Operação],"JCP")
+ SUMIFS(His_Operacoes_acoes[Total],His_Operacoes_acoes[Fimmes],Patrimônio!B465,His_Operacoes_acoes[Operação],"Divid.")
+ SUMIFS(His_Operacoes_acoes[Total],His_Operacoes_acoes[Fimmes],Patrimônio!B465,His_Operacoes_acoes[Operação],"Bonif.")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56493</v>
      </c>
      <c r="B466" s="7">
        <f t="shared" si="31"/>
        <v>56492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SUMIFS(His_Operacoes_acoes[Total],His_Operacoes_acoes[Fimmes],Patrimônio!B466,His_Operacoes_acoes[Operação],"JCP")
+ SUMIFS(His_Operacoes_acoes[Total],His_Operacoes_acoes[Fimmes],Patrimônio!B466,His_Operacoes_acoes[Operação],"Divid.")
+ SUMIFS(His_Operacoes_acoes[Total],His_Operacoes_acoes[Fimmes],Patrimônio!B466,His_Operacoes_acoes[Operação],"Bonif.")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56523</v>
      </c>
      <c r="B467" s="7">
        <f t="shared" si="31"/>
        <v>56522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SUMIFS(His_Operacoes_acoes[Total],His_Operacoes_acoes[Fimmes],Patrimônio!B467,His_Operacoes_acoes[Operação],"JCP")
+ SUMIFS(His_Operacoes_acoes[Total],His_Operacoes_acoes[Fimmes],Patrimônio!B467,His_Operacoes_acoes[Operação],"Divid.")
+ SUMIFS(His_Operacoes_acoes[Total],His_Operacoes_acoes[Fimmes],Patrimônio!B467,His_Operacoes_acoes[Operação],"Bonif.")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56554</v>
      </c>
      <c r="B468" s="7">
        <f t="shared" si="31"/>
        <v>56553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SUMIFS(His_Operacoes_acoes[Total],His_Operacoes_acoes[Fimmes],Patrimônio!B468,His_Operacoes_acoes[Operação],"JCP")
+ SUMIFS(His_Operacoes_acoes[Total],His_Operacoes_acoes[Fimmes],Patrimônio!B468,His_Operacoes_acoes[Operação],"Divid.")
+ SUMIFS(His_Operacoes_acoes[Total],His_Operacoes_acoes[Fimmes],Patrimônio!B468,His_Operacoes_acoes[Operação],"Bonif.")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56584</v>
      </c>
      <c r="B469" s="7">
        <f t="shared" si="31"/>
        <v>56583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SUMIFS(His_Operacoes_acoes[Total],His_Operacoes_acoes[Fimmes],Patrimônio!B469,His_Operacoes_acoes[Operação],"JCP")
+ SUMIFS(His_Operacoes_acoes[Total],His_Operacoes_acoes[Fimmes],Patrimônio!B469,His_Operacoes_acoes[Operação],"Divid.")
+ SUMIFS(His_Operacoes_acoes[Total],His_Operacoes_acoes[Fimmes],Patrimônio!B469,His_Operacoes_acoes[Operação],"Bonif.")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56615</v>
      </c>
      <c r="B470" s="7">
        <f t="shared" si="31"/>
        <v>56614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SUMIFS(His_Operacoes_acoes[Total],His_Operacoes_acoes[Fimmes],Patrimônio!B470,His_Operacoes_acoes[Operação],"JCP")
+ SUMIFS(His_Operacoes_acoes[Total],His_Operacoes_acoes[Fimmes],Patrimônio!B470,His_Operacoes_acoes[Operação],"Divid.")
+ SUMIFS(His_Operacoes_acoes[Total],His_Operacoes_acoes[Fimmes],Patrimônio!B470,His_Operacoes_acoes[Operação],"Bonif.")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56646</v>
      </c>
      <c r="B471" s="7">
        <f t="shared" si="31"/>
        <v>56645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SUMIFS(His_Operacoes_acoes[Total],His_Operacoes_acoes[Fimmes],Patrimônio!B471,His_Operacoes_acoes[Operação],"JCP")
+ SUMIFS(His_Operacoes_acoes[Total],His_Operacoes_acoes[Fimmes],Patrimônio!B471,His_Operacoes_acoes[Operação],"Divid.")
+ SUMIFS(His_Operacoes_acoes[Total],His_Operacoes_acoes[Fimmes],Patrimônio!B471,His_Operacoes_acoes[Operação],"Bonif.")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56674</v>
      </c>
      <c r="B472" s="7">
        <f t="shared" si="31"/>
        <v>56673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SUMIFS(His_Operacoes_acoes[Total],His_Operacoes_acoes[Fimmes],Patrimônio!B472,His_Operacoes_acoes[Operação],"JCP")
+ SUMIFS(His_Operacoes_acoes[Total],His_Operacoes_acoes[Fimmes],Patrimônio!B472,His_Operacoes_acoes[Operação],"Divid.")
+ SUMIFS(His_Operacoes_acoes[Total],His_Operacoes_acoes[Fimmes],Patrimônio!B472,His_Operacoes_acoes[Operação],"Bonif.")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56705</v>
      </c>
      <c r="B473" s="7">
        <f t="shared" si="31"/>
        <v>56704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SUMIFS(His_Operacoes_acoes[Total],His_Operacoes_acoes[Fimmes],Patrimônio!B473,His_Operacoes_acoes[Operação],"JCP")
+ SUMIFS(His_Operacoes_acoes[Total],His_Operacoes_acoes[Fimmes],Patrimônio!B473,His_Operacoes_acoes[Operação],"Divid.")
+ SUMIFS(His_Operacoes_acoes[Total],His_Operacoes_acoes[Fimmes],Patrimônio!B473,His_Operacoes_acoes[Operação],"Bonif.")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56735</v>
      </c>
      <c r="B474" s="7">
        <f t="shared" si="31"/>
        <v>56734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SUMIFS(His_Operacoes_acoes[Total],His_Operacoes_acoes[Fimmes],Patrimônio!B474,His_Operacoes_acoes[Operação],"JCP")
+ SUMIFS(His_Operacoes_acoes[Total],His_Operacoes_acoes[Fimmes],Patrimônio!B474,His_Operacoes_acoes[Operação],"Divid.")
+ SUMIFS(His_Operacoes_acoes[Total],His_Operacoes_acoes[Fimmes],Patrimônio!B474,His_Operacoes_acoes[Operação],"Bonif.")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56766</v>
      </c>
      <c r="B475" s="7">
        <f t="shared" si="31"/>
        <v>56765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SUMIFS(His_Operacoes_acoes[Total],His_Operacoes_acoes[Fimmes],Patrimônio!B475,His_Operacoes_acoes[Operação],"JCP")
+ SUMIFS(His_Operacoes_acoes[Total],His_Operacoes_acoes[Fimmes],Patrimônio!B475,His_Operacoes_acoes[Operação],"Divid.")
+ SUMIFS(His_Operacoes_acoes[Total],His_Operacoes_acoes[Fimmes],Patrimônio!B475,His_Operacoes_acoes[Operação],"Bonif.")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56796</v>
      </c>
      <c r="B476" s="7">
        <f t="shared" si="31"/>
        <v>56795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SUMIFS(His_Operacoes_acoes[Total],His_Operacoes_acoes[Fimmes],Patrimônio!B476,His_Operacoes_acoes[Operação],"JCP")
+ SUMIFS(His_Operacoes_acoes[Total],His_Operacoes_acoes[Fimmes],Patrimônio!B476,His_Operacoes_acoes[Operação],"Divid.")
+ SUMIFS(His_Operacoes_acoes[Total],His_Operacoes_acoes[Fimmes],Patrimônio!B476,His_Operacoes_acoes[Operação],"Bonif.")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56827</v>
      </c>
      <c r="B477" s="7">
        <f t="shared" si="31"/>
        <v>56826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SUMIFS(His_Operacoes_acoes[Total],His_Operacoes_acoes[Fimmes],Patrimônio!B477,His_Operacoes_acoes[Operação],"JCP")
+ SUMIFS(His_Operacoes_acoes[Total],His_Operacoes_acoes[Fimmes],Patrimônio!B477,His_Operacoes_acoes[Operação],"Divid.")
+ SUMIFS(His_Operacoes_acoes[Total],His_Operacoes_acoes[Fimmes],Patrimônio!B477,His_Operacoes_acoes[Operação],"Bonif.")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56858</v>
      </c>
      <c r="B478" s="7">
        <f t="shared" si="31"/>
        <v>56857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SUMIFS(His_Operacoes_acoes[Total],His_Operacoes_acoes[Fimmes],Patrimônio!B478,His_Operacoes_acoes[Operação],"JCP")
+ SUMIFS(His_Operacoes_acoes[Total],His_Operacoes_acoes[Fimmes],Patrimônio!B478,His_Operacoes_acoes[Operação],"Divid.")
+ SUMIFS(His_Operacoes_acoes[Total],His_Operacoes_acoes[Fimmes],Patrimônio!B478,His_Operacoes_acoes[Operação],"Bonif.")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56888</v>
      </c>
      <c r="B479" s="7">
        <f t="shared" si="31"/>
        <v>56887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SUMIFS(His_Operacoes_acoes[Total],His_Operacoes_acoes[Fimmes],Patrimônio!B479,His_Operacoes_acoes[Operação],"JCP")
+ SUMIFS(His_Operacoes_acoes[Total],His_Operacoes_acoes[Fimmes],Patrimônio!B479,His_Operacoes_acoes[Operação],"Divid.")
+ SUMIFS(His_Operacoes_acoes[Total],His_Operacoes_acoes[Fimmes],Patrimônio!B479,His_Operacoes_acoes[Operação],"Bonif.")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56919</v>
      </c>
      <c r="B480" s="7">
        <f t="shared" si="31"/>
        <v>56918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SUMIFS(His_Operacoes_acoes[Total],His_Operacoes_acoes[Fimmes],Patrimônio!B480,His_Operacoes_acoes[Operação],"JCP")
+ SUMIFS(His_Operacoes_acoes[Total],His_Operacoes_acoes[Fimmes],Patrimônio!B480,His_Operacoes_acoes[Operação],"Divid.")
+ SUMIFS(His_Operacoes_acoes[Total],His_Operacoes_acoes[Fimmes],Patrimônio!B480,His_Operacoes_acoes[Operação],"Bonif.")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56949</v>
      </c>
      <c r="B481" s="7">
        <f t="shared" si="31"/>
        <v>56948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SUMIFS(His_Operacoes_acoes[Total],His_Operacoes_acoes[Fimmes],Patrimônio!B481,His_Operacoes_acoes[Operação],"JCP")
+ SUMIFS(His_Operacoes_acoes[Total],His_Operacoes_acoes[Fimmes],Patrimônio!B481,His_Operacoes_acoes[Operação],"Divid.")
+ SUMIFS(His_Operacoes_acoes[Total],His_Operacoes_acoes[Fimmes],Patrimônio!B481,His_Operacoes_acoes[Operação],"Bonif.")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56980</v>
      </c>
      <c r="B482" s="7">
        <f t="shared" si="31"/>
        <v>56979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SUMIFS(His_Operacoes_acoes[Total],His_Operacoes_acoes[Fimmes],Patrimônio!B482,His_Operacoes_acoes[Operação],"JCP")
+ SUMIFS(His_Operacoes_acoes[Total],His_Operacoes_acoes[Fimmes],Patrimônio!B482,His_Operacoes_acoes[Operação],"Divid.")
+ SUMIFS(His_Operacoes_acoes[Total],His_Operacoes_acoes[Fimmes],Patrimônio!B482,His_Operacoes_acoes[Operação],"Bonif.")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57011</v>
      </c>
      <c r="B483" s="7">
        <f t="shared" si="31"/>
        <v>57010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SUMIFS(His_Operacoes_acoes[Total],His_Operacoes_acoes[Fimmes],Patrimônio!B483,His_Operacoes_acoes[Operação],"JCP")
+ SUMIFS(His_Operacoes_acoes[Total],His_Operacoes_acoes[Fimmes],Patrimônio!B483,His_Operacoes_acoes[Operação],"Divid.")
+ SUMIFS(His_Operacoes_acoes[Total],His_Operacoes_acoes[Fimmes],Patrimônio!B483,His_Operacoes_acoes[Operação],"Bonif.")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57040</v>
      </c>
      <c r="B484" s="7">
        <f t="shared" si="31"/>
        <v>57039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SUMIFS(His_Operacoes_acoes[Total],His_Operacoes_acoes[Fimmes],Patrimônio!B484,His_Operacoes_acoes[Operação],"JCP")
+ SUMIFS(His_Operacoes_acoes[Total],His_Operacoes_acoes[Fimmes],Patrimônio!B484,His_Operacoes_acoes[Operação],"Divid.")
+ SUMIFS(His_Operacoes_acoes[Total],His_Operacoes_acoes[Fimmes],Patrimônio!B484,His_Operacoes_acoes[Operação],"Bonif.")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57071</v>
      </c>
      <c r="B485" s="7">
        <f t="shared" si="31"/>
        <v>57070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SUMIFS(His_Operacoes_acoes[Total],His_Operacoes_acoes[Fimmes],Patrimônio!B485,His_Operacoes_acoes[Operação],"JCP")
+ SUMIFS(His_Operacoes_acoes[Total],His_Operacoes_acoes[Fimmes],Patrimônio!B485,His_Operacoes_acoes[Operação],"Divid.")
+ SUMIFS(His_Operacoes_acoes[Total],His_Operacoes_acoes[Fimmes],Patrimônio!B485,His_Operacoes_acoes[Operação],"Bonif.")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57101</v>
      </c>
      <c r="B486" s="7">
        <f t="shared" si="31"/>
        <v>57100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SUMIFS(His_Operacoes_acoes[Total],His_Operacoes_acoes[Fimmes],Patrimônio!B486,His_Operacoes_acoes[Operação],"JCP")
+ SUMIFS(His_Operacoes_acoes[Total],His_Operacoes_acoes[Fimmes],Patrimônio!B486,His_Operacoes_acoes[Operação],"Divid.")
+ SUMIFS(His_Operacoes_acoes[Total],His_Operacoes_acoes[Fimmes],Patrimônio!B486,His_Operacoes_acoes[Operação],"Bonif.")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57132</v>
      </c>
      <c r="B487" s="7">
        <f t="shared" si="31"/>
        <v>57131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SUMIFS(His_Operacoes_acoes[Total],His_Operacoes_acoes[Fimmes],Patrimônio!B487,His_Operacoes_acoes[Operação],"JCP")
+ SUMIFS(His_Operacoes_acoes[Total],His_Operacoes_acoes[Fimmes],Patrimônio!B487,His_Operacoes_acoes[Operação],"Divid.")
+ SUMIFS(His_Operacoes_acoes[Total],His_Operacoes_acoes[Fimmes],Patrimônio!B487,His_Operacoes_acoes[Operação],"Bonif.")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57162</v>
      </c>
      <c r="B488" s="7">
        <f t="shared" si="31"/>
        <v>57161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SUMIFS(His_Operacoes_acoes[Total],His_Operacoes_acoes[Fimmes],Patrimônio!B488,His_Operacoes_acoes[Operação],"JCP")
+ SUMIFS(His_Operacoes_acoes[Total],His_Operacoes_acoes[Fimmes],Patrimônio!B488,His_Operacoes_acoes[Operação],"Divid.")
+ SUMIFS(His_Operacoes_acoes[Total],His_Operacoes_acoes[Fimmes],Patrimônio!B488,His_Operacoes_acoes[Operação],"Bonif.")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57193</v>
      </c>
      <c r="B489" s="7">
        <f t="shared" si="31"/>
        <v>57192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SUMIFS(His_Operacoes_acoes[Total],His_Operacoes_acoes[Fimmes],Patrimônio!B489,His_Operacoes_acoes[Operação],"JCP")
+ SUMIFS(His_Operacoes_acoes[Total],His_Operacoes_acoes[Fimmes],Patrimônio!B489,His_Operacoes_acoes[Operação],"Divid.")
+ SUMIFS(His_Operacoes_acoes[Total],His_Operacoes_acoes[Fimmes],Patrimônio!B489,His_Operacoes_acoes[Operação],"Bonif.")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57224</v>
      </c>
      <c r="B490" s="7">
        <f t="shared" si="31"/>
        <v>57223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SUMIFS(His_Operacoes_acoes[Total],His_Operacoes_acoes[Fimmes],Patrimônio!B490,His_Operacoes_acoes[Operação],"JCP")
+ SUMIFS(His_Operacoes_acoes[Total],His_Operacoes_acoes[Fimmes],Patrimônio!B490,His_Operacoes_acoes[Operação],"Divid.")
+ SUMIFS(His_Operacoes_acoes[Total],His_Operacoes_acoes[Fimmes],Patrimônio!B490,His_Operacoes_acoes[Operação],"Bonif.")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57254</v>
      </c>
      <c r="B491" s="7">
        <f t="shared" si="31"/>
        <v>57253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SUMIFS(His_Operacoes_acoes[Total],His_Operacoes_acoes[Fimmes],Patrimônio!B491,His_Operacoes_acoes[Operação],"JCP")
+ SUMIFS(His_Operacoes_acoes[Total],His_Operacoes_acoes[Fimmes],Patrimônio!B491,His_Operacoes_acoes[Operação],"Divid.")
+ SUMIFS(His_Operacoes_acoes[Total],His_Operacoes_acoes[Fimmes],Patrimônio!B491,His_Operacoes_acoes[Operação],"Bonif.")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57285</v>
      </c>
      <c r="B492" s="7">
        <f t="shared" si="31"/>
        <v>57284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SUMIFS(His_Operacoes_acoes[Total],His_Operacoes_acoes[Fimmes],Patrimônio!B492,His_Operacoes_acoes[Operação],"JCP")
+ SUMIFS(His_Operacoes_acoes[Total],His_Operacoes_acoes[Fimmes],Patrimônio!B492,His_Operacoes_acoes[Operação],"Divid.")
+ SUMIFS(His_Operacoes_acoes[Total],His_Operacoes_acoes[Fimmes],Patrimônio!B492,His_Operacoes_acoes[Operação],"Bonif.")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57315</v>
      </c>
      <c r="B493" s="7">
        <f t="shared" si="31"/>
        <v>57314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SUMIFS(His_Operacoes_acoes[Total],His_Operacoes_acoes[Fimmes],Patrimônio!B493,His_Operacoes_acoes[Operação],"JCP")
+ SUMIFS(His_Operacoes_acoes[Total],His_Operacoes_acoes[Fimmes],Patrimônio!B493,His_Operacoes_acoes[Operação],"Divid.")
+ SUMIFS(His_Operacoes_acoes[Total],His_Operacoes_acoes[Fimmes],Patrimônio!B493,His_Operacoes_acoes[Operação],"Bonif.")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57346</v>
      </c>
      <c r="B494" s="7">
        <f t="shared" si="31"/>
        <v>57345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SUMIFS(His_Operacoes_acoes[Total],His_Operacoes_acoes[Fimmes],Patrimônio!B494,His_Operacoes_acoes[Operação],"JCP")
+ SUMIFS(His_Operacoes_acoes[Total],His_Operacoes_acoes[Fimmes],Patrimônio!B494,His_Operacoes_acoes[Operação],"Divid.")
+ SUMIFS(His_Operacoes_acoes[Total],His_Operacoes_acoes[Fimmes],Patrimônio!B494,His_Operacoes_acoes[Operação],"Bonif.")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57377</v>
      </c>
      <c r="B495" s="7">
        <f t="shared" si="31"/>
        <v>57376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SUMIFS(His_Operacoes_acoes[Total],His_Operacoes_acoes[Fimmes],Patrimônio!B495,His_Operacoes_acoes[Operação],"JCP")
+ SUMIFS(His_Operacoes_acoes[Total],His_Operacoes_acoes[Fimmes],Patrimônio!B495,His_Operacoes_acoes[Operação],"Divid.")
+ SUMIFS(His_Operacoes_acoes[Total],His_Operacoes_acoes[Fimmes],Patrimônio!B495,His_Operacoes_acoes[Operação],"Bonif.")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57405</v>
      </c>
      <c r="B496" s="7">
        <f t="shared" si="31"/>
        <v>57404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SUMIFS(His_Operacoes_acoes[Total],His_Operacoes_acoes[Fimmes],Patrimônio!B496,His_Operacoes_acoes[Operação],"JCP")
+ SUMIFS(His_Operacoes_acoes[Total],His_Operacoes_acoes[Fimmes],Patrimônio!B496,His_Operacoes_acoes[Operação],"Divid.")
+ SUMIFS(His_Operacoes_acoes[Total],His_Operacoes_acoes[Fimmes],Patrimônio!B496,His_Operacoes_acoes[Operação],"Bonif.")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57436</v>
      </c>
      <c r="B497" s="7">
        <f t="shared" si="31"/>
        <v>57435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SUMIFS(His_Operacoes_acoes[Total],His_Operacoes_acoes[Fimmes],Patrimônio!B497,His_Operacoes_acoes[Operação],"JCP")
+ SUMIFS(His_Operacoes_acoes[Total],His_Operacoes_acoes[Fimmes],Patrimônio!B497,His_Operacoes_acoes[Operação],"Divid.")
+ SUMIFS(His_Operacoes_acoes[Total],His_Operacoes_acoes[Fimmes],Patrimônio!B497,His_Operacoes_acoes[Operação],"Bonif.")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57466</v>
      </c>
      <c r="B498" s="7">
        <f t="shared" si="31"/>
        <v>57465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SUMIFS(His_Operacoes_acoes[Total],His_Operacoes_acoes[Fimmes],Patrimônio!B498,His_Operacoes_acoes[Operação],"JCP")
+ SUMIFS(His_Operacoes_acoes[Total],His_Operacoes_acoes[Fimmes],Patrimônio!B498,His_Operacoes_acoes[Operação],"Divid.")
+ SUMIFS(His_Operacoes_acoes[Total],His_Operacoes_acoes[Fimmes],Patrimônio!B498,His_Operacoes_acoes[Operação],"Bonif.")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57497</v>
      </c>
      <c r="B499" s="7">
        <f t="shared" si="31"/>
        <v>57496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SUMIFS(His_Operacoes_acoes[Total],His_Operacoes_acoes[Fimmes],Patrimônio!B499,His_Operacoes_acoes[Operação],"JCP")
+ SUMIFS(His_Operacoes_acoes[Total],His_Operacoes_acoes[Fimmes],Patrimônio!B499,His_Operacoes_acoes[Operação],"Divid.")
+ SUMIFS(His_Operacoes_acoes[Total],His_Operacoes_acoes[Fimmes],Patrimônio!B499,His_Operacoes_acoes[Operação],"Bonif.")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57527</v>
      </c>
      <c r="B500" s="7">
        <f t="shared" si="31"/>
        <v>57526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SUMIFS(His_Operacoes_acoes[Total],His_Operacoes_acoes[Fimmes],Patrimônio!B500,His_Operacoes_acoes[Operação],"JCP")
+ SUMIFS(His_Operacoes_acoes[Total],His_Operacoes_acoes[Fimmes],Patrimônio!B500,His_Operacoes_acoes[Operação],"Divid.")
+ SUMIFS(His_Operacoes_acoes[Total],His_Operacoes_acoes[Fimmes],Patrimônio!B500,His_Operacoes_acoes[Operação],"Bonif.")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57558</v>
      </c>
      <c r="B501" s="7">
        <f t="shared" si="31"/>
        <v>57557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SUMIFS(His_Operacoes_acoes[Total],His_Operacoes_acoes[Fimmes],Patrimônio!B501,His_Operacoes_acoes[Operação],"JCP")
+ SUMIFS(His_Operacoes_acoes[Total],His_Operacoes_acoes[Fimmes],Patrimônio!B501,His_Operacoes_acoes[Operação],"Divid.")
+ SUMIFS(His_Operacoes_acoes[Total],His_Operacoes_acoes[Fimmes],Patrimônio!B501,His_Operacoes_acoes[Operação],"Bonif.")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57589</v>
      </c>
      <c r="B502" s="7">
        <f t="shared" si="31"/>
        <v>57588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SUMIFS(His_Operacoes_acoes[Total],His_Operacoes_acoes[Fimmes],Patrimônio!B502,His_Operacoes_acoes[Operação],"JCP")
+ SUMIFS(His_Operacoes_acoes[Total],His_Operacoes_acoes[Fimmes],Patrimônio!B502,His_Operacoes_acoes[Operação],"Divid.")
+ SUMIFS(His_Operacoes_acoes[Total],His_Operacoes_acoes[Fimmes],Patrimônio!B502,His_Operacoes_acoes[Operação],"Bonif.")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57619</v>
      </c>
      <c r="B503" s="7">
        <f t="shared" si="31"/>
        <v>57618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SUMIFS(His_Operacoes_acoes[Total],His_Operacoes_acoes[Fimmes],Patrimônio!B503,His_Operacoes_acoes[Operação],"JCP")
+ SUMIFS(His_Operacoes_acoes[Total],His_Operacoes_acoes[Fimmes],Patrimônio!B503,His_Operacoes_acoes[Operação],"Divid.")
+ SUMIFS(His_Operacoes_acoes[Total],His_Operacoes_acoes[Fimmes],Patrimônio!B503,His_Operacoes_acoes[Operação],"Bonif.")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57650</v>
      </c>
      <c r="B504" s="7">
        <f t="shared" si="31"/>
        <v>57649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SUMIFS(His_Operacoes_acoes[Total],His_Operacoes_acoes[Fimmes],Patrimônio!B504,His_Operacoes_acoes[Operação],"JCP")
+ SUMIFS(His_Operacoes_acoes[Total],His_Operacoes_acoes[Fimmes],Patrimônio!B504,His_Operacoes_acoes[Operação],"Divid.")
+ SUMIFS(His_Operacoes_acoes[Total],His_Operacoes_acoes[Fimmes],Patrimônio!B504,His_Operacoes_acoes[Operação],"Bonif.")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57680</v>
      </c>
      <c r="B505" s="7">
        <f t="shared" si="31"/>
        <v>57679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SUMIFS(His_Operacoes_acoes[Total],His_Operacoes_acoes[Fimmes],Patrimônio!B505,His_Operacoes_acoes[Operação],"JCP")
+ SUMIFS(His_Operacoes_acoes[Total],His_Operacoes_acoes[Fimmes],Patrimônio!B505,His_Operacoes_acoes[Operação],"Divid.")
+ SUMIFS(His_Operacoes_acoes[Total],His_Operacoes_acoes[Fimmes],Patrimônio!B505,His_Operacoes_acoes[Operação],"Bonif.")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57711</v>
      </c>
      <c r="B506" s="7">
        <f t="shared" si="31"/>
        <v>57710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SUMIFS(His_Operacoes_acoes[Total],His_Operacoes_acoes[Fimmes],Patrimônio!B506,His_Operacoes_acoes[Operação],"JCP")
+ SUMIFS(His_Operacoes_acoes[Total],His_Operacoes_acoes[Fimmes],Patrimônio!B506,His_Operacoes_acoes[Operação],"Divid.")
+ SUMIFS(His_Operacoes_acoes[Total],His_Operacoes_acoes[Fimmes],Patrimônio!B506,His_Operacoes_acoes[Operação],"Bonif.")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57742</v>
      </c>
      <c r="B507" s="7">
        <f t="shared" si="31"/>
        <v>57741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SUMIFS(His_Operacoes_acoes[Total],His_Operacoes_acoes[Fimmes],Patrimônio!B507,His_Operacoes_acoes[Operação],"JCP")
+ SUMIFS(His_Operacoes_acoes[Total],His_Operacoes_acoes[Fimmes],Patrimônio!B507,His_Operacoes_acoes[Operação],"Divid.")
+ SUMIFS(His_Operacoes_acoes[Total],His_Operacoes_acoes[Fimmes],Patrimônio!B507,His_Operacoes_acoes[Operação],"Bonif.")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57770</v>
      </c>
      <c r="B508" s="7">
        <f t="shared" si="31"/>
        <v>57769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SUMIFS(His_Operacoes_acoes[Total],His_Operacoes_acoes[Fimmes],Patrimônio!B508,His_Operacoes_acoes[Operação],"JCP")
+ SUMIFS(His_Operacoes_acoes[Total],His_Operacoes_acoes[Fimmes],Patrimônio!B508,His_Operacoes_acoes[Operação],"Divid.")
+ SUMIFS(His_Operacoes_acoes[Total],His_Operacoes_acoes[Fimmes],Patrimônio!B508,His_Operacoes_acoes[Operação],"Bonif.")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57801</v>
      </c>
      <c r="B509" s="7">
        <f t="shared" si="31"/>
        <v>57800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SUMIFS(His_Operacoes_acoes[Total],His_Operacoes_acoes[Fimmes],Patrimônio!B509,His_Operacoes_acoes[Operação],"JCP")
+ SUMIFS(His_Operacoes_acoes[Total],His_Operacoes_acoes[Fimmes],Patrimônio!B509,His_Operacoes_acoes[Operação],"Divid.")
+ SUMIFS(His_Operacoes_acoes[Total],His_Operacoes_acoes[Fimmes],Patrimônio!B509,His_Operacoes_acoes[Operação],"Bonif.")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57831</v>
      </c>
      <c r="B510" s="7">
        <f t="shared" si="31"/>
        <v>57830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SUMIFS(His_Operacoes_acoes[Total],His_Operacoes_acoes[Fimmes],Patrimônio!B510,His_Operacoes_acoes[Operação],"JCP")
+ SUMIFS(His_Operacoes_acoes[Total],His_Operacoes_acoes[Fimmes],Patrimônio!B510,His_Operacoes_acoes[Operação],"Divid.")
+ SUMIFS(His_Operacoes_acoes[Total],His_Operacoes_acoes[Fimmes],Patrimônio!B510,His_Operacoes_acoes[Operação],"Bonif.")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57862</v>
      </c>
      <c r="B511" s="7">
        <f t="shared" si="31"/>
        <v>57861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SUMIFS(His_Operacoes_acoes[Total],His_Operacoes_acoes[Fimmes],Patrimônio!B511,His_Operacoes_acoes[Operação],"JCP")
+ SUMIFS(His_Operacoes_acoes[Total],His_Operacoes_acoes[Fimmes],Patrimônio!B511,His_Operacoes_acoes[Operação],"Divid.")
+ SUMIFS(His_Operacoes_acoes[Total],His_Operacoes_acoes[Fimmes],Patrimônio!B511,His_Operacoes_acoes[Operação],"Bonif.")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57892</v>
      </c>
      <c r="B512" s="7">
        <f t="shared" si="31"/>
        <v>57891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SUMIFS(His_Operacoes_acoes[Total],His_Operacoes_acoes[Fimmes],Patrimônio!B512,His_Operacoes_acoes[Operação],"JCP")
+ SUMIFS(His_Operacoes_acoes[Total],His_Operacoes_acoes[Fimmes],Patrimônio!B512,His_Operacoes_acoes[Operação],"Divid.")
+ SUMIFS(His_Operacoes_acoes[Total],His_Operacoes_acoes[Fimmes],Patrimônio!B512,His_Operacoes_acoes[Operação],"Bonif.")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57923</v>
      </c>
      <c r="B513" s="7">
        <f t="shared" si="31"/>
        <v>57922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SUMIFS(His_Operacoes_acoes[Total],His_Operacoes_acoes[Fimmes],Patrimônio!B513,His_Operacoes_acoes[Operação],"JCP")
+ SUMIFS(His_Operacoes_acoes[Total],His_Operacoes_acoes[Fimmes],Patrimônio!B513,His_Operacoes_acoes[Operação],"Divid.")
+ SUMIFS(His_Operacoes_acoes[Total],His_Operacoes_acoes[Fimmes],Patrimônio!B513,His_Operacoes_acoes[Operação],"Bonif.")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57954</v>
      </c>
      <c r="B514" s="7">
        <f t="shared" si="31"/>
        <v>57953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SUMIFS(His_Operacoes_acoes[Total],His_Operacoes_acoes[Fimmes],Patrimônio!B514,His_Operacoes_acoes[Operação],"JCP")
+ SUMIFS(His_Operacoes_acoes[Total],His_Operacoes_acoes[Fimmes],Patrimônio!B514,His_Operacoes_acoes[Operação],"Divid.")
+ SUMIFS(His_Operacoes_acoes[Total],His_Operacoes_acoes[Fimmes],Patrimônio!B514,His_Operacoes_acoes[Operação],"Bonif.")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57984</v>
      </c>
      <c r="B515" s="7">
        <f t="shared" ref="B515:B578" si="35">EOMONTH(A515,-1)</f>
        <v>57983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SUMIFS(His_Operacoes_acoes[Total],His_Operacoes_acoes[Fimmes],Patrimônio!B515,His_Operacoes_acoes[Operação],"JCP")
+ SUMIFS(His_Operacoes_acoes[Total],His_Operacoes_acoes[Fimmes],Patrimônio!B515,His_Operacoes_acoes[Operação],"Divid.")
+ SUMIFS(His_Operacoes_acoes[Total],His_Operacoes_acoes[Fimmes],Patrimônio!B515,His_Operacoes_acoes[Operação],"Bonif.")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58015</v>
      </c>
      <c r="B516" s="7">
        <f t="shared" si="35"/>
        <v>58014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SUMIFS(His_Operacoes_acoes[Total],His_Operacoes_acoes[Fimmes],Patrimônio!B516,His_Operacoes_acoes[Operação],"JCP")
+ SUMIFS(His_Operacoes_acoes[Total],His_Operacoes_acoes[Fimmes],Patrimônio!B516,His_Operacoes_acoes[Operação],"Divid.")
+ SUMIFS(His_Operacoes_acoes[Total],His_Operacoes_acoes[Fimmes],Patrimônio!B516,His_Operacoes_acoes[Operação],"Bonif.")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58045</v>
      </c>
      <c r="B517" s="7">
        <f t="shared" si="35"/>
        <v>58044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SUMIFS(His_Operacoes_acoes[Total],His_Operacoes_acoes[Fimmes],Patrimônio!B517,His_Operacoes_acoes[Operação],"JCP")
+ SUMIFS(His_Operacoes_acoes[Total],His_Operacoes_acoes[Fimmes],Patrimônio!B517,His_Operacoes_acoes[Operação],"Divid.")
+ SUMIFS(His_Operacoes_acoes[Total],His_Operacoes_acoes[Fimmes],Patrimônio!B517,His_Operacoes_acoes[Operação],"Bonif.")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58076</v>
      </c>
      <c r="B518" s="7">
        <f t="shared" si="35"/>
        <v>58075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SUMIFS(His_Operacoes_acoes[Total],His_Operacoes_acoes[Fimmes],Patrimônio!B518,His_Operacoes_acoes[Operação],"JCP")
+ SUMIFS(His_Operacoes_acoes[Total],His_Operacoes_acoes[Fimmes],Patrimônio!B518,His_Operacoes_acoes[Operação],"Divid.")
+ SUMIFS(His_Operacoes_acoes[Total],His_Operacoes_acoes[Fimmes],Patrimônio!B518,His_Operacoes_acoes[Operação],"Bonif.")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58107</v>
      </c>
      <c r="B519" s="7">
        <f t="shared" si="35"/>
        <v>58106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SUMIFS(His_Operacoes_acoes[Total],His_Operacoes_acoes[Fimmes],Patrimônio!B519,His_Operacoes_acoes[Operação],"JCP")
+ SUMIFS(His_Operacoes_acoes[Total],His_Operacoes_acoes[Fimmes],Patrimônio!B519,His_Operacoes_acoes[Operação],"Divid.")
+ SUMIFS(His_Operacoes_acoes[Total],His_Operacoes_acoes[Fimmes],Patrimônio!B519,His_Operacoes_acoes[Operação],"Bonif.")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58135</v>
      </c>
      <c r="B520" s="7">
        <f t="shared" si="35"/>
        <v>58134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SUMIFS(His_Operacoes_acoes[Total],His_Operacoes_acoes[Fimmes],Patrimônio!B520,His_Operacoes_acoes[Operação],"JCP")
+ SUMIFS(His_Operacoes_acoes[Total],His_Operacoes_acoes[Fimmes],Patrimônio!B520,His_Operacoes_acoes[Operação],"Divid.")
+ SUMIFS(His_Operacoes_acoes[Total],His_Operacoes_acoes[Fimmes],Patrimônio!B520,His_Operacoes_acoes[Operação],"Bonif.")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58166</v>
      </c>
      <c r="B521" s="7">
        <f t="shared" si="35"/>
        <v>58165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SUMIFS(His_Operacoes_acoes[Total],His_Operacoes_acoes[Fimmes],Patrimônio!B521,His_Operacoes_acoes[Operação],"JCP")
+ SUMIFS(His_Operacoes_acoes[Total],His_Operacoes_acoes[Fimmes],Patrimônio!B521,His_Operacoes_acoes[Operação],"Divid.")
+ SUMIFS(His_Operacoes_acoes[Total],His_Operacoes_acoes[Fimmes],Patrimônio!B521,His_Operacoes_acoes[Operação],"Bonif.")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58196</v>
      </c>
      <c r="B522" s="7">
        <f t="shared" si="35"/>
        <v>58195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SUMIFS(His_Operacoes_acoes[Total],His_Operacoes_acoes[Fimmes],Patrimônio!B522,His_Operacoes_acoes[Operação],"JCP")
+ SUMIFS(His_Operacoes_acoes[Total],His_Operacoes_acoes[Fimmes],Patrimônio!B522,His_Operacoes_acoes[Operação],"Divid.")
+ SUMIFS(His_Operacoes_acoes[Total],His_Operacoes_acoes[Fimmes],Patrimônio!B522,His_Operacoes_acoes[Operação],"Bonif.")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58227</v>
      </c>
      <c r="B523" s="7">
        <f t="shared" si="35"/>
        <v>58226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SUMIFS(His_Operacoes_acoes[Total],His_Operacoes_acoes[Fimmes],Patrimônio!B523,His_Operacoes_acoes[Operação],"JCP")
+ SUMIFS(His_Operacoes_acoes[Total],His_Operacoes_acoes[Fimmes],Patrimônio!B523,His_Operacoes_acoes[Operação],"Divid.")
+ SUMIFS(His_Operacoes_acoes[Total],His_Operacoes_acoes[Fimmes],Patrimônio!B523,His_Operacoes_acoes[Operação],"Bonif.")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58257</v>
      </c>
      <c r="B524" s="7">
        <f t="shared" si="35"/>
        <v>58256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SUMIFS(His_Operacoes_acoes[Total],His_Operacoes_acoes[Fimmes],Patrimônio!B524,His_Operacoes_acoes[Operação],"JCP")
+ SUMIFS(His_Operacoes_acoes[Total],His_Operacoes_acoes[Fimmes],Patrimônio!B524,His_Operacoes_acoes[Operação],"Divid.")
+ SUMIFS(His_Operacoes_acoes[Total],His_Operacoes_acoes[Fimmes],Patrimônio!B524,His_Operacoes_acoes[Operação],"Bonif.")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58288</v>
      </c>
      <c r="B525" s="7">
        <f t="shared" si="35"/>
        <v>58287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SUMIFS(His_Operacoes_acoes[Total],His_Operacoes_acoes[Fimmes],Patrimônio!B525,His_Operacoes_acoes[Operação],"JCP")
+ SUMIFS(His_Operacoes_acoes[Total],His_Operacoes_acoes[Fimmes],Patrimônio!B525,His_Operacoes_acoes[Operação],"Divid.")
+ SUMIFS(His_Operacoes_acoes[Total],His_Operacoes_acoes[Fimmes],Patrimônio!B525,His_Operacoes_acoes[Operação],"Bonif.")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58319</v>
      </c>
      <c r="B526" s="7">
        <f t="shared" si="35"/>
        <v>58318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SUMIFS(His_Operacoes_acoes[Total],His_Operacoes_acoes[Fimmes],Patrimônio!B526,His_Operacoes_acoes[Operação],"JCP")
+ SUMIFS(His_Operacoes_acoes[Total],His_Operacoes_acoes[Fimmes],Patrimônio!B526,His_Operacoes_acoes[Operação],"Divid.")
+ SUMIFS(His_Operacoes_acoes[Total],His_Operacoes_acoes[Fimmes],Patrimônio!B526,His_Operacoes_acoes[Operação],"Bonif.")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58349</v>
      </c>
      <c r="B527" s="7">
        <f t="shared" si="35"/>
        <v>58348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SUMIFS(His_Operacoes_acoes[Total],His_Operacoes_acoes[Fimmes],Patrimônio!B527,His_Operacoes_acoes[Operação],"JCP")
+ SUMIFS(His_Operacoes_acoes[Total],His_Operacoes_acoes[Fimmes],Patrimônio!B527,His_Operacoes_acoes[Operação],"Divid.")
+ SUMIFS(His_Operacoes_acoes[Total],His_Operacoes_acoes[Fimmes],Patrimônio!B527,His_Operacoes_acoes[Operação],"Bonif.")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58380</v>
      </c>
      <c r="B528" s="7">
        <f t="shared" si="35"/>
        <v>58379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SUMIFS(His_Operacoes_acoes[Total],His_Operacoes_acoes[Fimmes],Patrimônio!B528,His_Operacoes_acoes[Operação],"JCP")
+ SUMIFS(His_Operacoes_acoes[Total],His_Operacoes_acoes[Fimmes],Patrimônio!B528,His_Operacoes_acoes[Operação],"Divid.")
+ SUMIFS(His_Operacoes_acoes[Total],His_Operacoes_acoes[Fimmes],Patrimônio!B528,His_Operacoes_acoes[Operação],"Bonif.")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58410</v>
      </c>
      <c r="B529" s="7">
        <f t="shared" si="35"/>
        <v>58409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SUMIFS(His_Operacoes_acoes[Total],His_Operacoes_acoes[Fimmes],Patrimônio!B529,His_Operacoes_acoes[Operação],"JCP")
+ SUMIFS(His_Operacoes_acoes[Total],His_Operacoes_acoes[Fimmes],Patrimônio!B529,His_Operacoes_acoes[Operação],"Divid.")
+ SUMIFS(His_Operacoes_acoes[Total],His_Operacoes_acoes[Fimmes],Patrimônio!B529,His_Operacoes_acoes[Operação],"Bonif.")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58441</v>
      </c>
      <c r="B530" s="7">
        <f t="shared" si="35"/>
        <v>58440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SUMIFS(His_Operacoes_acoes[Total],His_Operacoes_acoes[Fimmes],Patrimônio!B530,His_Operacoes_acoes[Operação],"JCP")
+ SUMIFS(His_Operacoes_acoes[Total],His_Operacoes_acoes[Fimmes],Patrimônio!B530,His_Operacoes_acoes[Operação],"Divid.")
+ SUMIFS(His_Operacoes_acoes[Total],His_Operacoes_acoes[Fimmes],Patrimônio!B530,His_Operacoes_acoes[Operação],"Bonif.")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58472</v>
      </c>
      <c r="B531" s="7">
        <f t="shared" si="35"/>
        <v>58471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SUMIFS(His_Operacoes_acoes[Total],His_Operacoes_acoes[Fimmes],Patrimônio!B531,His_Operacoes_acoes[Operação],"JCP")
+ SUMIFS(His_Operacoes_acoes[Total],His_Operacoes_acoes[Fimmes],Patrimônio!B531,His_Operacoes_acoes[Operação],"Divid.")
+ SUMIFS(His_Operacoes_acoes[Total],His_Operacoes_acoes[Fimmes],Patrimônio!B531,His_Operacoes_acoes[Operação],"Bonif.")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58501</v>
      </c>
      <c r="B532" s="7">
        <f t="shared" si="35"/>
        <v>58500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SUMIFS(His_Operacoes_acoes[Total],His_Operacoes_acoes[Fimmes],Patrimônio!B532,His_Operacoes_acoes[Operação],"JCP")
+ SUMIFS(His_Operacoes_acoes[Total],His_Operacoes_acoes[Fimmes],Patrimônio!B532,His_Operacoes_acoes[Operação],"Divid.")
+ SUMIFS(His_Operacoes_acoes[Total],His_Operacoes_acoes[Fimmes],Patrimônio!B532,His_Operacoes_acoes[Operação],"Bonif.")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58532</v>
      </c>
      <c r="B533" s="7">
        <f t="shared" si="35"/>
        <v>58531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SUMIFS(His_Operacoes_acoes[Total],His_Operacoes_acoes[Fimmes],Patrimônio!B533,His_Operacoes_acoes[Operação],"JCP")
+ SUMIFS(His_Operacoes_acoes[Total],His_Operacoes_acoes[Fimmes],Patrimônio!B533,His_Operacoes_acoes[Operação],"Divid.")
+ SUMIFS(His_Operacoes_acoes[Total],His_Operacoes_acoes[Fimmes],Patrimônio!B533,His_Operacoes_acoes[Operação],"Bonif.")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58562</v>
      </c>
      <c r="B534" s="7">
        <f t="shared" si="35"/>
        <v>58561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SUMIFS(His_Operacoes_acoes[Total],His_Operacoes_acoes[Fimmes],Patrimônio!B534,His_Operacoes_acoes[Operação],"JCP")
+ SUMIFS(His_Operacoes_acoes[Total],His_Operacoes_acoes[Fimmes],Patrimônio!B534,His_Operacoes_acoes[Operação],"Divid.")
+ SUMIFS(His_Operacoes_acoes[Total],His_Operacoes_acoes[Fimmes],Patrimônio!B534,His_Operacoes_acoes[Operação],"Bonif.")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58593</v>
      </c>
      <c r="B535" s="7">
        <f t="shared" si="35"/>
        <v>58592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SUMIFS(His_Operacoes_acoes[Total],His_Operacoes_acoes[Fimmes],Patrimônio!B535,His_Operacoes_acoes[Operação],"JCP")
+ SUMIFS(His_Operacoes_acoes[Total],His_Operacoes_acoes[Fimmes],Patrimônio!B535,His_Operacoes_acoes[Operação],"Divid.")
+ SUMIFS(His_Operacoes_acoes[Total],His_Operacoes_acoes[Fimmes],Patrimônio!B535,His_Operacoes_acoes[Operação],"Bonif.")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58623</v>
      </c>
      <c r="B536" s="7">
        <f t="shared" si="35"/>
        <v>58622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SUMIFS(His_Operacoes_acoes[Total],His_Operacoes_acoes[Fimmes],Patrimônio!B536,His_Operacoes_acoes[Operação],"JCP")
+ SUMIFS(His_Operacoes_acoes[Total],His_Operacoes_acoes[Fimmes],Patrimônio!B536,His_Operacoes_acoes[Operação],"Divid.")
+ SUMIFS(His_Operacoes_acoes[Total],His_Operacoes_acoes[Fimmes],Patrimônio!B536,His_Operacoes_acoes[Operação],"Bonif.")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58654</v>
      </c>
      <c r="B537" s="7">
        <f t="shared" si="35"/>
        <v>58653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SUMIFS(His_Operacoes_acoes[Total],His_Operacoes_acoes[Fimmes],Patrimônio!B537,His_Operacoes_acoes[Operação],"JCP")
+ SUMIFS(His_Operacoes_acoes[Total],His_Operacoes_acoes[Fimmes],Patrimônio!B537,His_Operacoes_acoes[Operação],"Divid.")
+ SUMIFS(His_Operacoes_acoes[Total],His_Operacoes_acoes[Fimmes],Patrimônio!B537,His_Operacoes_acoes[Operação],"Bonif.")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58685</v>
      </c>
      <c r="B538" s="7">
        <f t="shared" si="35"/>
        <v>58684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SUMIFS(His_Operacoes_acoes[Total],His_Operacoes_acoes[Fimmes],Patrimônio!B538,His_Operacoes_acoes[Operação],"JCP")
+ SUMIFS(His_Operacoes_acoes[Total],His_Operacoes_acoes[Fimmes],Patrimônio!B538,His_Operacoes_acoes[Operação],"Divid.")
+ SUMIFS(His_Operacoes_acoes[Total],His_Operacoes_acoes[Fimmes],Patrimônio!B538,His_Operacoes_acoes[Operação],"Bonif.")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58715</v>
      </c>
      <c r="B539" s="7">
        <f t="shared" si="35"/>
        <v>58714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SUMIFS(His_Operacoes_acoes[Total],His_Operacoes_acoes[Fimmes],Patrimônio!B539,His_Operacoes_acoes[Operação],"JCP")
+ SUMIFS(His_Operacoes_acoes[Total],His_Operacoes_acoes[Fimmes],Patrimônio!B539,His_Operacoes_acoes[Operação],"Divid.")
+ SUMIFS(His_Operacoes_acoes[Total],His_Operacoes_acoes[Fimmes],Patrimônio!B539,His_Operacoes_acoes[Operação],"Bonif.")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58746</v>
      </c>
      <c r="B540" s="7">
        <f t="shared" si="35"/>
        <v>58745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SUMIFS(His_Operacoes_acoes[Total],His_Operacoes_acoes[Fimmes],Patrimônio!B540,His_Operacoes_acoes[Operação],"JCP")
+ SUMIFS(His_Operacoes_acoes[Total],His_Operacoes_acoes[Fimmes],Patrimônio!B540,His_Operacoes_acoes[Operação],"Divid.")
+ SUMIFS(His_Operacoes_acoes[Total],His_Operacoes_acoes[Fimmes],Patrimônio!B540,His_Operacoes_acoes[Operação],"Bonif.")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58776</v>
      </c>
      <c r="B541" s="7">
        <f t="shared" si="35"/>
        <v>58775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SUMIFS(His_Operacoes_acoes[Total],His_Operacoes_acoes[Fimmes],Patrimônio!B541,His_Operacoes_acoes[Operação],"JCP")
+ SUMIFS(His_Operacoes_acoes[Total],His_Operacoes_acoes[Fimmes],Patrimônio!B541,His_Operacoes_acoes[Operação],"Divid.")
+ SUMIFS(His_Operacoes_acoes[Total],His_Operacoes_acoes[Fimmes],Patrimônio!B541,His_Operacoes_acoes[Operação],"Bonif.")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58807</v>
      </c>
      <c r="B542" s="7">
        <f t="shared" si="35"/>
        <v>58806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SUMIFS(His_Operacoes_acoes[Total],His_Operacoes_acoes[Fimmes],Patrimônio!B542,His_Operacoes_acoes[Operação],"JCP")
+ SUMIFS(His_Operacoes_acoes[Total],His_Operacoes_acoes[Fimmes],Patrimônio!B542,His_Operacoes_acoes[Operação],"Divid.")
+ SUMIFS(His_Operacoes_acoes[Total],His_Operacoes_acoes[Fimmes],Patrimônio!B542,His_Operacoes_acoes[Operação],"Bonif.")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58838</v>
      </c>
      <c r="B543" s="7">
        <f t="shared" si="35"/>
        <v>58837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SUMIFS(His_Operacoes_acoes[Total],His_Operacoes_acoes[Fimmes],Patrimônio!B543,His_Operacoes_acoes[Operação],"JCP")
+ SUMIFS(His_Operacoes_acoes[Total],His_Operacoes_acoes[Fimmes],Patrimônio!B543,His_Operacoes_acoes[Operação],"Divid.")
+ SUMIFS(His_Operacoes_acoes[Total],His_Operacoes_acoes[Fimmes],Patrimônio!B543,His_Operacoes_acoes[Operação],"Bonif.")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58866</v>
      </c>
      <c r="B544" s="7">
        <f t="shared" si="35"/>
        <v>58865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SUMIFS(His_Operacoes_acoes[Total],His_Operacoes_acoes[Fimmes],Patrimônio!B544,His_Operacoes_acoes[Operação],"JCP")
+ SUMIFS(His_Operacoes_acoes[Total],His_Operacoes_acoes[Fimmes],Patrimônio!B544,His_Operacoes_acoes[Operação],"Divid.")
+ SUMIFS(His_Operacoes_acoes[Total],His_Operacoes_acoes[Fimmes],Patrimônio!B544,His_Operacoes_acoes[Operação],"Bonif.")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58897</v>
      </c>
      <c r="B545" s="7">
        <f t="shared" si="35"/>
        <v>58896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SUMIFS(His_Operacoes_acoes[Total],His_Operacoes_acoes[Fimmes],Patrimônio!B545,His_Operacoes_acoes[Operação],"JCP")
+ SUMIFS(His_Operacoes_acoes[Total],His_Operacoes_acoes[Fimmes],Patrimônio!B545,His_Operacoes_acoes[Operação],"Divid.")
+ SUMIFS(His_Operacoes_acoes[Total],His_Operacoes_acoes[Fimmes],Patrimônio!B545,His_Operacoes_acoes[Operação],"Bonif.")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58927</v>
      </c>
      <c r="B546" s="7">
        <f t="shared" si="35"/>
        <v>58926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SUMIFS(His_Operacoes_acoes[Total],His_Operacoes_acoes[Fimmes],Patrimônio!B546,His_Operacoes_acoes[Operação],"JCP")
+ SUMIFS(His_Operacoes_acoes[Total],His_Operacoes_acoes[Fimmes],Patrimônio!B546,His_Operacoes_acoes[Operação],"Divid.")
+ SUMIFS(His_Operacoes_acoes[Total],His_Operacoes_acoes[Fimmes],Patrimônio!B546,His_Operacoes_acoes[Operação],"Bonif.")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58958</v>
      </c>
      <c r="B547" s="7">
        <f t="shared" si="35"/>
        <v>58957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SUMIFS(His_Operacoes_acoes[Total],His_Operacoes_acoes[Fimmes],Patrimônio!B547,His_Operacoes_acoes[Operação],"JCP")
+ SUMIFS(His_Operacoes_acoes[Total],His_Operacoes_acoes[Fimmes],Patrimônio!B547,His_Operacoes_acoes[Operação],"Divid.")
+ SUMIFS(His_Operacoes_acoes[Total],His_Operacoes_acoes[Fimmes],Patrimônio!B547,His_Operacoes_acoes[Operação],"Bonif.")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58988</v>
      </c>
      <c r="B548" s="7">
        <f t="shared" si="35"/>
        <v>58987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SUMIFS(His_Operacoes_acoes[Total],His_Operacoes_acoes[Fimmes],Patrimônio!B548,His_Operacoes_acoes[Operação],"JCP")
+ SUMIFS(His_Operacoes_acoes[Total],His_Operacoes_acoes[Fimmes],Patrimônio!B548,His_Operacoes_acoes[Operação],"Divid.")
+ SUMIFS(His_Operacoes_acoes[Total],His_Operacoes_acoes[Fimmes],Patrimônio!B548,His_Operacoes_acoes[Operação],"Bonif.")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59019</v>
      </c>
      <c r="B549" s="7">
        <f t="shared" si="35"/>
        <v>59018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SUMIFS(His_Operacoes_acoes[Total],His_Operacoes_acoes[Fimmes],Patrimônio!B549,His_Operacoes_acoes[Operação],"JCP")
+ SUMIFS(His_Operacoes_acoes[Total],His_Operacoes_acoes[Fimmes],Patrimônio!B549,His_Operacoes_acoes[Operação],"Divid.")
+ SUMIFS(His_Operacoes_acoes[Total],His_Operacoes_acoes[Fimmes],Patrimônio!B549,His_Operacoes_acoes[Operação],"Bonif.")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59050</v>
      </c>
      <c r="B550" s="7">
        <f t="shared" si="35"/>
        <v>59049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SUMIFS(His_Operacoes_acoes[Total],His_Operacoes_acoes[Fimmes],Patrimônio!B550,His_Operacoes_acoes[Operação],"JCP")
+ SUMIFS(His_Operacoes_acoes[Total],His_Operacoes_acoes[Fimmes],Patrimônio!B550,His_Operacoes_acoes[Operação],"Divid.")
+ SUMIFS(His_Operacoes_acoes[Total],His_Operacoes_acoes[Fimmes],Patrimônio!B550,His_Operacoes_acoes[Operação],"Bonif.")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59080</v>
      </c>
      <c r="B551" s="7">
        <f t="shared" si="35"/>
        <v>59079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SUMIFS(His_Operacoes_acoes[Total],His_Operacoes_acoes[Fimmes],Patrimônio!B551,His_Operacoes_acoes[Operação],"JCP")
+ SUMIFS(His_Operacoes_acoes[Total],His_Operacoes_acoes[Fimmes],Patrimônio!B551,His_Operacoes_acoes[Operação],"Divid.")
+ SUMIFS(His_Operacoes_acoes[Total],His_Operacoes_acoes[Fimmes],Patrimônio!B551,His_Operacoes_acoes[Operação],"Bonif.")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59111</v>
      </c>
      <c r="B552" s="7">
        <f t="shared" si="35"/>
        <v>59110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SUMIFS(His_Operacoes_acoes[Total],His_Operacoes_acoes[Fimmes],Patrimônio!B552,His_Operacoes_acoes[Operação],"JCP")
+ SUMIFS(His_Operacoes_acoes[Total],His_Operacoes_acoes[Fimmes],Patrimônio!B552,His_Operacoes_acoes[Operação],"Divid.")
+ SUMIFS(His_Operacoes_acoes[Total],His_Operacoes_acoes[Fimmes],Patrimônio!B552,His_Operacoes_acoes[Operação],"Bonif.")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59141</v>
      </c>
      <c r="B553" s="7">
        <f t="shared" si="35"/>
        <v>59140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SUMIFS(His_Operacoes_acoes[Total],His_Operacoes_acoes[Fimmes],Patrimônio!B553,His_Operacoes_acoes[Operação],"JCP")
+ SUMIFS(His_Operacoes_acoes[Total],His_Operacoes_acoes[Fimmes],Patrimônio!B553,His_Operacoes_acoes[Operação],"Divid.")
+ SUMIFS(His_Operacoes_acoes[Total],His_Operacoes_acoes[Fimmes],Patrimônio!B553,His_Operacoes_acoes[Operação],"Bonif.")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59172</v>
      </c>
      <c r="B554" s="7">
        <f t="shared" si="35"/>
        <v>59171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SUMIFS(His_Operacoes_acoes[Total],His_Operacoes_acoes[Fimmes],Patrimônio!B554,His_Operacoes_acoes[Operação],"JCP")
+ SUMIFS(His_Operacoes_acoes[Total],His_Operacoes_acoes[Fimmes],Patrimônio!B554,His_Operacoes_acoes[Operação],"Divid.")
+ SUMIFS(His_Operacoes_acoes[Total],His_Operacoes_acoes[Fimmes],Patrimônio!B554,His_Operacoes_acoes[Operação],"Bonif.")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59203</v>
      </c>
      <c r="B555" s="7">
        <f t="shared" si="35"/>
        <v>59202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SUMIFS(His_Operacoes_acoes[Total],His_Operacoes_acoes[Fimmes],Patrimônio!B555,His_Operacoes_acoes[Operação],"JCP")
+ SUMIFS(His_Operacoes_acoes[Total],His_Operacoes_acoes[Fimmes],Patrimônio!B555,His_Operacoes_acoes[Operação],"Divid.")
+ SUMIFS(His_Operacoes_acoes[Total],His_Operacoes_acoes[Fimmes],Patrimônio!B555,His_Operacoes_acoes[Operação],"Bonif.")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59231</v>
      </c>
      <c r="B556" s="7">
        <f t="shared" si="35"/>
        <v>59230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SUMIFS(His_Operacoes_acoes[Total],His_Operacoes_acoes[Fimmes],Patrimônio!B556,His_Operacoes_acoes[Operação],"JCP")
+ SUMIFS(His_Operacoes_acoes[Total],His_Operacoes_acoes[Fimmes],Patrimônio!B556,His_Operacoes_acoes[Operação],"Divid.")
+ SUMIFS(His_Operacoes_acoes[Total],His_Operacoes_acoes[Fimmes],Patrimônio!B556,His_Operacoes_acoes[Operação],"Bonif.")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59262</v>
      </c>
      <c r="B557" s="7">
        <f t="shared" si="35"/>
        <v>59261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SUMIFS(His_Operacoes_acoes[Total],His_Operacoes_acoes[Fimmes],Patrimônio!B557,His_Operacoes_acoes[Operação],"JCP")
+ SUMIFS(His_Operacoes_acoes[Total],His_Operacoes_acoes[Fimmes],Patrimônio!B557,His_Operacoes_acoes[Operação],"Divid.")
+ SUMIFS(His_Operacoes_acoes[Total],His_Operacoes_acoes[Fimmes],Patrimônio!B557,His_Operacoes_acoes[Operação],"Bonif.")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59292</v>
      </c>
      <c r="B558" s="7">
        <f t="shared" si="35"/>
        <v>59291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SUMIFS(His_Operacoes_acoes[Total],His_Operacoes_acoes[Fimmes],Patrimônio!B558,His_Operacoes_acoes[Operação],"JCP")
+ SUMIFS(His_Operacoes_acoes[Total],His_Operacoes_acoes[Fimmes],Patrimônio!B558,His_Operacoes_acoes[Operação],"Divid.")
+ SUMIFS(His_Operacoes_acoes[Total],His_Operacoes_acoes[Fimmes],Patrimônio!B558,His_Operacoes_acoes[Operação],"Bonif.")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59323</v>
      </c>
      <c r="B559" s="7">
        <f t="shared" si="35"/>
        <v>59322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SUMIFS(His_Operacoes_acoes[Total],His_Operacoes_acoes[Fimmes],Patrimônio!B559,His_Operacoes_acoes[Operação],"JCP")
+ SUMIFS(His_Operacoes_acoes[Total],His_Operacoes_acoes[Fimmes],Patrimônio!B559,His_Operacoes_acoes[Operação],"Divid.")
+ SUMIFS(His_Operacoes_acoes[Total],His_Operacoes_acoes[Fimmes],Patrimônio!B559,His_Operacoes_acoes[Operação],"Bonif.")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59353</v>
      </c>
      <c r="B560" s="7">
        <f t="shared" si="35"/>
        <v>59352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SUMIFS(His_Operacoes_acoes[Total],His_Operacoes_acoes[Fimmes],Patrimônio!B560,His_Operacoes_acoes[Operação],"JCP")
+ SUMIFS(His_Operacoes_acoes[Total],His_Operacoes_acoes[Fimmes],Patrimônio!B560,His_Operacoes_acoes[Operação],"Divid.")
+ SUMIFS(His_Operacoes_acoes[Total],His_Operacoes_acoes[Fimmes],Patrimônio!B560,His_Operacoes_acoes[Operação],"Bonif.")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59384</v>
      </c>
      <c r="B561" s="7">
        <f t="shared" si="35"/>
        <v>59383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SUMIFS(His_Operacoes_acoes[Total],His_Operacoes_acoes[Fimmes],Patrimônio!B561,His_Operacoes_acoes[Operação],"JCP")
+ SUMIFS(His_Operacoes_acoes[Total],His_Operacoes_acoes[Fimmes],Patrimônio!B561,His_Operacoes_acoes[Operação],"Divid.")
+ SUMIFS(His_Operacoes_acoes[Total],His_Operacoes_acoes[Fimmes],Patrimônio!B561,His_Operacoes_acoes[Operação],"Bonif.")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59415</v>
      </c>
      <c r="B562" s="7">
        <f t="shared" si="35"/>
        <v>59414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SUMIFS(His_Operacoes_acoes[Total],His_Operacoes_acoes[Fimmes],Patrimônio!B562,His_Operacoes_acoes[Operação],"JCP")
+ SUMIFS(His_Operacoes_acoes[Total],His_Operacoes_acoes[Fimmes],Patrimônio!B562,His_Operacoes_acoes[Operação],"Divid.")
+ SUMIFS(His_Operacoes_acoes[Total],His_Operacoes_acoes[Fimmes],Patrimônio!B562,His_Operacoes_acoes[Operação],"Bonif.")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59445</v>
      </c>
      <c r="B563" s="7">
        <f t="shared" si="35"/>
        <v>59444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SUMIFS(His_Operacoes_acoes[Total],His_Operacoes_acoes[Fimmes],Patrimônio!B563,His_Operacoes_acoes[Operação],"JCP")
+ SUMIFS(His_Operacoes_acoes[Total],His_Operacoes_acoes[Fimmes],Patrimônio!B563,His_Operacoes_acoes[Operação],"Divid.")
+ SUMIFS(His_Operacoes_acoes[Total],His_Operacoes_acoes[Fimmes],Patrimônio!B563,His_Operacoes_acoes[Operação],"Bonif.")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59476</v>
      </c>
      <c r="B564" s="7">
        <f t="shared" si="35"/>
        <v>59475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SUMIFS(His_Operacoes_acoes[Total],His_Operacoes_acoes[Fimmes],Patrimônio!B564,His_Operacoes_acoes[Operação],"JCP")
+ SUMIFS(His_Operacoes_acoes[Total],His_Operacoes_acoes[Fimmes],Patrimônio!B564,His_Operacoes_acoes[Operação],"Divid.")
+ SUMIFS(His_Operacoes_acoes[Total],His_Operacoes_acoes[Fimmes],Patrimônio!B564,His_Operacoes_acoes[Operação],"Bonif.")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59506</v>
      </c>
      <c r="B565" s="7">
        <f t="shared" si="35"/>
        <v>59505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SUMIFS(His_Operacoes_acoes[Total],His_Operacoes_acoes[Fimmes],Patrimônio!B565,His_Operacoes_acoes[Operação],"JCP")
+ SUMIFS(His_Operacoes_acoes[Total],His_Operacoes_acoes[Fimmes],Patrimônio!B565,His_Operacoes_acoes[Operação],"Divid.")
+ SUMIFS(His_Operacoes_acoes[Total],His_Operacoes_acoes[Fimmes],Patrimônio!B565,His_Operacoes_acoes[Operação],"Bonif.")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59537</v>
      </c>
      <c r="B566" s="7">
        <f t="shared" si="35"/>
        <v>59536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SUMIFS(His_Operacoes_acoes[Total],His_Operacoes_acoes[Fimmes],Patrimônio!B566,His_Operacoes_acoes[Operação],"JCP")
+ SUMIFS(His_Operacoes_acoes[Total],His_Operacoes_acoes[Fimmes],Patrimônio!B566,His_Operacoes_acoes[Operação],"Divid.")
+ SUMIFS(His_Operacoes_acoes[Total],His_Operacoes_acoes[Fimmes],Patrimônio!B566,His_Operacoes_acoes[Operação],"Bonif.")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59568</v>
      </c>
      <c r="B567" s="7">
        <f t="shared" si="35"/>
        <v>59567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SUMIFS(His_Operacoes_acoes[Total],His_Operacoes_acoes[Fimmes],Patrimônio!B567,His_Operacoes_acoes[Operação],"JCP")
+ SUMIFS(His_Operacoes_acoes[Total],His_Operacoes_acoes[Fimmes],Patrimônio!B567,His_Operacoes_acoes[Operação],"Divid.")
+ SUMIFS(His_Operacoes_acoes[Total],His_Operacoes_acoes[Fimmes],Patrimônio!B567,His_Operacoes_acoes[Operação],"Bonif.")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59596</v>
      </c>
      <c r="B568" s="7">
        <f t="shared" si="35"/>
        <v>59595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SUMIFS(His_Operacoes_acoes[Total],His_Operacoes_acoes[Fimmes],Patrimônio!B568,His_Operacoes_acoes[Operação],"JCP")
+ SUMIFS(His_Operacoes_acoes[Total],His_Operacoes_acoes[Fimmes],Patrimônio!B568,His_Operacoes_acoes[Operação],"Divid.")
+ SUMIFS(His_Operacoes_acoes[Total],His_Operacoes_acoes[Fimmes],Patrimônio!B568,His_Operacoes_acoes[Operação],"Bonif.")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59627</v>
      </c>
      <c r="B569" s="7">
        <f t="shared" si="35"/>
        <v>59626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SUMIFS(His_Operacoes_acoes[Total],His_Operacoes_acoes[Fimmes],Patrimônio!B569,His_Operacoes_acoes[Operação],"JCP")
+ SUMIFS(His_Operacoes_acoes[Total],His_Operacoes_acoes[Fimmes],Patrimônio!B569,His_Operacoes_acoes[Operação],"Divid.")
+ SUMIFS(His_Operacoes_acoes[Total],His_Operacoes_acoes[Fimmes],Patrimônio!B569,His_Operacoes_acoes[Operação],"Bonif.")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59657</v>
      </c>
      <c r="B570" s="7">
        <f t="shared" si="35"/>
        <v>59656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SUMIFS(His_Operacoes_acoes[Total],His_Operacoes_acoes[Fimmes],Patrimônio!B570,His_Operacoes_acoes[Operação],"JCP")
+ SUMIFS(His_Operacoes_acoes[Total],His_Operacoes_acoes[Fimmes],Patrimônio!B570,His_Operacoes_acoes[Operação],"Divid.")
+ SUMIFS(His_Operacoes_acoes[Total],His_Operacoes_acoes[Fimmes],Patrimônio!B570,His_Operacoes_acoes[Operação],"Bonif.")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59688</v>
      </c>
      <c r="B571" s="7">
        <f t="shared" si="35"/>
        <v>59687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SUMIFS(His_Operacoes_acoes[Total],His_Operacoes_acoes[Fimmes],Patrimônio!B571,His_Operacoes_acoes[Operação],"JCP")
+ SUMIFS(His_Operacoes_acoes[Total],His_Operacoes_acoes[Fimmes],Patrimônio!B571,His_Operacoes_acoes[Operação],"Divid.")
+ SUMIFS(His_Operacoes_acoes[Total],His_Operacoes_acoes[Fimmes],Patrimônio!B571,His_Operacoes_acoes[Operação],"Bonif.")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59718</v>
      </c>
      <c r="B572" s="7">
        <f t="shared" si="35"/>
        <v>59717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SUMIFS(His_Operacoes_acoes[Total],His_Operacoes_acoes[Fimmes],Patrimônio!B572,His_Operacoes_acoes[Operação],"JCP")
+ SUMIFS(His_Operacoes_acoes[Total],His_Operacoes_acoes[Fimmes],Patrimônio!B572,His_Operacoes_acoes[Operação],"Divid.")
+ SUMIFS(His_Operacoes_acoes[Total],His_Operacoes_acoes[Fimmes],Patrimônio!B572,His_Operacoes_acoes[Operação],"Bonif.")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59749</v>
      </c>
      <c r="B573" s="7">
        <f t="shared" si="35"/>
        <v>59748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SUMIFS(His_Operacoes_acoes[Total],His_Operacoes_acoes[Fimmes],Patrimônio!B573,His_Operacoes_acoes[Operação],"JCP")
+ SUMIFS(His_Operacoes_acoes[Total],His_Operacoes_acoes[Fimmes],Patrimônio!B573,His_Operacoes_acoes[Operação],"Divid.")
+ SUMIFS(His_Operacoes_acoes[Total],His_Operacoes_acoes[Fimmes],Patrimônio!B573,His_Operacoes_acoes[Operação],"Bonif.")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59780</v>
      </c>
      <c r="B574" s="7">
        <f t="shared" si="35"/>
        <v>59779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SUMIFS(His_Operacoes_acoes[Total],His_Operacoes_acoes[Fimmes],Patrimônio!B574,His_Operacoes_acoes[Operação],"JCP")
+ SUMIFS(His_Operacoes_acoes[Total],His_Operacoes_acoes[Fimmes],Patrimônio!B574,His_Operacoes_acoes[Operação],"Divid.")
+ SUMIFS(His_Operacoes_acoes[Total],His_Operacoes_acoes[Fimmes],Patrimônio!B574,His_Operacoes_acoes[Operação],"Bonif.")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59810</v>
      </c>
      <c r="B575" s="7">
        <f t="shared" si="35"/>
        <v>59809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SUMIFS(His_Operacoes_acoes[Total],His_Operacoes_acoes[Fimmes],Patrimônio!B575,His_Operacoes_acoes[Operação],"JCP")
+ SUMIFS(His_Operacoes_acoes[Total],His_Operacoes_acoes[Fimmes],Patrimônio!B575,His_Operacoes_acoes[Operação],"Divid.")
+ SUMIFS(His_Operacoes_acoes[Total],His_Operacoes_acoes[Fimmes],Patrimônio!B575,His_Operacoes_acoes[Operação],"Bonif.")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59841</v>
      </c>
      <c r="B576" s="7">
        <f t="shared" si="35"/>
        <v>59840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SUMIFS(His_Operacoes_acoes[Total],His_Operacoes_acoes[Fimmes],Patrimônio!B576,His_Operacoes_acoes[Operação],"JCP")
+ SUMIFS(His_Operacoes_acoes[Total],His_Operacoes_acoes[Fimmes],Patrimônio!B576,His_Operacoes_acoes[Operação],"Divid.")
+ SUMIFS(His_Operacoes_acoes[Total],His_Operacoes_acoes[Fimmes],Patrimônio!B576,His_Operacoes_acoes[Operação],"Bonif.")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59871</v>
      </c>
      <c r="B577" s="7">
        <f t="shared" si="35"/>
        <v>59870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SUMIFS(His_Operacoes_acoes[Total],His_Operacoes_acoes[Fimmes],Patrimônio!B577,His_Operacoes_acoes[Operação],"JCP")
+ SUMIFS(His_Operacoes_acoes[Total],His_Operacoes_acoes[Fimmes],Patrimônio!B577,His_Operacoes_acoes[Operação],"Divid.")
+ SUMIFS(His_Operacoes_acoes[Total],His_Operacoes_acoes[Fimmes],Patrimônio!B577,His_Operacoes_acoes[Operação],"Bonif.")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59902</v>
      </c>
      <c r="B578" s="7">
        <f t="shared" si="35"/>
        <v>59901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SUMIFS(His_Operacoes_acoes[Total],His_Operacoes_acoes[Fimmes],Patrimônio!B578,His_Operacoes_acoes[Operação],"JCP")
+ SUMIFS(His_Operacoes_acoes[Total],His_Operacoes_acoes[Fimmes],Patrimônio!B578,His_Operacoes_acoes[Operação],"Divid.")
+ SUMIFS(His_Operacoes_acoes[Total],His_Operacoes_acoes[Fimmes],Patrimônio!B578,His_Operacoes_acoes[Operação],"Bonif.")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59933</v>
      </c>
      <c r="B579" s="7">
        <f t="shared" ref="B579:B642" si="39">EOMONTH(A579,-1)</f>
        <v>59932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SUMIFS(His_Operacoes_acoes[Total],His_Operacoes_acoes[Fimmes],Patrimônio!B579,His_Operacoes_acoes[Operação],"JCP")
+ SUMIFS(His_Operacoes_acoes[Total],His_Operacoes_acoes[Fimmes],Patrimônio!B579,His_Operacoes_acoes[Operação],"Divid.")
+ SUMIFS(His_Operacoes_acoes[Total],His_Operacoes_acoes[Fimmes],Patrimônio!B579,His_Operacoes_acoes[Operação],"Bonif.")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59962</v>
      </c>
      <c r="B580" s="7">
        <f t="shared" si="39"/>
        <v>59961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SUMIFS(His_Operacoes_acoes[Total],His_Operacoes_acoes[Fimmes],Patrimônio!B580,His_Operacoes_acoes[Operação],"JCP")
+ SUMIFS(His_Operacoes_acoes[Total],His_Operacoes_acoes[Fimmes],Patrimônio!B580,His_Operacoes_acoes[Operação],"Divid.")
+ SUMIFS(His_Operacoes_acoes[Total],His_Operacoes_acoes[Fimmes],Patrimônio!B580,His_Operacoes_acoes[Operação],"Bonif.")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59993</v>
      </c>
      <c r="B581" s="7">
        <f t="shared" si="39"/>
        <v>59992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SUMIFS(His_Operacoes_acoes[Total],His_Operacoes_acoes[Fimmes],Patrimônio!B581,His_Operacoes_acoes[Operação],"JCP")
+ SUMIFS(His_Operacoes_acoes[Total],His_Operacoes_acoes[Fimmes],Patrimônio!B581,His_Operacoes_acoes[Operação],"Divid.")
+ SUMIFS(His_Operacoes_acoes[Total],His_Operacoes_acoes[Fimmes],Patrimônio!B581,His_Operacoes_acoes[Operação],"Bonif.")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60023</v>
      </c>
      <c r="B582" s="7">
        <f t="shared" si="39"/>
        <v>60022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SUMIFS(His_Operacoes_acoes[Total],His_Operacoes_acoes[Fimmes],Patrimônio!B582,His_Operacoes_acoes[Operação],"JCP")
+ SUMIFS(His_Operacoes_acoes[Total],His_Operacoes_acoes[Fimmes],Patrimônio!B582,His_Operacoes_acoes[Operação],"Divid.")
+ SUMIFS(His_Operacoes_acoes[Total],His_Operacoes_acoes[Fimmes],Patrimônio!B582,His_Operacoes_acoes[Operação],"Bonif.")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60054</v>
      </c>
      <c r="B583" s="7">
        <f t="shared" si="39"/>
        <v>60053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SUMIFS(His_Operacoes_acoes[Total],His_Operacoes_acoes[Fimmes],Patrimônio!B583,His_Operacoes_acoes[Operação],"JCP")
+ SUMIFS(His_Operacoes_acoes[Total],His_Operacoes_acoes[Fimmes],Patrimônio!B583,His_Operacoes_acoes[Operação],"Divid.")
+ SUMIFS(His_Operacoes_acoes[Total],His_Operacoes_acoes[Fimmes],Patrimônio!B583,His_Operacoes_acoes[Operação],"Bonif.")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60084</v>
      </c>
      <c r="B584" s="7">
        <f t="shared" si="39"/>
        <v>60083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SUMIFS(His_Operacoes_acoes[Total],His_Operacoes_acoes[Fimmes],Patrimônio!B584,His_Operacoes_acoes[Operação],"JCP")
+ SUMIFS(His_Operacoes_acoes[Total],His_Operacoes_acoes[Fimmes],Patrimônio!B584,His_Operacoes_acoes[Operação],"Divid.")
+ SUMIFS(His_Operacoes_acoes[Total],His_Operacoes_acoes[Fimmes],Patrimônio!B584,His_Operacoes_acoes[Operação],"Bonif.")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60115</v>
      </c>
      <c r="B585" s="7">
        <f t="shared" si="39"/>
        <v>60114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SUMIFS(His_Operacoes_acoes[Total],His_Operacoes_acoes[Fimmes],Patrimônio!B585,His_Operacoes_acoes[Operação],"JCP")
+ SUMIFS(His_Operacoes_acoes[Total],His_Operacoes_acoes[Fimmes],Patrimônio!B585,His_Operacoes_acoes[Operação],"Divid.")
+ SUMIFS(His_Operacoes_acoes[Total],His_Operacoes_acoes[Fimmes],Patrimônio!B585,His_Operacoes_acoes[Operação],"Bonif.")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60146</v>
      </c>
      <c r="B586" s="7">
        <f t="shared" si="39"/>
        <v>60145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SUMIFS(His_Operacoes_acoes[Total],His_Operacoes_acoes[Fimmes],Patrimônio!B586,His_Operacoes_acoes[Operação],"JCP")
+ SUMIFS(His_Operacoes_acoes[Total],His_Operacoes_acoes[Fimmes],Patrimônio!B586,His_Operacoes_acoes[Operação],"Divid.")
+ SUMIFS(His_Operacoes_acoes[Total],His_Operacoes_acoes[Fimmes],Patrimônio!B586,His_Operacoes_acoes[Operação],"Bonif.")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60176</v>
      </c>
      <c r="B587" s="7">
        <f t="shared" si="39"/>
        <v>60175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SUMIFS(His_Operacoes_acoes[Total],His_Operacoes_acoes[Fimmes],Patrimônio!B587,His_Operacoes_acoes[Operação],"JCP")
+ SUMIFS(His_Operacoes_acoes[Total],His_Operacoes_acoes[Fimmes],Patrimônio!B587,His_Operacoes_acoes[Operação],"Divid.")
+ SUMIFS(His_Operacoes_acoes[Total],His_Operacoes_acoes[Fimmes],Patrimônio!B587,His_Operacoes_acoes[Operação],"Bonif.")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60207</v>
      </c>
      <c r="B588" s="7">
        <f t="shared" si="39"/>
        <v>60206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SUMIFS(His_Operacoes_acoes[Total],His_Operacoes_acoes[Fimmes],Patrimônio!B588,His_Operacoes_acoes[Operação],"JCP")
+ SUMIFS(His_Operacoes_acoes[Total],His_Operacoes_acoes[Fimmes],Patrimônio!B588,His_Operacoes_acoes[Operação],"Divid.")
+ SUMIFS(His_Operacoes_acoes[Total],His_Operacoes_acoes[Fimmes],Patrimônio!B588,His_Operacoes_acoes[Operação],"Bonif.")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60237</v>
      </c>
      <c r="B589" s="7">
        <f t="shared" si="39"/>
        <v>60236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SUMIFS(His_Operacoes_acoes[Total],His_Operacoes_acoes[Fimmes],Patrimônio!B589,His_Operacoes_acoes[Operação],"JCP")
+ SUMIFS(His_Operacoes_acoes[Total],His_Operacoes_acoes[Fimmes],Patrimônio!B589,His_Operacoes_acoes[Operação],"Divid.")
+ SUMIFS(His_Operacoes_acoes[Total],His_Operacoes_acoes[Fimmes],Patrimônio!B589,His_Operacoes_acoes[Operação],"Bonif.")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60268</v>
      </c>
      <c r="B590" s="7">
        <f t="shared" si="39"/>
        <v>60267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SUMIFS(His_Operacoes_acoes[Total],His_Operacoes_acoes[Fimmes],Patrimônio!B590,His_Operacoes_acoes[Operação],"JCP")
+ SUMIFS(His_Operacoes_acoes[Total],His_Operacoes_acoes[Fimmes],Patrimônio!B590,His_Operacoes_acoes[Operação],"Divid.")
+ SUMIFS(His_Operacoes_acoes[Total],His_Operacoes_acoes[Fimmes],Patrimônio!B590,His_Operacoes_acoes[Operação],"Bonif.")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60299</v>
      </c>
      <c r="B591" s="7">
        <f t="shared" si="39"/>
        <v>60298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SUMIFS(His_Operacoes_acoes[Total],His_Operacoes_acoes[Fimmes],Patrimônio!B591,His_Operacoes_acoes[Operação],"JCP")
+ SUMIFS(His_Operacoes_acoes[Total],His_Operacoes_acoes[Fimmes],Patrimônio!B591,His_Operacoes_acoes[Operação],"Divid.")
+ SUMIFS(His_Operacoes_acoes[Total],His_Operacoes_acoes[Fimmes],Patrimônio!B591,His_Operacoes_acoes[Operação],"Bonif.")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60327</v>
      </c>
      <c r="B592" s="7">
        <f t="shared" si="39"/>
        <v>60326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SUMIFS(His_Operacoes_acoes[Total],His_Operacoes_acoes[Fimmes],Patrimônio!B592,His_Operacoes_acoes[Operação],"JCP")
+ SUMIFS(His_Operacoes_acoes[Total],His_Operacoes_acoes[Fimmes],Patrimônio!B592,His_Operacoes_acoes[Operação],"Divid.")
+ SUMIFS(His_Operacoes_acoes[Total],His_Operacoes_acoes[Fimmes],Patrimônio!B592,His_Operacoes_acoes[Operação],"Bonif.")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60358</v>
      </c>
      <c r="B593" s="7">
        <f t="shared" si="39"/>
        <v>60357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SUMIFS(His_Operacoes_acoes[Total],His_Operacoes_acoes[Fimmes],Patrimônio!B593,His_Operacoes_acoes[Operação],"JCP")
+ SUMIFS(His_Operacoes_acoes[Total],His_Operacoes_acoes[Fimmes],Patrimônio!B593,His_Operacoes_acoes[Operação],"Divid.")
+ SUMIFS(His_Operacoes_acoes[Total],His_Operacoes_acoes[Fimmes],Patrimônio!B593,His_Operacoes_acoes[Operação],"Bonif.")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60388</v>
      </c>
      <c r="B594" s="7">
        <f t="shared" si="39"/>
        <v>60387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SUMIFS(His_Operacoes_acoes[Total],His_Operacoes_acoes[Fimmes],Patrimônio!B594,His_Operacoes_acoes[Operação],"JCP")
+ SUMIFS(His_Operacoes_acoes[Total],His_Operacoes_acoes[Fimmes],Patrimônio!B594,His_Operacoes_acoes[Operação],"Divid.")
+ SUMIFS(His_Operacoes_acoes[Total],His_Operacoes_acoes[Fimmes],Patrimônio!B594,His_Operacoes_acoes[Operação],"Bonif.")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60419</v>
      </c>
      <c r="B595" s="7">
        <f t="shared" si="39"/>
        <v>60418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SUMIFS(His_Operacoes_acoes[Total],His_Operacoes_acoes[Fimmes],Patrimônio!B595,His_Operacoes_acoes[Operação],"JCP")
+ SUMIFS(His_Operacoes_acoes[Total],His_Operacoes_acoes[Fimmes],Patrimônio!B595,His_Operacoes_acoes[Operação],"Divid.")
+ SUMIFS(His_Operacoes_acoes[Total],His_Operacoes_acoes[Fimmes],Patrimônio!B595,His_Operacoes_acoes[Operação],"Bonif.")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60449</v>
      </c>
      <c r="B596" s="7">
        <f t="shared" si="39"/>
        <v>60448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SUMIFS(His_Operacoes_acoes[Total],His_Operacoes_acoes[Fimmes],Patrimônio!B596,His_Operacoes_acoes[Operação],"JCP")
+ SUMIFS(His_Operacoes_acoes[Total],His_Operacoes_acoes[Fimmes],Patrimônio!B596,His_Operacoes_acoes[Operação],"Divid.")
+ SUMIFS(His_Operacoes_acoes[Total],His_Operacoes_acoes[Fimmes],Patrimônio!B596,His_Operacoes_acoes[Operação],"Bonif.")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60480</v>
      </c>
      <c r="B597" s="7">
        <f t="shared" si="39"/>
        <v>60479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SUMIFS(His_Operacoes_acoes[Total],His_Operacoes_acoes[Fimmes],Patrimônio!B597,His_Operacoes_acoes[Operação],"JCP")
+ SUMIFS(His_Operacoes_acoes[Total],His_Operacoes_acoes[Fimmes],Patrimônio!B597,His_Operacoes_acoes[Operação],"Divid.")
+ SUMIFS(His_Operacoes_acoes[Total],His_Operacoes_acoes[Fimmes],Patrimônio!B597,His_Operacoes_acoes[Operação],"Bonif.")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60511</v>
      </c>
      <c r="B598" s="7">
        <f t="shared" si="39"/>
        <v>60510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SUMIFS(His_Operacoes_acoes[Total],His_Operacoes_acoes[Fimmes],Patrimônio!B598,His_Operacoes_acoes[Operação],"JCP")
+ SUMIFS(His_Operacoes_acoes[Total],His_Operacoes_acoes[Fimmes],Patrimônio!B598,His_Operacoes_acoes[Operação],"Divid.")
+ SUMIFS(His_Operacoes_acoes[Total],His_Operacoes_acoes[Fimmes],Patrimônio!B598,His_Operacoes_acoes[Operação],"Bonif.")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60541</v>
      </c>
      <c r="B599" s="7">
        <f t="shared" si="39"/>
        <v>60540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SUMIFS(His_Operacoes_acoes[Total],His_Operacoes_acoes[Fimmes],Patrimônio!B599,His_Operacoes_acoes[Operação],"JCP")
+ SUMIFS(His_Operacoes_acoes[Total],His_Operacoes_acoes[Fimmes],Patrimônio!B599,His_Operacoes_acoes[Operação],"Divid.")
+ SUMIFS(His_Operacoes_acoes[Total],His_Operacoes_acoes[Fimmes],Patrimônio!B599,His_Operacoes_acoes[Operação],"Bonif.")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60572</v>
      </c>
      <c r="B600" s="7">
        <f t="shared" si="39"/>
        <v>60571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SUMIFS(His_Operacoes_acoes[Total],His_Operacoes_acoes[Fimmes],Patrimônio!B600,His_Operacoes_acoes[Operação],"JCP")
+ SUMIFS(His_Operacoes_acoes[Total],His_Operacoes_acoes[Fimmes],Patrimônio!B600,His_Operacoes_acoes[Operação],"Divid.")
+ SUMIFS(His_Operacoes_acoes[Total],His_Operacoes_acoes[Fimmes],Patrimônio!B600,His_Operacoes_acoes[Operação],"Bonif.")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60602</v>
      </c>
      <c r="B601" s="7">
        <f t="shared" si="39"/>
        <v>60601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SUMIFS(His_Operacoes_acoes[Total],His_Operacoes_acoes[Fimmes],Patrimônio!B601,His_Operacoes_acoes[Operação],"JCP")
+ SUMIFS(His_Operacoes_acoes[Total],His_Operacoes_acoes[Fimmes],Patrimônio!B601,His_Operacoes_acoes[Operação],"Divid.")
+ SUMIFS(His_Operacoes_acoes[Total],His_Operacoes_acoes[Fimmes],Patrimônio!B601,His_Operacoes_acoes[Operação],"Bonif.")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60633</v>
      </c>
      <c r="B602" s="7">
        <f t="shared" si="39"/>
        <v>60632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SUMIFS(His_Operacoes_acoes[Total],His_Operacoes_acoes[Fimmes],Patrimônio!B602,His_Operacoes_acoes[Operação],"JCP")
+ SUMIFS(His_Operacoes_acoes[Total],His_Operacoes_acoes[Fimmes],Patrimônio!B602,His_Operacoes_acoes[Operação],"Divid.")
+ SUMIFS(His_Operacoes_acoes[Total],His_Operacoes_acoes[Fimmes],Patrimônio!B602,His_Operacoes_acoes[Operação],"Bonif.")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60664</v>
      </c>
      <c r="B603" s="7">
        <f t="shared" si="39"/>
        <v>60663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SUMIFS(His_Operacoes_acoes[Total],His_Operacoes_acoes[Fimmes],Patrimônio!B603,His_Operacoes_acoes[Operação],"JCP")
+ SUMIFS(His_Operacoes_acoes[Total],His_Operacoes_acoes[Fimmes],Patrimônio!B603,His_Operacoes_acoes[Operação],"Divid.")
+ SUMIFS(His_Operacoes_acoes[Total],His_Operacoes_acoes[Fimmes],Patrimônio!B603,His_Operacoes_acoes[Operação],"Bonif.")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60692</v>
      </c>
      <c r="B604" s="7">
        <f t="shared" si="39"/>
        <v>60691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SUMIFS(His_Operacoes_acoes[Total],His_Operacoes_acoes[Fimmes],Patrimônio!B604,His_Operacoes_acoes[Operação],"JCP")
+ SUMIFS(His_Operacoes_acoes[Total],His_Operacoes_acoes[Fimmes],Patrimônio!B604,His_Operacoes_acoes[Operação],"Divid.")
+ SUMIFS(His_Operacoes_acoes[Total],His_Operacoes_acoes[Fimmes],Patrimônio!B604,His_Operacoes_acoes[Operação],"Bonif.")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60723</v>
      </c>
      <c r="B605" s="7">
        <f t="shared" si="39"/>
        <v>60722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SUMIFS(His_Operacoes_acoes[Total],His_Operacoes_acoes[Fimmes],Patrimônio!B605,His_Operacoes_acoes[Operação],"JCP")
+ SUMIFS(His_Operacoes_acoes[Total],His_Operacoes_acoes[Fimmes],Patrimônio!B605,His_Operacoes_acoes[Operação],"Divid.")
+ SUMIFS(His_Operacoes_acoes[Total],His_Operacoes_acoes[Fimmes],Patrimônio!B605,His_Operacoes_acoes[Operação],"Bonif.")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60753</v>
      </c>
      <c r="B606" s="7">
        <f t="shared" si="39"/>
        <v>60752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SUMIFS(His_Operacoes_acoes[Total],His_Operacoes_acoes[Fimmes],Patrimônio!B606,His_Operacoes_acoes[Operação],"JCP")
+ SUMIFS(His_Operacoes_acoes[Total],His_Operacoes_acoes[Fimmes],Patrimônio!B606,His_Operacoes_acoes[Operação],"Divid.")
+ SUMIFS(His_Operacoes_acoes[Total],His_Operacoes_acoes[Fimmes],Patrimônio!B606,His_Operacoes_acoes[Operação],"Bonif.")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60784</v>
      </c>
      <c r="B607" s="7">
        <f t="shared" si="39"/>
        <v>60783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SUMIFS(His_Operacoes_acoes[Total],His_Operacoes_acoes[Fimmes],Patrimônio!B607,His_Operacoes_acoes[Operação],"JCP")
+ SUMIFS(His_Operacoes_acoes[Total],His_Operacoes_acoes[Fimmes],Patrimônio!B607,His_Operacoes_acoes[Operação],"Divid.")
+ SUMIFS(His_Operacoes_acoes[Total],His_Operacoes_acoes[Fimmes],Patrimônio!B607,His_Operacoes_acoes[Operação],"Bonif.")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60814</v>
      </c>
      <c r="B608" s="7">
        <f t="shared" si="39"/>
        <v>60813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SUMIFS(His_Operacoes_acoes[Total],His_Operacoes_acoes[Fimmes],Patrimônio!B608,His_Operacoes_acoes[Operação],"JCP")
+ SUMIFS(His_Operacoes_acoes[Total],His_Operacoes_acoes[Fimmes],Patrimônio!B608,His_Operacoes_acoes[Operação],"Divid.")
+ SUMIFS(His_Operacoes_acoes[Total],His_Operacoes_acoes[Fimmes],Patrimônio!B608,His_Operacoes_acoes[Operação],"Bonif.")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60845</v>
      </c>
      <c r="B609" s="7">
        <f t="shared" si="39"/>
        <v>60844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SUMIFS(His_Operacoes_acoes[Total],His_Operacoes_acoes[Fimmes],Patrimônio!B609,His_Operacoes_acoes[Operação],"JCP")
+ SUMIFS(His_Operacoes_acoes[Total],His_Operacoes_acoes[Fimmes],Patrimônio!B609,His_Operacoes_acoes[Operação],"Divid.")
+ SUMIFS(His_Operacoes_acoes[Total],His_Operacoes_acoes[Fimmes],Patrimônio!B609,His_Operacoes_acoes[Operação],"Bonif.")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60876</v>
      </c>
      <c r="B610" s="7">
        <f t="shared" si="39"/>
        <v>60875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SUMIFS(His_Operacoes_acoes[Total],His_Operacoes_acoes[Fimmes],Patrimônio!B610,His_Operacoes_acoes[Operação],"JCP")
+ SUMIFS(His_Operacoes_acoes[Total],His_Operacoes_acoes[Fimmes],Patrimônio!B610,His_Operacoes_acoes[Operação],"Divid.")
+ SUMIFS(His_Operacoes_acoes[Total],His_Operacoes_acoes[Fimmes],Patrimônio!B610,His_Operacoes_acoes[Operação],"Bonif.")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60906</v>
      </c>
      <c r="B611" s="7">
        <f t="shared" si="39"/>
        <v>60905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SUMIFS(His_Operacoes_acoes[Total],His_Operacoes_acoes[Fimmes],Patrimônio!B611,His_Operacoes_acoes[Operação],"JCP")
+ SUMIFS(His_Operacoes_acoes[Total],His_Operacoes_acoes[Fimmes],Patrimônio!B611,His_Operacoes_acoes[Operação],"Divid.")
+ SUMIFS(His_Operacoes_acoes[Total],His_Operacoes_acoes[Fimmes],Patrimônio!B611,His_Operacoes_acoes[Operação],"Bonif.")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60937</v>
      </c>
      <c r="B612" s="7">
        <f t="shared" si="39"/>
        <v>60936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SUMIFS(His_Operacoes_acoes[Total],His_Operacoes_acoes[Fimmes],Patrimônio!B612,His_Operacoes_acoes[Operação],"JCP")
+ SUMIFS(His_Operacoes_acoes[Total],His_Operacoes_acoes[Fimmes],Patrimônio!B612,His_Operacoes_acoes[Operação],"Divid.")
+ SUMIFS(His_Operacoes_acoes[Total],His_Operacoes_acoes[Fimmes],Patrimônio!B612,His_Operacoes_acoes[Operação],"Bonif.")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60967</v>
      </c>
      <c r="B613" s="7">
        <f t="shared" si="39"/>
        <v>60966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SUMIFS(His_Operacoes_acoes[Total],His_Operacoes_acoes[Fimmes],Patrimônio!B613,His_Operacoes_acoes[Operação],"JCP")
+ SUMIFS(His_Operacoes_acoes[Total],His_Operacoes_acoes[Fimmes],Patrimônio!B613,His_Operacoes_acoes[Operação],"Divid.")
+ SUMIFS(His_Operacoes_acoes[Total],His_Operacoes_acoes[Fimmes],Patrimônio!B613,His_Operacoes_acoes[Operação],"Bonif.")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60998</v>
      </c>
      <c r="B614" s="7">
        <f t="shared" si="39"/>
        <v>60997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SUMIFS(His_Operacoes_acoes[Total],His_Operacoes_acoes[Fimmes],Patrimônio!B614,His_Operacoes_acoes[Operação],"JCP")
+ SUMIFS(His_Operacoes_acoes[Total],His_Operacoes_acoes[Fimmes],Patrimônio!B614,His_Operacoes_acoes[Operação],"Divid.")
+ SUMIFS(His_Operacoes_acoes[Total],His_Operacoes_acoes[Fimmes],Patrimônio!B614,His_Operacoes_acoes[Operação],"Bonif.")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61029</v>
      </c>
      <c r="B615" s="7">
        <f t="shared" si="39"/>
        <v>61028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SUMIFS(His_Operacoes_acoes[Total],His_Operacoes_acoes[Fimmes],Patrimônio!B615,His_Operacoes_acoes[Operação],"JCP")
+ SUMIFS(His_Operacoes_acoes[Total],His_Operacoes_acoes[Fimmes],Patrimônio!B615,His_Operacoes_acoes[Operação],"Divid.")
+ SUMIFS(His_Operacoes_acoes[Total],His_Operacoes_acoes[Fimmes],Patrimônio!B615,His_Operacoes_acoes[Operação],"Bonif.")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61057</v>
      </c>
      <c r="B616" s="7">
        <f t="shared" si="39"/>
        <v>61056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SUMIFS(His_Operacoes_acoes[Total],His_Operacoes_acoes[Fimmes],Patrimônio!B616,His_Operacoes_acoes[Operação],"JCP")
+ SUMIFS(His_Operacoes_acoes[Total],His_Operacoes_acoes[Fimmes],Patrimônio!B616,His_Operacoes_acoes[Operação],"Divid.")
+ SUMIFS(His_Operacoes_acoes[Total],His_Operacoes_acoes[Fimmes],Patrimônio!B616,His_Operacoes_acoes[Operação],"Bonif.")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61088</v>
      </c>
      <c r="B617" s="7">
        <f t="shared" si="39"/>
        <v>61087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SUMIFS(His_Operacoes_acoes[Total],His_Operacoes_acoes[Fimmes],Patrimônio!B617,His_Operacoes_acoes[Operação],"JCP")
+ SUMIFS(His_Operacoes_acoes[Total],His_Operacoes_acoes[Fimmes],Patrimônio!B617,His_Operacoes_acoes[Operação],"Divid.")
+ SUMIFS(His_Operacoes_acoes[Total],His_Operacoes_acoes[Fimmes],Patrimônio!B617,His_Operacoes_acoes[Operação],"Bonif.")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61118</v>
      </c>
      <c r="B618" s="7">
        <f t="shared" si="39"/>
        <v>61117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SUMIFS(His_Operacoes_acoes[Total],His_Operacoes_acoes[Fimmes],Patrimônio!B618,His_Operacoes_acoes[Operação],"JCP")
+ SUMIFS(His_Operacoes_acoes[Total],His_Operacoes_acoes[Fimmes],Patrimônio!B618,His_Operacoes_acoes[Operação],"Divid.")
+ SUMIFS(His_Operacoes_acoes[Total],His_Operacoes_acoes[Fimmes],Patrimônio!B618,His_Operacoes_acoes[Operação],"Bonif.")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61149</v>
      </c>
      <c r="B619" s="7">
        <f t="shared" si="39"/>
        <v>61148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SUMIFS(His_Operacoes_acoes[Total],His_Operacoes_acoes[Fimmes],Patrimônio!B619,His_Operacoes_acoes[Operação],"JCP")
+ SUMIFS(His_Operacoes_acoes[Total],His_Operacoes_acoes[Fimmes],Patrimônio!B619,His_Operacoes_acoes[Operação],"Divid.")
+ SUMIFS(His_Operacoes_acoes[Total],His_Operacoes_acoes[Fimmes],Patrimônio!B619,His_Operacoes_acoes[Operação],"Bonif.")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61179</v>
      </c>
      <c r="B620" s="7">
        <f t="shared" si="39"/>
        <v>61178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SUMIFS(His_Operacoes_acoes[Total],His_Operacoes_acoes[Fimmes],Patrimônio!B620,His_Operacoes_acoes[Operação],"JCP")
+ SUMIFS(His_Operacoes_acoes[Total],His_Operacoes_acoes[Fimmes],Patrimônio!B620,His_Operacoes_acoes[Operação],"Divid.")
+ SUMIFS(His_Operacoes_acoes[Total],His_Operacoes_acoes[Fimmes],Patrimônio!B620,His_Operacoes_acoes[Operação],"Bonif.")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61210</v>
      </c>
      <c r="B621" s="7">
        <f t="shared" si="39"/>
        <v>61209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SUMIFS(His_Operacoes_acoes[Total],His_Operacoes_acoes[Fimmes],Patrimônio!B621,His_Operacoes_acoes[Operação],"JCP")
+ SUMIFS(His_Operacoes_acoes[Total],His_Operacoes_acoes[Fimmes],Patrimônio!B621,His_Operacoes_acoes[Operação],"Divid.")
+ SUMIFS(His_Operacoes_acoes[Total],His_Operacoes_acoes[Fimmes],Patrimônio!B621,His_Operacoes_acoes[Operação],"Bonif.")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61241</v>
      </c>
      <c r="B622" s="7">
        <f t="shared" si="39"/>
        <v>61240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SUMIFS(His_Operacoes_acoes[Total],His_Operacoes_acoes[Fimmes],Patrimônio!B622,His_Operacoes_acoes[Operação],"JCP")
+ SUMIFS(His_Operacoes_acoes[Total],His_Operacoes_acoes[Fimmes],Patrimônio!B622,His_Operacoes_acoes[Operação],"Divid.")
+ SUMIFS(His_Operacoes_acoes[Total],His_Operacoes_acoes[Fimmes],Patrimônio!B622,His_Operacoes_acoes[Operação],"Bonif.")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61271</v>
      </c>
      <c r="B623" s="7">
        <f t="shared" si="39"/>
        <v>61270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SUMIFS(His_Operacoes_acoes[Total],His_Operacoes_acoes[Fimmes],Patrimônio!B623,His_Operacoes_acoes[Operação],"JCP")
+ SUMIFS(His_Operacoes_acoes[Total],His_Operacoes_acoes[Fimmes],Patrimônio!B623,His_Operacoes_acoes[Operação],"Divid.")
+ SUMIFS(His_Operacoes_acoes[Total],His_Operacoes_acoes[Fimmes],Patrimônio!B623,His_Operacoes_acoes[Operação],"Bonif.")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61302</v>
      </c>
      <c r="B624" s="7">
        <f t="shared" si="39"/>
        <v>61301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SUMIFS(His_Operacoes_acoes[Total],His_Operacoes_acoes[Fimmes],Patrimônio!B624,His_Operacoes_acoes[Operação],"JCP")
+ SUMIFS(His_Operacoes_acoes[Total],His_Operacoes_acoes[Fimmes],Patrimônio!B624,His_Operacoes_acoes[Operação],"Divid.")
+ SUMIFS(His_Operacoes_acoes[Total],His_Operacoes_acoes[Fimmes],Patrimônio!B624,His_Operacoes_acoes[Operação],"Bonif.")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61332</v>
      </c>
      <c r="B625" s="7">
        <f t="shared" si="39"/>
        <v>61331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SUMIFS(His_Operacoes_acoes[Total],His_Operacoes_acoes[Fimmes],Patrimônio!B625,His_Operacoes_acoes[Operação],"JCP")
+ SUMIFS(His_Operacoes_acoes[Total],His_Operacoes_acoes[Fimmes],Patrimônio!B625,His_Operacoes_acoes[Operação],"Divid.")
+ SUMIFS(His_Operacoes_acoes[Total],His_Operacoes_acoes[Fimmes],Patrimônio!B625,His_Operacoes_acoes[Operação],"Bonif.")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61363</v>
      </c>
      <c r="B626" s="7">
        <f t="shared" si="39"/>
        <v>61362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SUMIFS(His_Operacoes_acoes[Total],His_Operacoes_acoes[Fimmes],Patrimônio!B626,His_Operacoes_acoes[Operação],"JCP")
+ SUMIFS(His_Operacoes_acoes[Total],His_Operacoes_acoes[Fimmes],Patrimônio!B626,His_Operacoes_acoes[Operação],"Divid.")
+ SUMIFS(His_Operacoes_acoes[Total],His_Operacoes_acoes[Fimmes],Patrimônio!B626,His_Operacoes_acoes[Operação],"Bonif.")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61394</v>
      </c>
      <c r="B627" s="7">
        <f t="shared" si="39"/>
        <v>61393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SUMIFS(His_Operacoes_acoes[Total],His_Operacoes_acoes[Fimmes],Patrimônio!B627,His_Operacoes_acoes[Operação],"JCP")
+ SUMIFS(His_Operacoes_acoes[Total],His_Operacoes_acoes[Fimmes],Patrimônio!B627,His_Operacoes_acoes[Operação],"Divid.")
+ SUMIFS(His_Operacoes_acoes[Total],His_Operacoes_acoes[Fimmes],Patrimônio!B627,His_Operacoes_acoes[Operação],"Bonif.")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61423</v>
      </c>
      <c r="B628" s="7">
        <f t="shared" si="39"/>
        <v>61422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SUMIFS(His_Operacoes_acoes[Total],His_Operacoes_acoes[Fimmes],Patrimônio!B628,His_Operacoes_acoes[Operação],"JCP")
+ SUMIFS(His_Operacoes_acoes[Total],His_Operacoes_acoes[Fimmes],Patrimônio!B628,His_Operacoes_acoes[Operação],"Divid.")
+ SUMIFS(His_Operacoes_acoes[Total],His_Operacoes_acoes[Fimmes],Patrimônio!B628,His_Operacoes_acoes[Operação],"Bonif.")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61454</v>
      </c>
      <c r="B629" s="7">
        <f t="shared" si="39"/>
        <v>61453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SUMIFS(His_Operacoes_acoes[Total],His_Operacoes_acoes[Fimmes],Patrimônio!B629,His_Operacoes_acoes[Operação],"JCP")
+ SUMIFS(His_Operacoes_acoes[Total],His_Operacoes_acoes[Fimmes],Patrimônio!B629,His_Operacoes_acoes[Operação],"Divid.")
+ SUMIFS(His_Operacoes_acoes[Total],His_Operacoes_acoes[Fimmes],Patrimônio!B629,His_Operacoes_acoes[Operação],"Bonif.")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61484</v>
      </c>
      <c r="B630" s="7">
        <f t="shared" si="39"/>
        <v>61483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SUMIFS(His_Operacoes_acoes[Total],His_Operacoes_acoes[Fimmes],Patrimônio!B630,His_Operacoes_acoes[Operação],"JCP")
+ SUMIFS(His_Operacoes_acoes[Total],His_Operacoes_acoes[Fimmes],Patrimônio!B630,His_Operacoes_acoes[Operação],"Divid.")
+ SUMIFS(His_Operacoes_acoes[Total],His_Operacoes_acoes[Fimmes],Patrimônio!B630,His_Operacoes_acoes[Operação],"Bonif.")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61515</v>
      </c>
      <c r="B631" s="7">
        <f t="shared" si="39"/>
        <v>61514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SUMIFS(His_Operacoes_acoes[Total],His_Operacoes_acoes[Fimmes],Patrimônio!B631,His_Operacoes_acoes[Operação],"JCP")
+ SUMIFS(His_Operacoes_acoes[Total],His_Operacoes_acoes[Fimmes],Patrimônio!B631,His_Operacoes_acoes[Operação],"Divid.")
+ SUMIFS(His_Operacoes_acoes[Total],His_Operacoes_acoes[Fimmes],Patrimônio!B631,His_Operacoes_acoes[Operação],"Bonif.")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61545</v>
      </c>
      <c r="B632" s="7">
        <f t="shared" si="39"/>
        <v>61544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SUMIFS(His_Operacoes_acoes[Total],His_Operacoes_acoes[Fimmes],Patrimônio!B632,His_Operacoes_acoes[Operação],"JCP")
+ SUMIFS(His_Operacoes_acoes[Total],His_Operacoes_acoes[Fimmes],Patrimônio!B632,His_Operacoes_acoes[Operação],"Divid.")
+ SUMIFS(His_Operacoes_acoes[Total],His_Operacoes_acoes[Fimmes],Patrimônio!B632,His_Operacoes_acoes[Operação],"Bonif.")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61576</v>
      </c>
      <c r="B633" s="7">
        <f t="shared" si="39"/>
        <v>61575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SUMIFS(His_Operacoes_acoes[Total],His_Operacoes_acoes[Fimmes],Patrimônio!B633,His_Operacoes_acoes[Operação],"JCP")
+ SUMIFS(His_Operacoes_acoes[Total],His_Operacoes_acoes[Fimmes],Patrimônio!B633,His_Operacoes_acoes[Operação],"Divid.")
+ SUMIFS(His_Operacoes_acoes[Total],His_Operacoes_acoes[Fimmes],Patrimônio!B633,His_Operacoes_acoes[Operação],"Bonif.")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61607</v>
      </c>
      <c r="B634" s="7">
        <f t="shared" si="39"/>
        <v>61606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SUMIFS(His_Operacoes_acoes[Total],His_Operacoes_acoes[Fimmes],Patrimônio!B634,His_Operacoes_acoes[Operação],"JCP")
+ SUMIFS(His_Operacoes_acoes[Total],His_Operacoes_acoes[Fimmes],Patrimônio!B634,His_Operacoes_acoes[Operação],"Divid.")
+ SUMIFS(His_Operacoes_acoes[Total],His_Operacoes_acoes[Fimmes],Patrimônio!B634,His_Operacoes_acoes[Operação],"Bonif.")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61637</v>
      </c>
      <c r="B635" s="7">
        <f t="shared" si="39"/>
        <v>61636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SUMIFS(His_Operacoes_acoes[Total],His_Operacoes_acoes[Fimmes],Patrimônio!B635,His_Operacoes_acoes[Operação],"JCP")
+ SUMIFS(His_Operacoes_acoes[Total],His_Operacoes_acoes[Fimmes],Patrimônio!B635,His_Operacoes_acoes[Operação],"Divid.")
+ SUMIFS(His_Operacoes_acoes[Total],His_Operacoes_acoes[Fimmes],Patrimônio!B635,His_Operacoes_acoes[Operação],"Bonif.")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61668</v>
      </c>
      <c r="B636" s="7">
        <f t="shared" si="39"/>
        <v>61667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SUMIFS(His_Operacoes_acoes[Total],His_Operacoes_acoes[Fimmes],Patrimônio!B636,His_Operacoes_acoes[Operação],"JCP")
+ SUMIFS(His_Operacoes_acoes[Total],His_Operacoes_acoes[Fimmes],Patrimônio!B636,His_Operacoes_acoes[Operação],"Divid.")
+ SUMIFS(His_Operacoes_acoes[Total],His_Operacoes_acoes[Fimmes],Patrimônio!B636,His_Operacoes_acoes[Operação],"Bonif.")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61698</v>
      </c>
      <c r="B637" s="7">
        <f t="shared" si="39"/>
        <v>61697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SUMIFS(His_Operacoes_acoes[Total],His_Operacoes_acoes[Fimmes],Patrimônio!B637,His_Operacoes_acoes[Operação],"JCP")
+ SUMIFS(His_Operacoes_acoes[Total],His_Operacoes_acoes[Fimmes],Patrimônio!B637,His_Operacoes_acoes[Operação],"Divid.")
+ SUMIFS(His_Operacoes_acoes[Total],His_Operacoes_acoes[Fimmes],Patrimônio!B637,His_Operacoes_acoes[Operação],"Bonif.")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61729</v>
      </c>
      <c r="B638" s="7">
        <f t="shared" si="39"/>
        <v>61728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SUMIFS(His_Operacoes_acoes[Total],His_Operacoes_acoes[Fimmes],Patrimônio!B638,His_Operacoes_acoes[Operação],"JCP")
+ SUMIFS(His_Operacoes_acoes[Total],His_Operacoes_acoes[Fimmes],Patrimônio!B638,His_Operacoes_acoes[Operação],"Divid.")
+ SUMIFS(His_Operacoes_acoes[Total],His_Operacoes_acoes[Fimmes],Patrimônio!B638,His_Operacoes_acoes[Operação],"Bonif.")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61760</v>
      </c>
      <c r="B639" s="7">
        <f t="shared" si="39"/>
        <v>61759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SUMIFS(His_Operacoes_acoes[Total],His_Operacoes_acoes[Fimmes],Patrimônio!B639,His_Operacoes_acoes[Operação],"JCP")
+ SUMIFS(His_Operacoes_acoes[Total],His_Operacoes_acoes[Fimmes],Patrimônio!B639,His_Operacoes_acoes[Operação],"Divid.")
+ SUMIFS(His_Operacoes_acoes[Total],His_Operacoes_acoes[Fimmes],Patrimônio!B639,His_Operacoes_acoes[Operação],"Bonif.")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61788</v>
      </c>
      <c r="B640" s="7">
        <f t="shared" si="39"/>
        <v>61787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SUMIFS(His_Operacoes_acoes[Total],His_Operacoes_acoes[Fimmes],Patrimônio!B640,His_Operacoes_acoes[Operação],"JCP")
+ SUMIFS(His_Operacoes_acoes[Total],His_Operacoes_acoes[Fimmes],Patrimônio!B640,His_Operacoes_acoes[Operação],"Divid.")
+ SUMIFS(His_Operacoes_acoes[Total],His_Operacoes_acoes[Fimmes],Patrimônio!B640,His_Operacoes_acoes[Operação],"Bonif.")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61819</v>
      </c>
      <c r="B641" s="7">
        <f t="shared" si="39"/>
        <v>61818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SUMIFS(His_Operacoes_acoes[Total],His_Operacoes_acoes[Fimmes],Patrimônio!B641,His_Operacoes_acoes[Operação],"JCP")
+ SUMIFS(His_Operacoes_acoes[Total],His_Operacoes_acoes[Fimmes],Patrimônio!B641,His_Operacoes_acoes[Operação],"Divid.")
+ SUMIFS(His_Operacoes_acoes[Total],His_Operacoes_acoes[Fimmes],Patrimônio!B641,His_Operacoes_acoes[Operação],"Bonif.")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61849</v>
      </c>
      <c r="B642" s="7">
        <f t="shared" si="39"/>
        <v>61848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SUMIFS(His_Operacoes_acoes[Total],His_Operacoes_acoes[Fimmes],Patrimônio!B642,His_Operacoes_acoes[Operação],"JCP")
+ SUMIFS(His_Operacoes_acoes[Total],His_Operacoes_acoes[Fimmes],Patrimônio!B642,His_Operacoes_acoes[Operação],"Divid.")
+ SUMIFS(His_Operacoes_acoes[Total],His_Operacoes_acoes[Fimmes],Patrimônio!B642,His_Operacoes_acoes[Operação],"Bonif.")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61880</v>
      </c>
      <c r="B643" s="7">
        <f t="shared" ref="B643:B706" si="43">EOMONTH(A643,-1)</f>
        <v>61879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SUMIFS(His_Operacoes_acoes[Total],His_Operacoes_acoes[Fimmes],Patrimônio!B643,His_Operacoes_acoes[Operação],"JCP")
+ SUMIFS(His_Operacoes_acoes[Total],His_Operacoes_acoes[Fimmes],Patrimônio!B643,His_Operacoes_acoes[Operação],"Divid.")
+ SUMIFS(His_Operacoes_acoes[Total],His_Operacoes_acoes[Fimmes],Patrimônio!B643,His_Operacoes_acoes[Operação],"Bonif.")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61910</v>
      </c>
      <c r="B644" s="7">
        <f t="shared" si="43"/>
        <v>61909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SUMIFS(His_Operacoes_acoes[Total],His_Operacoes_acoes[Fimmes],Patrimônio!B644,His_Operacoes_acoes[Operação],"JCP")
+ SUMIFS(His_Operacoes_acoes[Total],His_Operacoes_acoes[Fimmes],Patrimônio!B644,His_Operacoes_acoes[Operação],"Divid.")
+ SUMIFS(His_Operacoes_acoes[Total],His_Operacoes_acoes[Fimmes],Patrimônio!B644,His_Operacoes_acoes[Operação],"Bonif.")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61941</v>
      </c>
      <c r="B645" s="7">
        <f t="shared" si="43"/>
        <v>61940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SUMIFS(His_Operacoes_acoes[Total],His_Operacoes_acoes[Fimmes],Patrimônio!B645,His_Operacoes_acoes[Operação],"JCP")
+ SUMIFS(His_Operacoes_acoes[Total],His_Operacoes_acoes[Fimmes],Patrimônio!B645,His_Operacoes_acoes[Operação],"Divid.")
+ SUMIFS(His_Operacoes_acoes[Total],His_Operacoes_acoes[Fimmes],Patrimônio!B645,His_Operacoes_acoes[Operação],"Bonif.")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61972</v>
      </c>
      <c r="B646" s="7">
        <f t="shared" si="43"/>
        <v>61971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SUMIFS(His_Operacoes_acoes[Total],His_Operacoes_acoes[Fimmes],Patrimônio!B646,His_Operacoes_acoes[Operação],"JCP")
+ SUMIFS(His_Operacoes_acoes[Total],His_Operacoes_acoes[Fimmes],Patrimônio!B646,His_Operacoes_acoes[Operação],"Divid.")
+ SUMIFS(His_Operacoes_acoes[Total],His_Operacoes_acoes[Fimmes],Patrimônio!B646,His_Operacoes_acoes[Operação],"Bonif.")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62002</v>
      </c>
      <c r="B647" s="7">
        <f t="shared" si="43"/>
        <v>62001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SUMIFS(His_Operacoes_acoes[Total],His_Operacoes_acoes[Fimmes],Patrimônio!B647,His_Operacoes_acoes[Operação],"JCP")
+ SUMIFS(His_Operacoes_acoes[Total],His_Operacoes_acoes[Fimmes],Patrimônio!B647,His_Operacoes_acoes[Operação],"Divid.")
+ SUMIFS(His_Operacoes_acoes[Total],His_Operacoes_acoes[Fimmes],Patrimônio!B647,His_Operacoes_acoes[Operação],"Bonif.")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62033</v>
      </c>
      <c r="B648" s="7">
        <f t="shared" si="43"/>
        <v>62032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SUMIFS(His_Operacoes_acoes[Total],His_Operacoes_acoes[Fimmes],Patrimônio!B648,His_Operacoes_acoes[Operação],"JCP")
+ SUMIFS(His_Operacoes_acoes[Total],His_Operacoes_acoes[Fimmes],Patrimônio!B648,His_Operacoes_acoes[Operação],"Divid.")
+ SUMIFS(His_Operacoes_acoes[Total],His_Operacoes_acoes[Fimmes],Patrimônio!B648,His_Operacoes_acoes[Operação],"Bonif.")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62063</v>
      </c>
      <c r="B649" s="7">
        <f t="shared" si="43"/>
        <v>62062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SUMIFS(His_Operacoes_acoes[Total],His_Operacoes_acoes[Fimmes],Patrimônio!B649,His_Operacoes_acoes[Operação],"JCP")
+ SUMIFS(His_Operacoes_acoes[Total],His_Operacoes_acoes[Fimmes],Patrimônio!B649,His_Operacoes_acoes[Operação],"Divid.")
+ SUMIFS(His_Operacoes_acoes[Total],His_Operacoes_acoes[Fimmes],Patrimônio!B649,His_Operacoes_acoes[Operação],"Bonif.")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62094</v>
      </c>
      <c r="B650" s="7">
        <f t="shared" si="43"/>
        <v>62093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SUMIFS(His_Operacoes_acoes[Total],His_Operacoes_acoes[Fimmes],Patrimônio!B650,His_Operacoes_acoes[Operação],"JCP")
+ SUMIFS(His_Operacoes_acoes[Total],His_Operacoes_acoes[Fimmes],Patrimônio!B650,His_Operacoes_acoes[Operação],"Divid.")
+ SUMIFS(His_Operacoes_acoes[Total],His_Operacoes_acoes[Fimmes],Patrimônio!B650,His_Operacoes_acoes[Operação],"Bonif.")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62125</v>
      </c>
      <c r="B651" s="7">
        <f t="shared" si="43"/>
        <v>62124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SUMIFS(His_Operacoes_acoes[Total],His_Operacoes_acoes[Fimmes],Patrimônio!B651,His_Operacoes_acoes[Operação],"JCP")
+ SUMIFS(His_Operacoes_acoes[Total],His_Operacoes_acoes[Fimmes],Patrimônio!B651,His_Operacoes_acoes[Operação],"Divid.")
+ SUMIFS(His_Operacoes_acoes[Total],His_Operacoes_acoes[Fimmes],Patrimônio!B651,His_Operacoes_acoes[Operação],"Bonif.")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62153</v>
      </c>
      <c r="B652" s="7">
        <f t="shared" si="43"/>
        <v>62152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SUMIFS(His_Operacoes_acoes[Total],His_Operacoes_acoes[Fimmes],Patrimônio!B652,His_Operacoes_acoes[Operação],"JCP")
+ SUMIFS(His_Operacoes_acoes[Total],His_Operacoes_acoes[Fimmes],Patrimônio!B652,His_Operacoes_acoes[Operação],"Divid.")
+ SUMIFS(His_Operacoes_acoes[Total],His_Operacoes_acoes[Fimmes],Patrimônio!B652,His_Operacoes_acoes[Operação],"Bonif.")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62184</v>
      </c>
      <c r="B653" s="7">
        <f t="shared" si="43"/>
        <v>62183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SUMIFS(His_Operacoes_acoes[Total],His_Operacoes_acoes[Fimmes],Patrimônio!B653,His_Operacoes_acoes[Operação],"JCP")
+ SUMIFS(His_Operacoes_acoes[Total],His_Operacoes_acoes[Fimmes],Patrimônio!B653,His_Operacoes_acoes[Operação],"Divid.")
+ SUMIFS(His_Operacoes_acoes[Total],His_Operacoes_acoes[Fimmes],Patrimônio!B653,His_Operacoes_acoes[Operação],"Bonif.")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62214</v>
      </c>
      <c r="B654" s="7">
        <f t="shared" si="43"/>
        <v>62213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SUMIFS(His_Operacoes_acoes[Total],His_Operacoes_acoes[Fimmes],Patrimônio!B654,His_Operacoes_acoes[Operação],"JCP")
+ SUMIFS(His_Operacoes_acoes[Total],His_Operacoes_acoes[Fimmes],Patrimônio!B654,His_Operacoes_acoes[Operação],"Divid.")
+ SUMIFS(His_Operacoes_acoes[Total],His_Operacoes_acoes[Fimmes],Patrimônio!B654,His_Operacoes_acoes[Operação],"Bonif.")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62245</v>
      </c>
      <c r="B655" s="7">
        <f t="shared" si="43"/>
        <v>62244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SUMIFS(His_Operacoes_acoes[Total],His_Operacoes_acoes[Fimmes],Patrimônio!B655,His_Operacoes_acoes[Operação],"JCP")
+ SUMIFS(His_Operacoes_acoes[Total],His_Operacoes_acoes[Fimmes],Patrimônio!B655,His_Operacoes_acoes[Operação],"Divid.")
+ SUMIFS(His_Operacoes_acoes[Total],His_Operacoes_acoes[Fimmes],Patrimônio!B655,His_Operacoes_acoes[Operação],"Bonif.")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62275</v>
      </c>
      <c r="B656" s="7">
        <f t="shared" si="43"/>
        <v>62274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SUMIFS(His_Operacoes_acoes[Total],His_Operacoes_acoes[Fimmes],Patrimônio!B656,His_Operacoes_acoes[Operação],"JCP")
+ SUMIFS(His_Operacoes_acoes[Total],His_Operacoes_acoes[Fimmes],Patrimônio!B656,His_Operacoes_acoes[Operação],"Divid.")
+ SUMIFS(His_Operacoes_acoes[Total],His_Operacoes_acoes[Fimmes],Patrimônio!B656,His_Operacoes_acoes[Operação],"Bonif.")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62306</v>
      </c>
      <c r="B657" s="7">
        <f t="shared" si="43"/>
        <v>62305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SUMIFS(His_Operacoes_acoes[Total],His_Operacoes_acoes[Fimmes],Patrimônio!B657,His_Operacoes_acoes[Operação],"JCP")
+ SUMIFS(His_Operacoes_acoes[Total],His_Operacoes_acoes[Fimmes],Patrimônio!B657,His_Operacoes_acoes[Operação],"Divid.")
+ SUMIFS(His_Operacoes_acoes[Total],His_Operacoes_acoes[Fimmes],Patrimônio!B657,His_Operacoes_acoes[Operação],"Bonif.")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62337</v>
      </c>
      <c r="B658" s="7">
        <f t="shared" si="43"/>
        <v>62336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SUMIFS(His_Operacoes_acoes[Total],His_Operacoes_acoes[Fimmes],Patrimônio!B658,His_Operacoes_acoes[Operação],"JCP")
+ SUMIFS(His_Operacoes_acoes[Total],His_Operacoes_acoes[Fimmes],Patrimônio!B658,His_Operacoes_acoes[Operação],"Divid.")
+ SUMIFS(His_Operacoes_acoes[Total],His_Operacoes_acoes[Fimmes],Patrimônio!B658,His_Operacoes_acoes[Operação],"Bonif.")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62367</v>
      </c>
      <c r="B659" s="7">
        <f t="shared" si="43"/>
        <v>62366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SUMIFS(His_Operacoes_acoes[Total],His_Operacoes_acoes[Fimmes],Patrimônio!B659,His_Operacoes_acoes[Operação],"JCP")
+ SUMIFS(His_Operacoes_acoes[Total],His_Operacoes_acoes[Fimmes],Patrimônio!B659,His_Operacoes_acoes[Operação],"Divid.")
+ SUMIFS(His_Operacoes_acoes[Total],His_Operacoes_acoes[Fimmes],Patrimônio!B659,His_Operacoes_acoes[Operação],"Bonif.")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62398</v>
      </c>
      <c r="B660" s="7">
        <f t="shared" si="43"/>
        <v>62397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SUMIFS(His_Operacoes_acoes[Total],His_Operacoes_acoes[Fimmes],Patrimônio!B660,His_Operacoes_acoes[Operação],"JCP")
+ SUMIFS(His_Operacoes_acoes[Total],His_Operacoes_acoes[Fimmes],Patrimônio!B660,His_Operacoes_acoes[Operação],"Divid.")
+ SUMIFS(His_Operacoes_acoes[Total],His_Operacoes_acoes[Fimmes],Patrimônio!B660,His_Operacoes_acoes[Operação],"Bonif.")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62428</v>
      </c>
      <c r="B661" s="7">
        <f t="shared" si="43"/>
        <v>62427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SUMIFS(His_Operacoes_acoes[Total],His_Operacoes_acoes[Fimmes],Patrimônio!B661,His_Operacoes_acoes[Operação],"JCP")
+ SUMIFS(His_Operacoes_acoes[Total],His_Operacoes_acoes[Fimmes],Patrimônio!B661,His_Operacoes_acoes[Operação],"Divid.")
+ SUMIFS(His_Operacoes_acoes[Total],His_Operacoes_acoes[Fimmes],Patrimônio!B661,His_Operacoes_acoes[Operação],"Bonif.")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62459</v>
      </c>
      <c r="B662" s="7">
        <f t="shared" si="43"/>
        <v>62458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SUMIFS(His_Operacoes_acoes[Total],His_Operacoes_acoes[Fimmes],Patrimônio!B662,His_Operacoes_acoes[Operação],"JCP")
+ SUMIFS(His_Operacoes_acoes[Total],His_Operacoes_acoes[Fimmes],Patrimônio!B662,His_Operacoes_acoes[Operação],"Divid.")
+ SUMIFS(His_Operacoes_acoes[Total],His_Operacoes_acoes[Fimmes],Patrimônio!B662,His_Operacoes_acoes[Operação],"Bonif.")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62490</v>
      </c>
      <c r="B663" s="7">
        <f t="shared" si="43"/>
        <v>62489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SUMIFS(His_Operacoes_acoes[Total],His_Operacoes_acoes[Fimmes],Patrimônio!B663,His_Operacoes_acoes[Operação],"JCP")
+ SUMIFS(His_Operacoes_acoes[Total],His_Operacoes_acoes[Fimmes],Patrimônio!B663,His_Operacoes_acoes[Operação],"Divid.")
+ SUMIFS(His_Operacoes_acoes[Total],His_Operacoes_acoes[Fimmes],Patrimônio!B663,His_Operacoes_acoes[Operação],"Bonif.")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62518</v>
      </c>
      <c r="B664" s="7">
        <f t="shared" si="43"/>
        <v>62517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SUMIFS(His_Operacoes_acoes[Total],His_Operacoes_acoes[Fimmes],Patrimônio!B664,His_Operacoes_acoes[Operação],"JCP")
+ SUMIFS(His_Operacoes_acoes[Total],His_Operacoes_acoes[Fimmes],Patrimônio!B664,His_Operacoes_acoes[Operação],"Divid.")
+ SUMIFS(His_Operacoes_acoes[Total],His_Operacoes_acoes[Fimmes],Patrimônio!B664,His_Operacoes_acoes[Operação],"Bonif.")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62549</v>
      </c>
      <c r="B665" s="7">
        <f t="shared" si="43"/>
        <v>62548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SUMIFS(His_Operacoes_acoes[Total],His_Operacoes_acoes[Fimmes],Patrimônio!B665,His_Operacoes_acoes[Operação],"JCP")
+ SUMIFS(His_Operacoes_acoes[Total],His_Operacoes_acoes[Fimmes],Patrimônio!B665,His_Operacoes_acoes[Operação],"Divid.")
+ SUMIFS(His_Operacoes_acoes[Total],His_Operacoes_acoes[Fimmes],Patrimônio!B665,His_Operacoes_acoes[Operação],"Bonif.")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62579</v>
      </c>
      <c r="B666" s="7">
        <f t="shared" si="43"/>
        <v>62578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SUMIFS(His_Operacoes_acoes[Total],His_Operacoes_acoes[Fimmes],Patrimônio!B666,His_Operacoes_acoes[Operação],"JCP")
+ SUMIFS(His_Operacoes_acoes[Total],His_Operacoes_acoes[Fimmes],Patrimônio!B666,His_Operacoes_acoes[Operação],"Divid.")
+ SUMIFS(His_Operacoes_acoes[Total],His_Operacoes_acoes[Fimmes],Patrimônio!B666,His_Operacoes_acoes[Operação],"Bonif.")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62610</v>
      </c>
      <c r="B667" s="7">
        <f t="shared" si="43"/>
        <v>62609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SUMIFS(His_Operacoes_acoes[Total],His_Operacoes_acoes[Fimmes],Patrimônio!B667,His_Operacoes_acoes[Operação],"JCP")
+ SUMIFS(His_Operacoes_acoes[Total],His_Operacoes_acoes[Fimmes],Patrimônio!B667,His_Operacoes_acoes[Operação],"Divid.")
+ SUMIFS(His_Operacoes_acoes[Total],His_Operacoes_acoes[Fimmes],Patrimônio!B667,His_Operacoes_acoes[Operação],"Bonif.")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62640</v>
      </c>
      <c r="B668" s="7">
        <f t="shared" si="43"/>
        <v>62639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SUMIFS(His_Operacoes_acoes[Total],His_Operacoes_acoes[Fimmes],Patrimônio!B668,His_Operacoes_acoes[Operação],"JCP")
+ SUMIFS(His_Operacoes_acoes[Total],His_Operacoes_acoes[Fimmes],Patrimônio!B668,His_Operacoes_acoes[Operação],"Divid.")
+ SUMIFS(His_Operacoes_acoes[Total],His_Operacoes_acoes[Fimmes],Patrimônio!B668,His_Operacoes_acoes[Operação],"Bonif.")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62671</v>
      </c>
      <c r="B669" s="7">
        <f t="shared" si="43"/>
        <v>62670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SUMIFS(His_Operacoes_acoes[Total],His_Operacoes_acoes[Fimmes],Patrimônio!B669,His_Operacoes_acoes[Operação],"JCP")
+ SUMIFS(His_Operacoes_acoes[Total],His_Operacoes_acoes[Fimmes],Patrimônio!B669,His_Operacoes_acoes[Operação],"Divid.")
+ SUMIFS(His_Operacoes_acoes[Total],His_Operacoes_acoes[Fimmes],Patrimônio!B669,His_Operacoes_acoes[Operação],"Bonif.")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62702</v>
      </c>
      <c r="B670" s="7">
        <f t="shared" si="43"/>
        <v>62701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SUMIFS(His_Operacoes_acoes[Total],His_Operacoes_acoes[Fimmes],Patrimônio!B670,His_Operacoes_acoes[Operação],"JCP")
+ SUMIFS(His_Operacoes_acoes[Total],His_Operacoes_acoes[Fimmes],Patrimônio!B670,His_Operacoes_acoes[Operação],"Divid.")
+ SUMIFS(His_Operacoes_acoes[Total],His_Operacoes_acoes[Fimmes],Patrimônio!B670,His_Operacoes_acoes[Operação],"Bonif.")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62732</v>
      </c>
      <c r="B671" s="7">
        <f t="shared" si="43"/>
        <v>62731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SUMIFS(His_Operacoes_acoes[Total],His_Operacoes_acoes[Fimmes],Patrimônio!B671,His_Operacoes_acoes[Operação],"JCP")
+ SUMIFS(His_Operacoes_acoes[Total],His_Operacoes_acoes[Fimmes],Patrimônio!B671,His_Operacoes_acoes[Operação],"Divid.")
+ SUMIFS(His_Operacoes_acoes[Total],His_Operacoes_acoes[Fimmes],Patrimônio!B671,His_Operacoes_acoes[Operação],"Bonif.")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62763</v>
      </c>
      <c r="B672" s="7">
        <f t="shared" si="43"/>
        <v>62762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SUMIFS(His_Operacoes_acoes[Total],His_Operacoes_acoes[Fimmes],Patrimônio!B672,His_Operacoes_acoes[Operação],"JCP")
+ SUMIFS(His_Operacoes_acoes[Total],His_Operacoes_acoes[Fimmes],Patrimônio!B672,His_Operacoes_acoes[Operação],"Divid.")
+ SUMIFS(His_Operacoes_acoes[Total],His_Operacoes_acoes[Fimmes],Patrimônio!B672,His_Operacoes_acoes[Operação],"Bonif.")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62793</v>
      </c>
      <c r="B673" s="7">
        <f t="shared" si="43"/>
        <v>62792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SUMIFS(His_Operacoes_acoes[Total],His_Operacoes_acoes[Fimmes],Patrimônio!B673,His_Operacoes_acoes[Operação],"JCP")
+ SUMIFS(His_Operacoes_acoes[Total],His_Operacoes_acoes[Fimmes],Patrimônio!B673,His_Operacoes_acoes[Operação],"Divid.")
+ SUMIFS(His_Operacoes_acoes[Total],His_Operacoes_acoes[Fimmes],Patrimônio!B673,His_Operacoes_acoes[Operação],"Bonif.")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62824</v>
      </c>
      <c r="B674" s="7">
        <f t="shared" si="43"/>
        <v>62823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SUMIFS(His_Operacoes_acoes[Total],His_Operacoes_acoes[Fimmes],Patrimônio!B674,His_Operacoes_acoes[Operação],"JCP")
+ SUMIFS(His_Operacoes_acoes[Total],His_Operacoes_acoes[Fimmes],Patrimônio!B674,His_Operacoes_acoes[Operação],"Divid.")
+ SUMIFS(His_Operacoes_acoes[Total],His_Operacoes_acoes[Fimmes],Patrimônio!B674,His_Operacoes_acoes[Operação],"Bonif.")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62855</v>
      </c>
      <c r="B675" s="7">
        <f t="shared" si="43"/>
        <v>62854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SUMIFS(His_Operacoes_acoes[Total],His_Operacoes_acoes[Fimmes],Patrimônio!B675,His_Operacoes_acoes[Operação],"JCP")
+ SUMIFS(His_Operacoes_acoes[Total],His_Operacoes_acoes[Fimmes],Patrimônio!B675,His_Operacoes_acoes[Operação],"Divid.")
+ SUMIFS(His_Operacoes_acoes[Total],His_Operacoes_acoes[Fimmes],Patrimônio!B675,His_Operacoes_acoes[Operação],"Bonif.")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62884</v>
      </c>
      <c r="B676" s="7">
        <f t="shared" si="43"/>
        <v>62883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SUMIFS(His_Operacoes_acoes[Total],His_Operacoes_acoes[Fimmes],Patrimônio!B676,His_Operacoes_acoes[Operação],"JCP")
+ SUMIFS(His_Operacoes_acoes[Total],His_Operacoes_acoes[Fimmes],Patrimônio!B676,His_Operacoes_acoes[Operação],"Divid.")
+ SUMIFS(His_Operacoes_acoes[Total],His_Operacoes_acoes[Fimmes],Patrimônio!B676,His_Operacoes_acoes[Operação],"Bonif.")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62915</v>
      </c>
      <c r="B677" s="7">
        <f t="shared" si="43"/>
        <v>62914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SUMIFS(His_Operacoes_acoes[Total],His_Operacoes_acoes[Fimmes],Patrimônio!B677,His_Operacoes_acoes[Operação],"JCP")
+ SUMIFS(His_Operacoes_acoes[Total],His_Operacoes_acoes[Fimmes],Patrimônio!B677,His_Operacoes_acoes[Operação],"Divid.")
+ SUMIFS(His_Operacoes_acoes[Total],His_Operacoes_acoes[Fimmes],Patrimônio!B677,His_Operacoes_acoes[Operação],"Bonif.")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62945</v>
      </c>
      <c r="B678" s="7">
        <f t="shared" si="43"/>
        <v>62944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SUMIFS(His_Operacoes_acoes[Total],His_Operacoes_acoes[Fimmes],Patrimônio!B678,His_Operacoes_acoes[Operação],"JCP")
+ SUMIFS(His_Operacoes_acoes[Total],His_Operacoes_acoes[Fimmes],Patrimônio!B678,His_Operacoes_acoes[Operação],"Divid.")
+ SUMIFS(His_Operacoes_acoes[Total],His_Operacoes_acoes[Fimmes],Patrimônio!B678,His_Operacoes_acoes[Operação],"Bonif.")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62976</v>
      </c>
      <c r="B679" s="7">
        <f t="shared" si="43"/>
        <v>62975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SUMIFS(His_Operacoes_acoes[Total],His_Operacoes_acoes[Fimmes],Patrimônio!B679,His_Operacoes_acoes[Operação],"JCP")
+ SUMIFS(His_Operacoes_acoes[Total],His_Operacoes_acoes[Fimmes],Patrimônio!B679,His_Operacoes_acoes[Operação],"Divid.")
+ SUMIFS(His_Operacoes_acoes[Total],His_Operacoes_acoes[Fimmes],Patrimônio!B679,His_Operacoes_acoes[Operação],"Bonif.")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63006</v>
      </c>
      <c r="B680" s="7">
        <f t="shared" si="43"/>
        <v>63005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SUMIFS(His_Operacoes_acoes[Total],His_Operacoes_acoes[Fimmes],Patrimônio!B680,His_Operacoes_acoes[Operação],"JCP")
+ SUMIFS(His_Operacoes_acoes[Total],His_Operacoes_acoes[Fimmes],Patrimônio!B680,His_Operacoes_acoes[Operação],"Divid.")
+ SUMIFS(His_Operacoes_acoes[Total],His_Operacoes_acoes[Fimmes],Patrimônio!B680,His_Operacoes_acoes[Operação],"Bonif.")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63037</v>
      </c>
      <c r="B681" s="7">
        <f t="shared" si="43"/>
        <v>63036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SUMIFS(His_Operacoes_acoes[Total],His_Operacoes_acoes[Fimmes],Patrimônio!B681,His_Operacoes_acoes[Operação],"JCP")
+ SUMIFS(His_Operacoes_acoes[Total],His_Operacoes_acoes[Fimmes],Patrimônio!B681,His_Operacoes_acoes[Operação],"Divid.")
+ SUMIFS(His_Operacoes_acoes[Total],His_Operacoes_acoes[Fimmes],Patrimônio!B681,His_Operacoes_acoes[Operação],"Bonif.")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63068</v>
      </c>
      <c r="B682" s="7">
        <f t="shared" si="43"/>
        <v>63067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SUMIFS(His_Operacoes_acoes[Total],His_Operacoes_acoes[Fimmes],Patrimônio!B682,His_Operacoes_acoes[Operação],"JCP")
+ SUMIFS(His_Operacoes_acoes[Total],His_Operacoes_acoes[Fimmes],Patrimônio!B682,His_Operacoes_acoes[Operação],"Divid.")
+ SUMIFS(His_Operacoes_acoes[Total],His_Operacoes_acoes[Fimmes],Patrimônio!B682,His_Operacoes_acoes[Operação],"Bonif.")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63098</v>
      </c>
      <c r="B683" s="7">
        <f t="shared" si="43"/>
        <v>63097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SUMIFS(His_Operacoes_acoes[Total],His_Operacoes_acoes[Fimmes],Patrimônio!B683,His_Operacoes_acoes[Operação],"JCP")
+ SUMIFS(His_Operacoes_acoes[Total],His_Operacoes_acoes[Fimmes],Patrimônio!B683,His_Operacoes_acoes[Operação],"Divid.")
+ SUMIFS(His_Operacoes_acoes[Total],His_Operacoes_acoes[Fimmes],Patrimônio!B683,His_Operacoes_acoes[Operação],"Bonif.")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63129</v>
      </c>
      <c r="B684" s="7">
        <f t="shared" si="43"/>
        <v>63128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SUMIFS(His_Operacoes_acoes[Total],His_Operacoes_acoes[Fimmes],Patrimônio!B684,His_Operacoes_acoes[Operação],"JCP")
+ SUMIFS(His_Operacoes_acoes[Total],His_Operacoes_acoes[Fimmes],Patrimônio!B684,His_Operacoes_acoes[Operação],"Divid.")
+ SUMIFS(His_Operacoes_acoes[Total],His_Operacoes_acoes[Fimmes],Patrimônio!B684,His_Operacoes_acoes[Operação],"Bonif.")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63159</v>
      </c>
      <c r="B685" s="7">
        <f t="shared" si="43"/>
        <v>63158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SUMIFS(His_Operacoes_acoes[Total],His_Operacoes_acoes[Fimmes],Patrimônio!B685,His_Operacoes_acoes[Operação],"JCP")
+ SUMIFS(His_Operacoes_acoes[Total],His_Operacoes_acoes[Fimmes],Patrimônio!B685,His_Operacoes_acoes[Operação],"Divid.")
+ SUMIFS(His_Operacoes_acoes[Total],His_Operacoes_acoes[Fimmes],Patrimônio!B685,His_Operacoes_acoes[Operação],"Bonif.")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63190</v>
      </c>
      <c r="B686" s="7">
        <f t="shared" si="43"/>
        <v>63189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SUMIFS(His_Operacoes_acoes[Total],His_Operacoes_acoes[Fimmes],Patrimônio!B686,His_Operacoes_acoes[Operação],"JCP")
+ SUMIFS(His_Operacoes_acoes[Total],His_Operacoes_acoes[Fimmes],Patrimônio!B686,His_Operacoes_acoes[Operação],"Divid.")
+ SUMIFS(His_Operacoes_acoes[Total],His_Operacoes_acoes[Fimmes],Patrimônio!B686,His_Operacoes_acoes[Operação],"Bonif.")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63221</v>
      </c>
      <c r="B687" s="7">
        <f t="shared" si="43"/>
        <v>63220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SUMIFS(His_Operacoes_acoes[Total],His_Operacoes_acoes[Fimmes],Patrimônio!B687,His_Operacoes_acoes[Operação],"JCP")
+ SUMIFS(His_Operacoes_acoes[Total],His_Operacoes_acoes[Fimmes],Patrimônio!B687,His_Operacoes_acoes[Operação],"Divid.")
+ SUMIFS(His_Operacoes_acoes[Total],His_Operacoes_acoes[Fimmes],Patrimônio!B687,His_Operacoes_acoes[Operação],"Bonif.")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63249</v>
      </c>
      <c r="B688" s="7">
        <f t="shared" si="43"/>
        <v>63248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SUMIFS(His_Operacoes_acoes[Total],His_Operacoes_acoes[Fimmes],Patrimônio!B688,His_Operacoes_acoes[Operação],"JCP")
+ SUMIFS(His_Operacoes_acoes[Total],His_Operacoes_acoes[Fimmes],Patrimônio!B688,His_Operacoes_acoes[Operação],"Divid.")
+ SUMIFS(His_Operacoes_acoes[Total],His_Operacoes_acoes[Fimmes],Patrimônio!B688,His_Operacoes_acoes[Operação],"Bonif.")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63280</v>
      </c>
      <c r="B689" s="7">
        <f t="shared" si="43"/>
        <v>63279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SUMIFS(His_Operacoes_acoes[Total],His_Operacoes_acoes[Fimmes],Patrimônio!B689,His_Operacoes_acoes[Operação],"JCP")
+ SUMIFS(His_Operacoes_acoes[Total],His_Operacoes_acoes[Fimmes],Patrimônio!B689,His_Operacoes_acoes[Operação],"Divid.")
+ SUMIFS(His_Operacoes_acoes[Total],His_Operacoes_acoes[Fimmes],Patrimônio!B689,His_Operacoes_acoes[Operação],"Bonif.")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63310</v>
      </c>
      <c r="B690" s="7">
        <f t="shared" si="43"/>
        <v>63309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SUMIFS(His_Operacoes_acoes[Total],His_Operacoes_acoes[Fimmes],Patrimônio!B690,His_Operacoes_acoes[Operação],"JCP")
+ SUMIFS(His_Operacoes_acoes[Total],His_Operacoes_acoes[Fimmes],Patrimônio!B690,His_Operacoes_acoes[Operação],"Divid.")
+ SUMIFS(His_Operacoes_acoes[Total],His_Operacoes_acoes[Fimmes],Patrimônio!B690,His_Operacoes_acoes[Operação],"Bonif.")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63341</v>
      </c>
      <c r="B691" s="7">
        <f t="shared" si="43"/>
        <v>63340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SUMIFS(His_Operacoes_acoes[Total],His_Operacoes_acoes[Fimmes],Patrimônio!B691,His_Operacoes_acoes[Operação],"JCP")
+ SUMIFS(His_Operacoes_acoes[Total],His_Operacoes_acoes[Fimmes],Patrimônio!B691,His_Operacoes_acoes[Operação],"Divid.")
+ SUMIFS(His_Operacoes_acoes[Total],His_Operacoes_acoes[Fimmes],Patrimônio!B691,His_Operacoes_acoes[Operação],"Bonif.")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63371</v>
      </c>
      <c r="B692" s="7">
        <f t="shared" si="43"/>
        <v>63370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SUMIFS(His_Operacoes_acoes[Total],His_Operacoes_acoes[Fimmes],Patrimônio!B692,His_Operacoes_acoes[Operação],"JCP")
+ SUMIFS(His_Operacoes_acoes[Total],His_Operacoes_acoes[Fimmes],Patrimônio!B692,His_Operacoes_acoes[Operação],"Divid.")
+ SUMIFS(His_Operacoes_acoes[Total],His_Operacoes_acoes[Fimmes],Patrimônio!B692,His_Operacoes_acoes[Operação],"Bonif.")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63402</v>
      </c>
      <c r="B693" s="7">
        <f t="shared" si="43"/>
        <v>63401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SUMIFS(His_Operacoes_acoes[Total],His_Operacoes_acoes[Fimmes],Patrimônio!B693,His_Operacoes_acoes[Operação],"JCP")
+ SUMIFS(His_Operacoes_acoes[Total],His_Operacoes_acoes[Fimmes],Patrimônio!B693,His_Operacoes_acoes[Operação],"Divid.")
+ SUMIFS(His_Operacoes_acoes[Total],His_Operacoes_acoes[Fimmes],Patrimônio!B693,His_Operacoes_acoes[Operação],"Bonif.")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63433</v>
      </c>
      <c r="B694" s="7">
        <f t="shared" si="43"/>
        <v>63432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SUMIFS(His_Operacoes_acoes[Total],His_Operacoes_acoes[Fimmes],Patrimônio!B694,His_Operacoes_acoes[Operação],"JCP")
+ SUMIFS(His_Operacoes_acoes[Total],His_Operacoes_acoes[Fimmes],Patrimônio!B694,His_Operacoes_acoes[Operação],"Divid.")
+ SUMIFS(His_Operacoes_acoes[Total],His_Operacoes_acoes[Fimmes],Patrimônio!B694,His_Operacoes_acoes[Operação],"Bonif.")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63463</v>
      </c>
      <c r="B695" s="7">
        <f t="shared" si="43"/>
        <v>63462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SUMIFS(His_Operacoes_acoes[Total],His_Operacoes_acoes[Fimmes],Patrimônio!B695,His_Operacoes_acoes[Operação],"JCP")
+ SUMIFS(His_Operacoes_acoes[Total],His_Operacoes_acoes[Fimmes],Patrimônio!B695,His_Operacoes_acoes[Operação],"Divid.")
+ SUMIFS(His_Operacoes_acoes[Total],His_Operacoes_acoes[Fimmes],Patrimônio!B695,His_Operacoes_acoes[Operação],"Bonif.")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63494</v>
      </c>
      <c r="B696" s="7">
        <f t="shared" si="43"/>
        <v>63493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SUMIFS(His_Operacoes_acoes[Total],His_Operacoes_acoes[Fimmes],Patrimônio!B696,His_Operacoes_acoes[Operação],"JCP")
+ SUMIFS(His_Operacoes_acoes[Total],His_Operacoes_acoes[Fimmes],Patrimônio!B696,His_Operacoes_acoes[Operação],"Divid.")
+ SUMIFS(His_Operacoes_acoes[Total],His_Operacoes_acoes[Fimmes],Patrimônio!B696,His_Operacoes_acoes[Operação],"Bonif.")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63524</v>
      </c>
      <c r="B697" s="7">
        <f t="shared" si="43"/>
        <v>63523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SUMIFS(His_Operacoes_acoes[Total],His_Operacoes_acoes[Fimmes],Patrimônio!B697,His_Operacoes_acoes[Operação],"JCP")
+ SUMIFS(His_Operacoes_acoes[Total],His_Operacoes_acoes[Fimmes],Patrimônio!B697,His_Operacoes_acoes[Operação],"Divid.")
+ SUMIFS(His_Operacoes_acoes[Total],His_Operacoes_acoes[Fimmes],Patrimônio!B697,His_Operacoes_acoes[Operação],"Bonif.")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63555</v>
      </c>
      <c r="B698" s="7">
        <f t="shared" si="43"/>
        <v>63554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SUMIFS(His_Operacoes_acoes[Total],His_Operacoes_acoes[Fimmes],Patrimônio!B698,His_Operacoes_acoes[Operação],"JCP")
+ SUMIFS(His_Operacoes_acoes[Total],His_Operacoes_acoes[Fimmes],Patrimônio!B698,His_Operacoes_acoes[Operação],"Divid.")
+ SUMIFS(His_Operacoes_acoes[Total],His_Operacoes_acoes[Fimmes],Patrimônio!B698,His_Operacoes_acoes[Operação],"Bonif.")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63586</v>
      </c>
      <c r="B699" s="7">
        <f t="shared" si="43"/>
        <v>63585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SUMIFS(His_Operacoes_acoes[Total],His_Operacoes_acoes[Fimmes],Patrimônio!B699,His_Operacoes_acoes[Operação],"JCP")
+ SUMIFS(His_Operacoes_acoes[Total],His_Operacoes_acoes[Fimmes],Patrimônio!B699,His_Operacoes_acoes[Operação],"Divid.")
+ SUMIFS(His_Operacoes_acoes[Total],His_Operacoes_acoes[Fimmes],Patrimônio!B699,His_Operacoes_acoes[Operação],"Bonif.")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63614</v>
      </c>
      <c r="B700" s="7">
        <f t="shared" si="43"/>
        <v>63613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SUMIFS(His_Operacoes_acoes[Total],His_Operacoes_acoes[Fimmes],Patrimônio!B700,His_Operacoes_acoes[Operação],"JCP")
+ SUMIFS(His_Operacoes_acoes[Total],His_Operacoes_acoes[Fimmes],Patrimônio!B700,His_Operacoes_acoes[Operação],"Divid.")
+ SUMIFS(His_Operacoes_acoes[Total],His_Operacoes_acoes[Fimmes],Patrimônio!B700,His_Operacoes_acoes[Operação],"Bonif.")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63645</v>
      </c>
      <c r="B701" s="7">
        <f t="shared" si="43"/>
        <v>63644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SUMIFS(His_Operacoes_acoes[Total],His_Operacoes_acoes[Fimmes],Patrimônio!B701,His_Operacoes_acoes[Operação],"JCP")
+ SUMIFS(His_Operacoes_acoes[Total],His_Operacoes_acoes[Fimmes],Patrimônio!B701,His_Operacoes_acoes[Operação],"Divid.")
+ SUMIFS(His_Operacoes_acoes[Total],His_Operacoes_acoes[Fimmes],Patrimônio!B701,His_Operacoes_acoes[Operação],"Bonif.")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63675</v>
      </c>
      <c r="B702" s="7">
        <f t="shared" si="43"/>
        <v>63674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SUMIFS(His_Operacoes_acoes[Total],His_Operacoes_acoes[Fimmes],Patrimônio!B702,His_Operacoes_acoes[Operação],"JCP")
+ SUMIFS(His_Operacoes_acoes[Total],His_Operacoes_acoes[Fimmes],Patrimônio!B702,His_Operacoes_acoes[Operação],"Divid.")
+ SUMIFS(His_Operacoes_acoes[Total],His_Operacoes_acoes[Fimmes],Patrimônio!B702,His_Operacoes_acoes[Operação],"Bonif.")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63706</v>
      </c>
      <c r="B703" s="7">
        <f t="shared" si="43"/>
        <v>63705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SUMIFS(His_Operacoes_acoes[Total],His_Operacoes_acoes[Fimmes],Patrimônio!B703,His_Operacoes_acoes[Operação],"JCP")
+ SUMIFS(His_Operacoes_acoes[Total],His_Operacoes_acoes[Fimmes],Patrimônio!B703,His_Operacoes_acoes[Operação],"Divid.")
+ SUMIFS(His_Operacoes_acoes[Total],His_Operacoes_acoes[Fimmes],Patrimônio!B703,His_Operacoes_acoes[Operação],"Bonif.")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63736</v>
      </c>
      <c r="B704" s="7">
        <f t="shared" si="43"/>
        <v>63735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SUMIFS(His_Operacoes_acoes[Total],His_Operacoes_acoes[Fimmes],Patrimônio!B704,His_Operacoes_acoes[Operação],"JCP")
+ SUMIFS(His_Operacoes_acoes[Total],His_Operacoes_acoes[Fimmes],Patrimônio!B704,His_Operacoes_acoes[Operação],"Divid.")
+ SUMIFS(His_Operacoes_acoes[Total],His_Operacoes_acoes[Fimmes],Patrimônio!B704,His_Operacoes_acoes[Operação],"Bonif.")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63767</v>
      </c>
      <c r="B705" s="7">
        <f t="shared" si="43"/>
        <v>63766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SUMIFS(His_Operacoes_acoes[Total],His_Operacoes_acoes[Fimmes],Patrimônio!B705,His_Operacoes_acoes[Operação],"JCP")
+ SUMIFS(His_Operacoes_acoes[Total],His_Operacoes_acoes[Fimmes],Patrimônio!B705,His_Operacoes_acoes[Operação],"Divid.")
+ SUMIFS(His_Operacoes_acoes[Total],His_Operacoes_acoes[Fimmes],Patrimônio!B705,His_Operacoes_acoes[Operação],"Bonif.")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63798</v>
      </c>
      <c r="B706" s="7">
        <f t="shared" si="43"/>
        <v>63797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SUMIFS(His_Operacoes_acoes[Total],His_Operacoes_acoes[Fimmes],Patrimônio!B706,His_Operacoes_acoes[Operação],"JCP")
+ SUMIFS(His_Operacoes_acoes[Total],His_Operacoes_acoes[Fimmes],Patrimônio!B706,His_Operacoes_acoes[Operação],"Divid.")
+ SUMIFS(His_Operacoes_acoes[Total],His_Operacoes_acoes[Fimmes],Patrimônio!B706,His_Operacoes_acoes[Operação],"Bonif.")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63828</v>
      </c>
      <c r="B707" s="7">
        <f t="shared" ref="B707:B770" si="47">EOMONTH(A707,-1)</f>
        <v>63827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SUMIFS(His_Operacoes_acoes[Total],His_Operacoes_acoes[Fimmes],Patrimônio!B707,His_Operacoes_acoes[Operação],"JCP")
+ SUMIFS(His_Operacoes_acoes[Total],His_Operacoes_acoes[Fimmes],Patrimônio!B707,His_Operacoes_acoes[Operação],"Divid.")
+ SUMIFS(His_Operacoes_acoes[Total],His_Operacoes_acoes[Fimmes],Patrimônio!B707,His_Operacoes_acoes[Operação],"Bonif.")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63859</v>
      </c>
      <c r="B708" s="7">
        <f t="shared" si="47"/>
        <v>63858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SUMIFS(His_Operacoes_acoes[Total],His_Operacoes_acoes[Fimmes],Patrimônio!B708,His_Operacoes_acoes[Operação],"JCP")
+ SUMIFS(His_Operacoes_acoes[Total],His_Operacoes_acoes[Fimmes],Patrimônio!B708,His_Operacoes_acoes[Operação],"Divid.")
+ SUMIFS(His_Operacoes_acoes[Total],His_Operacoes_acoes[Fimmes],Patrimônio!B708,His_Operacoes_acoes[Operação],"Bonif.")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63889</v>
      </c>
      <c r="B709" s="7">
        <f t="shared" si="47"/>
        <v>63888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SUMIFS(His_Operacoes_acoes[Total],His_Operacoes_acoes[Fimmes],Patrimônio!B709,His_Operacoes_acoes[Operação],"JCP")
+ SUMIFS(His_Operacoes_acoes[Total],His_Operacoes_acoes[Fimmes],Patrimônio!B709,His_Operacoes_acoes[Operação],"Divid.")
+ SUMIFS(His_Operacoes_acoes[Total],His_Operacoes_acoes[Fimmes],Patrimônio!B709,His_Operacoes_acoes[Operação],"Bonif.")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63920</v>
      </c>
      <c r="B710" s="7">
        <f t="shared" si="47"/>
        <v>63919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SUMIFS(His_Operacoes_acoes[Total],His_Operacoes_acoes[Fimmes],Patrimônio!B710,His_Operacoes_acoes[Operação],"JCP")
+ SUMIFS(His_Operacoes_acoes[Total],His_Operacoes_acoes[Fimmes],Patrimônio!B710,His_Operacoes_acoes[Operação],"Divid.")
+ SUMIFS(His_Operacoes_acoes[Total],His_Operacoes_acoes[Fimmes],Patrimônio!B710,His_Operacoes_acoes[Operação],"Bonif.")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63951</v>
      </c>
      <c r="B711" s="7">
        <f t="shared" si="47"/>
        <v>63950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SUMIFS(His_Operacoes_acoes[Total],His_Operacoes_acoes[Fimmes],Patrimônio!B711,His_Operacoes_acoes[Operação],"JCP")
+ SUMIFS(His_Operacoes_acoes[Total],His_Operacoes_acoes[Fimmes],Patrimônio!B711,His_Operacoes_acoes[Operação],"Divid.")
+ SUMIFS(His_Operacoes_acoes[Total],His_Operacoes_acoes[Fimmes],Patrimônio!B711,His_Operacoes_acoes[Operação],"Bonif.")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63979</v>
      </c>
      <c r="B712" s="7">
        <f t="shared" si="47"/>
        <v>63978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SUMIFS(His_Operacoes_acoes[Total],His_Operacoes_acoes[Fimmes],Patrimônio!B712,His_Operacoes_acoes[Operação],"JCP")
+ SUMIFS(His_Operacoes_acoes[Total],His_Operacoes_acoes[Fimmes],Patrimônio!B712,His_Operacoes_acoes[Operação],"Divid.")
+ SUMIFS(His_Operacoes_acoes[Total],His_Operacoes_acoes[Fimmes],Patrimônio!B712,His_Operacoes_acoes[Operação],"Bonif.")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64010</v>
      </c>
      <c r="B713" s="7">
        <f t="shared" si="47"/>
        <v>64009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SUMIFS(His_Operacoes_acoes[Total],His_Operacoes_acoes[Fimmes],Patrimônio!B713,His_Operacoes_acoes[Operação],"JCP")
+ SUMIFS(His_Operacoes_acoes[Total],His_Operacoes_acoes[Fimmes],Patrimônio!B713,His_Operacoes_acoes[Operação],"Divid.")
+ SUMIFS(His_Operacoes_acoes[Total],His_Operacoes_acoes[Fimmes],Patrimônio!B713,His_Operacoes_acoes[Operação],"Bonif.")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64040</v>
      </c>
      <c r="B714" s="7">
        <f t="shared" si="47"/>
        <v>64039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SUMIFS(His_Operacoes_acoes[Total],His_Operacoes_acoes[Fimmes],Patrimônio!B714,His_Operacoes_acoes[Operação],"JCP")
+ SUMIFS(His_Operacoes_acoes[Total],His_Operacoes_acoes[Fimmes],Patrimônio!B714,His_Operacoes_acoes[Operação],"Divid.")
+ SUMIFS(His_Operacoes_acoes[Total],His_Operacoes_acoes[Fimmes],Patrimônio!B714,His_Operacoes_acoes[Operação],"Bonif.")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64071</v>
      </c>
      <c r="B715" s="7">
        <f t="shared" si="47"/>
        <v>64070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SUMIFS(His_Operacoes_acoes[Total],His_Operacoes_acoes[Fimmes],Patrimônio!B715,His_Operacoes_acoes[Operação],"JCP")
+ SUMIFS(His_Operacoes_acoes[Total],His_Operacoes_acoes[Fimmes],Patrimônio!B715,His_Operacoes_acoes[Operação],"Divid.")
+ SUMIFS(His_Operacoes_acoes[Total],His_Operacoes_acoes[Fimmes],Patrimônio!B715,His_Operacoes_acoes[Operação],"Bonif.")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64101</v>
      </c>
      <c r="B716" s="7">
        <f t="shared" si="47"/>
        <v>64100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SUMIFS(His_Operacoes_acoes[Total],His_Operacoes_acoes[Fimmes],Patrimônio!B716,His_Operacoes_acoes[Operação],"JCP")
+ SUMIFS(His_Operacoes_acoes[Total],His_Operacoes_acoes[Fimmes],Patrimônio!B716,His_Operacoes_acoes[Operação],"Divid.")
+ SUMIFS(His_Operacoes_acoes[Total],His_Operacoes_acoes[Fimmes],Patrimônio!B716,His_Operacoes_acoes[Operação],"Bonif.")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64132</v>
      </c>
      <c r="B717" s="7">
        <f t="shared" si="47"/>
        <v>64131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SUMIFS(His_Operacoes_acoes[Total],His_Operacoes_acoes[Fimmes],Patrimônio!B717,His_Operacoes_acoes[Operação],"JCP")
+ SUMIFS(His_Operacoes_acoes[Total],His_Operacoes_acoes[Fimmes],Patrimônio!B717,His_Operacoes_acoes[Operação],"Divid.")
+ SUMIFS(His_Operacoes_acoes[Total],His_Operacoes_acoes[Fimmes],Patrimônio!B717,His_Operacoes_acoes[Operação],"Bonif.")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64163</v>
      </c>
      <c r="B718" s="7">
        <f t="shared" si="47"/>
        <v>64162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SUMIFS(His_Operacoes_acoes[Total],His_Operacoes_acoes[Fimmes],Patrimônio!B718,His_Operacoes_acoes[Operação],"JCP")
+ SUMIFS(His_Operacoes_acoes[Total],His_Operacoes_acoes[Fimmes],Patrimônio!B718,His_Operacoes_acoes[Operação],"Divid.")
+ SUMIFS(His_Operacoes_acoes[Total],His_Operacoes_acoes[Fimmes],Patrimônio!B718,His_Operacoes_acoes[Operação],"Bonif.")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64193</v>
      </c>
      <c r="B719" s="7">
        <f t="shared" si="47"/>
        <v>64192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SUMIFS(His_Operacoes_acoes[Total],His_Operacoes_acoes[Fimmes],Patrimônio!B719,His_Operacoes_acoes[Operação],"JCP")
+ SUMIFS(His_Operacoes_acoes[Total],His_Operacoes_acoes[Fimmes],Patrimônio!B719,His_Operacoes_acoes[Operação],"Divid.")
+ SUMIFS(His_Operacoes_acoes[Total],His_Operacoes_acoes[Fimmes],Patrimônio!B719,His_Operacoes_acoes[Operação],"Bonif.")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64224</v>
      </c>
      <c r="B720" s="7">
        <f t="shared" si="47"/>
        <v>64223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SUMIFS(His_Operacoes_acoes[Total],His_Operacoes_acoes[Fimmes],Patrimônio!B720,His_Operacoes_acoes[Operação],"JCP")
+ SUMIFS(His_Operacoes_acoes[Total],His_Operacoes_acoes[Fimmes],Patrimônio!B720,His_Operacoes_acoes[Operação],"Divid.")
+ SUMIFS(His_Operacoes_acoes[Total],His_Operacoes_acoes[Fimmes],Patrimônio!B720,His_Operacoes_acoes[Operação],"Bonif.")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64254</v>
      </c>
      <c r="B721" s="7">
        <f t="shared" si="47"/>
        <v>64253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SUMIFS(His_Operacoes_acoes[Total],His_Operacoes_acoes[Fimmes],Patrimônio!B721,His_Operacoes_acoes[Operação],"JCP")
+ SUMIFS(His_Operacoes_acoes[Total],His_Operacoes_acoes[Fimmes],Patrimônio!B721,His_Operacoes_acoes[Operação],"Divid.")
+ SUMIFS(His_Operacoes_acoes[Total],His_Operacoes_acoes[Fimmes],Patrimônio!B721,His_Operacoes_acoes[Operação],"Bonif.")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64285</v>
      </c>
      <c r="B722" s="7">
        <f t="shared" si="47"/>
        <v>64284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SUMIFS(His_Operacoes_acoes[Total],His_Operacoes_acoes[Fimmes],Patrimônio!B722,His_Operacoes_acoes[Operação],"JCP")
+ SUMIFS(His_Operacoes_acoes[Total],His_Operacoes_acoes[Fimmes],Patrimônio!B722,His_Operacoes_acoes[Operação],"Divid.")
+ SUMIFS(His_Operacoes_acoes[Total],His_Operacoes_acoes[Fimmes],Patrimônio!B722,His_Operacoes_acoes[Operação],"Bonif.")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64316</v>
      </c>
      <c r="B723" s="7">
        <f t="shared" si="47"/>
        <v>64315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SUMIFS(His_Operacoes_acoes[Total],His_Operacoes_acoes[Fimmes],Patrimônio!B723,His_Operacoes_acoes[Operação],"JCP")
+ SUMIFS(His_Operacoes_acoes[Total],His_Operacoes_acoes[Fimmes],Patrimônio!B723,His_Operacoes_acoes[Operação],"Divid.")
+ SUMIFS(His_Operacoes_acoes[Total],His_Operacoes_acoes[Fimmes],Patrimônio!B723,His_Operacoes_acoes[Operação],"Bonif.")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64345</v>
      </c>
      <c r="B724" s="7">
        <f t="shared" si="47"/>
        <v>64344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SUMIFS(His_Operacoes_acoes[Total],His_Operacoes_acoes[Fimmes],Patrimônio!B724,His_Operacoes_acoes[Operação],"JCP")
+ SUMIFS(His_Operacoes_acoes[Total],His_Operacoes_acoes[Fimmes],Patrimônio!B724,His_Operacoes_acoes[Operação],"Divid.")
+ SUMIFS(His_Operacoes_acoes[Total],His_Operacoes_acoes[Fimmes],Patrimônio!B724,His_Operacoes_acoes[Operação],"Bonif.")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64376</v>
      </c>
      <c r="B725" s="7">
        <f t="shared" si="47"/>
        <v>64375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SUMIFS(His_Operacoes_acoes[Total],His_Operacoes_acoes[Fimmes],Patrimônio!B725,His_Operacoes_acoes[Operação],"JCP")
+ SUMIFS(His_Operacoes_acoes[Total],His_Operacoes_acoes[Fimmes],Patrimônio!B725,His_Operacoes_acoes[Operação],"Divid.")
+ SUMIFS(His_Operacoes_acoes[Total],His_Operacoes_acoes[Fimmes],Patrimônio!B725,His_Operacoes_acoes[Operação],"Bonif.")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64406</v>
      </c>
      <c r="B726" s="7">
        <f t="shared" si="47"/>
        <v>64405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SUMIFS(His_Operacoes_acoes[Total],His_Operacoes_acoes[Fimmes],Patrimônio!B726,His_Operacoes_acoes[Operação],"JCP")
+ SUMIFS(His_Operacoes_acoes[Total],His_Operacoes_acoes[Fimmes],Patrimônio!B726,His_Operacoes_acoes[Operação],"Divid.")
+ SUMIFS(His_Operacoes_acoes[Total],His_Operacoes_acoes[Fimmes],Patrimônio!B726,His_Operacoes_acoes[Operação],"Bonif.")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64437</v>
      </c>
      <c r="B727" s="7">
        <f t="shared" si="47"/>
        <v>64436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SUMIFS(His_Operacoes_acoes[Total],His_Operacoes_acoes[Fimmes],Patrimônio!B727,His_Operacoes_acoes[Operação],"JCP")
+ SUMIFS(His_Operacoes_acoes[Total],His_Operacoes_acoes[Fimmes],Patrimônio!B727,His_Operacoes_acoes[Operação],"Divid.")
+ SUMIFS(His_Operacoes_acoes[Total],His_Operacoes_acoes[Fimmes],Patrimônio!B727,His_Operacoes_acoes[Operação],"Bonif.")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64467</v>
      </c>
      <c r="B728" s="7">
        <f t="shared" si="47"/>
        <v>64466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SUMIFS(His_Operacoes_acoes[Total],His_Operacoes_acoes[Fimmes],Patrimônio!B728,His_Operacoes_acoes[Operação],"JCP")
+ SUMIFS(His_Operacoes_acoes[Total],His_Operacoes_acoes[Fimmes],Patrimônio!B728,His_Operacoes_acoes[Operação],"Divid.")
+ SUMIFS(His_Operacoes_acoes[Total],His_Operacoes_acoes[Fimmes],Patrimônio!B728,His_Operacoes_acoes[Operação],"Bonif.")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64498</v>
      </c>
      <c r="B729" s="7">
        <f t="shared" si="47"/>
        <v>64497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SUMIFS(His_Operacoes_acoes[Total],His_Operacoes_acoes[Fimmes],Patrimônio!B729,His_Operacoes_acoes[Operação],"JCP")
+ SUMIFS(His_Operacoes_acoes[Total],His_Operacoes_acoes[Fimmes],Patrimônio!B729,His_Operacoes_acoes[Operação],"Divid.")
+ SUMIFS(His_Operacoes_acoes[Total],His_Operacoes_acoes[Fimmes],Patrimônio!B729,His_Operacoes_acoes[Operação],"Bonif.")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64529</v>
      </c>
      <c r="B730" s="7">
        <f t="shared" si="47"/>
        <v>64528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SUMIFS(His_Operacoes_acoes[Total],His_Operacoes_acoes[Fimmes],Patrimônio!B730,His_Operacoes_acoes[Operação],"JCP")
+ SUMIFS(His_Operacoes_acoes[Total],His_Operacoes_acoes[Fimmes],Patrimônio!B730,His_Operacoes_acoes[Operação],"Divid.")
+ SUMIFS(His_Operacoes_acoes[Total],His_Operacoes_acoes[Fimmes],Patrimônio!B730,His_Operacoes_acoes[Operação],"Bonif.")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64559</v>
      </c>
      <c r="B731" s="7">
        <f t="shared" si="47"/>
        <v>64558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SUMIFS(His_Operacoes_acoes[Total],His_Operacoes_acoes[Fimmes],Patrimônio!B731,His_Operacoes_acoes[Operação],"JCP")
+ SUMIFS(His_Operacoes_acoes[Total],His_Operacoes_acoes[Fimmes],Patrimônio!B731,His_Operacoes_acoes[Operação],"Divid.")
+ SUMIFS(His_Operacoes_acoes[Total],His_Operacoes_acoes[Fimmes],Patrimônio!B731,His_Operacoes_acoes[Operação],"Bonif.")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64590</v>
      </c>
      <c r="B732" s="7">
        <f t="shared" si="47"/>
        <v>64589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SUMIFS(His_Operacoes_acoes[Total],His_Operacoes_acoes[Fimmes],Patrimônio!B732,His_Operacoes_acoes[Operação],"JCP")
+ SUMIFS(His_Operacoes_acoes[Total],His_Operacoes_acoes[Fimmes],Patrimônio!B732,His_Operacoes_acoes[Operação],"Divid.")
+ SUMIFS(His_Operacoes_acoes[Total],His_Operacoes_acoes[Fimmes],Patrimônio!B732,His_Operacoes_acoes[Operação],"Bonif.")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64620</v>
      </c>
      <c r="B733" s="7">
        <f t="shared" si="47"/>
        <v>64619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SUMIFS(His_Operacoes_acoes[Total],His_Operacoes_acoes[Fimmes],Patrimônio!B733,His_Operacoes_acoes[Operação],"JCP")
+ SUMIFS(His_Operacoes_acoes[Total],His_Operacoes_acoes[Fimmes],Patrimônio!B733,His_Operacoes_acoes[Operação],"Divid.")
+ SUMIFS(His_Operacoes_acoes[Total],His_Operacoes_acoes[Fimmes],Patrimônio!B733,His_Operacoes_acoes[Operação],"Bonif.")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64651</v>
      </c>
      <c r="B734" s="7">
        <f t="shared" si="47"/>
        <v>64650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SUMIFS(His_Operacoes_acoes[Total],His_Operacoes_acoes[Fimmes],Patrimônio!B734,His_Operacoes_acoes[Operação],"JCP")
+ SUMIFS(His_Operacoes_acoes[Total],His_Operacoes_acoes[Fimmes],Patrimônio!B734,His_Operacoes_acoes[Operação],"Divid.")
+ SUMIFS(His_Operacoes_acoes[Total],His_Operacoes_acoes[Fimmes],Patrimônio!B734,His_Operacoes_acoes[Operação],"Bonif.")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64682</v>
      </c>
      <c r="B735" s="7">
        <f t="shared" si="47"/>
        <v>64681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SUMIFS(His_Operacoes_acoes[Total],His_Operacoes_acoes[Fimmes],Patrimônio!B735,His_Operacoes_acoes[Operação],"JCP")
+ SUMIFS(His_Operacoes_acoes[Total],His_Operacoes_acoes[Fimmes],Patrimônio!B735,His_Operacoes_acoes[Operação],"Divid.")
+ SUMIFS(His_Operacoes_acoes[Total],His_Operacoes_acoes[Fimmes],Patrimônio!B735,His_Operacoes_acoes[Operação],"Bonif.")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64710</v>
      </c>
      <c r="B736" s="7">
        <f t="shared" si="47"/>
        <v>64709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SUMIFS(His_Operacoes_acoes[Total],His_Operacoes_acoes[Fimmes],Patrimônio!B736,His_Operacoes_acoes[Operação],"JCP")
+ SUMIFS(His_Operacoes_acoes[Total],His_Operacoes_acoes[Fimmes],Patrimônio!B736,His_Operacoes_acoes[Operação],"Divid.")
+ SUMIFS(His_Operacoes_acoes[Total],His_Operacoes_acoes[Fimmes],Patrimônio!B736,His_Operacoes_acoes[Operação],"Bonif.")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64741</v>
      </c>
      <c r="B737" s="7">
        <f t="shared" si="47"/>
        <v>64740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SUMIFS(His_Operacoes_acoes[Total],His_Operacoes_acoes[Fimmes],Patrimônio!B737,His_Operacoes_acoes[Operação],"JCP")
+ SUMIFS(His_Operacoes_acoes[Total],His_Operacoes_acoes[Fimmes],Patrimônio!B737,His_Operacoes_acoes[Operação],"Divid.")
+ SUMIFS(His_Operacoes_acoes[Total],His_Operacoes_acoes[Fimmes],Patrimônio!B737,His_Operacoes_acoes[Operação],"Bonif.")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64771</v>
      </c>
      <c r="B738" s="7">
        <f t="shared" si="47"/>
        <v>64770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SUMIFS(His_Operacoes_acoes[Total],His_Operacoes_acoes[Fimmes],Patrimônio!B738,His_Operacoes_acoes[Operação],"JCP")
+ SUMIFS(His_Operacoes_acoes[Total],His_Operacoes_acoes[Fimmes],Patrimônio!B738,His_Operacoes_acoes[Operação],"Divid.")
+ SUMIFS(His_Operacoes_acoes[Total],His_Operacoes_acoes[Fimmes],Patrimônio!B738,His_Operacoes_acoes[Operação],"Bonif.")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64802</v>
      </c>
      <c r="B739" s="7">
        <f t="shared" si="47"/>
        <v>64801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SUMIFS(His_Operacoes_acoes[Total],His_Operacoes_acoes[Fimmes],Patrimônio!B739,His_Operacoes_acoes[Operação],"JCP")
+ SUMIFS(His_Operacoes_acoes[Total],His_Operacoes_acoes[Fimmes],Patrimônio!B739,His_Operacoes_acoes[Operação],"Divid.")
+ SUMIFS(His_Operacoes_acoes[Total],His_Operacoes_acoes[Fimmes],Patrimônio!B739,His_Operacoes_acoes[Operação],"Bonif.")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64832</v>
      </c>
      <c r="B740" s="7">
        <f t="shared" si="47"/>
        <v>64831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SUMIFS(His_Operacoes_acoes[Total],His_Operacoes_acoes[Fimmes],Patrimônio!B740,His_Operacoes_acoes[Operação],"JCP")
+ SUMIFS(His_Operacoes_acoes[Total],His_Operacoes_acoes[Fimmes],Patrimônio!B740,His_Operacoes_acoes[Operação],"Divid.")
+ SUMIFS(His_Operacoes_acoes[Total],His_Operacoes_acoes[Fimmes],Patrimônio!B740,His_Operacoes_acoes[Operação],"Bonif.")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64863</v>
      </c>
      <c r="B741" s="7">
        <f t="shared" si="47"/>
        <v>64862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SUMIFS(His_Operacoes_acoes[Total],His_Operacoes_acoes[Fimmes],Patrimônio!B741,His_Operacoes_acoes[Operação],"JCP")
+ SUMIFS(His_Operacoes_acoes[Total],His_Operacoes_acoes[Fimmes],Patrimônio!B741,His_Operacoes_acoes[Operação],"Divid.")
+ SUMIFS(His_Operacoes_acoes[Total],His_Operacoes_acoes[Fimmes],Patrimônio!B741,His_Operacoes_acoes[Operação],"Bonif.")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64894</v>
      </c>
      <c r="B742" s="7">
        <f t="shared" si="47"/>
        <v>64893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SUMIFS(His_Operacoes_acoes[Total],His_Operacoes_acoes[Fimmes],Patrimônio!B742,His_Operacoes_acoes[Operação],"JCP")
+ SUMIFS(His_Operacoes_acoes[Total],His_Operacoes_acoes[Fimmes],Patrimônio!B742,His_Operacoes_acoes[Operação],"Divid.")
+ SUMIFS(His_Operacoes_acoes[Total],His_Operacoes_acoes[Fimmes],Patrimônio!B742,His_Operacoes_acoes[Operação],"Bonif.")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64924</v>
      </c>
      <c r="B743" s="7">
        <f t="shared" si="47"/>
        <v>64923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SUMIFS(His_Operacoes_acoes[Total],His_Operacoes_acoes[Fimmes],Patrimônio!B743,His_Operacoes_acoes[Operação],"JCP")
+ SUMIFS(His_Operacoes_acoes[Total],His_Operacoes_acoes[Fimmes],Patrimônio!B743,His_Operacoes_acoes[Operação],"Divid.")
+ SUMIFS(His_Operacoes_acoes[Total],His_Operacoes_acoes[Fimmes],Patrimônio!B743,His_Operacoes_acoes[Operação],"Bonif.")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64955</v>
      </c>
      <c r="B744" s="7">
        <f t="shared" si="47"/>
        <v>64954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SUMIFS(His_Operacoes_acoes[Total],His_Operacoes_acoes[Fimmes],Patrimônio!B744,His_Operacoes_acoes[Operação],"JCP")
+ SUMIFS(His_Operacoes_acoes[Total],His_Operacoes_acoes[Fimmes],Patrimônio!B744,His_Operacoes_acoes[Operação],"Divid.")
+ SUMIFS(His_Operacoes_acoes[Total],His_Operacoes_acoes[Fimmes],Patrimônio!B744,His_Operacoes_acoes[Operação],"Bonif.")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64985</v>
      </c>
      <c r="B745" s="7">
        <f t="shared" si="47"/>
        <v>64984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SUMIFS(His_Operacoes_acoes[Total],His_Operacoes_acoes[Fimmes],Patrimônio!B745,His_Operacoes_acoes[Operação],"JCP")
+ SUMIFS(His_Operacoes_acoes[Total],His_Operacoes_acoes[Fimmes],Patrimônio!B745,His_Operacoes_acoes[Operação],"Divid.")
+ SUMIFS(His_Operacoes_acoes[Total],His_Operacoes_acoes[Fimmes],Patrimônio!B745,His_Operacoes_acoes[Operação],"Bonif.")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65016</v>
      </c>
      <c r="B746" s="7">
        <f t="shared" si="47"/>
        <v>65015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SUMIFS(His_Operacoes_acoes[Total],His_Operacoes_acoes[Fimmes],Patrimônio!B746,His_Operacoes_acoes[Operação],"JCP")
+ SUMIFS(His_Operacoes_acoes[Total],His_Operacoes_acoes[Fimmes],Patrimônio!B746,His_Operacoes_acoes[Operação],"Divid.")
+ SUMIFS(His_Operacoes_acoes[Total],His_Operacoes_acoes[Fimmes],Patrimônio!B746,His_Operacoes_acoes[Operação],"Bonif.")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65047</v>
      </c>
      <c r="B747" s="7">
        <f t="shared" si="47"/>
        <v>65046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SUMIFS(His_Operacoes_acoes[Total],His_Operacoes_acoes[Fimmes],Patrimônio!B747,His_Operacoes_acoes[Operação],"JCP")
+ SUMIFS(His_Operacoes_acoes[Total],His_Operacoes_acoes[Fimmes],Patrimônio!B747,His_Operacoes_acoes[Operação],"Divid.")
+ SUMIFS(His_Operacoes_acoes[Total],His_Operacoes_acoes[Fimmes],Patrimônio!B747,His_Operacoes_acoes[Operação],"Bonif.")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65075</v>
      </c>
      <c r="B748" s="7">
        <f t="shared" si="47"/>
        <v>65074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SUMIFS(His_Operacoes_acoes[Total],His_Operacoes_acoes[Fimmes],Patrimônio!B748,His_Operacoes_acoes[Operação],"JCP")
+ SUMIFS(His_Operacoes_acoes[Total],His_Operacoes_acoes[Fimmes],Patrimônio!B748,His_Operacoes_acoes[Operação],"Divid.")
+ SUMIFS(His_Operacoes_acoes[Total],His_Operacoes_acoes[Fimmes],Patrimônio!B748,His_Operacoes_acoes[Operação],"Bonif.")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65106</v>
      </c>
      <c r="B749" s="7">
        <f t="shared" si="47"/>
        <v>65105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SUMIFS(His_Operacoes_acoes[Total],His_Operacoes_acoes[Fimmes],Patrimônio!B749,His_Operacoes_acoes[Operação],"JCP")
+ SUMIFS(His_Operacoes_acoes[Total],His_Operacoes_acoes[Fimmes],Patrimônio!B749,His_Operacoes_acoes[Operação],"Divid.")
+ SUMIFS(His_Operacoes_acoes[Total],His_Operacoes_acoes[Fimmes],Patrimônio!B749,His_Operacoes_acoes[Operação],"Bonif.")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65136</v>
      </c>
      <c r="B750" s="7">
        <f t="shared" si="47"/>
        <v>65135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SUMIFS(His_Operacoes_acoes[Total],His_Operacoes_acoes[Fimmes],Patrimônio!B750,His_Operacoes_acoes[Operação],"JCP")
+ SUMIFS(His_Operacoes_acoes[Total],His_Operacoes_acoes[Fimmes],Patrimônio!B750,His_Operacoes_acoes[Operação],"Divid.")
+ SUMIFS(His_Operacoes_acoes[Total],His_Operacoes_acoes[Fimmes],Patrimônio!B750,His_Operacoes_acoes[Operação],"Bonif.")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65167</v>
      </c>
      <c r="B751" s="7">
        <f t="shared" si="47"/>
        <v>65166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SUMIFS(His_Operacoes_acoes[Total],His_Operacoes_acoes[Fimmes],Patrimônio!B751,His_Operacoes_acoes[Operação],"JCP")
+ SUMIFS(His_Operacoes_acoes[Total],His_Operacoes_acoes[Fimmes],Patrimônio!B751,His_Operacoes_acoes[Operação],"Divid.")
+ SUMIFS(His_Operacoes_acoes[Total],His_Operacoes_acoes[Fimmes],Patrimônio!B751,His_Operacoes_acoes[Operação],"Bonif.")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65197</v>
      </c>
      <c r="B752" s="7">
        <f t="shared" si="47"/>
        <v>65196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SUMIFS(His_Operacoes_acoes[Total],His_Operacoes_acoes[Fimmes],Patrimônio!B752,His_Operacoes_acoes[Operação],"JCP")
+ SUMIFS(His_Operacoes_acoes[Total],His_Operacoes_acoes[Fimmes],Patrimônio!B752,His_Operacoes_acoes[Operação],"Divid.")
+ SUMIFS(His_Operacoes_acoes[Total],His_Operacoes_acoes[Fimmes],Patrimônio!B752,His_Operacoes_acoes[Operação],"Bonif.")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65228</v>
      </c>
      <c r="B753" s="7">
        <f t="shared" si="47"/>
        <v>65227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SUMIFS(His_Operacoes_acoes[Total],His_Operacoes_acoes[Fimmes],Patrimônio!B753,His_Operacoes_acoes[Operação],"JCP")
+ SUMIFS(His_Operacoes_acoes[Total],His_Operacoes_acoes[Fimmes],Patrimônio!B753,His_Operacoes_acoes[Operação],"Divid.")
+ SUMIFS(His_Operacoes_acoes[Total],His_Operacoes_acoes[Fimmes],Patrimônio!B753,His_Operacoes_acoes[Operação],"Bonif.")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65259</v>
      </c>
      <c r="B754" s="7">
        <f t="shared" si="47"/>
        <v>65258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SUMIFS(His_Operacoes_acoes[Total],His_Operacoes_acoes[Fimmes],Patrimônio!B754,His_Operacoes_acoes[Operação],"JCP")
+ SUMIFS(His_Operacoes_acoes[Total],His_Operacoes_acoes[Fimmes],Patrimônio!B754,His_Operacoes_acoes[Operação],"Divid.")
+ SUMIFS(His_Operacoes_acoes[Total],His_Operacoes_acoes[Fimmes],Patrimônio!B754,His_Operacoes_acoes[Operação],"Bonif.")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65289</v>
      </c>
      <c r="B755" s="7">
        <f t="shared" si="47"/>
        <v>65288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SUMIFS(His_Operacoes_acoes[Total],His_Operacoes_acoes[Fimmes],Patrimônio!B755,His_Operacoes_acoes[Operação],"JCP")
+ SUMIFS(His_Operacoes_acoes[Total],His_Operacoes_acoes[Fimmes],Patrimônio!B755,His_Operacoes_acoes[Operação],"Divid.")
+ SUMIFS(His_Operacoes_acoes[Total],His_Operacoes_acoes[Fimmes],Patrimônio!B755,His_Operacoes_acoes[Operação],"Bonif.")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65320</v>
      </c>
      <c r="B756" s="7">
        <f t="shared" si="47"/>
        <v>65319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SUMIFS(His_Operacoes_acoes[Total],His_Operacoes_acoes[Fimmes],Patrimônio!B756,His_Operacoes_acoes[Operação],"JCP")
+ SUMIFS(His_Operacoes_acoes[Total],His_Operacoes_acoes[Fimmes],Patrimônio!B756,His_Operacoes_acoes[Operação],"Divid.")
+ SUMIFS(His_Operacoes_acoes[Total],His_Operacoes_acoes[Fimmes],Patrimônio!B756,His_Operacoes_acoes[Operação],"Bonif.")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65350</v>
      </c>
      <c r="B757" s="7">
        <f t="shared" si="47"/>
        <v>65349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SUMIFS(His_Operacoes_acoes[Total],His_Operacoes_acoes[Fimmes],Patrimônio!B757,His_Operacoes_acoes[Operação],"JCP")
+ SUMIFS(His_Operacoes_acoes[Total],His_Operacoes_acoes[Fimmes],Patrimônio!B757,His_Operacoes_acoes[Operação],"Divid.")
+ SUMIFS(His_Operacoes_acoes[Total],His_Operacoes_acoes[Fimmes],Patrimônio!B757,His_Operacoes_acoes[Operação],"Bonif.")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65381</v>
      </c>
      <c r="B758" s="7">
        <f t="shared" si="47"/>
        <v>65380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SUMIFS(His_Operacoes_acoes[Total],His_Operacoes_acoes[Fimmes],Patrimônio!B758,His_Operacoes_acoes[Operação],"JCP")
+ SUMIFS(His_Operacoes_acoes[Total],His_Operacoes_acoes[Fimmes],Patrimônio!B758,His_Operacoes_acoes[Operação],"Divid.")
+ SUMIFS(His_Operacoes_acoes[Total],His_Operacoes_acoes[Fimmes],Patrimônio!B758,His_Operacoes_acoes[Operação],"Bonif.")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65412</v>
      </c>
      <c r="B759" s="7">
        <f t="shared" si="47"/>
        <v>65411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SUMIFS(His_Operacoes_acoes[Total],His_Operacoes_acoes[Fimmes],Patrimônio!B759,His_Operacoes_acoes[Operação],"JCP")
+ SUMIFS(His_Operacoes_acoes[Total],His_Operacoes_acoes[Fimmes],Patrimônio!B759,His_Operacoes_acoes[Operação],"Divid.")
+ SUMIFS(His_Operacoes_acoes[Total],His_Operacoes_acoes[Fimmes],Patrimônio!B759,His_Operacoes_acoes[Operação],"Bonif.")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65440</v>
      </c>
      <c r="B760" s="7">
        <f t="shared" si="47"/>
        <v>65439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SUMIFS(His_Operacoes_acoes[Total],His_Operacoes_acoes[Fimmes],Patrimônio!B760,His_Operacoes_acoes[Operação],"JCP")
+ SUMIFS(His_Operacoes_acoes[Total],His_Operacoes_acoes[Fimmes],Patrimônio!B760,His_Operacoes_acoes[Operação],"Divid.")
+ SUMIFS(His_Operacoes_acoes[Total],His_Operacoes_acoes[Fimmes],Patrimônio!B760,His_Operacoes_acoes[Operação],"Bonif.")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65471</v>
      </c>
      <c r="B761" s="7">
        <f t="shared" si="47"/>
        <v>65470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SUMIFS(His_Operacoes_acoes[Total],His_Operacoes_acoes[Fimmes],Patrimônio!B761,His_Operacoes_acoes[Operação],"JCP")
+ SUMIFS(His_Operacoes_acoes[Total],His_Operacoes_acoes[Fimmes],Patrimônio!B761,His_Operacoes_acoes[Operação],"Divid.")
+ SUMIFS(His_Operacoes_acoes[Total],His_Operacoes_acoes[Fimmes],Patrimônio!B761,His_Operacoes_acoes[Operação],"Bonif.")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65501</v>
      </c>
      <c r="B762" s="7">
        <f t="shared" si="47"/>
        <v>65500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SUMIFS(His_Operacoes_acoes[Total],His_Operacoes_acoes[Fimmes],Patrimônio!B762,His_Operacoes_acoes[Operação],"JCP")
+ SUMIFS(His_Operacoes_acoes[Total],His_Operacoes_acoes[Fimmes],Patrimônio!B762,His_Operacoes_acoes[Operação],"Divid.")
+ SUMIFS(His_Operacoes_acoes[Total],His_Operacoes_acoes[Fimmes],Patrimônio!B762,His_Operacoes_acoes[Operação],"Bonif.")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65532</v>
      </c>
      <c r="B763" s="7">
        <f t="shared" si="47"/>
        <v>65531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SUMIFS(His_Operacoes_acoes[Total],His_Operacoes_acoes[Fimmes],Patrimônio!B763,His_Operacoes_acoes[Operação],"JCP")
+ SUMIFS(His_Operacoes_acoes[Total],His_Operacoes_acoes[Fimmes],Patrimônio!B763,His_Operacoes_acoes[Operação],"Divid.")
+ SUMIFS(His_Operacoes_acoes[Total],His_Operacoes_acoes[Fimmes],Patrimônio!B763,His_Operacoes_acoes[Operação],"Bonif.")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65562</v>
      </c>
      <c r="B764" s="7">
        <f t="shared" si="47"/>
        <v>65561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SUMIFS(His_Operacoes_acoes[Total],His_Operacoes_acoes[Fimmes],Patrimônio!B764,His_Operacoes_acoes[Operação],"JCP")
+ SUMIFS(His_Operacoes_acoes[Total],His_Operacoes_acoes[Fimmes],Patrimônio!B764,His_Operacoes_acoes[Operação],"Divid.")
+ SUMIFS(His_Operacoes_acoes[Total],His_Operacoes_acoes[Fimmes],Patrimônio!B764,His_Operacoes_acoes[Operação],"Bonif.")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65593</v>
      </c>
      <c r="B765" s="7">
        <f t="shared" si="47"/>
        <v>65592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SUMIFS(His_Operacoes_acoes[Total],His_Operacoes_acoes[Fimmes],Patrimônio!B765,His_Operacoes_acoes[Operação],"JCP")
+ SUMIFS(His_Operacoes_acoes[Total],His_Operacoes_acoes[Fimmes],Patrimônio!B765,His_Operacoes_acoes[Operação],"Divid.")
+ SUMIFS(His_Operacoes_acoes[Total],His_Operacoes_acoes[Fimmes],Patrimônio!B765,His_Operacoes_acoes[Operação],"Bonif.")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65624</v>
      </c>
      <c r="B766" s="7">
        <f t="shared" si="47"/>
        <v>65623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SUMIFS(His_Operacoes_acoes[Total],His_Operacoes_acoes[Fimmes],Patrimônio!B766,His_Operacoes_acoes[Operação],"JCP")
+ SUMIFS(His_Operacoes_acoes[Total],His_Operacoes_acoes[Fimmes],Patrimônio!B766,His_Operacoes_acoes[Operação],"Divid.")
+ SUMIFS(His_Operacoes_acoes[Total],His_Operacoes_acoes[Fimmes],Patrimônio!B766,His_Operacoes_acoes[Operação],"Bonif.")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65654</v>
      </c>
      <c r="B767" s="7">
        <f t="shared" si="47"/>
        <v>65653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SUMIFS(His_Operacoes_acoes[Total],His_Operacoes_acoes[Fimmes],Patrimônio!B767,His_Operacoes_acoes[Operação],"JCP")
+ SUMIFS(His_Operacoes_acoes[Total],His_Operacoes_acoes[Fimmes],Patrimônio!B767,His_Operacoes_acoes[Operação],"Divid.")
+ SUMIFS(His_Operacoes_acoes[Total],His_Operacoes_acoes[Fimmes],Patrimônio!B767,His_Operacoes_acoes[Operação],"Bonif.")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65685</v>
      </c>
      <c r="B768" s="7">
        <f t="shared" si="47"/>
        <v>65684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SUMIFS(His_Operacoes_acoes[Total],His_Operacoes_acoes[Fimmes],Patrimônio!B768,His_Operacoes_acoes[Operação],"JCP")
+ SUMIFS(His_Operacoes_acoes[Total],His_Operacoes_acoes[Fimmes],Patrimônio!B768,His_Operacoes_acoes[Operação],"Divid.")
+ SUMIFS(His_Operacoes_acoes[Total],His_Operacoes_acoes[Fimmes],Patrimônio!B768,His_Operacoes_acoes[Operação],"Bonif.")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65715</v>
      </c>
      <c r="B769" s="7">
        <f t="shared" si="47"/>
        <v>65714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SUMIFS(His_Operacoes_acoes[Total],His_Operacoes_acoes[Fimmes],Patrimônio!B769,His_Operacoes_acoes[Operação],"JCP")
+ SUMIFS(His_Operacoes_acoes[Total],His_Operacoes_acoes[Fimmes],Patrimônio!B769,His_Operacoes_acoes[Operação],"Divid.")
+ SUMIFS(His_Operacoes_acoes[Total],His_Operacoes_acoes[Fimmes],Patrimônio!B769,His_Operacoes_acoes[Operação],"Bonif.")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65746</v>
      </c>
      <c r="B770" s="7">
        <f t="shared" si="47"/>
        <v>65745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SUMIFS(His_Operacoes_acoes[Total],His_Operacoes_acoes[Fimmes],Patrimônio!B770,His_Operacoes_acoes[Operação],"JCP")
+ SUMIFS(His_Operacoes_acoes[Total],His_Operacoes_acoes[Fimmes],Patrimônio!B770,His_Operacoes_acoes[Operação],"Divid.")
+ SUMIFS(His_Operacoes_acoes[Total],His_Operacoes_acoes[Fimmes],Patrimônio!B770,His_Operacoes_acoes[Operação],"Bonif.")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65777</v>
      </c>
      <c r="B771" s="7">
        <f t="shared" ref="B771:B834" si="51">EOMONTH(A771,-1)</f>
        <v>65776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SUMIFS(His_Operacoes_acoes[Total],His_Operacoes_acoes[Fimmes],Patrimônio!B771,His_Operacoes_acoes[Operação],"JCP")
+ SUMIFS(His_Operacoes_acoes[Total],His_Operacoes_acoes[Fimmes],Patrimônio!B771,His_Operacoes_acoes[Operação],"Divid.")
+ SUMIFS(His_Operacoes_acoes[Total],His_Operacoes_acoes[Fimmes],Patrimônio!B771,His_Operacoes_acoes[Operação],"Bonif.")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65806</v>
      </c>
      <c r="B772" s="7">
        <f t="shared" si="51"/>
        <v>65805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SUMIFS(His_Operacoes_acoes[Total],His_Operacoes_acoes[Fimmes],Patrimônio!B772,His_Operacoes_acoes[Operação],"JCP")
+ SUMIFS(His_Operacoes_acoes[Total],His_Operacoes_acoes[Fimmes],Patrimônio!B772,His_Operacoes_acoes[Operação],"Divid.")
+ SUMIFS(His_Operacoes_acoes[Total],His_Operacoes_acoes[Fimmes],Patrimônio!B772,His_Operacoes_acoes[Operação],"Bonif.")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65837</v>
      </c>
      <c r="B773" s="7">
        <f t="shared" si="51"/>
        <v>65836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SUMIFS(His_Operacoes_acoes[Total],His_Operacoes_acoes[Fimmes],Patrimônio!B773,His_Operacoes_acoes[Operação],"JCP")
+ SUMIFS(His_Operacoes_acoes[Total],His_Operacoes_acoes[Fimmes],Patrimônio!B773,His_Operacoes_acoes[Operação],"Divid.")
+ SUMIFS(His_Operacoes_acoes[Total],His_Operacoes_acoes[Fimmes],Patrimônio!B773,His_Operacoes_acoes[Operação],"Bonif.")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65867</v>
      </c>
      <c r="B774" s="7">
        <f t="shared" si="51"/>
        <v>65866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SUMIFS(His_Operacoes_acoes[Total],His_Operacoes_acoes[Fimmes],Patrimônio!B774,His_Operacoes_acoes[Operação],"JCP")
+ SUMIFS(His_Operacoes_acoes[Total],His_Operacoes_acoes[Fimmes],Patrimônio!B774,His_Operacoes_acoes[Operação],"Divid.")
+ SUMIFS(His_Operacoes_acoes[Total],His_Operacoes_acoes[Fimmes],Patrimônio!B774,His_Operacoes_acoes[Operação],"Bonif.")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65898</v>
      </c>
      <c r="B775" s="7">
        <f t="shared" si="51"/>
        <v>65897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SUMIFS(His_Operacoes_acoes[Total],His_Operacoes_acoes[Fimmes],Patrimônio!B775,His_Operacoes_acoes[Operação],"JCP")
+ SUMIFS(His_Operacoes_acoes[Total],His_Operacoes_acoes[Fimmes],Patrimônio!B775,His_Operacoes_acoes[Operação],"Divid.")
+ SUMIFS(His_Operacoes_acoes[Total],His_Operacoes_acoes[Fimmes],Patrimônio!B775,His_Operacoes_acoes[Operação],"Bonif.")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65928</v>
      </c>
      <c r="B776" s="7">
        <f t="shared" si="51"/>
        <v>65927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SUMIFS(His_Operacoes_acoes[Total],His_Operacoes_acoes[Fimmes],Patrimônio!B776,His_Operacoes_acoes[Operação],"JCP")
+ SUMIFS(His_Operacoes_acoes[Total],His_Operacoes_acoes[Fimmes],Patrimônio!B776,His_Operacoes_acoes[Operação],"Divid.")
+ SUMIFS(His_Operacoes_acoes[Total],His_Operacoes_acoes[Fimmes],Patrimônio!B776,His_Operacoes_acoes[Operação],"Bonif.")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65959</v>
      </c>
      <c r="B777" s="7">
        <f t="shared" si="51"/>
        <v>65958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SUMIFS(His_Operacoes_acoes[Total],His_Operacoes_acoes[Fimmes],Patrimônio!B777,His_Operacoes_acoes[Operação],"JCP")
+ SUMIFS(His_Operacoes_acoes[Total],His_Operacoes_acoes[Fimmes],Patrimônio!B777,His_Operacoes_acoes[Operação],"Divid.")
+ SUMIFS(His_Operacoes_acoes[Total],His_Operacoes_acoes[Fimmes],Patrimônio!B777,His_Operacoes_acoes[Operação],"Bonif.")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65990</v>
      </c>
      <c r="B778" s="7">
        <f t="shared" si="51"/>
        <v>65989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SUMIFS(His_Operacoes_acoes[Total],His_Operacoes_acoes[Fimmes],Patrimônio!B778,His_Operacoes_acoes[Operação],"JCP")
+ SUMIFS(His_Operacoes_acoes[Total],His_Operacoes_acoes[Fimmes],Patrimônio!B778,His_Operacoes_acoes[Operação],"Divid.")
+ SUMIFS(His_Operacoes_acoes[Total],His_Operacoes_acoes[Fimmes],Patrimônio!B778,His_Operacoes_acoes[Operação],"Bonif.")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66020</v>
      </c>
      <c r="B779" s="7">
        <f t="shared" si="51"/>
        <v>66019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SUMIFS(His_Operacoes_acoes[Total],His_Operacoes_acoes[Fimmes],Patrimônio!B779,His_Operacoes_acoes[Operação],"JCP")
+ SUMIFS(His_Operacoes_acoes[Total],His_Operacoes_acoes[Fimmes],Patrimônio!B779,His_Operacoes_acoes[Operação],"Divid.")
+ SUMIFS(His_Operacoes_acoes[Total],His_Operacoes_acoes[Fimmes],Patrimônio!B779,His_Operacoes_acoes[Operação],"Bonif.")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66051</v>
      </c>
      <c r="B780" s="7">
        <f t="shared" si="51"/>
        <v>66050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SUMIFS(His_Operacoes_acoes[Total],His_Operacoes_acoes[Fimmes],Patrimônio!B780,His_Operacoes_acoes[Operação],"JCP")
+ SUMIFS(His_Operacoes_acoes[Total],His_Operacoes_acoes[Fimmes],Patrimônio!B780,His_Operacoes_acoes[Operação],"Divid.")
+ SUMIFS(His_Operacoes_acoes[Total],His_Operacoes_acoes[Fimmes],Patrimônio!B780,His_Operacoes_acoes[Operação],"Bonif.")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66081</v>
      </c>
      <c r="B781" s="7">
        <f t="shared" si="51"/>
        <v>66080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SUMIFS(His_Operacoes_acoes[Total],His_Operacoes_acoes[Fimmes],Patrimônio!B781,His_Operacoes_acoes[Operação],"JCP")
+ SUMIFS(His_Operacoes_acoes[Total],His_Operacoes_acoes[Fimmes],Patrimônio!B781,His_Operacoes_acoes[Operação],"Divid.")
+ SUMIFS(His_Operacoes_acoes[Total],His_Operacoes_acoes[Fimmes],Patrimônio!B781,His_Operacoes_acoes[Operação],"Bonif.")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66112</v>
      </c>
      <c r="B782" s="7">
        <f t="shared" si="51"/>
        <v>66111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SUMIFS(His_Operacoes_acoes[Total],His_Operacoes_acoes[Fimmes],Patrimônio!B782,His_Operacoes_acoes[Operação],"JCP")
+ SUMIFS(His_Operacoes_acoes[Total],His_Operacoes_acoes[Fimmes],Patrimônio!B782,His_Operacoes_acoes[Operação],"Divid.")
+ SUMIFS(His_Operacoes_acoes[Total],His_Operacoes_acoes[Fimmes],Patrimônio!B782,His_Operacoes_acoes[Operação],"Bonif.")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66143</v>
      </c>
      <c r="B783" s="7">
        <f t="shared" si="51"/>
        <v>66142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SUMIFS(His_Operacoes_acoes[Total],His_Operacoes_acoes[Fimmes],Patrimônio!B783,His_Operacoes_acoes[Operação],"JCP")
+ SUMIFS(His_Operacoes_acoes[Total],His_Operacoes_acoes[Fimmes],Patrimônio!B783,His_Operacoes_acoes[Operação],"Divid.")
+ SUMIFS(His_Operacoes_acoes[Total],His_Operacoes_acoes[Fimmes],Patrimônio!B783,His_Operacoes_acoes[Operação],"Bonif.")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66171</v>
      </c>
      <c r="B784" s="7">
        <f t="shared" si="51"/>
        <v>66170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SUMIFS(His_Operacoes_acoes[Total],His_Operacoes_acoes[Fimmes],Patrimônio!B784,His_Operacoes_acoes[Operação],"JCP")
+ SUMIFS(His_Operacoes_acoes[Total],His_Operacoes_acoes[Fimmes],Patrimônio!B784,His_Operacoes_acoes[Operação],"Divid.")
+ SUMIFS(His_Operacoes_acoes[Total],His_Operacoes_acoes[Fimmes],Patrimônio!B784,His_Operacoes_acoes[Operação],"Bonif.")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66202</v>
      </c>
      <c r="B785" s="7">
        <f t="shared" si="51"/>
        <v>66201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SUMIFS(His_Operacoes_acoes[Total],His_Operacoes_acoes[Fimmes],Patrimônio!B785,His_Operacoes_acoes[Operação],"JCP")
+ SUMIFS(His_Operacoes_acoes[Total],His_Operacoes_acoes[Fimmes],Patrimônio!B785,His_Operacoes_acoes[Operação],"Divid.")
+ SUMIFS(His_Operacoes_acoes[Total],His_Operacoes_acoes[Fimmes],Patrimônio!B785,His_Operacoes_acoes[Operação],"Bonif.")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66232</v>
      </c>
      <c r="B786" s="7">
        <f t="shared" si="51"/>
        <v>66231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SUMIFS(His_Operacoes_acoes[Total],His_Operacoes_acoes[Fimmes],Patrimônio!B786,His_Operacoes_acoes[Operação],"JCP")
+ SUMIFS(His_Operacoes_acoes[Total],His_Operacoes_acoes[Fimmes],Patrimônio!B786,His_Operacoes_acoes[Operação],"Divid.")
+ SUMIFS(His_Operacoes_acoes[Total],His_Operacoes_acoes[Fimmes],Patrimônio!B786,His_Operacoes_acoes[Operação],"Bonif.")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66263</v>
      </c>
      <c r="B787" s="7">
        <f t="shared" si="51"/>
        <v>66262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SUMIFS(His_Operacoes_acoes[Total],His_Operacoes_acoes[Fimmes],Patrimônio!B787,His_Operacoes_acoes[Operação],"JCP")
+ SUMIFS(His_Operacoes_acoes[Total],His_Operacoes_acoes[Fimmes],Patrimônio!B787,His_Operacoes_acoes[Operação],"Divid.")
+ SUMIFS(His_Operacoes_acoes[Total],His_Operacoes_acoes[Fimmes],Patrimônio!B787,His_Operacoes_acoes[Operação],"Bonif.")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66293</v>
      </c>
      <c r="B788" s="7">
        <f t="shared" si="51"/>
        <v>66292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SUMIFS(His_Operacoes_acoes[Total],His_Operacoes_acoes[Fimmes],Patrimônio!B788,His_Operacoes_acoes[Operação],"JCP")
+ SUMIFS(His_Operacoes_acoes[Total],His_Operacoes_acoes[Fimmes],Patrimônio!B788,His_Operacoes_acoes[Operação],"Divid.")
+ SUMIFS(His_Operacoes_acoes[Total],His_Operacoes_acoes[Fimmes],Patrimônio!B788,His_Operacoes_acoes[Operação],"Bonif.")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66324</v>
      </c>
      <c r="B789" s="7">
        <f t="shared" si="51"/>
        <v>66323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SUMIFS(His_Operacoes_acoes[Total],His_Operacoes_acoes[Fimmes],Patrimônio!B789,His_Operacoes_acoes[Operação],"JCP")
+ SUMIFS(His_Operacoes_acoes[Total],His_Operacoes_acoes[Fimmes],Patrimônio!B789,His_Operacoes_acoes[Operação],"Divid.")
+ SUMIFS(His_Operacoes_acoes[Total],His_Operacoes_acoes[Fimmes],Patrimônio!B789,His_Operacoes_acoes[Operação],"Bonif.")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66355</v>
      </c>
      <c r="B790" s="7">
        <f t="shared" si="51"/>
        <v>66354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SUMIFS(His_Operacoes_acoes[Total],His_Operacoes_acoes[Fimmes],Patrimônio!B790,His_Operacoes_acoes[Operação],"JCP")
+ SUMIFS(His_Operacoes_acoes[Total],His_Operacoes_acoes[Fimmes],Patrimônio!B790,His_Operacoes_acoes[Operação],"Divid.")
+ SUMIFS(His_Operacoes_acoes[Total],His_Operacoes_acoes[Fimmes],Patrimônio!B790,His_Operacoes_acoes[Operação],"Bonif.")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66385</v>
      </c>
      <c r="B791" s="7">
        <f t="shared" si="51"/>
        <v>66384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SUMIFS(His_Operacoes_acoes[Total],His_Operacoes_acoes[Fimmes],Patrimônio!B791,His_Operacoes_acoes[Operação],"JCP")
+ SUMIFS(His_Operacoes_acoes[Total],His_Operacoes_acoes[Fimmes],Patrimônio!B791,His_Operacoes_acoes[Operação],"Divid.")
+ SUMIFS(His_Operacoes_acoes[Total],His_Operacoes_acoes[Fimmes],Patrimônio!B791,His_Operacoes_acoes[Operação],"Bonif.")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66416</v>
      </c>
      <c r="B792" s="7">
        <f t="shared" si="51"/>
        <v>66415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SUMIFS(His_Operacoes_acoes[Total],His_Operacoes_acoes[Fimmes],Patrimônio!B792,His_Operacoes_acoes[Operação],"JCP")
+ SUMIFS(His_Operacoes_acoes[Total],His_Operacoes_acoes[Fimmes],Patrimônio!B792,His_Operacoes_acoes[Operação],"Divid.")
+ SUMIFS(His_Operacoes_acoes[Total],His_Operacoes_acoes[Fimmes],Patrimônio!B792,His_Operacoes_acoes[Operação],"Bonif.")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66446</v>
      </c>
      <c r="B793" s="7">
        <f t="shared" si="51"/>
        <v>66445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SUMIFS(His_Operacoes_acoes[Total],His_Operacoes_acoes[Fimmes],Patrimônio!B793,His_Operacoes_acoes[Operação],"JCP")
+ SUMIFS(His_Operacoes_acoes[Total],His_Operacoes_acoes[Fimmes],Patrimônio!B793,His_Operacoes_acoes[Operação],"Divid.")
+ SUMIFS(His_Operacoes_acoes[Total],His_Operacoes_acoes[Fimmes],Patrimônio!B793,His_Operacoes_acoes[Operação],"Bonif.")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66477</v>
      </c>
      <c r="B794" s="7">
        <f t="shared" si="51"/>
        <v>66476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SUMIFS(His_Operacoes_acoes[Total],His_Operacoes_acoes[Fimmes],Patrimônio!B794,His_Operacoes_acoes[Operação],"JCP")
+ SUMIFS(His_Operacoes_acoes[Total],His_Operacoes_acoes[Fimmes],Patrimônio!B794,His_Operacoes_acoes[Operação],"Divid.")
+ SUMIFS(His_Operacoes_acoes[Total],His_Operacoes_acoes[Fimmes],Patrimônio!B794,His_Operacoes_acoes[Operação],"Bonif.")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66508</v>
      </c>
      <c r="B795" s="7">
        <f t="shared" si="51"/>
        <v>66507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SUMIFS(His_Operacoes_acoes[Total],His_Operacoes_acoes[Fimmes],Patrimônio!B795,His_Operacoes_acoes[Operação],"JCP")
+ SUMIFS(His_Operacoes_acoes[Total],His_Operacoes_acoes[Fimmes],Patrimônio!B795,His_Operacoes_acoes[Operação],"Divid.")
+ SUMIFS(His_Operacoes_acoes[Total],His_Operacoes_acoes[Fimmes],Patrimônio!B795,His_Operacoes_acoes[Operação],"Bonif.")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66536</v>
      </c>
      <c r="B796" s="7">
        <f t="shared" si="51"/>
        <v>66535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SUMIFS(His_Operacoes_acoes[Total],His_Operacoes_acoes[Fimmes],Patrimônio!B796,His_Operacoes_acoes[Operação],"JCP")
+ SUMIFS(His_Operacoes_acoes[Total],His_Operacoes_acoes[Fimmes],Patrimônio!B796,His_Operacoes_acoes[Operação],"Divid.")
+ SUMIFS(His_Operacoes_acoes[Total],His_Operacoes_acoes[Fimmes],Patrimônio!B796,His_Operacoes_acoes[Operação],"Bonif.")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66567</v>
      </c>
      <c r="B797" s="7">
        <f t="shared" si="51"/>
        <v>66566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SUMIFS(His_Operacoes_acoes[Total],His_Operacoes_acoes[Fimmes],Patrimônio!B797,His_Operacoes_acoes[Operação],"JCP")
+ SUMIFS(His_Operacoes_acoes[Total],His_Operacoes_acoes[Fimmes],Patrimônio!B797,His_Operacoes_acoes[Operação],"Divid.")
+ SUMIFS(His_Operacoes_acoes[Total],His_Operacoes_acoes[Fimmes],Patrimônio!B797,His_Operacoes_acoes[Operação],"Bonif.")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66597</v>
      </c>
      <c r="B798" s="7">
        <f t="shared" si="51"/>
        <v>66596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SUMIFS(His_Operacoes_acoes[Total],His_Operacoes_acoes[Fimmes],Patrimônio!B798,His_Operacoes_acoes[Operação],"JCP")
+ SUMIFS(His_Operacoes_acoes[Total],His_Operacoes_acoes[Fimmes],Patrimônio!B798,His_Operacoes_acoes[Operação],"Divid.")
+ SUMIFS(His_Operacoes_acoes[Total],His_Operacoes_acoes[Fimmes],Patrimônio!B798,His_Operacoes_acoes[Operação],"Bonif.")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66628</v>
      </c>
      <c r="B799" s="7">
        <f t="shared" si="51"/>
        <v>66627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SUMIFS(His_Operacoes_acoes[Total],His_Operacoes_acoes[Fimmes],Patrimônio!B799,His_Operacoes_acoes[Operação],"JCP")
+ SUMIFS(His_Operacoes_acoes[Total],His_Operacoes_acoes[Fimmes],Patrimônio!B799,His_Operacoes_acoes[Operação],"Divid.")
+ SUMIFS(His_Operacoes_acoes[Total],His_Operacoes_acoes[Fimmes],Patrimônio!B799,His_Operacoes_acoes[Operação],"Bonif.")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66658</v>
      </c>
      <c r="B800" s="7">
        <f t="shared" si="51"/>
        <v>66657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SUMIFS(His_Operacoes_acoes[Total],His_Operacoes_acoes[Fimmes],Patrimônio!B800,His_Operacoes_acoes[Operação],"JCP")
+ SUMIFS(His_Operacoes_acoes[Total],His_Operacoes_acoes[Fimmes],Patrimônio!B800,His_Operacoes_acoes[Operação],"Divid.")
+ SUMIFS(His_Operacoes_acoes[Total],His_Operacoes_acoes[Fimmes],Patrimônio!B800,His_Operacoes_acoes[Operação],"Bonif.")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66689</v>
      </c>
      <c r="B801" s="7">
        <f t="shared" si="51"/>
        <v>66688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SUMIFS(His_Operacoes_acoes[Total],His_Operacoes_acoes[Fimmes],Patrimônio!B801,His_Operacoes_acoes[Operação],"JCP")
+ SUMIFS(His_Operacoes_acoes[Total],His_Operacoes_acoes[Fimmes],Patrimônio!B801,His_Operacoes_acoes[Operação],"Divid.")
+ SUMIFS(His_Operacoes_acoes[Total],His_Operacoes_acoes[Fimmes],Patrimônio!B801,His_Operacoes_acoes[Operação],"Bonif.")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66720</v>
      </c>
      <c r="B802" s="7">
        <f t="shared" si="51"/>
        <v>66719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SUMIFS(His_Operacoes_acoes[Total],His_Operacoes_acoes[Fimmes],Patrimônio!B802,His_Operacoes_acoes[Operação],"JCP")
+ SUMIFS(His_Operacoes_acoes[Total],His_Operacoes_acoes[Fimmes],Patrimônio!B802,His_Operacoes_acoes[Operação],"Divid.")
+ SUMIFS(His_Operacoes_acoes[Total],His_Operacoes_acoes[Fimmes],Patrimônio!B802,His_Operacoes_acoes[Operação],"Bonif.")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66750</v>
      </c>
      <c r="B803" s="7">
        <f t="shared" si="51"/>
        <v>66749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SUMIFS(His_Operacoes_acoes[Total],His_Operacoes_acoes[Fimmes],Patrimônio!B803,His_Operacoes_acoes[Operação],"JCP")
+ SUMIFS(His_Operacoes_acoes[Total],His_Operacoes_acoes[Fimmes],Patrimônio!B803,His_Operacoes_acoes[Operação],"Divid.")
+ SUMIFS(His_Operacoes_acoes[Total],His_Operacoes_acoes[Fimmes],Patrimônio!B803,His_Operacoes_acoes[Operação],"Bonif.")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66781</v>
      </c>
      <c r="B804" s="7">
        <f t="shared" si="51"/>
        <v>66780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SUMIFS(His_Operacoes_acoes[Total],His_Operacoes_acoes[Fimmes],Patrimônio!B804,His_Operacoes_acoes[Operação],"JCP")
+ SUMIFS(His_Operacoes_acoes[Total],His_Operacoes_acoes[Fimmes],Patrimônio!B804,His_Operacoes_acoes[Operação],"Divid.")
+ SUMIFS(His_Operacoes_acoes[Total],His_Operacoes_acoes[Fimmes],Patrimônio!B804,His_Operacoes_acoes[Operação],"Bonif.")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66811</v>
      </c>
      <c r="B805" s="7">
        <f t="shared" si="51"/>
        <v>66810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SUMIFS(His_Operacoes_acoes[Total],His_Operacoes_acoes[Fimmes],Patrimônio!B805,His_Operacoes_acoes[Operação],"JCP")
+ SUMIFS(His_Operacoes_acoes[Total],His_Operacoes_acoes[Fimmes],Patrimônio!B805,His_Operacoes_acoes[Operação],"Divid.")
+ SUMIFS(His_Operacoes_acoes[Total],His_Operacoes_acoes[Fimmes],Patrimônio!B805,His_Operacoes_acoes[Operação],"Bonif.")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66842</v>
      </c>
      <c r="B806" s="7">
        <f t="shared" si="51"/>
        <v>66841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SUMIFS(His_Operacoes_acoes[Total],His_Operacoes_acoes[Fimmes],Patrimônio!B806,His_Operacoes_acoes[Operação],"JCP")
+ SUMIFS(His_Operacoes_acoes[Total],His_Operacoes_acoes[Fimmes],Patrimônio!B806,His_Operacoes_acoes[Operação],"Divid.")
+ SUMIFS(His_Operacoes_acoes[Total],His_Operacoes_acoes[Fimmes],Patrimônio!B806,His_Operacoes_acoes[Operação],"Bonif.")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66873</v>
      </c>
      <c r="B807" s="7">
        <f t="shared" si="51"/>
        <v>66872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SUMIFS(His_Operacoes_acoes[Total],His_Operacoes_acoes[Fimmes],Patrimônio!B807,His_Operacoes_acoes[Operação],"JCP")
+ SUMIFS(His_Operacoes_acoes[Total],His_Operacoes_acoes[Fimmes],Patrimônio!B807,His_Operacoes_acoes[Operação],"Divid.")
+ SUMIFS(His_Operacoes_acoes[Total],His_Operacoes_acoes[Fimmes],Patrimônio!B807,His_Operacoes_acoes[Operação],"Bonif.")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66901</v>
      </c>
      <c r="B808" s="7">
        <f t="shared" si="51"/>
        <v>66900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SUMIFS(His_Operacoes_acoes[Total],His_Operacoes_acoes[Fimmes],Patrimônio!B808,His_Operacoes_acoes[Operação],"JCP")
+ SUMIFS(His_Operacoes_acoes[Total],His_Operacoes_acoes[Fimmes],Patrimônio!B808,His_Operacoes_acoes[Operação],"Divid.")
+ SUMIFS(His_Operacoes_acoes[Total],His_Operacoes_acoes[Fimmes],Patrimônio!B808,His_Operacoes_acoes[Operação],"Bonif.")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66932</v>
      </c>
      <c r="B809" s="7">
        <f t="shared" si="51"/>
        <v>66931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SUMIFS(His_Operacoes_acoes[Total],His_Operacoes_acoes[Fimmes],Patrimônio!B809,His_Operacoes_acoes[Operação],"JCP")
+ SUMIFS(His_Operacoes_acoes[Total],His_Operacoes_acoes[Fimmes],Patrimônio!B809,His_Operacoes_acoes[Operação],"Divid.")
+ SUMIFS(His_Operacoes_acoes[Total],His_Operacoes_acoes[Fimmes],Patrimônio!B809,His_Operacoes_acoes[Operação],"Bonif.")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66962</v>
      </c>
      <c r="B810" s="7">
        <f t="shared" si="51"/>
        <v>66961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SUMIFS(His_Operacoes_acoes[Total],His_Operacoes_acoes[Fimmes],Patrimônio!B810,His_Operacoes_acoes[Operação],"JCP")
+ SUMIFS(His_Operacoes_acoes[Total],His_Operacoes_acoes[Fimmes],Patrimônio!B810,His_Operacoes_acoes[Operação],"Divid.")
+ SUMIFS(His_Operacoes_acoes[Total],His_Operacoes_acoes[Fimmes],Patrimônio!B810,His_Operacoes_acoes[Operação],"Bonif.")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66993</v>
      </c>
      <c r="B811" s="7">
        <f t="shared" si="51"/>
        <v>66992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SUMIFS(His_Operacoes_acoes[Total],His_Operacoes_acoes[Fimmes],Patrimônio!B811,His_Operacoes_acoes[Operação],"JCP")
+ SUMIFS(His_Operacoes_acoes[Total],His_Operacoes_acoes[Fimmes],Patrimônio!B811,His_Operacoes_acoes[Operação],"Divid.")
+ SUMIFS(His_Operacoes_acoes[Total],His_Operacoes_acoes[Fimmes],Patrimônio!B811,His_Operacoes_acoes[Operação],"Bonif.")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67023</v>
      </c>
      <c r="B812" s="7">
        <f t="shared" si="51"/>
        <v>67022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SUMIFS(His_Operacoes_acoes[Total],His_Operacoes_acoes[Fimmes],Patrimônio!B812,His_Operacoes_acoes[Operação],"JCP")
+ SUMIFS(His_Operacoes_acoes[Total],His_Operacoes_acoes[Fimmes],Patrimônio!B812,His_Operacoes_acoes[Operação],"Divid.")
+ SUMIFS(His_Operacoes_acoes[Total],His_Operacoes_acoes[Fimmes],Patrimônio!B812,His_Operacoes_acoes[Operação],"Bonif.")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67054</v>
      </c>
      <c r="B813" s="7">
        <f t="shared" si="51"/>
        <v>67053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SUMIFS(His_Operacoes_acoes[Total],His_Operacoes_acoes[Fimmes],Patrimônio!B813,His_Operacoes_acoes[Operação],"JCP")
+ SUMIFS(His_Operacoes_acoes[Total],His_Operacoes_acoes[Fimmes],Patrimônio!B813,His_Operacoes_acoes[Operação],"Divid.")
+ SUMIFS(His_Operacoes_acoes[Total],His_Operacoes_acoes[Fimmes],Patrimônio!B813,His_Operacoes_acoes[Operação],"Bonif.")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67085</v>
      </c>
      <c r="B814" s="7">
        <f t="shared" si="51"/>
        <v>67084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SUMIFS(His_Operacoes_acoes[Total],His_Operacoes_acoes[Fimmes],Patrimônio!B814,His_Operacoes_acoes[Operação],"JCP")
+ SUMIFS(His_Operacoes_acoes[Total],His_Operacoes_acoes[Fimmes],Patrimônio!B814,His_Operacoes_acoes[Operação],"Divid.")
+ SUMIFS(His_Operacoes_acoes[Total],His_Operacoes_acoes[Fimmes],Patrimônio!B814,His_Operacoes_acoes[Operação],"Bonif.")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67115</v>
      </c>
      <c r="B815" s="7">
        <f t="shared" si="51"/>
        <v>67114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SUMIFS(His_Operacoes_acoes[Total],His_Operacoes_acoes[Fimmes],Patrimônio!B815,His_Operacoes_acoes[Operação],"JCP")
+ SUMIFS(His_Operacoes_acoes[Total],His_Operacoes_acoes[Fimmes],Patrimônio!B815,His_Operacoes_acoes[Operação],"Divid.")
+ SUMIFS(His_Operacoes_acoes[Total],His_Operacoes_acoes[Fimmes],Patrimônio!B815,His_Operacoes_acoes[Operação],"Bonif.")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67146</v>
      </c>
      <c r="B816" s="7">
        <f t="shared" si="51"/>
        <v>67145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SUMIFS(His_Operacoes_acoes[Total],His_Operacoes_acoes[Fimmes],Patrimônio!B816,His_Operacoes_acoes[Operação],"JCP")
+ SUMIFS(His_Operacoes_acoes[Total],His_Operacoes_acoes[Fimmes],Patrimônio!B816,His_Operacoes_acoes[Operação],"Divid.")
+ SUMIFS(His_Operacoes_acoes[Total],His_Operacoes_acoes[Fimmes],Patrimônio!B816,His_Operacoes_acoes[Operação],"Bonif.")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67176</v>
      </c>
      <c r="B817" s="7">
        <f t="shared" si="51"/>
        <v>67175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SUMIFS(His_Operacoes_acoes[Total],His_Operacoes_acoes[Fimmes],Patrimônio!B817,His_Operacoes_acoes[Operação],"JCP")
+ SUMIFS(His_Operacoes_acoes[Total],His_Operacoes_acoes[Fimmes],Patrimônio!B817,His_Operacoes_acoes[Operação],"Divid.")
+ SUMIFS(His_Operacoes_acoes[Total],His_Operacoes_acoes[Fimmes],Patrimônio!B817,His_Operacoes_acoes[Operação],"Bonif.")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67207</v>
      </c>
      <c r="B818" s="7">
        <f t="shared" si="51"/>
        <v>67206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SUMIFS(His_Operacoes_acoes[Total],His_Operacoes_acoes[Fimmes],Patrimônio!B818,His_Operacoes_acoes[Operação],"JCP")
+ SUMIFS(His_Operacoes_acoes[Total],His_Operacoes_acoes[Fimmes],Patrimônio!B818,His_Operacoes_acoes[Operação],"Divid.")
+ SUMIFS(His_Operacoes_acoes[Total],His_Operacoes_acoes[Fimmes],Patrimônio!B818,His_Operacoes_acoes[Operação],"Bonif.")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67238</v>
      </c>
      <c r="B819" s="7">
        <f t="shared" si="51"/>
        <v>67237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SUMIFS(His_Operacoes_acoes[Total],His_Operacoes_acoes[Fimmes],Patrimônio!B819,His_Operacoes_acoes[Operação],"JCP")
+ SUMIFS(His_Operacoes_acoes[Total],His_Operacoes_acoes[Fimmes],Patrimônio!B819,His_Operacoes_acoes[Operação],"Divid.")
+ SUMIFS(His_Operacoes_acoes[Total],His_Operacoes_acoes[Fimmes],Patrimônio!B819,His_Operacoes_acoes[Operação],"Bonif.")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67267</v>
      </c>
      <c r="B820" s="7">
        <f t="shared" si="51"/>
        <v>67266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SUMIFS(His_Operacoes_acoes[Total],His_Operacoes_acoes[Fimmes],Patrimônio!B820,His_Operacoes_acoes[Operação],"JCP")
+ SUMIFS(His_Operacoes_acoes[Total],His_Operacoes_acoes[Fimmes],Patrimônio!B820,His_Operacoes_acoes[Operação],"Divid.")
+ SUMIFS(His_Operacoes_acoes[Total],His_Operacoes_acoes[Fimmes],Patrimônio!B820,His_Operacoes_acoes[Operação],"Bonif.")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67298</v>
      </c>
      <c r="B821" s="7">
        <f t="shared" si="51"/>
        <v>67297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SUMIFS(His_Operacoes_acoes[Total],His_Operacoes_acoes[Fimmes],Patrimônio!B821,His_Operacoes_acoes[Operação],"JCP")
+ SUMIFS(His_Operacoes_acoes[Total],His_Operacoes_acoes[Fimmes],Patrimônio!B821,His_Operacoes_acoes[Operação],"Divid.")
+ SUMIFS(His_Operacoes_acoes[Total],His_Operacoes_acoes[Fimmes],Patrimônio!B821,His_Operacoes_acoes[Operação],"Bonif.")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67328</v>
      </c>
      <c r="B822" s="7">
        <f t="shared" si="51"/>
        <v>67327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SUMIFS(His_Operacoes_acoes[Total],His_Operacoes_acoes[Fimmes],Patrimônio!B822,His_Operacoes_acoes[Operação],"JCP")
+ SUMIFS(His_Operacoes_acoes[Total],His_Operacoes_acoes[Fimmes],Patrimônio!B822,His_Operacoes_acoes[Operação],"Divid.")
+ SUMIFS(His_Operacoes_acoes[Total],His_Operacoes_acoes[Fimmes],Patrimônio!B822,His_Operacoes_acoes[Operação],"Bonif.")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67359</v>
      </c>
      <c r="B823" s="7">
        <f t="shared" si="51"/>
        <v>67358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SUMIFS(His_Operacoes_acoes[Total],His_Operacoes_acoes[Fimmes],Patrimônio!B823,His_Operacoes_acoes[Operação],"JCP")
+ SUMIFS(His_Operacoes_acoes[Total],His_Operacoes_acoes[Fimmes],Patrimônio!B823,His_Operacoes_acoes[Operação],"Divid.")
+ SUMIFS(His_Operacoes_acoes[Total],His_Operacoes_acoes[Fimmes],Patrimônio!B823,His_Operacoes_acoes[Operação],"Bonif.")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67389</v>
      </c>
      <c r="B824" s="7">
        <f t="shared" si="51"/>
        <v>67388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SUMIFS(His_Operacoes_acoes[Total],His_Operacoes_acoes[Fimmes],Patrimônio!B824,His_Operacoes_acoes[Operação],"JCP")
+ SUMIFS(His_Operacoes_acoes[Total],His_Operacoes_acoes[Fimmes],Patrimônio!B824,His_Operacoes_acoes[Operação],"Divid.")
+ SUMIFS(His_Operacoes_acoes[Total],His_Operacoes_acoes[Fimmes],Patrimônio!B824,His_Operacoes_acoes[Operação],"Bonif.")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67420</v>
      </c>
      <c r="B825" s="7">
        <f t="shared" si="51"/>
        <v>67419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SUMIFS(His_Operacoes_acoes[Total],His_Operacoes_acoes[Fimmes],Patrimônio!B825,His_Operacoes_acoes[Operação],"JCP")
+ SUMIFS(His_Operacoes_acoes[Total],His_Operacoes_acoes[Fimmes],Patrimônio!B825,His_Operacoes_acoes[Operação],"Divid.")
+ SUMIFS(His_Operacoes_acoes[Total],His_Operacoes_acoes[Fimmes],Patrimônio!B825,His_Operacoes_acoes[Operação],"Bonif.")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67451</v>
      </c>
      <c r="B826" s="7">
        <f t="shared" si="51"/>
        <v>67450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SUMIFS(His_Operacoes_acoes[Total],His_Operacoes_acoes[Fimmes],Patrimônio!B826,His_Operacoes_acoes[Operação],"JCP")
+ SUMIFS(His_Operacoes_acoes[Total],His_Operacoes_acoes[Fimmes],Patrimônio!B826,His_Operacoes_acoes[Operação],"Divid.")
+ SUMIFS(His_Operacoes_acoes[Total],His_Operacoes_acoes[Fimmes],Patrimônio!B826,His_Operacoes_acoes[Operação],"Bonif.")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67481</v>
      </c>
      <c r="B827" s="7">
        <f t="shared" si="51"/>
        <v>67480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SUMIFS(His_Operacoes_acoes[Total],His_Operacoes_acoes[Fimmes],Patrimônio!B827,His_Operacoes_acoes[Operação],"JCP")
+ SUMIFS(His_Operacoes_acoes[Total],His_Operacoes_acoes[Fimmes],Patrimônio!B827,His_Operacoes_acoes[Operação],"Divid.")
+ SUMIFS(His_Operacoes_acoes[Total],His_Operacoes_acoes[Fimmes],Patrimônio!B827,His_Operacoes_acoes[Operação],"Bonif.")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67512</v>
      </c>
      <c r="B828" s="7">
        <f t="shared" si="51"/>
        <v>67511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SUMIFS(His_Operacoes_acoes[Total],His_Operacoes_acoes[Fimmes],Patrimônio!B828,His_Operacoes_acoes[Operação],"JCP")
+ SUMIFS(His_Operacoes_acoes[Total],His_Operacoes_acoes[Fimmes],Patrimônio!B828,His_Operacoes_acoes[Operação],"Divid.")
+ SUMIFS(His_Operacoes_acoes[Total],His_Operacoes_acoes[Fimmes],Patrimônio!B828,His_Operacoes_acoes[Operação],"Bonif.")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67542</v>
      </c>
      <c r="B829" s="7">
        <f t="shared" si="51"/>
        <v>67541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SUMIFS(His_Operacoes_acoes[Total],His_Operacoes_acoes[Fimmes],Patrimônio!B829,His_Operacoes_acoes[Operação],"JCP")
+ SUMIFS(His_Operacoes_acoes[Total],His_Operacoes_acoes[Fimmes],Patrimônio!B829,His_Operacoes_acoes[Operação],"Divid.")
+ SUMIFS(His_Operacoes_acoes[Total],His_Operacoes_acoes[Fimmes],Patrimônio!B829,His_Operacoes_acoes[Operação],"Bonif.")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67573</v>
      </c>
      <c r="B830" s="7">
        <f t="shared" si="51"/>
        <v>67572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SUMIFS(His_Operacoes_acoes[Total],His_Operacoes_acoes[Fimmes],Patrimônio!B830,His_Operacoes_acoes[Operação],"JCP")
+ SUMIFS(His_Operacoes_acoes[Total],His_Operacoes_acoes[Fimmes],Patrimônio!B830,His_Operacoes_acoes[Operação],"Divid.")
+ SUMIFS(His_Operacoes_acoes[Total],His_Operacoes_acoes[Fimmes],Patrimônio!B830,His_Operacoes_acoes[Operação],"Bonif.")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67604</v>
      </c>
      <c r="B831" s="7">
        <f t="shared" si="51"/>
        <v>67603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SUMIFS(His_Operacoes_acoes[Total],His_Operacoes_acoes[Fimmes],Patrimônio!B831,His_Operacoes_acoes[Operação],"JCP")
+ SUMIFS(His_Operacoes_acoes[Total],His_Operacoes_acoes[Fimmes],Patrimônio!B831,His_Operacoes_acoes[Operação],"Divid.")
+ SUMIFS(His_Operacoes_acoes[Total],His_Operacoes_acoes[Fimmes],Patrimônio!B831,His_Operacoes_acoes[Operação],"Bonif.")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67632</v>
      </c>
      <c r="B832" s="7">
        <f t="shared" si="51"/>
        <v>67631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SUMIFS(His_Operacoes_acoes[Total],His_Operacoes_acoes[Fimmes],Patrimônio!B832,His_Operacoes_acoes[Operação],"JCP")
+ SUMIFS(His_Operacoes_acoes[Total],His_Operacoes_acoes[Fimmes],Patrimônio!B832,His_Operacoes_acoes[Operação],"Divid.")
+ SUMIFS(His_Operacoes_acoes[Total],His_Operacoes_acoes[Fimmes],Patrimônio!B832,His_Operacoes_acoes[Operação],"Bonif.")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67663</v>
      </c>
      <c r="B833" s="7">
        <f t="shared" si="51"/>
        <v>67662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SUMIFS(His_Operacoes_acoes[Total],His_Operacoes_acoes[Fimmes],Patrimônio!B833,His_Operacoes_acoes[Operação],"JCP")
+ SUMIFS(His_Operacoes_acoes[Total],His_Operacoes_acoes[Fimmes],Patrimônio!B833,His_Operacoes_acoes[Operação],"Divid.")
+ SUMIFS(His_Operacoes_acoes[Total],His_Operacoes_acoes[Fimmes],Patrimônio!B833,His_Operacoes_acoes[Operação],"Bonif.")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67693</v>
      </c>
      <c r="B834" s="7">
        <f t="shared" si="51"/>
        <v>67692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SUMIFS(His_Operacoes_acoes[Total],His_Operacoes_acoes[Fimmes],Patrimônio!B834,His_Operacoes_acoes[Operação],"JCP")
+ SUMIFS(His_Operacoes_acoes[Total],His_Operacoes_acoes[Fimmes],Patrimônio!B834,His_Operacoes_acoes[Operação],"Divid.")
+ SUMIFS(His_Operacoes_acoes[Total],His_Operacoes_acoes[Fimmes],Patrimônio!B834,His_Operacoes_acoes[Operação],"Bonif.")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67724</v>
      </c>
      <c r="B835" s="7">
        <f t="shared" ref="B835:B898" si="55">EOMONTH(A835,-1)</f>
        <v>67723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SUMIFS(His_Operacoes_acoes[Total],His_Operacoes_acoes[Fimmes],Patrimônio!B835,His_Operacoes_acoes[Operação],"JCP")
+ SUMIFS(His_Operacoes_acoes[Total],His_Operacoes_acoes[Fimmes],Patrimônio!B835,His_Operacoes_acoes[Operação],"Divid.")
+ SUMIFS(His_Operacoes_acoes[Total],His_Operacoes_acoes[Fimmes],Patrimônio!B835,His_Operacoes_acoes[Operação],"Bonif.")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67754</v>
      </c>
      <c r="B836" s="7">
        <f t="shared" si="55"/>
        <v>67753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SUMIFS(His_Operacoes_acoes[Total],His_Operacoes_acoes[Fimmes],Patrimônio!B836,His_Operacoes_acoes[Operação],"JCP")
+ SUMIFS(His_Operacoes_acoes[Total],His_Operacoes_acoes[Fimmes],Patrimônio!B836,His_Operacoes_acoes[Operação],"Divid.")
+ SUMIFS(His_Operacoes_acoes[Total],His_Operacoes_acoes[Fimmes],Patrimônio!B836,His_Operacoes_acoes[Operação],"Bonif.")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67785</v>
      </c>
      <c r="B837" s="7">
        <f t="shared" si="55"/>
        <v>67784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SUMIFS(His_Operacoes_acoes[Total],His_Operacoes_acoes[Fimmes],Patrimônio!B837,His_Operacoes_acoes[Operação],"JCP")
+ SUMIFS(His_Operacoes_acoes[Total],His_Operacoes_acoes[Fimmes],Patrimônio!B837,His_Operacoes_acoes[Operação],"Divid.")
+ SUMIFS(His_Operacoes_acoes[Total],His_Operacoes_acoes[Fimmes],Patrimônio!B837,His_Operacoes_acoes[Operação],"Bonif.")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67816</v>
      </c>
      <c r="B838" s="7">
        <f t="shared" si="55"/>
        <v>67815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SUMIFS(His_Operacoes_acoes[Total],His_Operacoes_acoes[Fimmes],Patrimônio!B838,His_Operacoes_acoes[Operação],"JCP")
+ SUMIFS(His_Operacoes_acoes[Total],His_Operacoes_acoes[Fimmes],Patrimônio!B838,His_Operacoes_acoes[Operação],"Divid.")
+ SUMIFS(His_Operacoes_acoes[Total],His_Operacoes_acoes[Fimmes],Patrimônio!B838,His_Operacoes_acoes[Operação],"Bonif.")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67846</v>
      </c>
      <c r="B839" s="7">
        <f t="shared" si="55"/>
        <v>67845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SUMIFS(His_Operacoes_acoes[Total],His_Operacoes_acoes[Fimmes],Patrimônio!B839,His_Operacoes_acoes[Operação],"JCP")
+ SUMIFS(His_Operacoes_acoes[Total],His_Operacoes_acoes[Fimmes],Patrimônio!B839,His_Operacoes_acoes[Operação],"Divid.")
+ SUMIFS(His_Operacoes_acoes[Total],His_Operacoes_acoes[Fimmes],Patrimônio!B839,His_Operacoes_acoes[Operação],"Bonif.")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67877</v>
      </c>
      <c r="B840" s="7">
        <f t="shared" si="55"/>
        <v>67876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SUMIFS(His_Operacoes_acoes[Total],His_Operacoes_acoes[Fimmes],Patrimônio!B840,His_Operacoes_acoes[Operação],"JCP")
+ SUMIFS(His_Operacoes_acoes[Total],His_Operacoes_acoes[Fimmes],Patrimônio!B840,His_Operacoes_acoes[Operação],"Divid.")
+ SUMIFS(His_Operacoes_acoes[Total],His_Operacoes_acoes[Fimmes],Patrimônio!B840,His_Operacoes_acoes[Operação],"Bonif.")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67907</v>
      </c>
      <c r="B841" s="7">
        <f t="shared" si="55"/>
        <v>67906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SUMIFS(His_Operacoes_acoes[Total],His_Operacoes_acoes[Fimmes],Patrimônio!B841,His_Operacoes_acoes[Operação],"JCP")
+ SUMIFS(His_Operacoes_acoes[Total],His_Operacoes_acoes[Fimmes],Patrimônio!B841,His_Operacoes_acoes[Operação],"Divid.")
+ SUMIFS(His_Operacoes_acoes[Total],His_Operacoes_acoes[Fimmes],Patrimônio!B841,His_Operacoes_acoes[Operação],"Bonif.")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67938</v>
      </c>
      <c r="B842" s="7">
        <f t="shared" si="55"/>
        <v>67937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SUMIFS(His_Operacoes_acoes[Total],His_Operacoes_acoes[Fimmes],Patrimônio!B842,His_Operacoes_acoes[Operação],"JCP")
+ SUMIFS(His_Operacoes_acoes[Total],His_Operacoes_acoes[Fimmes],Patrimônio!B842,His_Operacoes_acoes[Operação],"Divid.")
+ SUMIFS(His_Operacoes_acoes[Total],His_Operacoes_acoes[Fimmes],Patrimônio!B842,His_Operacoes_acoes[Operação],"Bonif.")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67969</v>
      </c>
      <c r="B843" s="7">
        <f t="shared" si="55"/>
        <v>67968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SUMIFS(His_Operacoes_acoes[Total],His_Operacoes_acoes[Fimmes],Patrimônio!B843,His_Operacoes_acoes[Operação],"JCP")
+ SUMIFS(His_Operacoes_acoes[Total],His_Operacoes_acoes[Fimmes],Patrimônio!B843,His_Operacoes_acoes[Operação],"Divid.")
+ SUMIFS(His_Operacoes_acoes[Total],His_Operacoes_acoes[Fimmes],Patrimônio!B843,His_Operacoes_acoes[Operação],"Bonif.")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67997</v>
      </c>
      <c r="B844" s="7">
        <f t="shared" si="55"/>
        <v>67996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SUMIFS(His_Operacoes_acoes[Total],His_Operacoes_acoes[Fimmes],Patrimônio!B844,His_Operacoes_acoes[Operação],"JCP")
+ SUMIFS(His_Operacoes_acoes[Total],His_Operacoes_acoes[Fimmes],Patrimônio!B844,His_Operacoes_acoes[Operação],"Divid.")
+ SUMIFS(His_Operacoes_acoes[Total],His_Operacoes_acoes[Fimmes],Patrimônio!B844,His_Operacoes_acoes[Operação],"Bonif.")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68028</v>
      </c>
      <c r="B845" s="7">
        <f t="shared" si="55"/>
        <v>68027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SUMIFS(His_Operacoes_acoes[Total],His_Operacoes_acoes[Fimmes],Patrimônio!B845,His_Operacoes_acoes[Operação],"JCP")
+ SUMIFS(His_Operacoes_acoes[Total],His_Operacoes_acoes[Fimmes],Patrimônio!B845,His_Operacoes_acoes[Operação],"Divid.")
+ SUMIFS(His_Operacoes_acoes[Total],His_Operacoes_acoes[Fimmes],Patrimônio!B845,His_Operacoes_acoes[Operação],"Bonif.")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68058</v>
      </c>
      <c r="B846" s="7">
        <f t="shared" si="55"/>
        <v>68057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SUMIFS(His_Operacoes_acoes[Total],His_Operacoes_acoes[Fimmes],Patrimônio!B846,His_Operacoes_acoes[Operação],"JCP")
+ SUMIFS(His_Operacoes_acoes[Total],His_Operacoes_acoes[Fimmes],Patrimônio!B846,His_Operacoes_acoes[Operação],"Divid.")
+ SUMIFS(His_Operacoes_acoes[Total],His_Operacoes_acoes[Fimmes],Patrimônio!B846,His_Operacoes_acoes[Operação],"Bonif.")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68089</v>
      </c>
      <c r="B847" s="7">
        <f t="shared" si="55"/>
        <v>68088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SUMIFS(His_Operacoes_acoes[Total],His_Operacoes_acoes[Fimmes],Patrimônio!B847,His_Operacoes_acoes[Operação],"JCP")
+ SUMIFS(His_Operacoes_acoes[Total],His_Operacoes_acoes[Fimmes],Patrimônio!B847,His_Operacoes_acoes[Operação],"Divid.")
+ SUMIFS(His_Operacoes_acoes[Total],His_Operacoes_acoes[Fimmes],Patrimônio!B847,His_Operacoes_acoes[Operação],"Bonif.")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68119</v>
      </c>
      <c r="B848" s="7">
        <f t="shared" si="55"/>
        <v>68118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SUMIFS(His_Operacoes_acoes[Total],His_Operacoes_acoes[Fimmes],Patrimônio!B848,His_Operacoes_acoes[Operação],"JCP")
+ SUMIFS(His_Operacoes_acoes[Total],His_Operacoes_acoes[Fimmes],Patrimônio!B848,His_Operacoes_acoes[Operação],"Divid.")
+ SUMIFS(His_Operacoes_acoes[Total],His_Operacoes_acoes[Fimmes],Patrimônio!B848,His_Operacoes_acoes[Operação],"Bonif.")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68150</v>
      </c>
      <c r="B849" s="7">
        <f t="shared" si="55"/>
        <v>68149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SUMIFS(His_Operacoes_acoes[Total],His_Operacoes_acoes[Fimmes],Patrimônio!B849,His_Operacoes_acoes[Operação],"JCP")
+ SUMIFS(His_Operacoes_acoes[Total],His_Operacoes_acoes[Fimmes],Patrimônio!B849,His_Operacoes_acoes[Operação],"Divid.")
+ SUMIFS(His_Operacoes_acoes[Total],His_Operacoes_acoes[Fimmes],Patrimônio!B849,His_Operacoes_acoes[Operação],"Bonif.")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68181</v>
      </c>
      <c r="B850" s="7">
        <f t="shared" si="55"/>
        <v>68180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SUMIFS(His_Operacoes_acoes[Total],His_Operacoes_acoes[Fimmes],Patrimônio!B850,His_Operacoes_acoes[Operação],"JCP")
+ SUMIFS(His_Operacoes_acoes[Total],His_Operacoes_acoes[Fimmes],Patrimônio!B850,His_Operacoes_acoes[Operação],"Divid.")
+ SUMIFS(His_Operacoes_acoes[Total],His_Operacoes_acoes[Fimmes],Patrimônio!B850,His_Operacoes_acoes[Operação],"Bonif.")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68211</v>
      </c>
      <c r="B851" s="7">
        <f t="shared" si="55"/>
        <v>68210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SUMIFS(His_Operacoes_acoes[Total],His_Operacoes_acoes[Fimmes],Patrimônio!B851,His_Operacoes_acoes[Operação],"JCP")
+ SUMIFS(His_Operacoes_acoes[Total],His_Operacoes_acoes[Fimmes],Patrimônio!B851,His_Operacoes_acoes[Operação],"Divid.")
+ SUMIFS(His_Operacoes_acoes[Total],His_Operacoes_acoes[Fimmes],Patrimônio!B851,His_Operacoes_acoes[Operação],"Bonif.")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68242</v>
      </c>
      <c r="B852" s="7">
        <f t="shared" si="55"/>
        <v>68241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SUMIFS(His_Operacoes_acoes[Total],His_Operacoes_acoes[Fimmes],Patrimônio!B852,His_Operacoes_acoes[Operação],"JCP")
+ SUMIFS(His_Operacoes_acoes[Total],His_Operacoes_acoes[Fimmes],Patrimônio!B852,His_Operacoes_acoes[Operação],"Divid.")
+ SUMIFS(His_Operacoes_acoes[Total],His_Operacoes_acoes[Fimmes],Patrimônio!B852,His_Operacoes_acoes[Operação],"Bonif.")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68272</v>
      </c>
      <c r="B853" s="7">
        <f t="shared" si="55"/>
        <v>68271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SUMIFS(His_Operacoes_acoes[Total],His_Operacoes_acoes[Fimmes],Patrimônio!B853,His_Operacoes_acoes[Operação],"JCP")
+ SUMIFS(His_Operacoes_acoes[Total],His_Operacoes_acoes[Fimmes],Patrimônio!B853,His_Operacoes_acoes[Operação],"Divid.")
+ SUMIFS(His_Operacoes_acoes[Total],His_Operacoes_acoes[Fimmes],Patrimônio!B853,His_Operacoes_acoes[Operação],"Bonif.")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68303</v>
      </c>
      <c r="B854" s="7">
        <f t="shared" si="55"/>
        <v>68302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SUMIFS(His_Operacoes_acoes[Total],His_Operacoes_acoes[Fimmes],Patrimônio!B854,His_Operacoes_acoes[Operação],"JCP")
+ SUMIFS(His_Operacoes_acoes[Total],His_Operacoes_acoes[Fimmes],Patrimônio!B854,His_Operacoes_acoes[Operação],"Divid.")
+ SUMIFS(His_Operacoes_acoes[Total],His_Operacoes_acoes[Fimmes],Patrimônio!B854,His_Operacoes_acoes[Operação],"Bonif.")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68334</v>
      </c>
      <c r="B855" s="7">
        <f t="shared" si="55"/>
        <v>68333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SUMIFS(His_Operacoes_acoes[Total],His_Operacoes_acoes[Fimmes],Patrimônio!B855,His_Operacoes_acoes[Operação],"JCP")
+ SUMIFS(His_Operacoes_acoes[Total],His_Operacoes_acoes[Fimmes],Patrimônio!B855,His_Operacoes_acoes[Operação],"Divid.")
+ SUMIFS(His_Operacoes_acoes[Total],His_Operacoes_acoes[Fimmes],Patrimônio!B855,His_Operacoes_acoes[Operação],"Bonif.")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68362</v>
      </c>
      <c r="B856" s="7">
        <f t="shared" si="55"/>
        <v>68361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SUMIFS(His_Operacoes_acoes[Total],His_Operacoes_acoes[Fimmes],Patrimônio!B856,His_Operacoes_acoes[Operação],"JCP")
+ SUMIFS(His_Operacoes_acoes[Total],His_Operacoes_acoes[Fimmes],Patrimônio!B856,His_Operacoes_acoes[Operação],"Divid.")
+ SUMIFS(His_Operacoes_acoes[Total],His_Operacoes_acoes[Fimmes],Patrimônio!B856,His_Operacoes_acoes[Operação],"Bonif.")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68393</v>
      </c>
      <c r="B857" s="7">
        <f t="shared" si="55"/>
        <v>68392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SUMIFS(His_Operacoes_acoes[Total],His_Operacoes_acoes[Fimmes],Patrimônio!B857,His_Operacoes_acoes[Operação],"JCP")
+ SUMIFS(His_Operacoes_acoes[Total],His_Operacoes_acoes[Fimmes],Patrimônio!B857,His_Operacoes_acoes[Operação],"Divid.")
+ SUMIFS(His_Operacoes_acoes[Total],His_Operacoes_acoes[Fimmes],Patrimônio!B857,His_Operacoes_acoes[Operação],"Bonif.")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68423</v>
      </c>
      <c r="B858" s="7">
        <f t="shared" si="55"/>
        <v>68422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SUMIFS(His_Operacoes_acoes[Total],His_Operacoes_acoes[Fimmes],Patrimônio!B858,His_Operacoes_acoes[Operação],"JCP")
+ SUMIFS(His_Operacoes_acoes[Total],His_Operacoes_acoes[Fimmes],Patrimônio!B858,His_Operacoes_acoes[Operação],"Divid.")
+ SUMIFS(His_Operacoes_acoes[Total],His_Operacoes_acoes[Fimmes],Patrimônio!B858,His_Operacoes_acoes[Operação],"Bonif.")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68454</v>
      </c>
      <c r="B859" s="7">
        <f t="shared" si="55"/>
        <v>68453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SUMIFS(His_Operacoes_acoes[Total],His_Operacoes_acoes[Fimmes],Patrimônio!B859,His_Operacoes_acoes[Operação],"JCP")
+ SUMIFS(His_Operacoes_acoes[Total],His_Operacoes_acoes[Fimmes],Patrimônio!B859,His_Operacoes_acoes[Operação],"Divid.")
+ SUMIFS(His_Operacoes_acoes[Total],His_Operacoes_acoes[Fimmes],Patrimônio!B859,His_Operacoes_acoes[Operação],"Bonif.")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68484</v>
      </c>
      <c r="B860" s="7">
        <f t="shared" si="55"/>
        <v>68483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SUMIFS(His_Operacoes_acoes[Total],His_Operacoes_acoes[Fimmes],Patrimônio!B860,His_Operacoes_acoes[Operação],"JCP")
+ SUMIFS(His_Operacoes_acoes[Total],His_Operacoes_acoes[Fimmes],Patrimônio!B860,His_Operacoes_acoes[Operação],"Divid.")
+ SUMIFS(His_Operacoes_acoes[Total],His_Operacoes_acoes[Fimmes],Patrimônio!B860,His_Operacoes_acoes[Operação],"Bonif.")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68515</v>
      </c>
      <c r="B861" s="7">
        <f t="shared" si="55"/>
        <v>68514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SUMIFS(His_Operacoes_acoes[Total],His_Operacoes_acoes[Fimmes],Patrimônio!B861,His_Operacoes_acoes[Operação],"JCP")
+ SUMIFS(His_Operacoes_acoes[Total],His_Operacoes_acoes[Fimmes],Patrimônio!B861,His_Operacoes_acoes[Operação],"Divid.")
+ SUMIFS(His_Operacoes_acoes[Total],His_Operacoes_acoes[Fimmes],Patrimônio!B861,His_Operacoes_acoes[Operação],"Bonif.")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68546</v>
      </c>
      <c r="B862" s="7">
        <f t="shared" si="55"/>
        <v>68545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SUMIFS(His_Operacoes_acoes[Total],His_Operacoes_acoes[Fimmes],Patrimônio!B862,His_Operacoes_acoes[Operação],"JCP")
+ SUMIFS(His_Operacoes_acoes[Total],His_Operacoes_acoes[Fimmes],Patrimônio!B862,His_Operacoes_acoes[Operação],"Divid.")
+ SUMIFS(His_Operacoes_acoes[Total],His_Operacoes_acoes[Fimmes],Patrimônio!B862,His_Operacoes_acoes[Operação],"Bonif.")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68576</v>
      </c>
      <c r="B863" s="7">
        <f t="shared" si="55"/>
        <v>68575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SUMIFS(His_Operacoes_acoes[Total],His_Operacoes_acoes[Fimmes],Patrimônio!B863,His_Operacoes_acoes[Operação],"JCP")
+ SUMIFS(His_Operacoes_acoes[Total],His_Operacoes_acoes[Fimmes],Patrimônio!B863,His_Operacoes_acoes[Operação],"Divid.")
+ SUMIFS(His_Operacoes_acoes[Total],His_Operacoes_acoes[Fimmes],Patrimônio!B863,His_Operacoes_acoes[Operação],"Bonif.")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68607</v>
      </c>
      <c r="B864" s="7">
        <f t="shared" si="55"/>
        <v>68606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SUMIFS(His_Operacoes_acoes[Total],His_Operacoes_acoes[Fimmes],Patrimônio!B864,His_Operacoes_acoes[Operação],"JCP")
+ SUMIFS(His_Operacoes_acoes[Total],His_Operacoes_acoes[Fimmes],Patrimônio!B864,His_Operacoes_acoes[Operação],"Divid.")
+ SUMIFS(His_Operacoes_acoes[Total],His_Operacoes_acoes[Fimmes],Patrimônio!B864,His_Operacoes_acoes[Operação],"Bonif.")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68637</v>
      </c>
      <c r="B865" s="7">
        <f t="shared" si="55"/>
        <v>68636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SUMIFS(His_Operacoes_acoes[Total],His_Operacoes_acoes[Fimmes],Patrimônio!B865,His_Operacoes_acoes[Operação],"JCP")
+ SUMIFS(His_Operacoes_acoes[Total],His_Operacoes_acoes[Fimmes],Patrimônio!B865,His_Operacoes_acoes[Operação],"Divid.")
+ SUMIFS(His_Operacoes_acoes[Total],His_Operacoes_acoes[Fimmes],Patrimônio!B865,His_Operacoes_acoes[Operação],"Bonif.")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68668</v>
      </c>
      <c r="B866" s="7">
        <f t="shared" si="55"/>
        <v>68667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SUMIFS(His_Operacoes_acoes[Total],His_Operacoes_acoes[Fimmes],Patrimônio!B866,His_Operacoes_acoes[Operação],"JCP")
+ SUMIFS(His_Operacoes_acoes[Total],His_Operacoes_acoes[Fimmes],Patrimônio!B866,His_Operacoes_acoes[Operação],"Divid.")
+ SUMIFS(His_Operacoes_acoes[Total],His_Operacoes_acoes[Fimmes],Patrimônio!B866,His_Operacoes_acoes[Operação],"Bonif.")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68699</v>
      </c>
      <c r="B867" s="7">
        <f t="shared" si="55"/>
        <v>68698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SUMIFS(His_Operacoes_acoes[Total],His_Operacoes_acoes[Fimmes],Patrimônio!B867,His_Operacoes_acoes[Operação],"JCP")
+ SUMIFS(His_Operacoes_acoes[Total],His_Operacoes_acoes[Fimmes],Patrimônio!B867,His_Operacoes_acoes[Operação],"Divid.")
+ SUMIFS(His_Operacoes_acoes[Total],His_Operacoes_acoes[Fimmes],Patrimônio!B867,His_Operacoes_acoes[Operação],"Bonif.")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68728</v>
      </c>
      <c r="B868" s="7">
        <f t="shared" si="55"/>
        <v>68727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SUMIFS(His_Operacoes_acoes[Total],His_Operacoes_acoes[Fimmes],Patrimônio!B868,His_Operacoes_acoes[Operação],"JCP")
+ SUMIFS(His_Operacoes_acoes[Total],His_Operacoes_acoes[Fimmes],Patrimônio!B868,His_Operacoes_acoes[Operação],"Divid.")
+ SUMIFS(His_Operacoes_acoes[Total],His_Operacoes_acoes[Fimmes],Patrimônio!B868,His_Operacoes_acoes[Operação],"Bonif.")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68759</v>
      </c>
      <c r="B869" s="7">
        <f t="shared" si="55"/>
        <v>68758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SUMIFS(His_Operacoes_acoes[Total],His_Operacoes_acoes[Fimmes],Patrimônio!B869,His_Operacoes_acoes[Operação],"JCP")
+ SUMIFS(His_Operacoes_acoes[Total],His_Operacoes_acoes[Fimmes],Patrimônio!B869,His_Operacoes_acoes[Operação],"Divid.")
+ SUMIFS(His_Operacoes_acoes[Total],His_Operacoes_acoes[Fimmes],Patrimônio!B869,His_Operacoes_acoes[Operação],"Bonif.")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68789</v>
      </c>
      <c r="B870" s="7">
        <f t="shared" si="55"/>
        <v>68788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SUMIFS(His_Operacoes_acoes[Total],His_Operacoes_acoes[Fimmes],Patrimônio!B870,His_Operacoes_acoes[Operação],"JCP")
+ SUMIFS(His_Operacoes_acoes[Total],His_Operacoes_acoes[Fimmes],Patrimônio!B870,His_Operacoes_acoes[Operação],"Divid.")
+ SUMIFS(His_Operacoes_acoes[Total],His_Operacoes_acoes[Fimmes],Patrimônio!B870,His_Operacoes_acoes[Operação],"Bonif.")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68820</v>
      </c>
      <c r="B871" s="7">
        <f t="shared" si="55"/>
        <v>68819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SUMIFS(His_Operacoes_acoes[Total],His_Operacoes_acoes[Fimmes],Patrimônio!B871,His_Operacoes_acoes[Operação],"JCP")
+ SUMIFS(His_Operacoes_acoes[Total],His_Operacoes_acoes[Fimmes],Patrimônio!B871,His_Operacoes_acoes[Operação],"Divid.")
+ SUMIFS(His_Operacoes_acoes[Total],His_Operacoes_acoes[Fimmes],Patrimônio!B871,His_Operacoes_acoes[Operação],"Bonif.")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68850</v>
      </c>
      <c r="B872" s="7">
        <f t="shared" si="55"/>
        <v>68849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SUMIFS(His_Operacoes_acoes[Total],His_Operacoes_acoes[Fimmes],Patrimônio!B872,His_Operacoes_acoes[Operação],"JCP")
+ SUMIFS(His_Operacoes_acoes[Total],His_Operacoes_acoes[Fimmes],Patrimônio!B872,His_Operacoes_acoes[Operação],"Divid.")
+ SUMIFS(His_Operacoes_acoes[Total],His_Operacoes_acoes[Fimmes],Patrimônio!B872,His_Operacoes_acoes[Operação],"Bonif.")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68881</v>
      </c>
      <c r="B873" s="7">
        <f t="shared" si="55"/>
        <v>68880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SUMIFS(His_Operacoes_acoes[Total],His_Operacoes_acoes[Fimmes],Patrimônio!B873,His_Operacoes_acoes[Operação],"JCP")
+ SUMIFS(His_Operacoes_acoes[Total],His_Operacoes_acoes[Fimmes],Patrimônio!B873,His_Operacoes_acoes[Operação],"Divid.")
+ SUMIFS(His_Operacoes_acoes[Total],His_Operacoes_acoes[Fimmes],Patrimônio!B873,His_Operacoes_acoes[Operação],"Bonif.")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68912</v>
      </c>
      <c r="B874" s="7">
        <f t="shared" si="55"/>
        <v>68911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SUMIFS(His_Operacoes_acoes[Total],His_Operacoes_acoes[Fimmes],Patrimônio!B874,His_Operacoes_acoes[Operação],"JCP")
+ SUMIFS(His_Operacoes_acoes[Total],His_Operacoes_acoes[Fimmes],Patrimônio!B874,His_Operacoes_acoes[Operação],"Divid.")
+ SUMIFS(His_Operacoes_acoes[Total],His_Operacoes_acoes[Fimmes],Patrimônio!B874,His_Operacoes_acoes[Operação],"Bonif.")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68942</v>
      </c>
      <c r="B875" s="7">
        <f t="shared" si="55"/>
        <v>68941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SUMIFS(His_Operacoes_acoes[Total],His_Operacoes_acoes[Fimmes],Patrimônio!B875,His_Operacoes_acoes[Operação],"JCP")
+ SUMIFS(His_Operacoes_acoes[Total],His_Operacoes_acoes[Fimmes],Patrimônio!B875,His_Operacoes_acoes[Operação],"Divid.")
+ SUMIFS(His_Operacoes_acoes[Total],His_Operacoes_acoes[Fimmes],Patrimônio!B875,His_Operacoes_acoes[Operação],"Bonif.")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68973</v>
      </c>
      <c r="B876" s="7">
        <f t="shared" si="55"/>
        <v>68972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SUMIFS(His_Operacoes_acoes[Total],His_Operacoes_acoes[Fimmes],Patrimônio!B876,His_Operacoes_acoes[Operação],"JCP")
+ SUMIFS(His_Operacoes_acoes[Total],His_Operacoes_acoes[Fimmes],Patrimônio!B876,His_Operacoes_acoes[Operação],"Divid.")
+ SUMIFS(His_Operacoes_acoes[Total],His_Operacoes_acoes[Fimmes],Patrimônio!B876,His_Operacoes_acoes[Operação],"Bonif.")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69003</v>
      </c>
      <c r="B877" s="7">
        <f t="shared" si="55"/>
        <v>69002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SUMIFS(His_Operacoes_acoes[Total],His_Operacoes_acoes[Fimmes],Patrimônio!B877,His_Operacoes_acoes[Operação],"JCP")
+ SUMIFS(His_Operacoes_acoes[Total],His_Operacoes_acoes[Fimmes],Patrimônio!B877,His_Operacoes_acoes[Operação],"Divid.")
+ SUMIFS(His_Operacoes_acoes[Total],His_Operacoes_acoes[Fimmes],Patrimônio!B877,His_Operacoes_acoes[Operação],"Bonif.")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69034</v>
      </c>
      <c r="B878" s="7">
        <f t="shared" si="55"/>
        <v>69033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SUMIFS(His_Operacoes_acoes[Total],His_Operacoes_acoes[Fimmes],Patrimônio!B878,His_Operacoes_acoes[Operação],"JCP")
+ SUMIFS(His_Operacoes_acoes[Total],His_Operacoes_acoes[Fimmes],Patrimônio!B878,His_Operacoes_acoes[Operação],"Divid.")
+ SUMIFS(His_Operacoes_acoes[Total],His_Operacoes_acoes[Fimmes],Patrimônio!B878,His_Operacoes_acoes[Operação],"Bonif.")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69065</v>
      </c>
      <c r="B879" s="7">
        <f t="shared" si="55"/>
        <v>69064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SUMIFS(His_Operacoes_acoes[Total],His_Operacoes_acoes[Fimmes],Patrimônio!B879,His_Operacoes_acoes[Operação],"JCP")
+ SUMIFS(His_Operacoes_acoes[Total],His_Operacoes_acoes[Fimmes],Patrimônio!B879,His_Operacoes_acoes[Operação],"Divid.")
+ SUMIFS(His_Operacoes_acoes[Total],His_Operacoes_acoes[Fimmes],Patrimônio!B879,His_Operacoes_acoes[Operação],"Bonif.")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69093</v>
      </c>
      <c r="B880" s="7">
        <f t="shared" si="55"/>
        <v>69092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SUMIFS(His_Operacoes_acoes[Total],His_Operacoes_acoes[Fimmes],Patrimônio!B880,His_Operacoes_acoes[Operação],"JCP")
+ SUMIFS(His_Operacoes_acoes[Total],His_Operacoes_acoes[Fimmes],Patrimônio!B880,His_Operacoes_acoes[Operação],"Divid.")
+ SUMIFS(His_Operacoes_acoes[Total],His_Operacoes_acoes[Fimmes],Patrimônio!B880,His_Operacoes_acoes[Operação],"Bonif.")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69124</v>
      </c>
      <c r="B881" s="7">
        <f t="shared" si="55"/>
        <v>69123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SUMIFS(His_Operacoes_acoes[Total],His_Operacoes_acoes[Fimmes],Patrimônio!B881,His_Operacoes_acoes[Operação],"JCP")
+ SUMIFS(His_Operacoes_acoes[Total],His_Operacoes_acoes[Fimmes],Patrimônio!B881,His_Operacoes_acoes[Operação],"Divid.")
+ SUMIFS(His_Operacoes_acoes[Total],His_Operacoes_acoes[Fimmes],Patrimônio!B881,His_Operacoes_acoes[Operação],"Bonif.")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69154</v>
      </c>
      <c r="B882" s="7">
        <f t="shared" si="55"/>
        <v>69153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SUMIFS(His_Operacoes_acoes[Total],His_Operacoes_acoes[Fimmes],Patrimônio!B882,His_Operacoes_acoes[Operação],"JCP")
+ SUMIFS(His_Operacoes_acoes[Total],His_Operacoes_acoes[Fimmes],Patrimônio!B882,His_Operacoes_acoes[Operação],"Divid.")
+ SUMIFS(His_Operacoes_acoes[Total],His_Operacoes_acoes[Fimmes],Patrimônio!B882,His_Operacoes_acoes[Operação],"Bonif.")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69185</v>
      </c>
      <c r="B883" s="7">
        <f t="shared" si="55"/>
        <v>69184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SUMIFS(His_Operacoes_acoes[Total],His_Operacoes_acoes[Fimmes],Patrimônio!B883,His_Operacoes_acoes[Operação],"JCP")
+ SUMIFS(His_Operacoes_acoes[Total],His_Operacoes_acoes[Fimmes],Patrimônio!B883,His_Operacoes_acoes[Operação],"Divid.")
+ SUMIFS(His_Operacoes_acoes[Total],His_Operacoes_acoes[Fimmes],Patrimônio!B883,His_Operacoes_acoes[Operação],"Bonif.")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69215</v>
      </c>
      <c r="B884" s="7">
        <f t="shared" si="55"/>
        <v>69214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SUMIFS(His_Operacoes_acoes[Total],His_Operacoes_acoes[Fimmes],Patrimônio!B884,His_Operacoes_acoes[Operação],"JCP")
+ SUMIFS(His_Operacoes_acoes[Total],His_Operacoes_acoes[Fimmes],Patrimônio!B884,His_Operacoes_acoes[Operação],"Divid.")
+ SUMIFS(His_Operacoes_acoes[Total],His_Operacoes_acoes[Fimmes],Patrimônio!B884,His_Operacoes_acoes[Operação],"Bonif.")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69246</v>
      </c>
      <c r="B885" s="7">
        <f t="shared" si="55"/>
        <v>69245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SUMIFS(His_Operacoes_acoes[Total],His_Operacoes_acoes[Fimmes],Patrimônio!B885,His_Operacoes_acoes[Operação],"JCP")
+ SUMIFS(His_Operacoes_acoes[Total],His_Operacoes_acoes[Fimmes],Patrimônio!B885,His_Operacoes_acoes[Operação],"Divid.")
+ SUMIFS(His_Operacoes_acoes[Total],His_Operacoes_acoes[Fimmes],Patrimônio!B885,His_Operacoes_acoes[Operação],"Bonif.")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69277</v>
      </c>
      <c r="B886" s="7">
        <f t="shared" si="55"/>
        <v>69276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SUMIFS(His_Operacoes_acoes[Total],His_Operacoes_acoes[Fimmes],Patrimônio!B886,His_Operacoes_acoes[Operação],"JCP")
+ SUMIFS(His_Operacoes_acoes[Total],His_Operacoes_acoes[Fimmes],Patrimônio!B886,His_Operacoes_acoes[Operação],"Divid.")
+ SUMIFS(His_Operacoes_acoes[Total],His_Operacoes_acoes[Fimmes],Patrimônio!B886,His_Operacoes_acoes[Operação],"Bonif.")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69307</v>
      </c>
      <c r="B887" s="7">
        <f t="shared" si="55"/>
        <v>69306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SUMIFS(His_Operacoes_acoes[Total],His_Operacoes_acoes[Fimmes],Patrimônio!B887,His_Operacoes_acoes[Operação],"JCP")
+ SUMIFS(His_Operacoes_acoes[Total],His_Operacoes_acoes[Fimmes],Patrimônio!B887,His_Operacoes_acoes[Operação],"Divid.")
+ SUMIFS(His_Operacoes_acoes[Total],His_Operacoes_acoes[Fimmes],Patrimônio!B887,His_Operacoes_acoes[Operação],"Bonif.")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69338</v>
      </c>
      <c r="B888" s="7">
        <f t="shared" si="55"/>
        <v>69337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SUMIFS(His_Operacoes_acoes[Total],His_Operacoes_acoes[Fimmes],Patrimônio!B888,His_Operacoes_acoes[Operação],"JCP")
+ SUMIFS(His_Operacoes_acoes[Total],His_Operacoes_acoes[Fimmes],Patrimônio!B888,His_Operacoes_acoes[Operação],"Divid.")
+ SUMIFS(His_Operacoes_acoes[Total],His_Operacoes_acoes[Fimmes],Patrimônio!B888,His_Operacoes_acoes[Operação],"Bonif.")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69368</v>
      </c>
      <c r="B889" s="7">
        <f t="shared" si="55"/>
        <v>69367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SUMIFS(His_Operacoes_acoes[Total],His_Operacoes_acoes[Fimmes],Patrimônio!B889,His_Operacoes_acoes[Operação],"JCP")
+ SUMIFS(His_Operacoes_acoes[Total],His_Operacoes_acoes[Fimmes],Patrimônio!B889,His_Operacoes_acoes[Operação],"Divid.")
+ SUMIFS(His_Operacoes_acoes[Total],His_Operacoes_acoes[Fimmes],Patrimônio!B889,His_Operacoes_acoes[Operação],"Bonif.")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69399</v>
      </c>
      <c r="B890" s="7">
        <f t="shared" si="55"/>
        <v>69398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SUMIFS(His_Operacoes_acoes[Total],His_Operacoes_acoes[Fimmes],Patrimônio!B890,His_Operacoes_acoes[Operação],"JCP")
+ SUMIFS(His_Operacoes_acoes[Total],His_Operacoes_acoes[Fimmes],Patrimônio!B890,His_Operacoes_acoes[Operação],"Divid.")
+ SUMIFS(His_Operacoes_acoes[Total],His_Operacoes_acoes[Fimmes],Patrimônio!B890,His_Operacoes_acoes[Operação],"Bonif.")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69430</v>
      </c>
      <c r="B891" s="7">
        <f t="shared" si="55"/>
        <v>69429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SUMIFS(His_Operacoes_acoes[Total],His_Operacoes_acoes[Fimmes],Patrimônio!B891,His_Operacoes_acoes[Operação],"JCP")
+ SUMIFS(His_Operacoes_acoes[Total],His_Operacoes_acoes[Fimmes],Patrimônio!B891,His_Operacoes_acoes[Operação],"Divid.")
+ SUMIFS(His_Operacoes_acoes[Total],His_Operacoes_acoes[Fimmes],Patrimônio!B891,His_Operacoes_acoes[Operação],"Bonif.")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69458</v>
      </c>
      <c r="B892" s="7">
        <f t="shared" si="55"/>
        <v>69457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SUMIFS(His_Operacoes_acoes[Total],His_Operacoes_acoes[Fimmes],Patrimônio!B892,His_Operacoes_acoes[Operação],"JCP")
+ SUMIFS(His_Operacoes_acoes[Total],His_Operacoes_acoes[Fimmes],Patrimônio!B892,His_Operacoes_acoes[Operação],"Divid.")
+ SUMIFS(His_Operacoes_acoes[Total],His_Operacoes_acoes[Fimmes],Patrimônio!B892,His_Operacoes_acoes[Operação],"Bonif.")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69489</v>
      </c>
      <c r="B893" s="7">
        <f t="shared" si="55"/>
        <v>69488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SUMIFS(His_Operacoes_acoes[Total],His_Operacoes_acoes[Fimmes],Patrimônio!B893,His_Operacoes_acoes[Operação],"JCP")
+ SUMIFS(His_Operacoes_acoes[Total],His_Operacoes_acoes[Fimmes],Patrimônio!B893,His_Operacoes_acoes[Operação],"Divid.")
+ SUMIFS(His_Operacoes_acoes[Total],His_Operacoes_acoes[Fimmes],Patrimônio!B893,His_Operacoes_acoes[Operação],"Bonif.")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69519</v>
      </c>
      <c r="B894" s="7">
        <f t="shared" si="55"/>
        <v>69518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SUMIFS(His_Operacoes_acoes[Total],His_Operacoes_acoes[Fimmes],Patrimônio!B894,His_Operacoes_acoes[Operação],"JCP")
+ SUMIFS(His_Operacoes_acoes[Total],His_Operacoes_acoes[Fimmes],Patrimônio!B894,His_Operacoes_acoes[Operação],"Divid.")
+ SUMIFS(His_Operacoes_acoes[Total],His_Operacoes_acoes[Fimmes],Patrimônio!B894,His_Operacoes_acoes[Operação],"Bonif.")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69550</v>
      </c>
      <c r="B895" s="7">
        <f t="shared" si="55"/>
        <v>69549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SUMIFS(His_Operacoes_acoes[Total],His_Operacoes_acoes[Fimmes],Patrimônio!B895,His_Operacoes_acoes[Operação],"JCP")
+ SUMIFS(His_Operacoes_acoes[Total],His_Operacoes_acoes[Fimmes],Patrimônio!B895,His_Operacoes_acoes[Operação],"Divid.")
+ SUMIFS(His_Operacoes_acoes[Total],His_Operacoes_acoes[Fimmes],Patrimônio!B895,His_Operacoes_acoes[Operação],"Bonif.")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69580</v>
      </c>
      <c r="B896" s="7">
        <f t="shared" si="55"/>
        <v>69579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SUMIFS(His_Operacoes_acoes[Total],His_Operacoes_acoes[Fimmes],Patrimônio!B896,His_Operacoes_acoes[Operação],"JCP")
+ SUMIFS(His_Operacoes_acoes[Total],His_Operacoes_acoes[Fimmes],Patrimônio!B896,His_Operacoes_acoes[Operação],"Divid.")
+ SUMIFS(His_Operacoes_acoes[Total],His_Operacoes_acoes[Fimmes],Patrimônio!B896,His_Operacoes_acoes[Operação],"Bonif.")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69611</v>
      </c>
      <c r="B897" s="7">
        <f t="shared" si="55"/>
        <v>69610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SUMIFS(His_Operacoes_acoes[Total],His_Operacoes_acoes[Fimmes],Patrimônio!B897,His_Operacoes_acoes[Operação],"JCP")
+ SUMIFS(His_Operacoes_acoes[Total],His_Operacoes_acoes[Fimmes],Patrimônio!B897,His_Operacoes_acoes[Operação],"Divid.")
+ SUMIFS(His_Operacoes_acoes[Total],His_Operacoes_acoes[Fimmes],Patrimônio!B897,His_Operacoes_acoes[Operação],"Bonif.")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69642</v>
      </c>
      <c r="B898" s="7">
        <f t="shared" si="55"/>
        <v>69641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SUMIFS(His_Operacoes_acoes[Total],His_Operacoes_acoes[Fimmes],Patrimônio!B898,His_Operacoes_acoes[Operação],"JCP")
+ SUMIFS(His_Operacoes_acoes[Total],His_Operacoes_acoes[Fimmes],Patrimônio!B898,His_Operacoes_acoes[Operação],"Divid.")
+ SUMIFS(His_Operacoes_acoes[Total],His_Operacoes_acoes[Fimmes],Patrimônio!B898,His_Operacoes_acoes[Operação],"Bonif.")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69672</v>
      </c>
      <c r="B899" s="7">
        <f t="shared" ref="B899:B962" si="59">EOMONTH(A899,-1)</f>
        <v>69671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SUMIFS(His_Operacoes_acoes[Total],His_Operacoes_acoes[Fimmes],Patrimônio!B899,His_Operacoes_acoes[Operação],"JCP")
+ SUMIFS(His_Operacoes_acoes[Total],His_Operacoes_acoes[Fimmes],Patrimônio!B899,His_Operacoes_acoes[Operação],"Divid.")
+ SUMIFS(His_Operacoes_acoes[Total],His_Operacoes_acoes[Fimmes],Patrimônio!B899,His_Operacoes_acoes[Operação],"Bonif.")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69703</v>
      </c>
      <c r="B900" s="7">
        <f t="shared" si="59"/>
        <v>69702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SUMIFS(His_Operacoes_acoes[Total],His_Operacoes_acoes[Fimmes],Patrimônio!B900,His_Operacoes_acoes[Operação],"JCP")
+ SUMIFS(His_Operacoes_acoes[Total],His_Operacoes_acoes[Fimmes],Patrimônio!B900,His_Operacoes_acoes[Operação],"Divid.")
+ SUMIFS(His_Operacoes_acoes[Total],His_Operacoes_acoes[Fimmes],Patrimônio!B900,His_Operacoes_acoes[Operação],"Bonif.")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69733</v>
      </c>
      <c r="B901" s="7">
        <f t="shared" si="59"/>
        <v>69732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SUMIFS(His_Operacoes_acoes[Total],His_Operacoes_acoes[Fimmes],Patrimônio!B901,His_Operacoes_acoes[Operação],"JCP")
+ SUMIFS(His_Operacoes_acoes[Total],His_Operacoes_acoes[Fimmes],Patrimônio!B901,His_Operacoes_acoes[Operação],"Divid.")
+ SUMIFS(His_Operacoes_acoes[Total],His_Operacoes_acoes[Fimmes],Patrimônio!B901,His_Operacoes_acoes[Operação],"Bonif.")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69764</v>
      </c>
      <c r="B902" s="7">
        <f t="shared" si="59"/>
        <v>69763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SUMIFS(His_Operacoes_acoes[Total],His_Operacoes_acoes[Fimmes],Patrimônio!B902,His_Operacoes_acoes[Operação],"JCP")
+ SUMIFS(His_Operacoes_acoes[Total],His_Operacoes_acoes[Fimmes],Patrimônio!B902,His_Operacoes_acoes[Operação],"Divid.")
+ SUMIFS(His_Operacoes_acoes[Total],His_Operacoes_acoes[Fimmes],Patrimônio!B902,His_Operacoes_acoes[Operação],"Bonif.")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69795</v>
      </c>
      <c r="B903" s="7">
        <f t="shared" si="59"/>
        <v>69794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SUMIFS(His_Operacoes_acoes[Total],His_Operacoes_acoes[Fimmes],Patrimônio!B903,His_Operacoes_acoes[Operação],"JCP")
+ SUMIFS(His_Operacoes_acoes[Total],His_Operacoes_acoes[Fimmes],Patrimônio!B903,His_Operacoes_acoes[Operação],"Divid.")
+ SUMIFS(His_Operacoes_acoes[Total],His_Operacoes_acoes[Fimmes],Patrimônio!B903,His_Operacoes_acoes[Operação],"Bonif.")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69823</v>
      </c>
      <c r="B904" s="7">
        <f t="shared" si="59"/>
        <v>69822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SUMIFS(His_Operacoes_acoes[Total],His_Operacoes_acoes[Fimmes],Patrimônio!B904,His_Operacoes_acoes[Operação],"JCP")
+ SUMIFS(His_Operacoes_acoes[Total],His_Operacoes_acoes[Fimmes],Patrimônio!B904,His_Operacoes_acoes[Operação],"Divid.")
+ SUMIFS(His_Operacoes_acoes[Total],His_Operacoes_acoes[Fimmes],Patrimônio!B904,His_Operacoes_acoes[Operação],"Bonif.")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69854</v>
      </c>
      <c r="B905" s="7">
        <f t="shared" si="59"/>
        <v>69853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SUMIFS(His_Operacoes_acoes[Total],His_Operacoes_acoes[Fimmes],Patrimônio!B905,His_Operacoes_acoes[Operação],"JCP")
+ SUMIFS(His_Operacoes_acoes[Total],His_Operacoes_acoes[Fimmes],Patrimônio!B905,His_Operacoes_acoes[Operação],"Divid.")
+ SUMIFS(His_Operacoes_acoes[Total],His_Operacoes_acoes[Fimmes],Patrimônio!B905,His_Operacoes_acoes[Operação],"Bonif.")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69884</v>
      </c>
      <c r="B906" s="7">
        <f t="shared" si="59"/>
        <v>69883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SUMIFS(His_Operacoes_acoes[Total],His_Operacoes_acoes[Fimmes],Patrimônio!B906,His_Operacoes_acoes[Operação],"JCP")
+ SUMIFS(His_Operacoes_acoes[Total],His_Operacoes_acoes[Fimmes],Patrimônio!B906,His_Operacoes_acoes[Operação],"Divid.")
+ SUMIFS(His_Operacoes_acoes[Total],His_Operacoes_acoes[Fimmes],Patrimônio!B906,His_Operacoes_acoes[Operação],"Bonif.")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69915</v>
      </c>
      <c r="B907" s="7">
        <f t="shared" si="59"/>
        <v>69914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SUMIFS(His_Operacoes_acoes[Total],His_Operacoes_acoes[Fimmes],Patrimônio!B907,His_Operacoes_acoes[Operação],"JCP")
+ SUMIFS(His_Operacoes_acoes[Total],His_Operacoes_acoes[Fimmes],Patrimônio!B907,His_Operacoes_acoes[Operação],"Divid.")
+ SUMIFS(His_Operacoes_acoes[Total],His_Operacoes_acoes[Fimmes],Patrimônio!B907,His_Operacoes_acoes[Operação],"Bonif.")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69945</v>
      </c>
      <c r="B908" s="7">
        <f t="shared" si="59"/>
        <v>69944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SUMIFS(His_Operacoes_acoes[Total],His_Operacoes_acoes[Fimmes],Patrimônio!B908,His_Operacoes_acoes[Operação],"JCP")
+ SUMIFS(His_Operacoes_acoes[Total],His_Operacoes_acoes[Fimmes],Patrimônio!B908,His_Operacoes_acoes[Operação],"Divid.")
+ SUMIFS(His_Operacoes_acoes[Total],His_Operacoes_acoes[Fimmes],Patrimônio!B908,His_Operacoes_acoes[Operação],"Bonif.")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69976</v>
      </c>
      <c r="B909" s="7">
        <f t="shared" si="59"/>
        <v>69975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SUMIFS(His_Operacoes_acoes[Total],His_Operacoes_acoes[Fimmes],Patrimônio!B909,His_Operacoes_acoes[Operação],"JCP")
+ SUMIFS(His_Operacoes_acoes[Total],His_Operacoes_acoes[Fimmes],Patrimônio!B909,His_Operacoes_acoes[Operação],"Divid.")
+ SUMIFS(His_Operacoes_acoes[Total],His_Operacoes_acoes[Fimmes],Patrimônio!B909,His_Operacoes_acoes[Operação],"Bonif.")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70007</v>
      </c>
      <c r="B910" s="7">
        <f t="shared" si="59"/>
        <v>70006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SUMIFS(His_Operacoes_acoes[Total],His_Operacoes_acoes[Fimmes],Patrimônio!B910,His_Operacoes_acoes[Operação],"JCP")
+ SUMIFS(His_Operacoes_acoes[Total],His_Operacoes_acoes[Fimmes],Patrimônio!B910,His_Operacoes_acoes[Operação],"Divid.")
+ SUMIFS(His_Operacoes_acoes[Total],His_Operacoes_acoes[Fimmes],Patrimônio!B910,His_Operacoes_acoes[Operação],"Bonif.")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70037</v>
      </c>
      <c r="B911" s="7">
        <f t="shared" si="59"/>
        <v>70036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SUMIFS(His_Operacoes_acoes[Total],His_Operacoes_acoes[Fimmes],Patrimônio!B911,His_Operacoes_acoes[Operação],"JCP")
+ SUMIFS(His_Operacoes_acoes[Total],His_Operacoes_acoes[Fimmes],Patrimônio!B911,His_Operacoes_acoes[Operação],"Divid.")
+ SUMIFS(His_Operacoes_acoes[Total],His_Operacoes_acoes[Fimmes],Patrimônio!B911,His_Operacoes_acoes[Operação],"Bonif.")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70068</v>
      </c>
      <c r="B912" s="7">
        <f t="shared" si="59"/>
        <v>70067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SUMIFS(His_Operacoes_acoes[Total],His_Operacoes_acoes[Fimmes],Patrimônio!B912,His_Operacoes_acoes[Operação],"JCP")
+ SUMIFS(His_Operacoes_acoes[Total],His_Operacoes_acoes[Fimmes],Patrimônio!B912,His_Operacoes_acoes[Operação],"Divid.")
+ SUMIFS(His_Operacoes_acoes[Total],His_Operacoes_acoes[Fimmes],Patrimônio!B912,His_Operacoes_acoes[Operação],"Bonif.")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70098</v>
      </c>
      <c r="B913" s="7">
        <f t="shared" si="59"/>
        <v>70097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SUMIFS(His_Operacoes_acoes[Total],His_Operacoes_acoes[Fimmes],Patrimônio!B913,His_Operacoes_acoes[Operação],"JCP")
+ SUMIFS(His_Operacoes_acoes[Total],His_Operacoes_acoes[Fimmes],Patrimônio!B913,His_Operacoes_acoes[Operação],"Divid.")
+ SUMIFS(His_Operacoes_acoes[Total],His_Operacoes_acoes[Fimmes],Patrimônio!B913,His_Operacoes_acoes[Operação],"Bonif.")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70129</v>
      </c>
      <c r="B914" s="7">
        <f t="shared" si="59"/>
        <v>70128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SUMIFS(His_Operacoes_acoes[Total],His_Operacoes_acoes[Fimmes],Patrimônio!B914,His_Operacoes_acoes[Operação],"JCP")
+ SUMIFS(His_Operacoes_acoes[Total],His_Operacoes_acoes[Fimmes],Patrimônio!B914,His_Operacoes_acoes[Operação],"Divid.")
+ SUMIFS(His_Operacoes_acoes[Total],His_Operacoes_acoes[Fimmes],Patrimônio!B914,His_Operacoes_acoes[Operação],"Bonif.")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70160</v>
      </c>
      <c r="B915" s="7">
        <f t="shared" si="59"/>
        <v>70159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SUMIFS(His_Operacoes_acoes[Total],His_Operacoes_acoes[Fimmes],Patrimônio!B915,His_Operacoes_acoes[Operação],"JCP")
+ SUMIFS(His_Operacoes_acoes[Total],His_Operacoes_acoes[Fimmes],Patrimônio!B915,His_Operacoes_acoes[Operação],"Divid.")
+ SUMIFS(His_Operacoes_acoes[Total],His_Operacoes_acoes[Fimmes],Patrimônio!B915,His_Operacoes_acoes[Operação],"Bonif.")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70189</v>
      </c>
      <c r="B916" s="7">
        <f t="shared" si="59"/>
        <v>70188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SUMIFS(His_Operacoes_acoes[Total],His_Operacoes_acoes[Fimmes],Patrimônio!B916,His_Operacoes_acoes[Operação],"JCP")
+ SUMIFS(His_Operacoes_acoes[Total],His_Operacoes_acoes[Fimmes],Patrimônio!B916,His_Operacoes_acoes[Operação],"Divid.")
+ SUMIFS(His_Operacoes_acoes[Total],His_Operacoes_acoes[Fimmes],Patrimônio!B916,His_Operacoes_acoes[Operação],"Bonif.")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70220</v>
      </c>
      <c r="B917" s="7">
        <f t="shared" si="59"/>
        <v>70219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SUMIFS(His_Operacoes_acoes[Total],His_Operacoes_acoes[Fimmes],Patrimônio!B917,His_Operacoes_acoes[Operação],"JCP")
+ SUMIFS(His_Operacoes_acoes[Total],His_Operacoes_acoes[Fimmes],Patrimônio!B917,His_Operacoes_acoes[Operação],"Divid.")
+ SUMIFS(His_Operacoes_acoes[Total],His_Operacoes_acoes[Fimmes],Patrimônio!B917,His_Operacoes_acoes[Operação],"Bonif.")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70250</v>
      </c>
      <c r="B918" s="7">
        <f t="shared" si="59"/>
        <v>70249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SUMIFS(His_Operacoes_acoes[Total],His_Operacoes_acoes[Fimmes],Patrimônio!B918,His_Operacoes_acoes[Operação],"JCP")
+ SUMIFS(His_Operacoes_acoes[Total],His_Operacoes_acoes[Fimmes],Patrimônio!B918,His_Operacoes_acoes[Operação],"Divid.")
+ SUMIFS(His_Operacoes_acoes[Total],His_Operacoes_acoes[Fimmes],Patrimônio!B918,His_Operacoes_acoes[Operação],"Bonif.")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70281</v>
      </c>
      <c r="B919" s="7">
        <f t="shared" si="59"/>
        <v>70280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SUMIFS(His_Operacoes_acoes[Total],His_Operacoes_acoes[Fimmes],Patrimônio!B919,His_Operacoes_acoes[Operação],"JCP")
+ SUMIFS(His_Operacoes_acoes[Total],His_Operacoes_acoes[Fimmes],Patrimônio!B919,His_Operacoes_acoes[Operação],"Divid.")
+ SUMIFS(His_Operacoes_acoes[Total],His_Operacoes_acoes[Fimmes],Patrimônio!B919,His_Operacoes_acoes[Operação],"Bonif.")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70311</v>
      </c>
      <c r="B920" s="7">
        <f t="shared" si="59"/>
        <v>70310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SUMIFS(His_Operacoes_acoes[Total],His_Operacoes_acoes[Fimmes],Patrimônio!B920,His_Operacoes_acoes[Operação],"JCP")
+ SUMIFS(His_Operacoes_acoes[Total],His_Operacoes_acoes[Fimmes],Patrimônio!B920,His_Operacoes_acoes[Operação],"Divid.")
+ SUMIFS(His_Operacoes_acoes[Total],His_Operacoes_acoes[Fimmes],Patrimônio!B920,His_Operacoes_acoes[Operação],"Bonif.")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70342</v>
      </c>
      <c r="B921" s="7">
        <f t="shared" si="59"/>
        <v>70341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SUMIFS(His_Operacoes_acoes[Total],His_Operacoes_acoes[Fimmes],Patrimônio!B921,His_Operacoes_acoes[Operação],"JCP")
+ SUMIFS(His_Operacoes_acoes[Total],His_Operacoes_acoes[Fimmes],Patrimônio!B921,His_Operacoes_acoes[Operação],"Divid.")
+ SUMIFS(His_Operacoes_acoes[Total],His_Operacoes_acoes[Fimmes],Patrimônio!B921,His_Operacoes_acoes[Operação],"Bonif.")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70373</v>
      </c>
      <c r="B922" s="7">
        <f t="shared" si="59"/>
        <v>70372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SUMIFS(His_Operacoes_acoes[Total],His_Operacoes_acoes[Fimmes],Patrimônio!B922,His_Operacoes_acoes[Operação],"JCP")
+ SUMIFS(His_Operacoes_acoes[Total],His_Operacoes_acoes[Fimmes],Patrimônio!B922,His_Operacoes_acoes[Operação],"Divid.")
+ SUMIFS(His_Operacoes_acoes[Total],His_Operacoes_acoes[Fimmes],Patrimônio!B922,His_Operacoes_acoes[Operação],"Bonif.")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70403</v>
      </c>
      <c r="B923" s="7">
        <f t="shared" si="59"/>
        <v>70402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SUMIFS(His_Operacoes_acoes[Total],His_Operacoes_acoes[Fimmes],Patrimônio!B923,His_Operacoes_acoes[Operação],"JCP")
+ SUMIFS(His_Operacoes_acoes[Total],His_Operacoes_acoes[Fimmes],Patrimônio!B923,His_Operacoes_acoes[Operação],"Divid.")
+ SUMIFS(His_Operacoes_acoes[Total],His_Operacoes_acoes[Fimmes],Patrimônio!B923,His_Operacoes_acoes[Operação],"Bonif.")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70434</v>
      </c>
      <c r="B924" s="7">
        <f t="shared" si="59"/>
        <v>70433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SUMIFS(His_Operacoes_acoes[Total],His_Operacoes_acoes[Fimmes],Patrimônio!B924,His_Operacoes_acoes[Operação],"JCP")
+ SUMIFS(His_Operacoes_acoes[Total],His_Operacoes_acoes[Fimmes],Patrimônio!B924,His_Operacoes_acoes[Operação],"Divid.")
+ SUMIFS(His_Operacoes_acoes[Total],His_Operacoes_acoes[Fimmes],Patrimônio!B924,His_Operacoes_acoes[Operação],"Bonif.")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70464</v>
      </c>
      <c r="B925" s="7">
        <f t="shared" si="59"/>
        <v>70463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SUMIFS(His_Operacoes_acoes[Total],His_Operacoes_acoes[Fimmes],Patrimônio!B925,His_Operacoes_acoes[Operação],"JCP")
+ SUMIFS(His_Operacoes_acoes[Total],His_Operacoes_acoes[Fimmes],Patrimônio!B925,His_Operacoes_acoes[Operação],"Divid.")
+ SUMIFS(His_Operacoes_acoes[Total],His_Operacoes_acoes[Fimmes],Patrimônio!B925,His_Operacoes_acoes[Operação],"Bonif.")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70495</v>
      </c>
      <c r="B926" s="7">
        <f t="shared" si="59"/>
        <v>70494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SUMIFS(His_Operacoes_acoes[Total],His_Operacoes_acoes[Fimmes],Patrimônio!B926,His_Operacoes_acoes[Operação],"JCP")
+ SUMIFS(His_Operacoes_acoes[Total],His_Operacoes_acoes[Fimmes],Patrimônio!B926,His_Operacoes_acoes[Operação],"Divid.")
+ SUMIFS(His_Operacoes_acoes[Total],His_Operacoes_acoes[Fimmes],Patrimônio!B926,His_Operacoes_acoes[Operação],"Bonif.")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70526</v>
      </c>
      <c r="B927" s="7">
        <f t="shared" si="59"/>
        <v>70525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SUMIFS(His_Operacoes_acoes[Total],His_Operacoes_acoes[Fimmes],Patrimônio!B927,His_Operacoes_acoes[Operação],"JCP")
+ SUMIFS(His_Operacoes_acoes[Total],His_Operacoes_acoes[Fimmes],Patrimônio!B927,His_Operacoes_acoes[Operação],"Divid.")
+ SUMIFS(His_Operacoes_acoes[Total],His_Operacoes_acoes[Fimmes],Patrimônio!B927,His_Operacoes_acoes[Operação],"Bonif.")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70554</v>
      </c>
      <c r="B928" s="7">
        <f t="shared" si="59"/>
        <v>70553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SUMIFS(His_Operacoes_acoes[Total],His_Operacoes_acoes[Fimmes],Patrimônio!B928,His_Operacoes_acoes[Operação],"JCP")
+ SUMIFS(His_Operacoes_acoes[Total],His_Operacoes_acoes[Fimmes],Patrimônio!B928,His_Operacoes_acoes[Operação],"Divid.")
+ SUMIFS(His_Operacoes_acoes[Total],His_Operacoes_acoes[Fimmes],Patrimônio!B928,His_Operacoes_acoes[Operação],"Bonif.")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70585</v>
      </c>
      <c r="B929" s="7">
        <f t="shared" si="59"/>
        <v>70584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SUMIFS(His_Operacoes_acoes[Total],His_Operacoes_acoes[Fimmes],Patrimônio!B929,His_Operacoes_acoes[Operação],"JCP")
+ SUMIFS(His_Operacoes_acoes[Total],His_Operacoes_acoes[Fimmes],Patrimônio!B929,His_Operacoes_acoes[Operação],"Divid.")
+ SUMIFS(His_Operacoes_acoes[Total],His_Operacoes_acoes[Fimmes],Patrimônio!B929,His_Operacoes_acoes[Operação],"Bonif.")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70615</v>
      </c>
      <c r="B930" s="7">
        <f t="shared" si="59"/>
        <v>70614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SUMIFS(His_Operacoes_acoes[Total],His_Operacoes_acoes[Fimmes],Patrimônio!B930,His_Operacoes_acoes[Operação],"JCP")
+ SUMIFS(His_Operacoes_acoes[Total],His_Operacoes_acoes[Fimmes],Patrimônio!B930,His_Operacoes_acoes[Operação],"Divid.")
+ SUMIFS(His_Operacoes_acoes[Total],His_Operacoes_acoes[Fimmes],Patrimônio!B930,His_Operacoes_acoes[Operação],"Bonif.")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70646</v>
      </c>
      <c r="B931" s="7">
        <f t="shared" si="59"/>
        <v>70645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SUMIFS(His_Operacoes_acoes[Total],His_Operacoes_acoes[Fimmes],Patrimônio!B931,His_Operacoes_acoes[Operação],"JCP")
+ SUMIFS(His_Operacoes_acoes[Total],His_Operacoes_acoes[Fimmes],Patrimônio!B931,His_Operacoes_acoes[Operação],"Divid.")
+ SUMIFS(His_Operacoes_acoes[Total],His_Operacoes_acoes[Fimmes],Patrimônio!B931,His_Operacoes_acoes[Operação],"Bonif.")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70676</v>
      </c>
      <c r="B932" s="7">
        <f t="shared" si="59"/>
        <v>70675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SUMIFS(His_Operacoes_acoes[Total],His_Operacoes_acoes[Fimmes],Patrimônio!B932,His_Operacoes_acoes[Operação],"JCP")
+ SUMIFS(His_Operacoes_acoes[Total],His_Operacoes_acoes[Fimmes],Patrimônio!B932,His_Operacoes_acoes[Operação],"Divid.")
+ SUMIFS(His_Operacoes_acoes[Total],His_Operacoes_acoes[Fimmes],Patrimônio!B932,His_Operacoes_acoes[Operação],"Bonif.")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70707</v>
      </c>
      <c r="B933" s="7">
        <f t="shared" si="59"/>
        <v>70706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SUMIFS(His_Operacoes_acoes[Total],His_Operacoes_acoes[Fimmes],Patrimônio!B933,His_Operacoes_acoes[Operação],"JCP")
+ SUMIFS(His_Operacoes_acoes[Total],His_Operacoes_acoes[Fimmes],Patrimônio!B933,His_Operacoes_acoes[Operação],"Divid.")
+ SUMIFS(His_Operacoes_acoes[Total],His_Operacoes_acoes[Fimmes],Patrimônio!B933,His_Operacoes_acoes[Operação],"Bonif.")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70738</v>
      </c>
      <c r="B934" s="7">
        <f t="shared" si="59"/>
        <v>70737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SUMIFS(His_Operacoes_acoes[Total],His_Operacoes_acoes[Fimmes],Patrimônio!B934,His_Operacoes_acoes[Operação],"JCP")
+ SUMIFS(His_Operacoes_acoes[Total],His_Operacoes_acoes[Fimmes],Patrimônio!B934,His_Operacoes_acoes[Operação],"Divid.")
+ SUMIFS(His_Operacoes_acoes[Total],His_Operacoes_acoes[Fimmes],Patrimônio!B934,His_Operacoes_acoes[Operação],"Bonif.")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70768</v>
      </c>
      <c r="B935" s="7">
        <f t="shared" si="59"/>
        <v>70767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SUMIFS(His_Operacoes_acoes[Total],His_Operacoes_acoes[Fimmes],Patrimônio!B935,His_Operacoes_acoes[Operação],"JCP")
+ SUMIFS(His_Operacoes_acoes[Total],His_Operacoes_acoes[Fimmes],Patrimônio!B935,His_Operacoes_acoes[Operação],"Divid.")
+ SUMIFS(His_Operacoes_acoes[Total],His_Operacoes_acoes[Fimmes],Patrimônio!B935,His_Operacoes_acoes[Operação],"Bonif.")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70799</v>
      </c>
      <c r="B936" s="7">
        <f t="shared" si="59"/>
        <v>70798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SUMIFS(His_Operacoes_acoes[Total],His_Operacoes_acoes[Fimmes],Patrimônio!B936,His_Operacoes_acoes[Operação],"JCP")
+ SUMIFS(His_Operacoes_acoes[Total],His_Operacoes_acoes[Fimmes],Patrimônio!B936,His_Operacoes_acoes[Operação],"Divid.")
+ SUMIFS(His_Operacoes_acoes[Total],His_Operacoes_acoes[Fimmes],Patrimônio!B936,His_Operacoes_acoes[Operação],"Bonif.")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70829</v>
      </c>
      <c r="B937" s="7">
        <f t="shared" si="59"/>
        <v>70828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SUMIFS(His_Operacoes_acoes[Total],His_Operacoes_acoes[Fimmes],Patrimônio!B937,His_Operacoes_acoes[Operação],"JCP")
+ SUMIFS(His_Operacoes_acoes[Total],His_Operacoes_acoes[Fimmes],Patrimônio!B937,His_Operacoes_acoes[Operação],"Divid.")
+ SUMIFS(His_Operacoes_acoes[Total],His_Operacoes_acoes[Fimmes],Patrimônio!B937,His_Operacoes_acoes[Operação],"Bonif.")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70860</v>
      </c>
      <c r="B938" s="7">
        <f t="shared" si="59"/>
        <v>70859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SUMIFS(His_Operacoes_acoes[Total],His_Operacoes_acoes[Fimmes],Patrimônio!B938,His_Operacoes_acoes[Operação],"JCP")
+ SUMIFS(His_Operacoes_acoes[Total],His_Operacoes_acoes[Fimmes],Patrimônio!B938,His_Operacoes_acoes[Operação],"Divid.")
+ SUMIFS(His_Operacoes_acoes[Total],His_Operacoes_acoes[Fimmes],Patrimônio!B938,His_Operacoes_acoes[Operação],"Bonif.")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70891</v>
      </c>
      <c r="B939" s="7">
        <f t="shared" si="59"/>
        <v>70890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SUMIFS(His_Operacoes_acoes[Total],His_Operacoes_acoes[Fimmes],Patrimônio!B939,His_Operacoes_acoes[Operação],"JCP")
+ SUMIFS(His_Operacoes_acoes[Total],His_Operacoes_acoes[Fimmes],Patrimônio!B939,His_Operacoes_acoes[Operação],"Divid.")
+ SUMIFS(His_Operacoes_acoes[Total],His_Operacoes_acoes[Fimmes],Patrimônio!B939,His_Operacoes_acoes[Operação],"Bonif.")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70919</v>
      </c>
      <c r="B940" s="7">
        <f t="shared" si="59"/>
        <v>70918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SUMIFS(His_Operacoes_acoes[Total],His_Operacoes_acoes[Fimmes],Patrimônio!B940,His_Operacoes_acoes[Operação],"JCP")
+ SUMIFS(His_Operacoes_acoes[Total],His_Operacoes_acoes[Fimmes],Patrimônio!B940,His_Operacoes_acoes[Operação],"Divid.")
+ SUMIFS(His_Operacoes_acoes[Total],His_Operacoes_acoes[Fimmes],Patrimônio!B940,His_Operacoes_acoes[Operação],"Bonif.")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70950</v>
      </c>
      <c r="B941" s="7">
        <f t="shared" si="59"/>
        <v>70949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SUMIFS(His_Operacoes_acoes[Total],His_Operacoes_acoes[Fimmes],Patrimônio!B941,His_Operacoes_acoes[Operação],"JCP")
+ SUMIFS(His_Operacoes_acoes[Total],His_Operacoes_acoes[Fimmes],Patrimônio!B941,His_Operacoes_acoes[Operação],"Divid.")
+ SUMIFS(His_Operacoes_acoes[Total],His_Operacoes_acoes[Fimmes],Patrimônio!B941,His_Operacoes_acoes[Operação],"Bonif.")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70980</v>
      </c>
      <c r="B942" s="7">
        <f t="shared" si="59"/>
        <v>70979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SUMIFS(His_Operacoes_acoes[Total],His_Operacoes_acoes[Fimmes],Patrimônio!B942,His_Operacoes_acoes[Operação],"JCP")
+ SUMIFS(His_Operacoes_acoes[Total],His_Operacoes_acoes[Fimmes],Patrimônio!B942,His_Operacoes_acoes[Operação],"Divid.")
+ SUMIFS(His_Operacoes_acoes[Total],His_Operacoes_acoes[Fimmes],Patrimônio!B942,His_Operacoes_acoes[Operação],"Bonif.")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71011</v>
      </c>
      <c r="B943" s="7">
        <f t="shared" si="59"/>
        <v>71010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SUMIFS(His_Operacoes_acoes[Total],His_Operacoes_acoes[Fimmes],Patrimônio!B943,His_Operacoes_acoes[Operação],"JCP")
+ SUMIFS(His_Operacoes_acoes[Total],His_Operacoes_acoes[Fimmes],Patrimônio!B943,His_Operacoes_acoes[Operação],"Divid.")
+ SUMIFS(His_Operacoes_acoes[Total],His_Operacoes_acoes[Fimmes],Patrimônio!B943,His_Operacoes_acoes[Operação],"Bonif.")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71041</v>
      </c>
      <c r="B944" s="7">
        <f t="shared" si="59"/>
        <v>71040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SUMIFS(His_Operacoes_acoes[Total],His_Operacoes_acoes[Fimmes],Patrimônio!B944,His_Operacoes_acoes[Operação],"JCP")
+ SUMIFS(His_Operacoes_acoes[Total],His_Operacoes_acoes[Fimmes],Patrimônio!B944,His_Operacoes_acoes[Operação],"Divid.")
+ SUMIFS(His_Operacoes_acoes[Total],His_Operacoes_acoes[Fimmes],Patrimônio!B944,His_Operacoes_acoes[Operação],"Bonif.")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71072</v>
      </c>
      <c r="B945" s="7">
        <f t="shared" si="59"/>
        <v>71071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SUMIFS(His_Operacoes_acoes[Total],His_Operacoes_acoes[Fimmes],Patrimônio!B945,His_Operacoes_acoes[Operação],"JCP")
+ SUMIFS(His_Operacoes_acoes[Total],His_Operacoes_acoes[Fimmes],Patrimônio!B945,His_Operacoes_acoes[Operação],"Divid.")
+ SUMIFS(His_Operacoes_acoes[Total],His_Operacoes_acoes[Fimmes],Patrimônio!B945,His_Operacoes_acoes[Operação],"Bonif.")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71103</v>
      </c>
      <c r="B946" s="7">
        <f t="shared" si="59"/>
        <v>71102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SUMIFS(His_Operacoes_acoes[Total],His_Operacoes_acoes[Fimmes],Patrimônio!B946,His_Operacoes_acoes[Operação],"JCP")
+ SUMIFS(His_Operacoes_acoes[Total],His_Operacoes_acoes[Fimmes],Patrimônio!B946,His_Operacoes_acoes[Operação],"Divid.")
+ SUMIFS(His_Operacoes_acoes[Total],His_Operacoes_acoes[Fimmes],Patrimônio!B946,His_Operacoes_acoes[Operação],"Bonif.")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71133</v>
      </c>
      <c r="B947" s="7">
        <f t="shared" si="59"/>
        <v>71132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SUMIFS(His_Operacoes_acoes[Total],His_Operacoes_acoes[Fimmes],Patrimônio!B947,His_Operacoes_acoes[Operação],"JCP")
+ SUMIFS(His_Operacoes_acoes[Total],His_Operacoes_acoes[Fimmes],Patrimônio!B947,His_Operacoes_acoes[Operação],"Divid.")
+ SUMIFS(His_Operacoes_acoes[Total],His_Operacoes_acoes[Fimmes],Patrimônio!B947,His_Operacoes_acoes[Operação],"Bonif.")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71164</v>
      </c>
      <c r="B948" s="7">
        <f t="shared" si="59"/>
        <v>71163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SUMIFS(His_Operacoes_acoes[Total],His_Operacoes_acoes[Fimmes],Patrimônio!B948,His_Operacoes_acoes[Operação],"JCP")
+ SUMIFS(His_Operacoes_acoes[Total],His_Operacoes_acoes[Fimmes],Patrimônio!B948,His_Operacoes_acoes[Operação],"Divid.")
+ SUMIFS(His_Operacoes_acoes[Total],His_Operacoes_acoes[Fimmes],Patrimônio!B948,His_Operacoes_acoes[Operação],"Bonif.")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71194</v>
      </c>
      <c r="B949" s="7">
        <f t="shared" si="59"/>
        <v>71193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SUMIFS(His_Operacoes_acoes[Total],His_Operacoes_acoes[Fimmes],Patrimônio!B949,His_Operacoes_acoes[Operação],"JCP")
+ SUMIFS(His_Operacoes_acoes[Total],His_Operacoes_acoes[Fimmes],Patrimônio!B949,His_Operacoes_acoes[Operação],"Divid.")
+ SUMIFS(His_Operacoes_acoes[Total],His_Operacoes_acoes[Fimmes],Patrimônio!B949,His_Operacoes_acoes[Operação],"Bonif.")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71225</v>
      </c>
      <c r="B950" s="7">
        <f t="shared" si="59"/>
        <v>71224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SUMIFS(His_Operacoes_acoes[Total],His_Operacoes_acoes[Fimmes],Patrimônio!B950,His_Operacoes_acoes[Operação],"JCP")
+ SUMIFS(His_Operacoes_acoes[Total],His_Operacoes_acoes[Fimmes],Patrimônio!B950,His_Operacoes_acoes[Operação],"Divid.")
+ SUMIFS(His_Operacoes_acoes[Total],His_Operacoes_acoes[Fimmes],Patrimônio!B950,His_Operacoes_acoes[Operação],"Bonif.")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71256</v>
      </c>
      <c r="B951" s="7">
        <f t="shared" si="59"/>
        <v>71255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SUMIFS(His_Operacoes_acoes[Total],His_Operacoes_acoes[Fimmes],Patrimônio!B951,His_Operacoes_acoes[Operação],"JCP")
+ SUMIFS(His_Operacoes_acoes[Total],His_Operacoes_acoes[Fimmes],Patrimônio!B951,His_Operacoes_acoes[Operação],"Divid.")
+ SUMIFS(His_Operacoes_acoes[Total],His_Operacoes_acoes[Fimmes],Patrimônio!B951,His_Operacoes_acoes[Operação],"Bonif.")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71284</v>
      </c>
      <c r="B952" s="7">
        <f t="shared" si="59"/>
        <v>71283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SUMIFS(His_Operacoes_acoes[Total],His_Operacoes_acoes[Fimmes],Patrimônio!B952,His_Operacoes_acoes[Operação],"JCP")
+ SUMIFS(His_Operacoes_acoes[Total],His_Operacoes_acoes[Fimmes],Patrimônio!B952,His_Operacoes_acoes[Operação],"Divid.")
+ SUMIFS(His_Operacoes_acoes[Total],His_Operacoes_acoes[Fimmes],Patrimônio!B952,His_Operacoes_acoes[Operação],"Bonif.")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71315</v>
      </c>
      <c r="B953" s="7">
        <f t="shared" si="59"/>
        <v>71314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SUMIFS(His_Operacoes_acoes[Total],His_Operacoes_acoes[Fimmes],Patrimônio!B953,His_Operacoes_acoes[Operação],"JCP")
+ SUMIFS(His_Operacoes_acoes[Total],His_Operacoes_acoes[Fimmes],Patrimônio!B953,His_Operacoes_acoes[Operação],"Divid.")
+ SUMIFS(His_Operacoes_acoes[Total],His_Operacoes_acoes[Fimmes],Patrimônio!B953,His_Operacoes_acoes[Operação],"Bonif.")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71345</v>
      </c>
      <c r="B954" s="7">
        <f t="shared" si="59"/>
        <v>71344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SUMIFS(His_Operacoes_acoes[Total],His_Operacoes_acoes[Fimmes],Patrimônio!B954,His_Operacoes_acoes[Operação],"JCP")
+ SUMIFS(His_Operacoes_acoes[Total],His_Operacoes_acoes[Fimmes],Patrimônio!B954,His_Operacoes_acoes[Operação],"Divid.")
+ SUMIFS(His_Operacoes_acoes[Total],His_Operacoes_acoes[Fimmes],Patrimônio!B954,His_Operacoes_acoes[Operação],"Bonif.")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71376</v>
      </c>
      <c r="B955" s="7">
        <f t="shared" si="59"/>
        <v>71375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SUMIFS(His_Operacoes_acoes[Total],His_Operacoes_acoes[Fimmes],Patrimônio!B955,His_Operacoes_acoes[Operação],"JCP")
+ SUMIFS(His_Operacoes_acoes[Total],His_Operacoes_acoes[Fimmes],Patrimônio!B955,His_Operacoes_acoes[Operação],"Divid.")
+ SUMIFS(His_Operacoes_acoes[Total],His_Operacoes_acoes[Fimmes],Patrimônio!B955,His_Operacoes_acoes[Operação],"Bonif.")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71406</v>
      </c>
      <c r="B956" s="7">
        <f t="shared" si="59"/>
        <v>71405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SUMIFS(His_Operacoes_acoes[Total],His_Operacoes_acoes[Fimmes],Patrimônio!B956,His_Operacoes_acoes[Operação],"JCP")
+ SUMIFS(His_Operacoes_acoes[Total],His_Operacoes_acoes[Fimmes],Patrimônio!B956,His_Operacoes_acoes[Operação],"Divid.")
+ SUMIFS(His_Operacoes_acoes[Total],His_Operacoes_acoes[Fimmes],Patrimônio!B956,His_Operacoes_acoes[Operação],"Bonif.")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71437</v>
      </c>
      <c r="B957" s="7">
        <f t="shared" si="59"/>
        <v>71436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SUMIFS(His_Operacoes_acoes[Total],His_Operacoes_acoes[Fimmes],Patrimônio!B957,His_Operacoes_acoes[Operação],"JCP")
+ SUMIFS(His_Operacoes_acoes[Total],His_Operacoes_acoes[Fimmes],Patrimônio!B957,His_Operacoes_acoes[Operação],"Divid.")
+ SUMIFS(His_Operacoes_acoes[Total],His_Operacoes_acoes[Fimmes],Patrimônio!B957,His_Operacoes_acoes[Operação],"Bonif.")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71468</v>
      </c>
      <c r="B958" s="7">
        <f t="shared" si="59"/>
        <v>71467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SUMIFS(His_Operacoes_acoes[Total],His_Operacoes_acoes[Fimmes],Patrimônio!B958,His_Operacoes_acoes[Operação],"JCP")
+ SUMIFS(His_Operacoes_acoes[Total],His_Operacoes_acoes[Fimmes],Patrimônio!B958,His_Operacoes_acoes[Operação],"Divid.")
+ SUMIFS(His_Operacoes_acoes[Total],His_Operacoes_acoes[Fimmes],Patrimônio!B958,His_Operacoes_acoes[Operação],"Bonif.")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71498</v>
      </c>
      <c r="B959" s="7">
        <f t="shared" si="59"/>
        <v>71497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SUMIFS(His_Operacoes_acoes[Total],His_Operacoes_acoes[Fimmes],Patrimônio!B959,His_Operacoes_acoes[Operação],"JCP")
+ SUMIFS(His_Operacoes_acoes[Total],His_Operacoes_acoes[Fimmes],Patrimônio!B959,His_Operacoes_acoes[Operação],"Divid.")
+ SUMIFS(His_Operacoes_acoes[Total],His_Operacoes_acoes[Fimmes],Patrimônio!B959,His_Operacoes_acoes[Operação],"Bonif.")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71529</v>
      </c>
      <c r="B960" s="7">
        <f t="shared" si="59"/>
        <v>71528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SUMIFS(His_Operacoes_acoes[Total],His_Operacoes_acoes[Fimmes],Patrimônio!B960,His_Operacoes_acoes[Operação],"JCP")
+ SUMIFS(His_Operacoes_acoes[Total],His_Operacoes_acoes[Fimmes],Patrimônio!B960,His_Operacoes_acoes[Operação],"Divid.")
+ SUMIFS(His_Operacoes_acoes[Total],His_Operacoes_acoes[Fimmes],Patrimônio!B960,His_Operacoes_acoes[Operação],"Bonif.")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71559</v>
      </c>
      <c r="B961" s="7">
        <f t="shared" si="59"/>
        <v>71558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SUMIFS(His_Operacoes_acoes[Total],His_Operacoes_acoes[Fimmes],Patrimônio!B961,His_Operacoes_acoes[Operação],"JCP")
+ SUMIFS(His_Operacoes_acoes[Total],His_Operacoes_acoes[Fimmes],Patrimônio!B961,His_Operacoes_acoes[Operação],"Divid.")
+ SUMIFS(His_Operacoes_acoes[Total],His_Operacoes_acoes[Fimmes],Patrimônio!B961,His_Operacoes_acoes[Operação],"Bonif.")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71590</v>
      </c>
      <c r="B962" s="7">
        <f t="shared" si="59"/>
        <v>71589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SUMIFS(His_Operacoes_acoes[Total],His_Operacoes_acoes[Fimmes],Patrimônio!B962,His_Operacoes_acoes[Operação],"JCP")
+ SUMIFS(His_Operacoes_acoes[Total],His_Operacoes_acoes[Fimmes],Patrimônio!B962,His_Operacoes_acoes[Operação],"Divid.")
+ SUMIFS(His_Operacoes_acoes[Total],His_Operacoes_acoes[Fimmes],Patrimônio!B962,His_Operacoes_acoes[Operação],"Bonif.")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71621</v>
      </c>
      <c r="B963" s="7">
        <f t="shared" ref="B963:B972" si="63">EOMONTH(A963,-1)</f>
        <v>71620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SUMIFS(His_Operacoes_acoes[Total],His_Operacoes_acoes[Fimmes],Patrimônio!B963,His_Operacoes_acoes[Operação],"JCP")
+ SUMIFS(His_Operacoes_acoes[Total],His_Operacoes_acoes[Fimmes],Patrimônio!B963,His_Operacoes_acoes[Operação],"Divid.")
+ SUMIFS(His_Operacoes_acoes[Total],His_Operacoes_acoes[Fimmes],Patrimônio!B963,His_Operacoes_acoes[Operação],"Bonif.")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71650</v>
      </c>
      <c r="B964" s="7">
        <f t="shared" si="63"/>
        <v>71649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SUMIFS(His_Operacoes_acoes[Total],His_Operacoes_acoes[Fimmes],Patrimônio!B964,His_Operacoes_acoes[Operação],"JCP")
+ SUMIFS(His_Operacoes_acoes[Total],His_Operacoes_acoes[Fimmes],Patrimônio!B964,His_Operacoes_acoes[Operação],"Divid.")
+ SUMIFS(His_Operacoes_acoes[Total],His_Operacoes_acoes[Fimmes],Patrimônio!B964,His_Operacoes_acoes[Operação],"Bonif.")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71681</v>
      </c>
      <c r="B965" s="7">
        <f t="shared" si="63"/>
        <v>71680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SUMIFS(His_Operacoes_acoes[Total],His_Operacoes_acoes[Fimmes],Patrimônio!B965,His_Operacoes_acoes[Operação],"JCP")
+ SUMIFS(His_Operacoes_acoes[Total],His_Operacoes_acoes[Fimmes],Patrimônio!B965,His_Operacoes_acoes[Operação],"Divid.")
+ SUMIFS(His_Operacoes_acoes[Total],His_Operacoes_acoes[Fimmes],Patrimônio!B965,His_Operacoes_acoes[Operação],"Bonif.")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71711</v>
      </c>
      <c r="B966" s="7">
        <f t="shared" si="63"/>
        <v>71710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SUMIFS(His_Operacoes_acoes[Total],His_Operacoes_acoes[Fimmes],Patrimônio!B966,His_Operacoes_acoes[Operação],"JCP")
+ SUMIFS(His_Operacoes_acoes[Total],His_Operacoes_acoes[Fimmes],Patrimônio!B966,His_Operacoes_acoes[Operação],"Divid.")
+ SUMIFS(His_Operacoes_acoes[Total],His_Operacoes_acoes[Fimmes],Patrimônio!B966,His_Operacoes_acoes[Operação],"Bonif.")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71742</v>
      </c>
      <c r="B967" s="7">
        <f t="shared" si="63"/>
        <v>71741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SUMIFS(His_Operacoes_acoes[Total],His_Operacoes_acoes[Fimmes],Patrimônio!B967,His_Operacoes_acoes[Operação],"JCP")
+ SUMIFS(His_Operacoes_acoes[Total],His_Operacoes_acoes[Fimmes],Patrimônio!B967,His_Operacoes_acoes[Operação],"Divid.")
+ SUMIFS(His_Operacoes_acoes[Total],His_Operacoes_acoes[Fimmes],Patrimônio!B967,His_Operacoes_acoes[Operação],"Bonif.")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71772</v>
      </c>
      <c r="B968" s="7">
        <f t="shared" si="63"/>
        <v>71771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SUMIFS(His_Operacoes_acoes[Total],His_Operacoes_acoes[Fimmes],Patrimônio!B968,His_Operacoes_acoes[Operação],"JCP")
+ SUMIFS(His_Operacoes_acoes[Total],His_Operacoes_acoes[Fimmes],Patrimônio!B968,His_Operacoes_acoes[Operação],"Divid.")
+ SUMIFS(His_Operacoes_acoes[Total],His_Operacoes_acoes[Fimmes],Patrimônio!B968,His_Operacoes_acoes[Operação],"Bonif.")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71803</v>
      </c>
      <c r="B969" s="7">
        <f t="shared" si="63"/>
        <v>71802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SUMIFS(His_Operacoes_acoes[Total],His_Operacoes_acoes[Fimmes],Patrimônio!B969,His_Operacoes_acoes[Operação],"JCP")
+ SUMIFS(His_Operacoes_acoes[Total],His_Operacoes_acoes[Fimmes],Patrimônio!B969,His_Operacoes_acoes[Operação],"Divid.")
+ SUMIFS(His_Operacoes_acoes[Total],His_Operacoes_acoes[Fimmes],Patrimônio!B969,His_Operacoes_acoes[Operação],"Bonif.")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71834</v>
      </c>
      <c r="B970" s="7">
        <f t="shared" si="63"/>
        <v>71833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SUMIFS(His_Operacoes_acoes[Total],His_Operacoes_acoes[Fimmes],Patrimônio!B970,His_Operacoes_acoes[Operação],"JCP")
+ SUMIFS(His_Operacoes_acoes[Total],His_Operacoes_acoes[Fimmes],Patrimônio!B970,His_Operacoes_acoes[Operação],"Divid.")
+ SUMIFS(His_Operacoes_acoes[Total],His_Operacoes_acoes[Fimmes],Patrimônio!B970,His_Operacoes_acoes[Operação],"Bonif.")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71864</v>
      </c>
      <c r="B971" s="7">
        <f t="shared" si="63"/>
        <v>71863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SUMIFS(His_Operacoes_acoes[Total],His_Operacoes_acoes[Fimmes],Patrimônio!B971,His_Operacoes_acoes[Operação],"JCP")
+ SUMIFS(His_Operacoes_acoes[Total],His_Operacoes_acoes[Fimmes],Patrimônio!B971,His_Operacoes_acoes[Operação],"Divid.")
+ SUMIFS(His_Operacoes_acoes[Total],His_Operacoes_acoes[Fimmes],Patrimônio!B971,His_Operacoes_acoes[Operação],"Bonif.")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71895</v>
      </c>
      <c r="B972" s="7">
        <f t="shared" si="63"/>
        <v>71894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SUMIFS(His_Operacoes_acoes[Total],His_Operacoes_acoes[Fimmes],Patrimônio!B972,His_Operacoes_acoes[Operação],"JCP")
+ SUMIFS(His_Operacoes_acoes[Total],His_Operacoes_acoes[Fimmes],Patrimônio!B972,His_Operacoes_acoes[Operação],"Divid.")
+ SUMIFS(His_Operacoes_acoes[Total],His_Operacoes_acoes[Fimmes],Patrimônio!B972,His_Operacoes_acoes[Operação],"Bonif.")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47" t="s">
        <v>3</v>
      </c>
      <c r="B3" s="148"/>
      <c r="C3" s="148"/>
      <c r="D3" s="148"/>
      <c r="E3" s="148"/>
      <c r="F3" s="149"/>
      <c r="G3" s="150" t="s">
        <v>8</v>
      </c>
      <c r="H3" s="151"/>
      <c r="I3" s="151"/>
      <c r="J3" s="151"/>
      <c r="K3" s="151"/>
      <c r="L3" s="151"/>
      <c r="M3" s="151"/>
      <c r="N3" s="150" t="s">
        <v>9</v>
      </c>
      <c r="O3" s="151"/>
      <c r="P3" s="151"/>
      <c r="Q3" s="151"/>
      <c r="R3" s="151"/>
      <c r="S3" s="151"/>
      <c r="T3" s="151"/>
      <c r="U3" s="150"/>
      <c r="V3" s="151"/>
      <c r="W3" s="151"/>
      <c r="X3" s="151"/>
      <c r="Y3" s="151"/>
      <c r="Z3" s="151"/>
      <c r="AA3" s="151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106</v>
      </c>
      <c r="D6" s="9">
        <v>0</v>
      </c>
      <c r="H6" s="5" t="s">
        <v>106</v>
      </c>
      <c r="I6" s="10">
        <v>0</v>
      </c>
      <c r="P6" s="12" t="s">
        <v>106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110</v>
      </c>
      <c r="C10"/>
      <c r="D10"/>
    </row>
    <row r="11" spans="1:27" x14ac:dyDescent="0.35">
      <c r="A11" s="3" t="s">
        <v>111</v>
      </c>
      <c r="C11"/>
      <c r="D11"/>
    </row>
    <row r="12" spans="1:27" x14ac:dyDescent="0.35">
      <c r="A12" s="122" t="s">
        <v>112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2022-05-06T11:47:38Z</dcterms:modified>
</cp:coreProperties>
</file>