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My Drive\Controle de Carteira - Renda Variável\"/>
    </mc:Choice>
  </mc:AlternateContent>
  <xr:revisionPtr revIDLastSave="0" documentId="13_ncr:1_{532FAEFB-D876-4B3A-8811-4FB124B0C4AD}" xr6:coauthVersionLast="47" xr6:coauthVersionMax="47" xr10:uidLastSave="{00000000-0000-0000-0000-000000000000}"/>
  <bookViews>
    <workbookView xWindow="-120" yWindow="-120" windowWidth="20730" windowHeight="11760" xr2:uid="{00000000-000D-0000-FFFF-FFFF00000000}"/>
  </bookViews>
  <sheets>
    <sheet name="Visão Geral" sheetId="1" r:id="rId1"/>
    <sheet name="Ações" sheetId="2" r:id="rId2"/>
    <sheet name="BDRs" sheetId="3" r:id="rId3"/>
    <sheet name="FIIs" sheetId="4" r:id="rId4"/>
    <sheet name="Patrimônio" sheetId="5" state="hidden" r:id="rId5"/>
    <sheet name="Auxiliar" sheetId="6" state="hidden" r:id="rId6"/>
  </sheets>
  <functionGroups builtInGroupCount="19"/>
  <calcPr calcId="191029"/>
  <pivotCaches>
    <pivotCache cacheId="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2" roundtripDataSignature="AMtx7mjsBZ3uiEQ31B88nJpSi1Y1LL7t5A=="/>
    </ext>
  </extLst>
</workbook>
</file>

<file path=xl/calcChain.xml><?xml version="1.0" encoding="utf-8"?>
<calcChain xmlns="http://schemas.openxmlformats.org/spreadsheetml/2006/main">
  <c r="M66" i="3" l="1" a="1"/>
  <c r="M66" i="3" s="1"/>
  <c r="M66" i="4" a="1"/>
  <c r="M66" i="4" s="1"/>
  <c r="F13" i="4" a="1"/>
  <c r="F13" i="4" s="1"/>
  <c r="F12" i="4" a="1"/>
  <c r="F12" i="4" s="1"/>
  <c r="F13" i="3" a="1"/>
  <c r="F13" i="3" s="1"/>
  <c r="F12" i="3" a="1"/>
  <c r="F12" i="3" s="1"/>
  <c r="M66" i="2" a="1"/>
  <c r="M66" i="2" s="1"/>
  <c r="F13" i="2" a="1"/>
  <c r="F13" i="2"/>
  <c r="F12" i="2" a="1"/>
  <c r="F12" i="2" s="1"/>
  <c r="K13" i="1" a="1"/>
  <c r="K13" i="1"/>
  <c r="K14" i="1" a="1"/>
  <c r="K14" i="1"/>
  <c r="K12" i="1" a="1"/>
  <c r="K12" i="1" s="1"/>
  <c r="J972" i="5"/>
  <c r="I972" i="5"/>
  <c r="B972" i="5"/>
  <c r="M972" i="5" s="1"/>
  <c r="J971" i="5"/>
  <c r="I971" i="5"/>
  <c r="B971" i="5"/>
  <c r="L971" i="5" s="1"/>
  <c r="J970" i="5"/>
  <c r="I970" i="5"/>
  <c r="B970" i="5"/>
  <c r="M970" i="5" s="1"/>
  <c r="J969" i="5"/>
  <c r="I969" i="5"/>
  <c r="B969" i="5"/>
  <c r="L969" i="5" s="1"/>
  <c r="J968" i="5"/>
  <c r="I968" i="5"/>
  <c r="B968" i="5"/>
  <c r="L968" i="5" s="1"/>
  <c r="J967" i="5"/>
  <c r="I967" i="5"/>
  <c r="B967" i="5"/>
  <c r="L967" i="5" s="1"/>
  <c r="J966" i="5"/>
  <c r="I966" i="5"/>
  <c r="B966" i="5"/>
  <c r="M966" i="5" s="1"/>
  <c r="J965" i="5"/>
  <c r="I965" i="5"/>
  <c r="B965" i="5"/>
  <c r="L965" i="5" s="1"/>
  <c r="J964" i="5"/>
  <c r="I964" i="5"/>
  <c r="B964" i="5"/>
  <c r="L964" i="5" s="1"/>
  <c r="J963" i="5"/>
  <c r="I963" i="5"/>
  <c r="B963" i="5"/>
  <c r="L963" i="5" s="1"/>
  <c r="J962" i="5"/>
  <c r="I962" i="5"/>
  <c r="B962" i="5"/>
  <c r="M962" i="5" s="1"/>
  <c r="J961" i="5"/>
  <c r="I961" i="5"/>
  <c r="B961" i="5"/>
  <c r="L961" i="5" s="1"/>
  <c r="J960" i="5"/>
  <c r="I960" i="5"/>
  <c r="B960" i="5"/>
  <c r="L960" i="5" s="1"/>
  <c r="J959" i="5"/>
  <c r="I959" i="5"/>
  <c r="B959" i="5"/>
  <c r="L959" i="5" s="1"/>
  <c r="J958" i="5"/>
  <c r="I958" i="5"/>
  <c r="B958" i="5"/>
  <c r="M958" i="5" s="1"/>
  <c r="J957" i="5"/>
  <c r="I957" i="5"/>
  <c r="B957" i="5"/>
  <c r="L957" i="5" s="1"/>
  <c r="J956" i="5"/>
  <c r="I956" i="5"/>
  <c r="B956" i="5"/>
  <c r="L956" i="5" s="1"/>
  <c r="J955" i="5"/>
  <c r="I955" i="5"/>
  <c r="B955" i="5"/>
  <c r="L955" i="5" s="1"/>
  <c r="J954" i="5"/>
  <c r="I954" i="5"/>
  <c r="B954" i="5"/>
  <c r="M954" i="5" s="1"/>
  <c r="J953" i="5"/>
  <c r="I953" i="5"/>
  <c r="B953" i="5"/>
  <c r="L953" i="5" s="1"/>
  <c r="J952" i="5"/>
  <c r="I952" i="5"/>
  <c r="B952" i="5"/>
  <c r="L952" i="5" s="1"/>
  <c r="J951" i="5"/>
  <c r="I951" i="5"/>
  <c r="B951" i="5"/>
  <c r="L951" i="5" s="1"/>
  <c r="J950" i="5"/>
  <c r="I950" i="5"/>
  <c r="B950" i="5"/>
  <c r="M950" i="5" s="1"/>
  <c r="J949" i="5"/>
  <c r="I949" i="5"/>
  <c r="B949" i="5"/>
  <c r="L949" i="5" s="1"/>
  <c r="J948" i="5"/>
  <c r="I948" i="5"/>
  <c r="B948" i="5"/>
  <c r="L948" i="5" s="1"/>
  <c r="J947" i="5"/>
  <c r="I947" i="5"/>
  <c r="B947" i="5"/>
  <c r="L947" i="5" s="1"/>
  <c r="J946" i="5"/>
  <c r="I946" i="5"/>
  <c r="B946" i="5"/>
  <c r="M946" i="5" s="1"/>
  <c r="J945" i="5"/>
  <c r="I945" i="5"/>
  <c r="B945" i="5"/>
  <c r="L945" i="5" s="1"/>
  <c r="J944" i="5"/>
  <c r="I944" i="5"/>
  <c r="B944" i="5"/>
  <c r="L944" i="5" s="1"/>
  <c r="J943" i="5"/>
  <c r="I943" i="5"/>
  <c r="B943" i="5"/>
  <c r="L943" i="5" s="1"/>
  <c r="J942" i="5"/>
  <c r="I942" i="5"/>
  <c r="B942" i="5"/>
  <c r="M942" i="5" s="1"/>
  <c r="J941" i="5"/>
  <c r="I941" i="5"/>
  <c r="B941" i="5"/>
  <c r="L941" i="5" s="1"/>
  <c r="J940" i="5"/>
  <c r="I940" i="5"/>
  <c r="B940" i="5"/>
  <c r="L940" i="5" s="1"/>
  <c r="J939" i="5"/>
  <c r="I939" i="5"/>
  <c r="B939" i="5"/>
  <c r="L939" i="5" s="1"/>
  <c r="J938" i="5"/>
  <c r="I938" i="5"/>
  <c r="B938" i="5"/>
  <c r="M938" i="5" s="1"/>
  <c r="J937" i="5"/>
  <c r="I937" i="5"/>
  <c r="B937" i="5"/>
  <c r="L937" i="5" s="1"/>
  <c r="J936" i="5"/>
  <c r="I936" i="5"/>
  <c r="B936" i="5"/>
  <c r="L936" i="5" s="1"/>
  <c r="J935" i="5"/>
  <c r="I935" i="5"/>
  <c r="B935" i="5"/>
  <c r="L935" i="5" s="1"/>
  <c r="J934" i="5"/>
  <c r="I934" i="5"/>
  <c r="B934" i="5"/>
  <c r="M934" i="5" s="1"/>
  <c r="J933" i="5"/>
  <c r="I933" i="5"/>
  <c r="B933" i="5"/>
  <c r="L933" i="5" s="1"/>
  <c r="J932" i="5"/>
  <c r="I932" i="5"/>
  <c r="B932" i="5"/>
  <c r="L932" i="5" s="1"/>
  <c r="J931" i="5"/>
  <c r="I931" i="5"/>
  <c r="B931" i="5"/>
  <c r="L931" i="5" s="1"/>
  <c r="J930" i="5"/>
  <c r="I930" i="5"/>
  <c r="B930" i="5"/>
  <c r="M930" i="5" s="1"/>
  <c r="J929" i="5"/>
  <c r="I929" i="5"/>
  <c r="B929" i="5"/>
  <c r="L929" i="5" s="1"/>
  <c r="J928" i="5"/>
  <c r="I928" i="5"/>
  <c r="B928" i="5"/>
  <c r="L928" i="5" s="1"/>
  <c r="J927" i="5"/>
  <c r="I927" i="5"/>
  <c r="B927" i="5"/>
  <c r="L927" i="5" s="1"/>
  <c r="J926" i="5"/>
  <c r="I926" i="5"/>
  <c r="B926" i="5"/>
  <c r="M926" i="5" s="1"/>
  <c r="J925" i="5"/>
  <c r="I925" i="5"/>
  <c r="B925" i="5"/>
  <c r="L925" i="5" s="1"/>
  <c r="J924" i="5"/>
  <c r="I924" i="5"/>
  <c r="B924" i="5"/>
  <c r="M923" i="5"/>
  <c r="J923" i="5"/>
  <c r="I923" i="5"/>
  <c r="B923" i="5"/>
  <c r="L923" i="5" s="1"/>
  <c r="M922" i="5"/>
  <c r="J922" i="5"/>
  <c r="I922" i="5"/>
  <c r="B922" i="5"/>
  <c r="J921" i="5"/>
  <c r="I921" i="5"/>
  <c r="B921" i="5"/>
  <c r="M921" i="5" s="1"/>
  <c r="J920" i="5"/>
  <c r="I920" i="5"/>
  <c r="B920" i="5"/>
  <c r="M919" i="5"/>
  <c r="J919" i="5"/>
  <c r="I919" i="5"/>
  <c r="B919" i="5"/>
  <c r="L919" i="5" s="1"/>
  <c r="M918" i="5"/>
  <c r="J918" i="5"/>
  <c r="I918" i="5"/>
  <c r="B918" i="5"/>
  <c r="J917" i="5"/>
  <c r="I917" i="5"/>
  <c r="B917" i="5"/>
  <c r="M917" i="5" s="1"/>
  <c r="J916" i="5"/>
  <c r="I916" i="5"/>
  <c r="B916" i="5"/>
  <c r="M915" i="5"/>
  <c r="J915" i="5"/>
  <c r="I915" i="5"/>
  <c r="B915" i="5"/>
  <c r="L915" i="5" s="1"/>
  <c r="M914" i="5"/>
  <c r="J914" i="5"/>
  <c r="I914" i="5"/>
  <c r="B914" i="5"/>
  <c r="J913" i="5"/>
  <c r="I913" i="5"/>
  <c r="B913" i="5"/>
  <c r="M913" i="5" s="1"/>
  <c r="J912" i="5"/>
  <c r="I912" i="5"/>
  <c r="B912" i="5"/>
  <c r="M911" i="5"/>
  <c r="J911" i="5"/>
  <c r="I911" i="5"/>
  <c r="B911" i="5"/>
  <c r="L911" i="5" s="1"/>
  <c r="M910" i="5"/>
  <c r="J910" i="5"/>
  <c r="I910" i="5"/>
  <c r="B910" i="5"/>
  <c r="J909" i="5"/>
  <c r="I909" i="5"/>
  <c r="B909" i="5"/>
  <c r="M909" i="5" s="1"/>
  <c r="J908" i="5"/>
  <c r="I908" i="5"/>
  <c r="B908" i="5"/>
  <c r="M907" i="5"/>
  <c r="J907" i="5"/>
  <c r="I907" i="5"/>
  <c r="B907" i="5"/>
  <c r="L907" i="5" s="1"/>
  <c r="M906" i="5"/>
  <c r="J906" i="5"/>
  <c r="I906" i="5"/>
  <c r="B906" i="5"/>
  <c r="J905" i="5"/>
  <c r="I905" i="5"/>
  <c r="B905" i="5"/>
  <c r="M905" i="5" s="1"/>
  <c r="J904" i="5"/>
  <c r="I904" i="5"/>
  <c r="B904" i="5"/>
  <c r="M903" i="5"/>
  <c r="J903" i="5"/>
  <c r="I903" i="5"/>
  <c r="B903" i="5"/>
  <c r="L903" i="5" s="1"/>
  <c r="M902" i="5"/>
  <c r="J902" i="5"/>
  <c r="I902" i="5"/>
  <c r="B902" i="5"/>
  <c r="J901" i="5"/>
  <c r="I901" i="5"/>
  <c r="B901" i="5"/>
  <c r="M901" i="5" s="1"/>
  <c r="J900" i="5"/>
  <c r="I900" i="5"/>
  <c r="B900" i="5"/>
  <c r="M899" i="5"/>
  <c r="J899" i="5"/>
  <c r="I899" i="5"/>
  <c r="B899" i="5"/>
  <c r="L899" i="5" s="1"/>
  <c r="J898" i="5"/>
  <c r="I898" i="5"/>
  <c r="B898" i="5"/>
  <c r="J897" i="5"/>
  <c r="I897" i="5"/>
  <c r="B897" i="5"/>
  <c r="M897" i="5" s="1"/>
  <c r="J896" i="5"/>
  <c r="I896" i="5"/>
  <c r="B896" i="5"/>
  <c r="J895" i="5"/>
  <c r="I895" i="5"/>
  <c r="B895" i="5"/>
  <c r="L895" i="5" s="1"/>
  <c r="J894" i="5"/>
  <c r="I894" i="5"/>
  <c r="B894" i="5"/>
  <c r="J893" i="5"/>
  <c r="I893" i="5"/>
  <c r="B893" i="5"/>
  <c r="M893" i="5" s="1"/>
  <c r="J892" i="5"/>
  <c r="I892" i="5"/>
  <c r="B892" i="5"/>
  <c r="M891" i="5"/>
  <c r="J891" i="5"/>
  <c r="I891" i="5"/>
  <c r="B891" i="5"/>
  <c r="L891" i="5" s="1"/>
  <c r="J890" i="5"/>
  <c r="I890" i="5"/>
  <c r="B890" i="5"/>
  <c r="J889" i="5"/>
  <c r="I889" i="5"/>
  <c r="B889" i="5"/>
  <c r="M889" i="5" s="1"/>
  <c r="J888" i="5"/>
  <c r="I888" i="5"/>
  <c r="B888" i="5"/>
  <c r="J887" i="5"/>
  <c r="I887" i="5"/>
  <c r="B887" i="5"/>
  <c r="L887" i="5" s="1"/>
  <c r="J886" i="5"/>
  <c r="I886" i="5"/>
  <c r="B886" i="5"/>
  <c r="L886" i="5" s="1"/>
  <c r="J885" i="5"/>
  <c r="I885" i="5"/>
  <c r="B885" i="5"/>
  <c r="L885" i="5" s="1"/>
  <c r="J884" i="5"/>
  <c r="I884" i="5"/>
  <c r="B884" i="5"/>
  <c r="L884" i="5" s="1"/>
  <c r="M883" i="5"/>
  <c r="J883" i="5"/>
  <c r="I883" i="5"/>
  <c r="B883" i="5"/>
  <c r="L883" i="5" s="1"/>
  <c r="L882" i="5"/>
  <c r="J882" i="5"/>
  <c r="I882" i="5"/>
  <c r="B882" i="5"/>
  <c r="M881" i="5"/>
  <c r="J881" i="5"/>
  <c r="I881" i="5"/>
  <c r="B881" i="5"/>
  <c r="L881" i="5" s="1"/>
  <c r="J880" i="5"/>
  <c r="I880" i="5"/>
  <c r="B880" i="5"/>
  <c r="L880" i="5" s="1"/>
  <c r="J879" i="5"/>
  <c r="I879" i="5"/>
  <c r="B879" i="5"/>
  <c r="L879" i="5" s="1"/>
  <c r="J878" i="5"/>
  <c r="I878" i="5"/>
  <c r="B878" i="5"/>
  <c r="L878" i="5" s="1"/>
  <c r="J877" i="5"/>
  <c r="I877" i="5"/>
  <c r="B877" i="5"/>
  <c r="L877" i="5" s="1"/>
  <c r="J876" i="5"/>
  <c r="I876" i="5"/>
  <c r="B876" i="5"/>
  <c r="L876" i="5" s="1"/>
  <c r="M875" i="5"/>
  <c r="J875" i="5"/>
  <c r="I875" i="5"/>
  <c r="B875" i="5"/>
  <c r="L875" i="5" s="1"/>
  <c r="L874" i="5"/>
  <c r="J874" i="5"/>
  <c r="I874" i="5"/>
  <c r="B874" i="5"/>
  <c r="M873" i="5"/>
  <c r="J873" i="5"/>
  <c r="I873" i="5"/>
  <c r="B873" i="5"/>
  <c r="L873" i="5" s="1"/>
  <c r="J872" i="5"/>
  <c r="I872" i="5"/>
  <c r="B872" i="5"/>
  <c r="L872" i="5" s="1"/>
  <c r="J871" i="5"/>
  <c r="I871" i="5"/>
  <c r="B871" i="5"/>
  <c r="L871" i="5" s="1"/>
  <c r="J870" i="5"/>
  <c r="I870" i="5"/>
  <c r="B870" i="5"/>
  <c r="L870" i="5" s="1"/>
  <c r="J869" i="5"/>
  <c r="I869" i="5"/>
  <c r="B869" i="5"/>
  <c r="L869" i="5" s="1"/>
  <c r="J868" i="5"/>
  <c r="I868" i="5"/>
  <c r="B868" i="5"/>
  <c r="L868" i="5" s="1"/>
  <c r="J867" i="5"/>
  <c r="I867" i="5"/>
  <c r="B867" i="5"/>
  <c r="L867" i="5" s="1"/>
  <c r="J866" i="5"/>
  <c r="I866" i="5"/>
  <c r="B866" i="5"/>
  <c r="M866" i="5" s="1"/>
  <c r="M865" i="5"/>
  <c r="J865" i="5"/>
  <c r="I865" i="5"/>
  <c r="B865" i="5"/>
  <c r="L865" i="5" s="1"/>
  <c r="L864" i="5"/>
  <c r="J864" i="5"/>
  <c r="I864" i="5"/>
  <c r="B864" i="5"/>
  <c r="J863" i="5"/>
  <c r="I863" i="5"/>
  <c r="B863" i="5"/>
  <c r="J862" i="5"/>
  <c r="I862" i="5"/>
  <c r="B862" i="5"/>
  <c r="M862" i="5" s="1"/>
  <c r="M861" i="5"/>
  <c r="J861" i="5"/>
  <c r="I861" i="5"/>
  <c r="B861" i="5"/>
  <c r="L861" i="5" s="1"/>
  <c r="L860" i="5"/>
  <c r="J860" i="5"/>
  <c r="I860" i="5"/>
  <c r="B860" i="5"/>
  <c r="J859" i="5"/>
  <c r="I859" i="5"/>
  <c r="B859" i="5"/>
  <c r="J858" i="5"/>
  <c r="I858" i="5"/>
  <c r="B858" i="5"/>
  <c r="M858" i="5" s="1"/>
  <c r="M857" i="5"/>
  <c r="J857" i="5"/>
  <c r="I857" i="5"/>
  <c r="B857" i="5"/>
  <c r="L857" i="5" s="1"/>
  <c r="L856" i="5"/>
  <c r="J856" i="5"/>
  <c r="I856" i="5"/>
  <c r="B856" i="5"/>
  <c r="L855" i="5"/>
  <c r="J855" i="5"/>
  <c r="I855" i="5"/>
  <c r="B855" i="5"/>
  <c r="J854" i="5"/>
  <c r="I854" i="5"/>
  <c r="B854" i="5"/>
  <c r="M854" i="5" s="1"/>
  <c r="J853" i="5"/>
  <c r="I853" i="5"/>
  <c r="B853" i="5"/>
  <c r="L853" i="5" s="1"/>
  <c r="J852" i="5"/>
  <c r="I852" i="5"/>
  <c r="B852" i="5"/>
  <c r="L852" i="5" s="1"/>
  <c r="J851" i="5"/>
  <c r="I851" i="5"/>
  <c r="B851" i="5"/>
  <c r="L851" i="5" s="1"/>
  <c r="J850" i="5"/>
  <c r="I850" i="5"/>
  <c r="B850" i="5"/>
  <c r="M850" i="5" s="1"/>
  <c r="M849" i="5"/>
  <c r="J849" i="5"/>
  <c r="I849" i="5"/>
  <c r="B849" i="5"/>
  <c r="L849" i="5" s="1"/>
  <c r="L848" i="5"/>
  <c r="J848" i="5"/>
  <c r="I848" i="5"/>
  <c r="B848" i="5"/>
  <c r="J847" i="5"/>
  <c r="I847" i="5"/>
  <c r="B847" i="5"/>
  <c r="J846" i="5"/>
  <c r="I846" i="5"/>
  <c r="B846" i="5"/>
  <c r="M846" i="5" s="1"/>
  <c r="M845" i="5"/>
  <c r="J845" i="5"/>
  <c r="I845" i="5"/>
  <c r="B845" i="5"/>
  <c r="L845" i="5" s="1"/>
  <c r="L844" i="5"/>
  <c r="J844" i="5"/>
  <c r="I844" i="5"/>
  <c r="B844" i="5"/>
  <c r="J843" i="5"/>
  <c r="I843" i="5"/>
  <c r="B843" i="5"/>
  <c r="J842" i="5"/>
  <c r="I842" i="5"/>
  <c r="B842" i="5"/>
  <c r="M842" i="5" s="1"/>
  <c r="M841" i="5"/>
  <c r="J841" i="5"/>
  <c r="I841" i="5"/>
  <c r="B841" i="5"/>
  <c r="L841" i="5" s="1"/>
  <c r="L840" i="5"/>
  <c r="J840" i="5"/>
  <c r="I840" i="5"/>
  <c r="B840" i="5"/>
  <c r="L839" i="5"/>
  <c r="J839" i="5"/>
  <c r="I839" i="5"/>
  <c r="B839" i="5"/>
  <c r="J838" i="5"/>
  <c r="I838" i="5"/>
  <c r="B838" i="5"/>
  <c r="M838" i="5" s="1"/>
  <c r="J837" i="5"/>
  <c r="I837" i="5"/>
  <c r="B837" i="5"/>
  <c r="L837" i="5" s="1"/>
  <c r="J836" i="5"/>
  <c r="I836" i="5"/>
  <c r="B836" i="5"/>
  <c r="L836" i="5" s="1"/>
  <c r="J835" i="5"/>
  <c r="I835" i="5"/>
  <c r="B835" i="5"/>
  <c r="L835" i="5" s="1"/>
  <c r="J834" i="5"/>
  <c r="I834" i="5"/>
  <c r="B834" i="5"/>
  <c r="M834" i="5" s="1"/>
  <c r="M833" i="5"/>
  <c r="J833" i="5"/>
  <c r="I833" i="5"/>
  <c r="B833" i="5"/>
  <c r="L833" i="5" s="1"/>
  <c r="L832" i="5"/>
  <c r="J832" i="5"/>
  <c r="I832" i="5"/>
  <c r="B832" i="5"/>
  <c r="J831" i="5"/>
  <c r="I831" i="5"/>
  <c r="B831" i="5"/>
  <c r="J830" i="5"/>
  <c r="I830" i="5"/>
  <c r="B830" i="5"/>
  <c r="M830" i="5" s="1"/>
  <c r="M829" i="5"/>
  <c r="J829" i="5"/>
  <c r="I829" i="5"/>
  <c r="B829" i="5"/>
  <c r="L829" i="5" s="1"/>
  <c r="L828" i="5"/>
  <c r="J828" i="5"/>
  <c r="I828" i="5"/>
  <c r="B828" i="5"/>
  <c r="J827" i="5"/>
  <c r="I827" i="5"/>
  <c r="B827" i="5"/>
  <c r="J826" i="5"/>
  <c r="I826" i="5"/>
  <c r="B826" i="5"/>
  <c r="M826" i="5" s="1"/>
  <c r="M825" i="5"/>
  <c r="J825" i="5"/>
  <c r="I825" i="5"/>
  <c r="B825" i="5"/>
  <c r="L825" i="5" s="1"/>
  <c r="L824" i="5"/>
  <c r="J824" i="5"/>
  <c r="I824" i="5"/>
  <c r="B824" i="5"/>
  <c r="M823" i="5"/>
  <c r="J823" i="5"/>
  <c r="I823" i="5"/>
  <c r="B823" i="5"/>
  <c r="J822" i="5"/>
  <c r="I822" i="5"/>
  <c r="B822" i="5"/>
  <c r="M822" i="5" s="1"/>
  <c r="J821" i="5"/>
  <c r="I821" i="5"/>
  <c r="B821" i="5"/>
  <c r="L821" i="5" s="1"/>
  <c r="J820" i="5"/>
  <c r="I820" i="5"/>
  <c r="B820" i="5"/>
  <c r="L820" i="5" s="1"/>
  <c r="J819" i="5"/>
  <c r="I819" i="5"/>
  <c r="B819" i="5"/>
  <c r="L819" i="5" s="1"/>
  <c r="J818" i="5"/>
  <c r="I818" i="5"/>
  <c r="B818" i="5"/>
  <c r="M818" i="5" s="1"/>
  <c r="J817" i="5"/>
  <c r="I817" i="5"/>
  <c r="B817" i="5"/>
  <c r="L817" i="5" s="1"/>
  <c r="J816" i="5"/>
  <c r="I816" i="5"/>
  <c r="B816" i="5"/>
  <c r="L816" i="5" s="1"/>
  <c r="J815" i="5"/>
  <c r="I815" i="5"/>
  <c r="B815" i="5"/>
  <c r="M815" i="5" s="1"/>
  <c r="J814" i="5"/>
  <c r="I814" i="5"/>
  <c r="B814" i="5"/>
  <c r="M814" i="5" s="1"/>
  <c r="J813" i="5"/>
  <c r="I813" i="5"/>
  <c r="B813" i="5"/>
  <c r="J812" i="5"/>
  <c r="I812" i="5"/>
  <c r="B812" i="5"/>
  <c r="M812" i="5" s="1"/>
  <c r="J811" i="5"/>
  <c r="I811" i="5"/>
  <c r="B811" i="5"/>
  <c r="M811" i="5" s="1"/>
  <c r="M810" i="5"/>
  <c r="J810" i="5"/>
  <c r="I810" i="5"/>
  <c r="B810" i="5"/>
  <c r="L810" i="5" s="1"/>
  <c r="J809" i="5"/>
  <c r="I809" i="5"/>
  <c r="B809" i="5"/>
  <c r="J808" i="5"/>
  <c r="I808" i="5"/>
  <c r="B808" i="5"/>
  <c r="M808" i="5" s="1"/>
  <c r="J807" i="5"/>
  <c r="I807" i="5"/>
  <c r="B807" i="5"/>
  <c r="M807" i="5" s="1"/>
  <c r="J806" i="5"/>
  <c r="I806" i="5"/>
  <c r="B806" i="5"/>
  <c r="L806" i="5" s="1"/>
  <c r="J805" i="5"/>
  <c r="I805" i="5"/>
  <c r="B805" i="5"/>
  <c r="J804" i="5"/>
  <c r="I804" i="5"/>
  <c r="B804" i="5"/>
  <c r="M804" i="5" s="1"/>
  <c r="J803" i="5"/>
  <c r="I803" i="5"/>
  <c r="B803" i="5"/>
  <c r="M803" i="5" s="1"/>
  <c r="M802" i="5"/>
  <c r="J802" i="5"/>
  <c r="I802" i="5"/>
  <c r="B802" i="5"/>
  <c r="L802" i="5" s="1"/>
  <c r="J801" i="5"/>
  <c r="I801" i="5"/>
  <c r="B801" i="5"/>
  <c r="J800" i="5"/>
  <c r="I800" i="5"/>
  <c r="B800" i="5"/>
  <c r="M800" i="5" s="1"/>
  <c r="J799" i="5"/>
  <c r="I799" i="5"/>
  <c r="B799" i="5"/>
  <c r="M799" i="5" s="1"/>
  <c r="J798" i="5"/>
  <c r="I798" i="5"/>
  <c r="B798" i="5"/>
  <c r="L798" i="5" s="1"/>
  <c r="J797" i="5"/>
  <c r="I797" i="5"/>
  <c r="B797" i="5"/>
  <c r="J796" i="5"/>
  <c r="I796" i="5"/>
  <c r="B796" i="5"/>
  <c r="M796" i="5" s="1"/>
  <c r="J795" i="5"/>
  <c r="I795" i="5"/>
  <c r="B795" i="5"/>
  <c r="M795" i="5" s="1"/>
  <c r="M794" i="5"/>
  <c r="J794" i="5"/>
  <c r="I794" i="5"/>
  <c r="B794" i="5"/>
  <c r="L794" i="5" s="1"/>
  <c r="J793" i="5"/>
  <c r="I793" i="5"/>
  <c r="B793" i="5"/>
  <c r="J792" i="5"/>
  <c r="I792" i="5"/>
  <c r="B792" i="5"/>
  <c r="M792" i="5" s="1"/>
  <c r="J791" i="5"/>
  <c r="I791" i="5"/>
  <c r="B791" i="5"/>
  <c r="M791" i="5" s="1"/>
  <c r="J790" i="5"/>
  <c r="I790" i="5"/>
  <c r="B790" i="5"/>
  <c r="L790" i="5" s="1"/>
  <c r="J789" i="5"/>
  <c r="I789" i="5"/>
  <c r="B789" i="5"/>
  <c r="J788" i="5"/>
  <c r="I788" i="5"/>
  <c r="B788" i="5"/>
  <c r="M788" i="5" s="1"/>
  <c r="J787" i="5"/>
  <c r="I787" i="5"/>
  <c r="B787" i="5"/>
  <c r="M787" i="5" s="1"/>
  <c r="M786" i="5"/>
  <c r="J786" i="5"/>
  <c r="I786" i="5"/>
  <c r="B786" i="5"/>
  <c r="L786" i="5" s="1"/>
  <c r="J785" i="5"/>
  <c r="I785" i="5"/>
  <c r="B785" i="5"/>
  <c r="J784" i="5"/>
  <c r="I784" i="5"/>
  <c r="B784" i="5"/>
  <c r="M784" i="5" s="1"/>
  <c r="J783" i="5"/>
  <c r="I783" i="5"/>
  <c r="B783" i="5"/>
  <c r="M783" i="5" s="1"/>
  <c r="J782" i="5"/>
  <c r="I782" i="5"/>
  <c r="B782" i="5"/>
  <c r="L782" i="5" s="1"/>
  <c r="J781" i="5"/>
  <c r="I781" i="5"/>
  <c r="B781" i="5"/>
  <c r="J780" i="5"/>
  <c r="I780" i="5"/>
  <c r="B780" i="5"/>
  <c r="M780" i="5" s="1"/>
  <c r="J779" i="5"/>
  <c r="I779" i="5"/>
  <c r="B779" i="5"/>
  <c r="M779" i="5" s="1"/>
  <c r="M778" i="5"/>
  <c r="J778" i="5"/>
  <c r="I778" i="5"/>
  <c r="B778" i="5"/>
  <c r="L778" i="5" s="1"/>
  <c r="L777" i="5"/>
  <c r="J777" i="5"/>
  <c r="I777" i="5"/>
  <c r="B777" i="5"/>
  <c r="J776" i="5"/>
  <c r="I776" i="5"/>
  <c r="B776" i="5"/>
  <c r="L776" i="5" s="1"/>
  <c r="J775" i="5"/>
  <c r="I775" i="5"/>
  <c r="B775" i="5"/>
  <c r="M775" i="5" s="1"/>
  <c r="M774" i="5"/>
  <c r="J774" i="5"/>
  <c r="I774" i="5"/>
  <c r="B774" i="5"/>
  <c r="L774" i="5" s="1"/>
  <c r="L773" i="5"/>
  <c r="J773" i="5"/>
  <c r="I773" i="5"/>
  <c r="B773" i="5"/>
  <c r="J772" i="5"/>
  <c r="I772" i="5"/>
  <c r="B772" i="5"/>
  <c r="M772" i="5" s="1"/>
  <c r="J771" i="5"/>
  <c r="I771" i="5"/>
  <c r="B771" i="5"/>
  <c r="M771" i="5" s="1"/>
  <c r="M770" i="5"/>
  <c r="J770" i="5"/>
  <c r="I770" i="5"/>
  <c r="B770" i="5"/>
  <c r="L770" i="5" s="1"/>
  <c r="L769" i="5"/>
  <c r="J769" i="5"/>
  <c r="I769" i="5"/>
  <c r="B769" i="5"/>
  <c r="J768" i="5"/>
  <c r="I768" i="5"/>
  <c r="B768" i="5"/>
  <c r="M768" i="5" s="1"/>
  <c r="J767" i="5"/>
  <c r="I767" i="5"/>
  <c r="B767" i="5"/>
  <c r="M767" i="5" s="1"/>
  <c r="M766" i="5"/>
  <c r="J766" i="5"/>
  <c r="I766" i="5"/>
  <c r="B766" i="5"/>
  <c r="L766" i="5" s="1"/>
  <c r="J765" i="5"/>
  <c r="I765" i="5"/>
  <c r="B765" i="5"/>
  <c r="L765" i="5" s="1"/>
  <c r="J764" i="5"/>
  <c r="I764" i="5"/>
  <c r="B764" i="5"/>
  <c r="M764" i="5" s="1"/>
  <c r="J763" i="5"/>
  <c r="I763" i="5"/>
  <c r="B763" i="5"/>
  <c r="M763" i="5" s="1"/>
  <c r="J762" i="5"/>
  <c r="I762" i="5"/>
  <c r="B762" i="5"/>
  <c r="L762" i="5" s="1"/>
  <c r="J761" i="5"/>
  <c r="I761" i="5"/>
  <c r="B761" i="5"/>
  <c r="L761" i="5" s="1"/>
  <c r="J760" i="5"/>
  <c r="I760" i="5"/>
  <c r="B760" i="5"/>
  <c r="M760" i="5" s="1"/>
  <c r="J759" i="5"/>
  <c r="I759" i="5"/>
  <c r="B759" i="5"/>
  <c r="M759" i="5" s="1"/>
  <c r="M758" i="5"/>
  <c r="J758" i="5"/>
  <c r="I758" i="5"/>
  <c r="B758" i="5"/>
  <c r="L758" i="5" s="1"/>
  <c r="J757" i="5"/>
  <c r="I757" i="5"/>
  <c r="B757" i="5"/>
  <c r="L757" i="5" s="1"/>
  <c r="J756" i="5"/>
  <c r="I756" i="5"/>
  <c r="B756" i="5"/>
  <c r="M756" i="5" s="1"/>
  <c r="J755" i="5"/>
  <c r="I755" i="5"/>
  <c r="B755" i="5"/>
  <c r="M755" i="5" s="1"/>
  <c r="J754" i="5"/>
  <c r="I754" i="5"/>
  <c r="B754" i="5"/>
  <c r="L754" i="5" s="1"/>
  <c r="J753" i="5"/>
  <c r="I753" i="5"/>
  <c r="B753" i="5"/>
  <c r="L753" i="5" s="1"/>
  <c r="J752" i="5"/>
  <c r="I752" i="5"/>
  <c r="B752" i="5"/>
  <c r="M752" i="5" s="1"/>
  <c r="J751" i="5"/>
  <c r="I751" i="5"/>
  <c r="B751" i="5"/>
  <c r="M751" i="5" s="1"/>
  <c r="M750" i="5"/>
  <c r="J750" i="5"/>
  <c r="I750" i="5"/>
  <c r="B750" i="5"/>
  <c r="L750" i="5" s="1"/>
  <c r="J749" i="5"/>
  <c r="I749" i="5"/>
  <c r="B749" i="5"/>
  <c r="L749" i="5" s="1"/>
  <c r="J748" i="5"/>
  <c r="I748" i="5"/>
  <c r="B748" i="5"/>
  <c r="M748" i="5" s="1"/>
  <c r="J747" i="5"/>
  <c r="I747" i="5"/>
  <c r="B747" i="5"/>
  <c r="M747" i="5" s="1"/>
  <c r="J746" i="5"/>
  <c r="I746" i="5"/>
  <c r="B746" i="5"/>
  <c r="L746" i="5" s="1"/>
  <c r="J745" i="5"/>
  <c r="I745" i="5"/>
  <c r="B745" i="5"/>
  <c r="L745" i="5" s="1"/>
  <c r="J744" i="5"/>
  <c r="I744" i="5"/>
  <c r="B744" i="5"/>
  <c r="M744" i="5" s="1"/>
  <c r="J743" i="5"/>
  <c r="I743" i="5"/>
  <c r="B743" i="5"/>
  <c r="M743" i="5" s="1"/>
  <c r="M742" i="5"/>
  <c r="J742" i="5"/>
  <c r="I742" i="5"/>
  <c r="B742" i="5"/>
  <c r="L742" i="5" s="1"/>
  <c r="J741" i="5"/>
  <c r="I741" i="5"/>
  <c r="B741" i="5"/>
  <c r="L741" i="5" s="1"/>
  <c r="J740" i="5"/>
  <c r="I740" i="5"/>
  <c r="B740" i="5"/>
  <c r="L740" i="5" s="1"/>
  <c r="J739" i="5"/>
  <c r="I739" i="5"/>
  <c r="B739" i="5"/>
  <c r="M739" i="5" s="1"/>
  <c r="M738" i="5"/>
  <c r="J738" i="5"/>
  <c r="I738" i="5"/>
  <c r="B738" i="5"/>
  <c r="L738" i="5" s="1"/>
  <c r="J737" i="5"/>
  <c r="I737" i="5"/>
  <c r="B737" i="5"/>
  <c r="L737" i="5" s="1"/>
  <c r="J736" i="5"/>
  <c r="I736" i="5"/>
  <c r="B736" i="5"/>
  <c r="M736" i="5" s="1"/>
  <c r="J735" i="5"/>
  <c r="I735" i="5"/>
  <c r="B735" i="5"/>
  <c r="M735" i="5" s="1"/>
  <c r="J734" i="5"/>
  <c r="I734" i="5"/>
  <c r="B734" i="5"/>
  <c r="L734" i="5" s="1"/>
  <c r="J733" i="5"/>
  <c r="I733" i="5"/>
  <c r="B733" i="5"/>
  <c r="L733" i="5" s="1"/>
  <c r="L732" i="5"/>
  <c r="J732" i="5"/>
  <c r="I732" i="5"/>
  <c r="B732" i="5"/>
  <c r="J731" i="5"/>
  <c r="I731" i="5"/>
  <c r="B731" i="5"/>
  <c r="M731" i="5" s="1"/>
  <c r="J730" i="5"/>
  <c r="I730" i="5"/>
  <c r="B730" i="5"/>
  <c r="L730" i="5" s="1"/>
  <c r="J729" i="5"/>
  <c r="I729" i="5"/>
  <c r="B729" i="5"/>
  <c r="L729" i="5" s="1"/>
  <c r="J728" i="5"/>
  <c r="I728" i="5"/>
  <c r="B728" i="5"/>
  <c r="M728" i="5" s="1"/>
  <c r="J727" i="5"/>
  <c r="I727" i="5"/>
  <c r="B727" i="5"/>
  <c r="M727" i="5" s="1"/>
  <c r="M726" i="5"/>
  <c r="J726" i="5"/>
  <c r="I726" i="5"/>
  <c r="B726" i="5"/>
  <c r="L726" i="5" s="1"/>
  <c r="J725" i="5"/>
  <c r="I725" i="5"/>
  <c r="B725" i="5"/>
  <c r="L725" i="5" s="1"/>
  <c r="J724" i="5"/>
  <c r="I724" i="5"/>
  <c r="B724" i="5"/>
  <c r="L724" i="5" s="1"/>
  <c r="J723" i="5"/>
  <c r="I723" i="5"/>
  <c r="B723" i="5"/>
  <c r="M723" i="5" s="1"/>
  <c r="M722" i="5"/>
  <c r="J722" i="5"/>
  <c r="I722" i="5"/>
  <c r="B722" i="5"/>
  <c r="L722" i="5" s="1"/>
  <c r="J721" i="5"/>
  <c r="I721" i="5"/>
  <c r="B721" i="5"/>
  <c r="L721" i="5" s="1"/>
  <c r="J720" i="5"/>
  <c r="I720" i="5"/>
  <c r="B720" i="5"/>
  <c r="M720" i="5" s="1"/>
  <c r="J719" i="5"/>
  <c r="I719" i="5"/>
  <c r="B719" i="5"/>
  <c r="M719" i="5" s="1"/>
  <c r="J718" i="5"/>
  <c r="I718" i="5"/>
  <c r="B718" i="5"/>
  <c r="L718" i="5" s="1"/>
  <c r="J717" i="5"/>
  <c r="I717" i="5"/>
  <c r="B717" i="5"/>
  <c r="L717" i="5" s="1"/>
  <c r="J716" i="5"/>
  <c r="I716" i="5"/>
  <c r="B716" i="5"/>
  <c r="J715" i="5"/>
  <c r="I715" i="5"/>
  <c r="B715" i="5"/>
  <c r="M715" i="5" s="1"/>
  <c r="J714" i="5"/>
  <c r="I714" i="5"/>
  <c r="B714" i="5"/>
  <c r="L714" i="5" s="1"/>
  <c r="J713" i="5"/>
  <c r="I713" i="5"/>
  <c r="B713" i="5"/>
  <c r="L713" i="5" s="1"/>
  <c r="J712" i="5"/>
  <c r="I712" i="5"/>
  <c r="B712" i="5"/>
  <c r="L712" i="5" s="1"/>
  <c r="J711" i="5"/>
  <c r="I711" i="5"/>
  <c r="B711" i="5"/>
  <c r="L711" i="5" s="1"/>
  <c r="J710" i="5"/>
  <c r="I710" i="5"/>
  <c r="B710" i="5"/>
  <c r="M710" i="5" s="1"/>
  <c r="J709" i="5"/>
  <c r="I709" i="5"/>
  <c r="B709" i="5"/>
  <c r="L709" i="5" s="1"/>
  <c r="J708" i="5"/>
  <c r="I708" i="5"/>
  <c r="B708" i="5"/>
  <c r="L708" i="5" s="1"/>
  <c r="J707" i="5"/>
  <c r="I707" i="5"/>
  <c r="B707" i="5"/>
  <c r="L707" i="5" s="1"/>
  <c r="J706" i="5"/>
  <c r="I706" i="5"/>
  <c r="B706" i="5"/>
  <c r="M706" i="5" s="1"/>
  <c r="J705" i="5"/>
  <c r="I705" i="5"/>
  <c r="B705" i="5"/>
  <c r="L705" i="5" s="1"/>
  <c r="J704" i="5"/>
  <c r="I704" i="5"/>
  <c r="B704" i="5"/>
  <c r="L704" i="5" s="1"/>
  <c r="J703" i="5"/>
  <c r="I703" i="5"/>
  <c r="B703" i="5"/>
  <c r="L703" i="5" s="1"/>
  <c r="J702" i="5"/>
  <c r="I702" i="5"/>
  <c r="B702" i="5"/>
  <c r="L702" i="5" s="1"/>
  <c r="J701" i="5"/>
  <c r="I701" i="5"/>
  <c r="B701" i="5"/>
  <c r="L701" i="5" s="1"/>
  <c r="J700" i="5"/>
  <c r="I700" i="5"/>
  <c r="B700" i="5"/>
  <c r="M700" i="5" s="1"/>
  <c r="J699" i="5"/>
  <c r="I699" i="5"/>
  <c r="B699" i="5"/>
  <c r="L699" i="5" s="1"/>
  <c r="J698" i="5"/>
  <c r="I698" i="5"/>
  <c r="B698" i="5"/>
  <c r="L698" i="5" s="1"/>
  <c r="J697" i="5"/>
  <c r="I697" i="5"/>
  <c r="B697" i="5"/>
  <c r="L697" i="5" s="1"/>
  <c r="J696" i="5"/>
  <c r="I696" i="5"/>
  <c r="B696" i="5"/>
  <c r="M696" i="5" s="1"/>
  <c r="J695" i="5"/>
  <c r="I695" i="5"/>
  <c r="B695" i="5"/>
  <c r="L695" i="5" s="1"/>
  <c r="J694" i="5"/>
  <c r="I694" i="5"/>
  <c r="B694" i="5"/>
  <c r="M694" i="5" s="1"/>
  <c r="M693" i="5"/>
  <c r="J693" i="5"/>
  <c r="I693" i="5"/>
  <c r="B693" i="5"/>
  <c r="L693" i="5" s="1"/>
  <c r="L692" i="5"/>
  <c r="J692" i="5"/>
  <c r="I692" i="5"/>
  <c r="B692" i="5"/>
  <c r="M691" i="5"/>
  <c r="J691" i="5"/>
  <c r="I691" i="5"/>
  <c r="B691" i="5"/>
  <c r="L691" i="5" s="1"/>
  <c r="J690" i="5"/>
  <c r="I690" i="5"/>
  <c r="B690" i="5"/>
  <c r="M690" i="5" s="1"/>
  <c r="J689" i="5"/>
  <c r="I689" i="5"/>
  <c r="B689" i="5"/>
  <c r="L689" i="5" s="1"/>
  <c r="J688" i="5"/>
  <c r="I688" i="5"/>
  <c r="B688" i="5"/>
  <c r="M687" i="5"/>
  <c r="J687" i="5"/>
  <c r="I687" i="5"/>
  <c r="B687" i="5"/>
  <c r="L687" i="5" s="1"/>
  <c r="J686" i="5"/>
  <c r="I686" i="5"/>
  <c r="B686" i="5"/>
  <c r="M686" i="5" s="1"/>
  <c r="J685" i="5"/>
  <c r="I685" i="5"/>
  <c r="B685" i="5"/>
  <c r="L685" i="5" s="1"/>
  <c r="J684" i="5"/>
  <c r="I684" i="5"/>
  <c r="B684" i="5"/>
  <c r="L684" i="5" s="1"/>
  <c r="J683" i="5"/>
  <c r="I683" i="5"/>
  <c r="B683" i="5"/>
  <c r="L683" i="5" s="1"/>
  <c r="J682" i="5"/>
  <c r="I682" i="5"/>
  <c r="B682" i="5"/>
  <c r="M682" i="5" s="1"/>
  <c r="M681" i="5"/>
  <c r="J681" i="5"/>
  <c r="I681" i="5"/>
  <c r="B681" i="5"/>
  <c r="L681" i="5" s="1"/>
  <c r="L680" i="5"/>
  <c r="J680" i="5"/>
  <c r="I680" i="5"/>
  <c r="B680" i="5"/>
  <c r="M679" i="5"/>
  <c r="J679" i="5"/>
  <c r="I679" i="5"/>
  <c r="B679" i="5"/>
  <c r="L679" i="5" s="1"/>
  <c r="J678" i="5"/>
  <c r="I678" i="5"/>
  <c r="B678" i="5"/>
  <c r="M678" i="5" s="1"/>
  <c r="J677" i="5"/>
  <c r="I677" i="5"/>
  <c r="B677" i="5"/>
  <c r="L677" i="5" s="1"/>
  <c r="J676" i="5"/>
  <c r="I676" i="5"/>
  <c r="B676" i="5"/>
  <c r="L676" i="5" s="1"/>
  <c r="J675" i="5"/>
  <c r="I675" i="5"/>
  <c r="B675" i="5"/>
  <c r="L675" i="5" s="1"/>
  <c r="J674" i="5"/>
  <c r="I674" i="5"/>
  <c r="B674" i="5"/>
  <c r="M674" i="5" s="1"/>
  <c r="M673" i="5"/>
  <c r="J673" i="5"/>
  <c r="I673" i="5"/>
  <c r="B673" i="5"/>
  <c r="L673" i="5" s="1"/>
  <c r="L672" i="5"/>
  <c r="J672" i="5"/>
  <c r="I672" i="5"/>
  <c r="B672" i="5"/>
  <c r="L671" i="5"/>
  <c r="J671" i="5"/>
  <c r="I671" i="5"/>
  <c r="B671" i="5"/>
  <c r="J670" i="5"/>
  <c r="I670" i="5"/>
  <c r="B670" i="5"/>
  <c r="M670" i="5" s="1"/>
  <c r="J669" i="5"/>
  <c r="I669" i="5"/>
  <c r="B669" i="5"/>
  <c r="J668" i="5"/>
  <c r="I668" i="5"/>
  <c r="B668" i="5"/>
  <c r="L668" i="5" s="1"/>
  <c r="J667" i="5"/>
  <c r="I667" i="5"/>
  <c r="B667" i="5"/>
  <c r="L667" i="5" s="1"/>
  <c r="J666" i="5"/>
  <c r="I666" i="5"/>
  <c r="B666" i="5"/>
  <c r="M666" i="5" s="1"/>
  <c r="M665" i="5"/>
  <c r="J665" i="5"/>
  <c r="I665" i="5"/>
  <c r="B665" i="5"/>
  <c r="L665" i="5" s="1"/>
  <c r="L664" i="5"/>
  <c r="J664" i="5"/>
  <c r="I664" i="5"/>
  <c r="B664" i="5"/>
  <c r="L663" i="5"/>
  <c r="J663" i="5"/>
  <c r="I663" i="5"/>
  <c r="B663" i="5"/>
  <c r="J662" i="5"/>
  <c r="I662" i="5"/>
  <c r="B662" i="5"/>
  <c r="M662" i="5" s="1"/>
  <c r="J661" i="5"/>
  <c r="I661" i="5"/>
  <c r="B661" i="5"/>
  <c r="L661" i="5" s="1"/>
  <c r="J660" i="5"/>
  <c r="I660" i="5"/>
  <c r="B660" i="5"/>
  <c r="L660" i="5" s="1"/>
  <c r="J659" i="5"/>
  <c r="I659" i="5"/>
  <c r="B659" i="5"/>
  <c r="L659" i="5" s="1"/>
  <c r="J658" i="5"/>
  <c r="I658" i="5"/>
  <c r="B658" i="5"/>
  <c r="M658" i="5" s="1"/>
  <c r="M657" i="5"/>
  <c r="J657" i="5"/>
  <c r="I657" i="5"/>
  <c r="B657" i="5"/>
  <c r="L657" i="5" s="1"/>
  <c r="L656" i="5"/>
  <c r="J656" i="5"/>
  <c r="I656" i="5"/>
  <c r="B656" i="5"/>
  <c r="L655" i="5"/>
  <c r="J655" i="5"/>
  <c r="I655" i="5"/>
  <c r="B655" i="5"/>
  <c r="J654" i="5"/>
  <c r="I654" i="5"/>
  <c r="B654" i="5"/>
  <c r="M654" i="5" s="1"/>
  <c r="J653" i="5"/>
  <c r="I653" i="5"/>
  <c r="B653" i="5"/>
  <c r="J652" i="5"/>
  <c r="I652" i="5"/>
  <c r="B652" i="5"/>
  <c r="L652" i="5" s="1"/>
  <c r="J651" i="5"/>
  <c r="I651" i="5"/>
  <c r="B651" i="5"/>
  <c r="L651" i="5" s="1"/>
  <c r="J650" i="5"/>
  <c r="I650" i="5"/>
  <c r="B650" i="5"/>
  <c r="M650" i="5" s="1"/>
  <c r="M649" i="5"/>
  <c r="J649" i="5"/>
  <c r="I649" i="5"/>
  <c r="B649" i="5"/>
  <c r="L649" i="5" s="1"/>
  <c r="L648" i="5"/>
  <c r="J648" i="5"/>
  <c r="I648" i="5"/>
  <c r="B648" i="5"/>
  <c r="L647" i="5"/>
  <c r="J647" i="5"/>
  <c r="I647" i="5"/>
  <c r="B647" i="5"/>
  <c r="J646" i="5"/>
  <c r="I646" i="5"/>
  <c r="B646" i="5"/>
  <c r="M646" i="5" s="1"/>
  <c r="J645" i="5"/>
  <c r="I645" i="5"/>
  <c r="B645" i="5"/>
  <c r="J644" i="5"/>
  <c r="I644" i="5"/>
  <c r="B644" i="5"/>
  <c r="L644" i="5" s="1"/>
  <c r="J643" i="5"/>
  <c r="I643" i="5"/>
  <c r="B643" i="5"/>
  <c r="L643" i="5" s="1"/>
  <c r="J642" i="5"/>
  <c r="I642" i="5"/>
  <c r="B642" i="5"/>
  <c r="L642" i="5" s="1"/>
  <c r="J641" i="5"/>
  <c r="I641" i="5"/>
  <c r="B641" i="5"/>
  <c r="J640" i="5"/>
  <c r="I640" i="5"/>
  <c r="B640" i="5"/>
  <c r="M640" i="5" s="1"/>
  <c r="J639" i="5"/>
  <c r="I639" i="5"/>
  <c r="B639" i="5"/>
  <c r="M639" i="5" s="1"/>
  <c r="J638" i="5"/>
  <c r="I638" i="5"/>
  <c r="B638" i="5"/>
  <c r="L638" i="5" s="1"/>
  <c r="J637" i="5"/>
  <c r="I637" i="5"/>
  <c r="B637" i="5"/>
  <c r="J636" i="5"/>
  <c r="I636" i="5"/>
  <c r="B636" i="5"/>
  <c r="M636" i="5" s="1"/>
  <c r="J635" i="5"/>
  <c r="I635" i="5"/>
  <c r="B635" i="5"/>
  <c r="M635" i="5" s="1"/>
  <c r="J634" i="5"/>
  <c r="I634" i="5"/>
  <c r="B634" i="5"/>
  <c r="L634" i="5" s="1"/>
  <c r="J633" i="5"/>
  <c r="I633" i="5"/>
  <c r="B633" i="5"/>
  <c r="J632" i="5"/>
  <c r="I632" i="5"/>
  <c r="B632" i="5"/>
  <c r="M632" i="5" s="1"/>
  <c r="J631" i="5"/>
  <c r="I631" i="5"/>
  <c r="B631" i="5"/>
  <c r="M631" i="5" s="1"/>
  <c r="J630" i="5"/>
  <c r="I630" i="5"/>
  <c r="B630" i="5"/>
  <c r="J629" i="5"/>
  <c r="I629" i="5"/>
  <c r="B629" i="5"/>
  <c r="J628" i="5"/>
  <c r="I628" i="5"/>
  <c r="B628" i="5"/>
  <c r="J627" i="5"/>
  <c r="I627" i="5"/>
  <c r="B627" i="5"/>
  <c r="M627" i="5" s="1"/>
  <c r="J626" i="5"/>
  <c r="I626" i="5"/>
  <c r="B626" i="5"/>
  <c r="J625" i="5"/>
  <c r="I625" i="5"/>
  <c r="B625" i="5"/>
  <c r="L625" i="5" s="1"/>
  <c r="J624" i="5"/>
  <c r="I624" i="5"/>
  <c r="B624" i="5"/>
  <c r="J623" i="5"/>
  <c r="I623" i="5"/>
  <c r="B623" i="5"/>
  <c r="M623" i="5" s="1"/>
  <c r="J622" i="5"/>
  <c r="I622" i="5"/>
  <c r="B622" i="5"/>
  <c r="L622" i="5" s="1"/>
  <c r="J621" i="5"/>
  <c r="I621" i="5"/>
  <c r="B621" i="5"/>
  <c r="L621" i="5" s="1"/>
  <c r="J620" i="5"/>
  <c r="I620" i="5"/>
  <c r="B620" i="5"/>
  <c r="M620" i="5" s="1"/>
  <c r="J619" i="5"/>
  <c r="I619" i="5"/>
  <c r="B619" i="5"/>
  <c r="M619" i="5" s="1"/>
  <c r="M618" i="5"/>
  <c r="J618" i="5"/>
  <c r="I618" i="5"/>
  <c r="B618" i="5"/>
  <c r="L618" i="5" s="1"/>
  <c r="L617" i="5"/>
  <c r="J617" i="5"/>
  <c r="I617" i="5"/>
  <c r="B617" i="5"/>
  <c r="J616" i="5"/>
  <c r="I616" i="5"/>
  <c r="B616" i="5"/>
  <c r="M616" i="5" s="1"/>
  <c r="J615" i="5"/>
  <c r="I615" i="5"/>
  <c r="B615" i="5"/>
  <c r="M615" i="5" s="1"/>
  <c r="M614" i="5"/>
  <c r="J614" i="5"/>
  <c r="I614" i="5"/>
  <c r="B614" i="5"/>
  <c r="L614" i="5" s="1"/>
  <c r="L613" i="5"/>
  <c r="J613" i="5"/>
  <c r="I613" i="5"/>
  <c r="B613" i="5"/>
  <c r="J612" i="5"/>
  <c r="I612" i="5"/>
  <c r="B612" i="5"/>
  <c r="M612" i="5" s="1"/>
  <c r="J611" i="5"/>
  <c r="I611" i="5"/>
  <c r="B611" i="5"/>
  <c r="M611" i="5" s="1"/>
  <c r="J610" i="5"/>
  <c r="I610" i="5"/>
  <c r="B610" i="5"/>
  <c r="J609" i="5"/>
  <c r="I609" i="5"/>
  <c r="B609" i="5"/>
  <c r="L609" i="5" s="1"/>
  <c r="J608" i="5"/>
  <c r="I608" i="5"/>
  <c r="B608" i="5"/>
  <c r="M608" i="5" s="1"/>
  <c r="J607" i="5"/>
  <c r="I607" i="5"/>
  <c r="B607" i="5"/>
  <c r="M607" i="5" s="1"/>
  <c r="M606" i="5"/>
  <c r="J606" i="5"/>
  <c r="I606" i="5"/>
  <c r="B606" i="5"/>
  <c r="L606" i="5" s="1"/>
  <c r="L605" i="5"/>
  <c r="J605" i="5"/>
  <c r="I605" i="5"/>
  <c r="B605" i="5"/>
  <c r="J604" i="5"/>
  <c r="I604" i="5"/>
  <c r="B604" i="5"/>
  <c r="M604" i="5" s="1"/>
  <c r="J603" i="5"/>
  <c r="I603" i="5"/>
  <c r="B603" i="5"/>
  <c r="M603" i="5" s="1"/>
  <c r="J602" i="5"/>
  <c r="I602" i="5"/>
  <c r="B602" i="5"/>
  <c r="L602" i="5" s="1"/>
  <c r="J601" i="5"/>
  <c r="I601" i="5"/>
  <c r="B601" i="5"/>
  <c r="L601" i="5" s="1"/>
  <c r="J600" i="5"/>
  <c r="I600" i="5"/>
  <c r="B600" i="5"/>
  <c r="M600" i="5" s="1"/>
  <c r="J599" i="5"/>
  <c r="I599" i="5"/>
  <c r="B599" i="5"/>
  <c r="M599" i="5" s="1"/>
  <c r="J598" i="5"/>
  <c r="I598" i="5"/>
  <c r="B598" i="5"/>
  <c r="L598" i="5" s="1"/>
  <c r="J597" i="5"/>
  <c r="I597" i="5"/>
  <c r="B597" i="5"/>
  <c r="L597" i="5" s="1"/>
  <c r="J596" i="5"/>
  <c r="I596" i="5"/>
  <c r="B596" i="5"/>
  <c r="M596" i="5" s="1"/>
  <c r="J595" i="5"/>
  <c r="I595" i="5"/>
  <c r="B595" i="5"/>
  <c r="M595" i="5" s="1"/>
  <c r="M594" i="5"/>
  <c r="J594" i="5"/>
  <c r="I594" i="5"/>
  <c r="B594" i="5"/>
  <c r="L594" i="5" s="1"/>
  <c r="L593" i="5"/>
  <c r="J593" i="5"/>
  <c r="I593" i="5"/>
  <c r="B593" i="5"/>
  <c r="J592" i="5"/>
  <c r="I592" i="5"/>
  <c r="B592" i="5"/>
  <c r="M592" i="5" s="1"/>
  <c r="J591" i="5"/>
  <c r="I591" i="5"/>
  <c r="B591" i="5"/>
  <c r="M591" i="5" s="1"/>
  <c r="M590" i="5"/>
  <c r="J590" i="5"/>
  <c r="I590" i="5"/>
  <c r="B590" i="5"/>
  <c r="L590" i="5" s="1"/>
  <c r="L589" i="5"/>
  <c r="J589" i="5"/>
  <c r="I589" i="5"/>
  <c r="B589" i="5"/>
  <c r="J588" i="5"/>
  <c r="I588" i="5"/>
  <c r="B588" i="5"/>
  <c r="M588" i="5" s="1"/>
  <c r="J587" i="5"/>
  <c r="I587" i="5"/>
  <c r="B587" i="5"/>
  <c r="M587" i="5" s="1"/>
  <c r="J586" i="5"/>
  <c r="I586" i="5"/>
  <c r="B586" i="5"/>
  <c r="L586" i="5" s="1"/>
  <c r="J585" i="5"/>
  <c r="I585" i="5"/>
  <c r="B585" i="5"/>
  <c r="L585" i="5" s="1"/>
  <c r="J584" i="5"/>
  <c r="I584" i="5"/>
  <c r="B584" i="5"/>
  <c r="M584" i="5" s="1"/>
  <c r="J583" i="5"/>
  <c r="I583" i="5"/>
  <c r="B583" i="5"/>
  <c r="M583" i="5" s="1"/>
  <c r="J582" i="5"/>
  <c r="I582" i="5"/>
  <c r="B582" i="5"/>
  <c r="L582" i="5" s="1"/>
  <c r="J581" i="5"/>
  <c r="I581" i="5"/>
  <c r="B581" i="5"/>
  <c r="L581" i="5" s="1"/>
  <c r="J580" i="5"/>
  <c r="I580" i="5"/>
  <c r="B580" i="5"/>
  <c r="M580" i="5" s="1"/>
  <c r="J579" i="5"/>
  <c r="I579" i="5"/>
  <c r="B579" i="5"/>
  <c r="M579" i="5" s="1"/>
  <c r="M578" i="5"/>
  <c r="J578" i="5"/>
  <c r="I578" i="5"/>
  <c r="B578" i="5"/>
  <c r="L578" i="5" s="1"/>
  <c r="L577" i="5"/>
  <c r="J577" i="5"/>
  <c r="I577" i="5"/>
  <c r="B577" i="5"/>
  <c r="J576" i="5"/>
  <c r="I576" i="5"/>
  <c r="B576" i="5"/>
  <c r="M576" i="5" s="1"/>
  <c r="J575" i="5"/>
  <c r="I575" i="5"/>
  <c r="B575" i="5"/>
  <c r="M575" i="5" s="1"/>
  <c r="M574" i="5"/>
  <c r="J574" i="5"/>
  <c r="I574" i="5"/>
  <c r="B574" i="5"/>
  <c r="L574" i="5" s="1"/>
  <c r="L573" i="5"/>
  <c r="J573" i="5"/>
  <c r="I573" i="5"/>
  <c r="B573" i="5"/>
  <c r="J572" i="5"/>
  <c r="I572" i="5"/>
  <c r="B572" i="5"/>
  <c r="M572" i="5" s="1"/>
  <c r="J571" i="5"/>
  <c r="I571" i="5"/>
  <c r="B571" i="5"/>
  <c r="M571" i="5" s="1"/>
  <c r="J570" i="5"/>
  <c r="I570" i="5"/>
  <c r="B570" i="5"/>
  <c r="L570" i="5" s="1"/>
  <c r="J569" i="5"/>
  <c r="I569" i="5"/>
  <c r="B569" i="5"/>
  <c r="L569" i="5" s="1"/>
  <c r="J568" i="5"/>
  <c r="I568" i="5"/>
  <c r="B568" i="5"/>
  <c r="M568" i="5" s="1"/>
  <c r="J567" i="5"/>
  <c r="I567" i="5"/>
  <c r="B567" i="5"/>
  <c r="M567" i="5" s="1"/>
  <c r="J566" i="5"/>
  <c r="I566" i="5"/>
  <c r="B566" i="5"/>
  <c r="L566" i="5" s="1"/>
  <c r="J565" i="5"/>
  <c r="I565" i="5"/>
  <c r="B565" i="5"/>
  <c r="L565" i="5" s="1"/>
  <c r="J564" i="5"/>
  <c r="I564" i="5"/>
  <c r="B564" i="5"/>
  <c r="M564" i="5" s="1"/>
  <c r="J563" i="5"/>
  <c r="I563" i="5"/>
  <c r="B563" i="5"/>
  <c r="M563" i="5" s="1"/>
  <c r="M562" i="5"/>
  <c r="J562" i="5"/>
  <c r="I562" i="5"/>
  <c r="B562" i="5"/>
  <c r="L562" i="5" s="1"/>
  <c r="L561" i="5"/>
  <c r="J561" i="5"/>
  <c r="I561" i="5"/>
  <c r="B561" i="5"/>
  <c r="J560" i="5"/>
  <c r="I560" i="5"/>
  <c r="B560" i="5"/>
  <c r="M560" i="5" s="1"/>
  <c r="J559" i="5"/>
  <c r="I559" i="5"/>
  <c r="B559" i="5"/>
  <c r="M559" i="5" s="1"/>
  <c r="M558" i="5"/>
  <c r="J558" i="5"/>
  <c r="I558" i="5"/>
  <c r="B558" i="5"/>
  <c r="L558" i="5" s="1"/>
  <c r="L557" i="5"/>
  <c r="J557" i="5"/>
  <c r="I557" i="5"/>
  <c r="B557" i="5"/>
  <c r="J556" i="5"/>
  <c r="I556" i="5"/>
  <c r="B556" i="5"/>
  <c r="M556" i="5" s="1"/>
  <c r="J555" i="5"/>
  <c r="I555" i="5"/>
  <c r="B555" i="5"/>
  <c r="M555" i="5" s="1"/>
  <c r="J554" i="5"/>
  <c r="I554" i="5"/>
  <c r="B554" i="5"/>
  <c r="L554" i="5" s="1"/>
  <c r="J553" i="5"/>
  <c r="I553" i="5"/>
  <c r="B553" i="5"/>
  <c r="L553" i="5" s="1"/>
  <c r="J552" i="5"/>
  <c r="I552" i="5"/>
  <c r="B552" i="5"/>
  <c r="M552" i="5" s="1"/>
  <c r="J551" i="5"/>
  <c r="I551" i="5"/>
  <c r="B551" i="5"/>
  <c r="M551" i="5" s="1"/>
  <c r="J550" i="5"/>
  <c r="I550" i="5"/>
  <c r="B550" i="5"/>
  <c r="L550" i="5" s="1"/>
  <c r="J549" i="5"/>
  <c r="I549" i="5"/>
  <c r="B549" i="5"/>
  <c r="L549" i="5" s="1"/>
  <c r="J548" i="5"/>
  <c r="I548" i="5"/>
  <c r="B548" i="5"/>
  <c r="M548" i="5" s="1"/>
  <c r="J547" i="5"/>
  <c r="I547" i="5"/>
  <c r="B547" i="5"/>
  <c r="M547" i="5" s="1"/>
  <c r="M546" i="5"/>
  <c r="J546" i="5"/>
  <c r="I546" i="5"/>
  <c r="B546" i="5"/>
  <c r="L546" i="5" s="1"/>
  <c r="L545" i="5"/>
  <c r="J545" i="5"/>
  <c r="I545" i="5"/>
  <c r="B545" i="5"/>
  <c r="J544" i="5"/>
  <c r="I544" i="5"/>
  <c r="B544" i="5"/>
  <c r="M544" i="5" s="1"/>
  <c r="J543" i="5"/>
  <c r="I543" i="5"/>
  <c r="B543" i="5"/>
  <c r="M543" i="5" s="1"/>
  <c r="M542" i="5"/>
  <c r="J542" i="5"/>
  <c r="I542" i="5"/>
  <c r="B542" i="5"/>
  <c r="L542" i="5" s="1"/>
  <c r="L541" i="5"/>
  <c r="J541" i="5"/>
  <c r="I541" i="5"/>
  <c r="B541" i="5"/>
  <c r="J540" i="5"/>
  <c r="I540" i="5"/>
  <c r="B540" i="5"/>
  <c r="M540" i="5" s="1"/>
  <c r="J539" i="5"/>
  <c r="I539" i="5"/>
  <c r="B539" i="5"/>
  <c r="M539" i="5" s="1"/>
  <c r="J538" i="5"/>
  <c r="I538" i="5"/>
  <c r="B538" i="5"/>
  <c r="L538" i="5" s="1"/>
  <c r="J537" i="5"/>
  <c r="I537" i="5"/>
  <c r="B537" i="5"/>
  <c r="L537" i="5" s="1"/>
  <c r="J536" i="5"/>
  <c r="I536" i="5"/>
  <c r="B536" i="5"/>
  <c r="M536" i="5" s="1"/>
  <c r="J535" i="5"/>
  <c r="I535" i="5"/>
  <c r="B535" i="5"/>
  <c r="M535" i="5" s="1"/>
  <c r="J534" i="5"/>
  <c r="I534" i="5"/>
  <c r="B534" i="5"/>
  <c r="L534" i="5" s="1"/>
  <c r="J533" i="5"/>
  <c r="I533" i="5"/>
  <c r="B533" i="5"/>
  <c r="L533" i="5" s="1"/>
  <c r="J532" i="5"/>
  <c r="I532" i="5"/>
  <c r="B532" i="5"/>
  <c r="M532" i="5" s="1"/>
  <c r="J531" i="5"/>
  <c r="I531" i="5"/>
  <c r="B531" i="5"/>
  <c r="M531" i="5" s="1"/>
  <c r="M530" i="5"/>
  <c r="J530" i="5"/>
  <c r="I530" i="5"/>
  <c r="B530" i="5"/>
  <c r="L530" i="5" s="1"/>
  <c r="L529" i="5"/>
  <c r="J529" i="5"/>
  <c r="I529" i="5"/>
  <c r="B529" i="5"/>
  <c r="J528" i="5"/>
  <c r="I528" i="5"/>
  <c r="B528" i="5"/>
  <c r="M528" i="5" s="1"/>
  <c r="J527" i="5"/>
  <c r="I527" i="5"/>
  <c r="B527" i="5"/>
  <c r="M527" i="5" s="1"/>
  <c r="M526" i="5"/>
  <c r="J526" i="5"/>
  <c r="I526" i="5"/>
  <c r="B526" i="5"/>
  <c r="L526" i="5" s="1"/>
  <c r="L525" i="5"/>
  <c r="J525" i="5"/>
  <c r="I525" i="5"/>
  <c r="B525" i="5"/>
  <c r="J524" i="5"/>
  <c r="I524" i="5"/>
  <c r="B524" i="5"/>
  <c r="M524" i="5" s="1"/>
  <c r="J523" i="5"/>
  <c r="I523" i="5"/>
  <c r="B523" i="5"/>
  <c r="M523" i="5" s="1"/>
  <c r="J522" i="5"/>
  <c r="I522" i="5"/>
  <c r="B522" i="5"/>
  <c r="L522" i="5" s="1"/>
  <c r="J521" i="5"/>
  <c r="I521" i="5"/>
  <c r="B521" i="5"/>
  <c r="L521" i="5" s="1"/>
  <c r="J520" i="5"/>
  <c r="I520" i="5"/>
  <c r="B520" i="5"/>
  <c r="M520" i="5" s="1"/>
  <c r="J519" i="5"/>
  <c r="I519" i="5"/>
  <c r="B519" i="5"/>
  <c r="M519" i="5" s="1"/>
  <c r="J518" i="5"/>
  <c r="I518" i="5"/>
  <c r="B518" i="5"/>
  <c r="L518" i="5" s="1"/>
  <c r="J517" i="5"/>
  <c r="I517" i="5"/>
  <c r="B517" i="5"/>
  <c r="L517" i="5" s="1"/>
  <c r="J516" i="5"/>
  <c r="I516" i="5"/>
  <c r="B516" i="5"/>
  <c r="M516" i="5" s="1"/>
  <c r="J515" i="5"/>
  <c r="I515" i="5"/>
  <c r="B515" i="5"/>
  <c r="M515" i="5" s="1"/>
  <c r="M514" i="5"/>
  <c r="J514" i="5"/>
  <c r="I514" i="5"/>
  <c r="B514" i="5"/>
  <c r="L514" i="5" s="1"/>
  <c r="L513" i="5"/>
  <c r="J513" i="5"/>
  <c r="I513" i="5"/>
  <c r="B513" i="5"/>
  <c r="J512" i="5"/>
  <c r="I512" i="5"/>
  <c r="B512" i="5"/>
  <c r="M512" i="5" s="1"/>
  <c r="J511" i="5"/>
  <c r="I511" i="5"/>
  <c r="B511" i="5"/>
  <c r="M511" i="5" s="1"/>
  <c r="M510" i="5"/>
  <c r="J510" i="5"/>
  <c r="I510" i="5"/>
  <c r="B510" i="5"/>
  <c r="L510" i="5" s="1"/>
  <c r="L509" i="5"/>
  <c r="J509" i="5"/>
  <c r="I509" i="5"/>
  <c r="B509" i="5"/>
  <c r="J508" i="5"/>
  <c r="I508" i="5"/>
  <c r="B508" i="5"/>
  <c r="M508" i="5" s="1"/>
  <c r="J507" i="5"/>
  <c r="I507" i="5"/>
  <c r="B507" i="5"/>
  <c r="M507" i="5" s="1"/>
  <c r="J506" i="5"/>
  <c r="I506" i="5"/>
  <c r="B506" i="5"/>
  <c r="L506" i="5" s="1"/>
  <c r="J505" i="5"/>
  <c r="I505" i="5"/>
  <c r="B505" i="5"/>
  <c r="L505" i="5" s="1"/>
  <c r="J504" i="5"/>
  <c r="I504" i="5"/>
  <c r="B504" i="5"/>
  <c r="M504" i="5" s="1"/>
  <c r="J503" i="5"/>
  <c r="I503" i="5"/>
  <c r="B503" i="5"/>
  <c r="M503" i="5" s="1"/>
  <c r="J502" i="5"/>
  <c r="I502" i="5"/>
  <c r="B502" i="5"/>
  <c r="L502" i="5" s="1"/>
  <c r="J501" i="5"/>
  <c r="I501" i="5"/>
  <c r="B501" i="5"/>
  <c r="L501" i="5" s="1"/>
  <c r="J500" i="5"/>
  <c r="I500" i="5"/>
  <c r="B500" i="5"/>
  <c r="M500" i="5" s="1"/>
  <c r="J499" i="5"/>
  <c r="I499" i="5"/>
  <c r="B499" i="5"/>
  <c r="M499" i="5" s="1"/>
  <c r="M498" i="5"/>
  <c r="J498" i="5"/>
  <c r="I498" i="5"/>
  <c r="B498" i="5"/>
  <c r="L498" i="5" s="1"/>
  <c r="L497" i="5"/>
  <c r="J497" i="5"/>
  <c r="I497" i="5"/>
  <c r="B497" i="5"/>
  <c r="J496" i="5"/>
  <c r="I496" i="5"/>
  <c r="B496" i="5"/>
  <c r="M496" i="5" s="1"/>
  <c r="J495" i="5"/>
  <c r="I495" i="5"/>
  <c r="B495" i="5"/>
  <c r="M495" i="5" s="1"/>
  <c r="M494" i="5"/>
  <c r="J494" i="5"/>
  <c r="I494" i="5"/>
  <c r="B494" i="5"/>
  <c r="L494" i="5" s="1"/>
  <c r="L493" i="5"/>
  <c r="J493" i="5"/>
  <c r="I493" i="5"/>
  <c r="B493" i="5"/>
  <c r="J492" i="5"/>
  <c r="I492" i="5"/>
  <c r="B492" i="5"/>
  <c r="M492" i="5" s="1"/>
  <c r="J491" i="5"/>
  <c r="I491" i="5"/>
  <c r="B491" i="5"/>
  <c r="M491" i="5" s="1"/>
  <c r="J490" i="5"/>
  <c r="I490" i="5"/>
  <c r="B490" i="5"/>
  <c r="L490" i="5" s="1"/>
  <c r="J489" i="5"/>
  <c r="I489" i="5"/>
  <c r="B489" i="5"/>
  <c r="L489" i="5" s="1"/>
  <c r="J488" i="5"/>
  <c r="I488" i="5"/>
  <c r="B488" i="5"/>
  <c r="M488" i="5" s="1"/>
  <c r="J487" i="5"/>
  <c r="I487" i="5"/>
  <c r="B487" i="5"/>
  <c r="M487" i="5" s="1"/>
  <c r="J486" i="5"/>
  <c r="I486" i="5"/>
  <c r="B486" i="5"/>
  <c r="L486" i="5" s="1"/>
  <c r="J485" i="5"/>
  <c r="I485" i="5"/>
  <c r="B485" i="5"/>
  <c r="L485" i="5" s="1"/>
  <c r="J484" i="5"/>
  <c r="I484" i="5"/>
  <c r="B484" i="5"/>
  <c r="M484" i="5" s="1"/>
  <c r="J483" i="5"/>
  <c r="I483" i="5"/>
  <c r="B483" i="5"/>
  <c r="M483" i="5" s="1"/>
  <c r="M482" i="5"/>
  <c r="J482" i="5"/>
  <c r="I482" i="5"/>
  <c r="B482" i="5"/>
  <c r="L482" i="5" s="1"/>
  <c r="L481" i="5"/>
  <c r="J481" i="5"/>
  <c r="I481" i="5"/>
  <c r="B481" i="5"/>
  <c r="J480" i="5"/>
  <c r="I480" i="5"/>
  <c r="B480" i="5"/>
  <c r="M480" i="5" s="1"/>
  <c r="J479" i="5"/>
  <c r="I479" i="5"/>
  <c r="B479" i="5"/>
  <c r="M479" i="5" s="1"/>
  <c r="M478" i="5"/>
  <c r="J478" i="5"/>
  <c r="I478" i="5"/>
  <c r="B478" i="5"/>
  <c r="L478" i="5" s="1"/>
  <c r="L477" i="5"/>
  <c r="J477" i="5"/>
  <c r="I477" i="5"/>
  <c r="B477" i="5"/>
  <c r="J476" i="5"/>
  <c r="I476" i="5"/>
  <c r="B476" i="5"/>
  <c r="M476" i="5" s="1"/>
  <c r="J475" i="5"/>
  <c r="I475" i="5"/>
  <c r="B475" i="5"/>
  <c r="M475" i="5" s="1"/>
  <c r="J474" i="5"/>
  <c r="I474" i="5"/>
  <c r="B474" i="5"/>
  <c r="L474" i="5" s="1"/>
  <c r="J473" i="5"/>
  <c r="I473" i="5"/>
  <c r="B473" i="5"/>
  <c r="L473" i="5" s="1"/>
  <c r="J472" i="5"/>
  <c r="I472" i="5"/>
  <c r="B472" i="5"/>
  <c r="M472" i="5" s="1"/>
  <c r="J471" i="5"/>
  <c r="I471" i="5"/>
  <c r="B471" i="5"/>
  <c r="M471" i="5" s="1"/>
  <c r="J470" i="5"/>
  <c r="I470" i="5"/>
  <c r="B470" i="5"/>
  <c r="L470" i="5" s="1"/>
  <c r="J469" i="5"/>
  <c r="I469" i="5"/>
  <c r="B469" i="5"/>
  <c r="L469" i="5" s="1"/>
  <c r="J468" i="5"/>
  <c r="I468" i="5"/>
  <c r="B468" i="5"/>
  <c r="M468" i="5" s="1"/>
  <c r="J467" i="5"/>
  <c r="I467" i="5"/>
  <c r="B467" i="5"/>
  <c r="M467" i="5" s="1"/>
  <c r="M466" i="5"/>
  <c r="J466" i="5"/>
  <c r="I466" i="5"/>
  <c r="B466" i="5"/>
  <c r="L466" i="5" s="1"/>
  <c r="L465" i="5"/>
  <c r="J465" i="5"/>
  <c r="I465" i="5"/>
  <c r="B465" i="5"/>
  <c r="J464" i="5"/>
  <c r="I464" i="5"/>
  <c r="B464" i="5"/>
  <c r="M464" i="5" s="1"/>
  <c r="J463" i="5"/>
  <c r="I463" i="5"/>
  <c r="B463" i="5"/>
  <c r="M463" i="5" s="1"/>
  <c r="M462" i="5"/>
  <c r="J462" i="5"/>
  <c r="I462" i="5"/>
  <c r="B462" i="5"/>
  <c r="L462" i="5" s="1"/>
  <c r="L461" i="5"/>
  <c r="J461" i="5"/>
  <c r="I461" i="5"/>
  <c r="B461" i="5"/>
  <c r="J460" i="5"/>
  <c r="I460" i="5"/>
  <c r="B460" i="5"/>
  <c r="M460" i="5" s="1"/>
  <c r="J459" i="5"/>
  <c r="I459" i="5"/>
  <c r="B459" i="5"/>
  <c r="M459" i="5" s="1"/>
  <c r="J458" i="5"/>
  <c r="I458" i="5"/>
  <c r="B458" i="5"/>
  <c r="L458" i="5" s="1"/>
  <c r="J457" i="5"/>
  <c r="I457" i="5"/>
  <c r="B457" i="5"/>
  <c r="L457" i="5" s="1"/>
  <c r="J456" i="5"/>
  <c r="I456" i="5"/>
  <c r="B456" i="5"/>
  <c r="M456" i="5" s="1"/>
  <c r="J455" i="5"/>
  <c r="I455" i="5"/>
  <c r="B455" i="5"/>
  <c r="M455" i="5" s="1"/>
  <c r="J454" i="5"/>
  <c r="I454" i="5"/>
  <c r="B454" i="5"/>
  <c r="L454" i="5" s="1"/>
  <c r="J453" i="5"/>
  <c r="I453" i="5"/>
  <c r="B453" i="5"/>
  <c r="L453" i="5" s="1"/>
  <c r="J452" i="5"/>
  <c r="I452" i="5"/>
  <c r="B452" i="5"/>
  <c r="M452" i="5" s="1"/>
  <c r="J451" i="5"/>
  <c r="I451" i="5"/>
  <c r="B451" i="5"/>
  <c r="M451" i="5" s="1"/>
  <c r="M450" i="5"/>
  <c r="J450" i="5"/>
  <c r="I450" i="5"/>
  <c r="B450" i="5"/>
  <c r="L450" i="5" s="1"/>
  <c r="L449" i="5"/>
  <c r="J449" i="5"/>
  <c r="I449" i="5"/>
  <c r="B449" i="5"/>
  <c r="J448" i="5"/>
  <c r="I448" i="5"/>
  <c r="B448" i="5"/>
  <c r="M448" i="5" s="1"/>
  <c r="J447" i="5"/>
  <c r="I447" i="5"/>
  <c r="B447" i="5"/>
  <c r="M447" i="5" s="1"/>
  <c r="M446" i="5"/>
  <c r="J446" i="5"/>
  <c r="I446" i="5"/>
  <c r="B446" i="5"/>
  <c r="L446" i="5" s="1"/>
  <c r="L445" i="5"/>
  <c r="J445" i="5"/>
  <c r="I445" i="5"/>
  <c r="B445" i="5"/>
  <c r="J444" i="5"/>
  <c r="I444" i="5"/>
  <c r="B444" i="5"/>
  <c r="M444" i="5" s="1"/>
  <c r="J443" i="5"/>
  <c r="I443" i="5"/>
  <c r="B443" i="5"/>
  <c r="M443" i="5" s="1"/>
  <c r="J442" i="5"/>
  <c r="I442" i="5"/>
  <c r="B442" i="5"/>
  <c r="L442" i="5" s="1"/>
  <c r="J441" i="5"/>
  <c r="I441" i="5"/>
  <c r="B441" i="5"/>
  <c r="L441" i="5" s="1"/>
  <c r="J440" i="5"/>
  <c r="I440" i="5"/>
  <c r="B440" i="5"/>
  <c r="M440" i="5" s="1"/>
  <c r="J439" i="5"/>
  <c r="I439" i="5"/>
  <c r="B439" i="5"/>
  <c r="M439" i="5" s="1"/>
  <c r="J438" i="5"/>
  <c r="I438" i="5"/>
  <c r="B438" i="5"/>
  <c r="L438" i="5" s="1"/>
  <c r="J437" i="5"/>
  <c r="I437" i="5"/>
  <c r="B437" i="5"/>
  <c r="L437" i="5" s="1"/>
  <c r="J436" i="5"/>
  <c r="I436" i="5"/>
  <c r="B436" i="5"/>
  <c r="M436" i="5" s="1"/>
  <c r="L435" i="5"/>
  <c r="J435" i="5"/>
  <c r="I435" i="5"/>
  <c r="B435" i="5"/>
  <c r="M434" i="5"/>
  <c r="J434" i="5"/>
  <c r="I434" i="5"/>
  <c r="B434" i="5"/>
  <c r="L434" i="5" s="1"/>
  <c r="M433" i="5"/>
  <c r="J433" i="5"/>
  <c r="I433" i="5"/>
  <c r="B433" i="5"/>
  <c r="J432" i="5"/>
  <c r="I432" i="5"/>
  <c r="B432" i="5"/>
  <c r="M432" i="5" s="1"/>
  <c r="L431" i="5"/>
  <c r="J431" i="5"/>
  <c r="I431" i="5"/>
  <c r="B431" i="5"/>
  <c r="M430" i="5"/>
  <c r="J430" i="5"/>
  <c r="I430" i="5"/>
  <c r="B430" i="5"/>
  <c r="L430" i="5" s="1"/>
  <c r="M429" i="5"/>
  <c r="J429" i="5"/>
  <c r="I429" i="5"/>
  <c r="B429" i="5"/>
  <c r="J428" i="5"/>
  <c r="I428" i="5"/>
  <c r="B428" i="5"/>
  <c r="M428" i="5" s="1"/>
  <c r="J427" i="5"/>
  <c r="I427" i="5"/>
  <c r="B427" i="5"/>
  <c r="L427" i="5" s="1"/>
  <c r="J426" i="5"/>
  <c r="I426" i="5"/>
  <c r="B426" i="5"/>
  <c r="L426" i="5" s="1"/>
  <c r="J425" i="5"/>
  <c r="I425" i="5"/>
  <c r="B425" i="5"/>
  <c r="M425" i="5" s="1"/>
  <c r="J424" i="5"/>
  <c r="I424" i="5"/>
  <c r="B424" i="5"/>
  <c r="M424" i="5" s="1"/>
  <c r="J423" i="5"/>
  <c r="I423" i="5"/>
  <c r="B423" i="5"/>
  <c r="J422" i="5"/>
  <c r="I422" i="5"/>
  <c r="B422" i="5"/>
  <c r="L422" i="5" s="1"/>
  <c r="J421" i="5"/>
  <c r="I421" i="5"/>
  <c r="B421" i="5"/>
  <c r="J420" i="5"/>
  <c r="I420" i="5"/>
  <c r="B420" i="5"/>
  <c r="M420" i="5" s="1"/>
  <c r="L419" i="5"/>
  <c r="J419" i="5"/>
  <c r="I419" i="5"/>
  <c r="B419" i="5"/>
  <c r="M418" i="5"/>
  <c r="J418" i="5"/>
  <c r="I418" i="5"/>
  <c r="B418" i="5"/>
  <c r="L418" i="5" s="1"/>
  <c r="M417" i="5"/>
  <c r="J417" i="5"/>
  <c r="I417" i="5"/>
  <c r="B417" i="5"/>
  <c r="J416" i="5"/>
  <c r="I416" i="5"/>
  <c r="B416" i="5"/>
  <c r="M416" i="5" s="1"/>
  <c r="L415" i="5"/>
  <c r="J415" i="5"/>
  <c r="I415" i="5"/>
  <c r="B415" i="5"/>
  <c r="M414" i="5"/>
  <c r="J414" i="5"/>
  <c r="I414" i="5"/>
  <c r="B414" i="5"/>
  <c r="L414" i="5" s="1"/>
  <c r="M413" i="5"/>
  <c r="J413" i="5"/>
  <c r="I413" i="5"/>
  <c r="B413" i="5"/>
  <c r="J412" i="5"/>
  <c r="I412" i="5"/>
  <c r="B412" i="5"/>
  <c r="M412" i="5" s="1"/>
  <c r="J411" i="5"/>
  <c r="I411" i="5"/>
  <c r="B411" i="5"/>
  <c r="L411" i="5" s="1"/>
  <c r="J410" i="5"/>
  <c r="I410" i="5"/>
  <c r="B410" i="5"/>
  <c r="L410" i="5" s="1"/>
  <c r="J409" i="5"/>
  <c r="I409" i="5"/>
  <c r="B409" i="5"/>
  <c r="M409" i="5" s="1"/>
  <c r="J408" i="5"/>
  <c r="I408" i="5"/>
  <c r="B408" i="5"/>
  <c r="M408" i="5" s="1"/>
  <c r="J407" i="5"/>
  <c r="I407" i="5"/>
  <c r="B407" i="5"/>
  <c r="J406" i="5"/>
  <c r="I406" i="5"/>
  <c r="B406" i="5"/>
  <c r="L406" i="5" s="1"/>
  <c r="J405" i="5"/>
  <c r="I405" i="5"/>
  <c r="B405" i="5"/>
  <c r="J404" i="5"/>
  <c r="I404" i="5"/>
  <c r="B404" i="5"/>
  <c r="M404" i="5" s="1"/>
  <c r="L403" i="5"/>
  <c r="J403" i="5"/>
  <c r="I403" i="5"/>
  <c r="B403" i="5"/>
  <c r="M402" i="5"/>
  <c r="J402" i="5"/>
  <c r="I402" i="5"/>
  <c r="B402" i="5"/>
  <c r="L402" i="5" s="1"/>
  <c r="M401" i="5"/>
  <c r="J401" i="5"/>
  <c r="I401" i="5"/>
  <c r="B401" i="5"/>
  <c r="J400" i="5"/>
  <c r="I400" i="5"/>
  <c r="B400" i="5"/>
  <c r="M400" i="5" s="1"/>
  <c r="L399" i="5"/>
  <c r="J399" i="5"/>
  <c r="I399" i="5"/>
  <c r="B399" i="5"/>
  <c r="M398" i="5"/>
  <c r="J398" i="5"/>
  <c r="I398" i="5"/>
  <c r="B398" i="5"/>
  <c r="L398" i="5" s="1"/>
  <c r="M397" i="5"/>
  <c r="J397" i="5"/>
  <c r="I397" i="5"/>
  <c r="B397" i="5"/>
  <c r="J396" i="5"/>
  <c r="I396" i="5"/>
  <c r="B396" i="5"/>
  <c r="M396" i="5" s="1"/>
  <c r="J395" i="5"/>
  <c r="I395" i="5"/>
  <c r="B395" i="5"/>
  <c r="L395" i="5" s="1"/>
  <c r="J394" i="5"/>
  <c r="I394" i="5"/>
  <c r="B394" i="5"/>
  <c r="L394" i="5" s="1"/>
  <c r="J393" i="5"/>
  <c r="I393" i="5"/>
  <c r="B393" i="5"/>
  <c r="M393" i="5" s="1"/>
  <c r="J392" i="5"/>
  <c r="I392" i="5"/>
  <c r="B392" i="5"/>
  <c r="M392" i="5" s="1"/>
  <c r="J391" i="5"/>
  <c r="I391" i="5"/>
  <c r="B391" i="5"/>
  <c r="J390" i="5"/>
  <c r="I390" i="5"/>
  <c r="B390" i="5"/>
  <c r="L390" i="5" s="1"/>
  <c r="J389" i="5"/>
  <c r="I389" i="5"/>
  <c r="B389" i="5"/>
  <c r="J388" i="5"/>
  <c r="I388" i="5"/>
  <c r="B388" i="5"/>
  <c r="M388" i="5" s="1"/>
  <c r="J387" i="5"/>
  <c r="I387" i="5"/>
  <c r="B387" i="5"/>
  <c r="L387" i="5" s="1"/>
  <c r="J386" i="5"/>
  <c r="I386" i="5"/>
  <c r="B386" i="5"/>
  <c r="L386" i="5" s="1"/>
  <c r="J385" i="5"/>
  <c r="I385" i="5"/>
  <c r="B385" i="5"/>
  <c r="M385" i="5" s="1"/>
  <c r="J384" i="5"/>
  <c r="I384" i="5"/>
  <c r="B384" i="5"/>
  <c r="M384" i="5" s="1"/>
  <c r="L383" i="5"/>
  <c r="J383" i="5"/>
  <c r="I383" i="5"/>
  <c r="B383" i="5"/>
  <c r="M382" i="5"/>
  <c r="J382" i="5"/>
  <c r="I382" i="5"/>
  <c r="B382" i="5"/>
  <c r="L382" i="5" s="1"/>
  <c r="M381" i="5"/>
  <c r="J381" i="5"/>
  <c r="I381" i="5"/>
  <c r="B381" i="5"/>
  <c r="J380" i="5"/>
  <c r="I380" i="5"/>
  <c r="B380" i="5"/>
  <c r="M380" i="5" s="1"/>
  <c r="J379" i="5"/>
  <c r="I379" i="5"/>
  <c r="B379" i="5"/>
  <c r="L379" i="5" s="1"/>
  <c r="J378" i="5"/>
  <c r="I378" i="5"/>
  <c r="B378" i="5"/>
  <c r="L378" i="5" s="1"/>
  <c r="J377" i="5"/>
  <c r="I377" i="5"/>
  <c r="B377" i="5"/>
  <c r="M377" i="5" s="1"/>
  <c r="J376" i="5"/>
  <c r="I376" i="5"/>
  <c r="B376" i="5"/>
  <c r="M376" i="5" s="1"/>
  <c r="J375" i="5"/>
  <c r="I375" i="5"/>
  <c r="B375" i="5"/>
  <c r="J374" i="5"/>
  <c r="I374" i="5"/>
  <c r="B374" i="5"/>
  <c r="L374" i="5" s="1"/>
  <c r="J373" i="5"/>
  <c r="I373" i="5"/>
  <c r="B373" i="5"/>
  <c r="J372" i="5"/>
  <c r="I372" i="5"/>
  <c r="B372" i="5"/>
  <c r="M372" i="5" s="1"/>
  <c r="J371" i="5"/>
  <c r="I371" i="5"/>
  <c r="B371" i="5"/>
  <c r="L371" i="5" s="1"/>
  <c r="J370" i="5"/>
  <c r="I370" i="5"/>
  <c r="B370" i="5"/>
  <c r="L370" i="5" s="1"/>
  <c r="J369" i="5"/>
  <c r="I369" i="5"/>
  <c r="B369" i="5"/>
  <c r="M369" i="5" s="1"/>
  <c r="J368" i="5"/>
  <c r="I368" i="5"/>
  <c r="B368" i="5"/>
  <c r="M368" i="5" s="1"/>
  <c r="L367" i="5"/>
  <c r="J367" i="5"/>
  <c r="I367" i="5"/>
  <c r="B367" i="5"/>
  <c r="M366" i="5"/>
  <c r="J366" i="5"/>
  <c r="I366" i="5"/>
  <c r="B366" i="5"/>
  <c r="L366" i="5" s="1"/>
  <c r="M365" i="5"/>
  <c r="J365" i="5"/>
  <c r="I365" i="5"/>
  <c r="B365" i="5"/>
  <c r="J364" i="5"/>
  <c r="I364" i="5"/>
  <c r="B364" i="5"/>
  <c r="M364" i="5" s="1"/>
  <c r="J363" i="5"/>
  <c r="I363" i="5"/>
  <c r="B363" i="5"/>
  <c r="L363" i="5" s="1"/>
  <c r="J362" i="5"/>
  <c r="I362" i="5"/>
  <c r="B362" i="5"/>
  <c r="L362" i="5" s="1"/>
  <c r="J361" i="5"/>
  <c r="I361" i="5"/>
  <c r="B361" i="5"/>
  <c r="M361" i="5" s="1"/>
  <c r="J360" i="5"/>
  <c r="I360" i="5"/>
  <c r="B360" i="5"/>
  <c r="M360" i="5" s="1"/>
  <c r="J359" i="5"/>
  <c r="I359" i="5"/>
  <c r="B359" i="5"/>
  <c r="J358" i="5"/>
  <c r="I358" i="5"/>
  <c r="B358" i="5"/>
  <c r="L358" i="5" s="1"/>
  <c r="J357" i="5"/>
  <c r="I357" i="5"/>
  <c r="B357" i="5"/>
  <c r="J356" i="5"/>
  <c r="I356" i="5"/>
  <c r="B356" i="5"/>
  <c r="M356" i="5" s="1"/>
  <c r="J355" i="5"/>
  <c r="I355" i="5"/>
  <c r="B355" i="5"/>
  <c r="L355" i="5" s="1"/>
  <c r="J354" i="5"/>
  <c r="I354" i="5"/>
  <c r="B354" i="5"/>
  <c r="L354" i="5" s="1"/>
  <c r="J353" i="5"/>
  <c r="I353" i="5"/>
  <c r="B353" i="5"/>
  <c r="M353" i="5" s="1"/>
  <c r="J352" i="5"/>
  <c r="I352" i="5"/>
  <c r="B352" i="5"/>
  <c r="M352" i="5" s="1"/>
  <c r="L351" i="5"/>
  <c r="J351" i="5"/>
  <c r="I351" i="5"/>
  <c r="B351" i="5"/>
  <c r="M350" i="5"/>
  <c r="J350" i="5"/>
  <c r="I350" i="5"/>
  <c r="B350" i="5"/>
  <c r="L350" i="5" s="1"/>
  <c r="M349" i="5"/>
  <c r="J349" i="5"/>
  <c r="I349" i="5"/>
  <c r="B349" i="5"/>
  <c r="J348" i="5"/>
  <c r="I348" i="5"/>
  <c r="B348" i="5"/>
  <c r="M348" i="5" s="1"/>
  <c r="J347" i="5"/>
  <c r="I347" i="5"/>
  <c r="B347" i="5"/>
  <c r="L347" i="5" s="1"/>
  <c r="J346" i="5"/>
  <c r="I346" i="5"/>
  <c r="B346" i="5"/>
  <c r="L346" i="5" s="1"/>
  <c r="J345" i="5"/>
  <c r="I345" i="5"/>
  <c r="B345" i="5"/>
  <c r="M345" i="5" s="1"/>
  <c r="J344" i="5"/>
  <c r="I344" i="5"/>
  <c r="B344" i="5"/>
  <c r="M344" i="5" s="1"/>
  <c r="J343" i="5"/>
  <c r="I343" i="5"/>
  <c r="B343" i="5"/>
  <c r="J342" i="5"/>
  <c r="I342" i="5"/>
  <c r="B342" i="5"/>
  <c r="L342" i="5" s="1"/>
  <c r="J341" i="5"/>
  <c r="I341" i="5"/>
  <c r="B341" i="5"/>
  <c r="J340" i="5"/>
  <c r="I340" i="5"/>
  <c r="B340" i="5"/>
  <c r="M340" i="5" s="1"/>
  <c r="J339" i="5"/>
  <c r="I339" i="5"/>
  <c r="B339" i="5"/>
  <c r="L339" i="5" s="1"/>
  <c r="J338" i="5"/>
  <c r="I338" i="5"/>
  <c r="B338" i="5"/>
  <c r="L338" i="5" s="1"/>
  <c r="J337" i="5"/>
  <c r="I337" i="5"/>
  <c r="B337" i="5"/>
  <c r="M337" i="5" s="1"/>
  <c r="J336" i="5"/>
  <c r="I336" i="5"/>
  <c r="B336" i="5"/>
  <c r="M336" i="5" s="1"/>
  <c r="L335" i="5"/>
  <c r="J335" i="5"/>
  <c r="I335" i="5"/>
  <c r="B335" i="5"/>
  <c r="M334" i="5"/>
  <c r="J334" i="5"/>
  <c r="I334" i="5"/>
  <c r="B334" i="5"/>
  <c r="L334" i="5" s="1"/>
  <c r="M333" i="5"/>
  <c r="J333" i="5"/>
  <c r="I333" i="5"/>
  <c r="B333" i="5"/>
  <c r="J332" i="5"/>
  <c r="I332" i="5"/>
  <c r="B332" i="5"/>
  <c r="M332" i="5" s="1"/>
  <c r="J331" i="5"/>
  <c r="I331" i="5"/>
  <c r="B331" i="5"/>
  <c r="L331" i="5" s="1"/>
  <c r="J330" i="5"/>
  <c r="I330" i="5"/>
  <c r="B330" i="5"/>
  <c r="L330" i="5" s="1"/>
  <c r="J329" i="5"/>
  <c r="I329" i="5"/>
  <c r="B329" i="5"/>
  <c r="M329" i="5" s="1"/>
  <c r="J328" i="5"/>
  <c r="I328" i="5"/>
  <c r="B328" i="5"/>
  <c r="M328" i="5" s="1"/>
  <c r="J327" i="5"/>
  <c r="I327" i="5"/>
  <c r="B327" i="5"/>
  <c r="M327" i="5" s="1"/>
  <c r="J326" i="5"/>
  <c r="I326" i="5"/>
  <c r="B326" i="5"/>
  <c r="L326" i="5" s="1"/>
  <c r="J325" i="5"/>
  <c r="I325" i="5"/>
  <c r="B325" i="5"/>
  <c r="L325" i="5" s="1"/>
  <c r="J324" i="5"/>
  <c r="I324" i="5"/>
  <c r="B324" i="5"/>
  <c r="M324" i="5" s="1"/>
  <c r="J323" i="5"/>
  <c r="I323" i="5"/>
  <c r="B323" i="5"/>
  <c r="M323" i="5" s="1"/>
  <c r="J322" i="5"/>
  <c r="I322" i="5"/>
  <c r="B322" i="5"/>
  <c r="L322" i="5" s="1"/>
  <c r="J321" i="5"/>
  <c r="I321" i="5"/>
  <c r="B321" i="5"/>
  <c r="L321" i="5" s="1"/>
  <c r="J320" i="5"/>
  <c r="I320" i="5"/>
  <c r="B320" i="5"/>
  <c r="M320" i="5" s="1"/>
  <c r="J319" i="5"/>
  <c r="I319" i="5"/>
  <c r="B319" i="5"/>
  <c r="M319" i="5" s="1"/>
  <c r="J318" i="5"/>
  <c r="I318" i="5"/>
  <c r="B318" i="5"/>
  <c r="L318" i="5" s="1"/>
  <c r="J317" i="5"/>
  <c r="I317" i="5"/>
  <c r="B317" i="5"/>
  <c r="L317" i="5" s="1"/>
  <c r="J316" i="5"/>
  <c r="I316" i="5"/>
  <c r="B316" i="5"/>
  <c r="M316" i="5" s="1"/>
  <c r="J315" i="5"/>
  <c r="I315" i="5"/>
  <c r="B315" i="5"/>
  <c r="M315" i="5" s="1"/>
  <c r="J314" i="5"/>
  <c r="I314" i="5"/>
  <c r="B314" i="5"/>
  <c r="L314" i="5" s="1"/>
  <c r="J313" i="5"/>
  <c r="I313" i="5"/>
  <c r="B313" i="5"/>
  <c r="L313" i="5" s="1"/>
  <c r="J312" i="5"/>
  <c r="I312" i="5"/>
  <c r="B312" i="5"/>
  <c r="M312" i="5" s="1"/>
  <c r="J311" i="5"/>
  <c r="I311" i="5"/>
  <c r="B311" i="5"/>
  <c r="M311" i="5" s="1"/>
  <c r="M310" i="5"/>
  <c r="J310" i="5"/>
  <c r="I310" i="5"/>
  <c r="B310" i="5"/>
  <c r="L310" i="5" s="1"/>
  <c r="L309" i="5"/>
  <c r="J309" i="5"/>
  <c r="I309" i="5"/>
  <c r="B309" i="5"/>
  <c r="J308" i="5"/>
  <c r="I308" i="5"/>
  <c r="B308" i="5"/>
  <c r="M308" i="5" s="1"/>
  <c r="J307" i="5"/>
  <c r="I307" i="5"/>
  <c r="B307" i="5"/>
  <c r="M307" i="5" s="1"/>
  <c r="J306" i="5"/>
  <c r="I306" i="5"/>
  <c r="B306" i="5"/>
  <c r="L306" i="5" s="1"/>
  <c r="J305" i="5"/>
  <c r="I305" i="5"/>
  <c r="B305" i="5"/>
  <c r="L305" i="5" s="1"/>
  <c r="J304" i="5"/>
  <c r="I304" i="5"/>
  <c r="B304" i="5"/>
  <c r="M304" i="5" s="1"/>
  <c r="J303" i="5"/>
  <c r="I303" i="5"/>
  <c r="B303" i="5"/>
  <c r="M303" i="5" s="1"/>
  <c r="M302" i="5"/>
  <c r="J302" i="5"/>
  <c r="I302" i="5"/>
  <c r="B302" i="5"/>
  <c r="L302" i="5" s="1"/>
  <c r="L301" i="5"/>
  <c r="J301" i="5"/>
  <c r="I301" i="5"/>
  <c r="B301" i="5"/>
  <c r="J300" i="5"/>
  <c r="I300" i="5"/>
  <c r="B300" i="5"/>
  <c r="M300" i="5" s="1"/>
  <c r="J299" i="5"/>
  <c r="I299" i="5"/>
  <c r="B299" i="5"/>
  <c r="M299" i="5" s="1"/>
  <c r="J298" i="5"/>
  <c r="I298" i="5"/>
  <c r="B298" i="5"/>
  <c r="L298" i="5" s="1"/>
  <c r="J297" i="5"/>
  <c r="I297" i="5"/>
  <c r="B297" i="5"/>
  <c r="L297" i="5" s="1"/>
  <c r="J296" i="5"/>
  <c r="I296" i="5"/>
  <c r="B296" i="5"/>
  <c r="M296" i="5" s="1"/>
  <c r="J295" i="5"/>
  <c r="I295" i="5"/>
  <c r="B295" i="5"/>
  <c r="M295" i="5" s="1"/>
  <c r="M294" i="5"/>
  <c r="J294" i="5"/>
  <c r="I294" i="5"/>
  <c r="B294" i="5"/>
  <c r="L294" i="5" s="1"/>
  <c r="L293" i="5"/>
  <c r="J293" i="5"/>
  <c r="I293" i="5"/>
  <c r="B293" i="5"/>
  <c r="J292" i="5"/>
  <c r="I292" i="5"/>
  <c r="B292" i="5"/>
  <c r="M292" i="5" s="1"/>
  <c r="J291" i="5"/>
  <c r="I291" i="5"/>
  <c r="B291" i="5"/>
  <c r="M291" i="5" s="1"/>
  <c r="J290" i="5"/>
  <c r="I290" i="5"/>
  <c r="B290" i="5"/>
  <c r="L290" i="5" s="1"/>
  <c r="J289" i="5"/>
  <c r="I289" i="5"/>
  <c r="B289" i="5"/>
  <c r="L289" i="5" s="1"/>
  <c r="J288" i="5"/>
  <c r="I288" i="5"/>
  <c r="B288" i="5"/>
  <c r="M288" i="5" s="1"/>
  <c r="J287" i="5"/>
  <c r="I287" i="5"/>
  <c r="B287" i="5"/>
  <c r="M287" i="5" s="1"/>
  <c r="M286" i="5"/>
  <c r="J286" i="5"/>
  <c r="I286" i="5"/>
  <c r="B286" i="5"/>
  <c r="L286" i="5" s="1"/>
  <c r="J285" i="5"/>
  <c r="I285" i="5"/>
  <c r="B285" i="5"/>
  <c r="L285" i="5" s="1"/>
  <c r="J284" i="5"/>
  <c r="I284" i="5"/>
  <c r="B284" i="5"/>
  <c r="M284" i="5" s="1"/>
  <c r="J283" i="5"/>
  <c r="I283" i="5"/>
  <c r="B283" i="5"/>
  <c r="M283" i="5" s="1"/>
  <c r="J282" i="5"/>
  <c r="I282" i="5"/>
  <c r="B282" i="5"/>
  <c r="L282" i="5" s="1"/>
  <c r="J281" i="5"/>
  <c r="I281" i="5"/>
  <c r="B281" i="5"/>
  <c r="L281" i="5" s="1"/>
  <c r="J280" i="5"/>
  <c r="I280" i="5"/>
  <c r="B280" i="5"/>
  <c r="M280" i="5" s="1"/>
  <c r="J279" i="5"/>
  <c r="I279" i="5"/>
  <c r="B279" i="5"/>
  <c r="M279" i="5" s="1"/>
  <c r="M278" i="5"/>
  <c r="J278" i="5"/>
  <c r="I278" i="5"/>
  <c r="B278" i="5"/>
  <c r="L278" i="5" s="1"/>
  <c r="J277" i="5"/>
  <c r="I277" i="5"/>
  <c r="B277" i="5"/>
  <c r="L277" i="5" s="1"/>
  <c r="J276" i="5"/>
  <c r="I276" i="5"/>
  <c r="B276" i="5"/>
  <c r="M276" i="5" s="1"/>
  <c r="J275" i="5"/>
  <c r="I275" i="5"/>
  <c r="B275" i="5"/>
  <c r="M275" i="5" s="1"/>
  <c r="M274" i="5"/>
  <c r="J274" i="5"/>
  <c r="I274" i="5"/>
  <c r="B274" i="5"/>
  <c r="L274" i="5" s="1"/>
  <c r="J273" i="5"/>
  <c r="I273" i="5"/>
  <c r="B273" i="5"/>
  <c r="L273" i="5" s="1"/>
  <c r="J272" i="5"/>
  <c r="I272" i="5"/>
  <c r="B272" i="5"/>
  <c r="M272" i="5" s="1"/>
  <c r="J271" i="5"/>
  <c r="I271" i="5"/>
  <c r="B271" i="5"/>
  <c r="M271" i="5" s="1"/>
  <c r="J270" i="5"/>
  <c r="I270" i="5"/>
  <c r="B270" i="5"/>
  <c r="L270" i="5" s="1"/>
  <c r="J269" i="5"/>
  <c r="I269" i="5"/>
  <c r="B269" i="5"/>
  <c r="L269" i="5" s="1"/>
  <c r="J268" i="5"/>
  <c r="I268" i="5"/>
  <c r="B268" i="5"/>
  <c r="M268" i="5" s="1"/>
  <c r="J267" i="5"/>
  <c r="I267" i="5"/>
  <c r="B267" i="5"/>
  <c r="M267" i="5" s="1"/>
  <c r="M266" i="5"/>
  <c r="J266" i="5"/>
  <c r="I266" i="5"/>
  <c r="B266" i="5"/>
  <c r="L266" i="5" s="1"/>
  <c r="J265" i="5"/>
  <c r="I265" i="5"/>
  <c r="B265" i="5"/>
  <c r="L265" i="5" s="1"/>
  <c r="J264" i="5"/>
  <c r="I264" i="5"/>
  <c r="B264" i="5"/>
  <c r="M264" i="5" s="1"/>
  <c r="J263" i="5"/>
  <c r="I263" i="5"/>
  <c r="B263" i="5"/>
  <c r="M263" i="5" s="1"/>
  <c r="M262" i="5"/>
  <c r="J262" i="5"/>
  <c r="I262" i="5"/>
  <c r="B262" i="5"/>
  <c r="L262" i="5" s="1"/>
  <c r="J261" i="5"/>
  <c r="I261" i="5"/>
  <c r="B261" i="5"/>
  <c r="L261" i="5" s="1"/>
  <c r="J260" i="5"/>
  <c r="I260" i="5"/>
  <c r="B260" i="5"/>
  <c r="M260" i="5" s="1"/>
  <c r="J259" i="5"/>
  <c r="I259" i="5"/>
  <c r="B259" i="5"/>
  <c r="M259" i="5" s="1"/>
  <c r="J258" i="5"/>
  <c r="I258" i="5"/>
  <c r="B258" i="5"/>
  <c r="L258" i="5" s="1"/>
  <c r="J257" i="5"/>
  <c r="I257" i="5"/>
  <c r="B257" i="5"/>
  <c r="L257" i="5" s="1"/>
  <c r="J256" i="5"/>
  <c r="I256" i="5"/>
  <c r="B256" i="5"/>
  <c r="M256" i="5" s="1"/>
  <c r="J255" i="5"/>
  <c r="I255" i="5"/>
  <c r="B255" i="5"/>
  <c r="M255" i="5" s="1"/>
  <c r="J254" i="5"/>
  <c r="I254" i="5"/>
  <c r="B254" i="5"/>
  <c r="L254" i="5" s="1"/>
  <c r="J253" i="5"/>
  <c r="I253" i="5"/>
  <c r="B253" i="5"/>
  <c r="L253" i="5" s="1"/>
  <c r="J252" i="5"/>
  <c r="I252" i="5"/>
  <c r="B252" i="5"/>
  <c r="M252" i="5" s="1"/>
  <c r="J251" i="5"/>
  <c r="I251" i="5"/>
  <c r="B251" i="5"/>
  <c r="M251" i="5" s="1"/>
  <c r="M250" i="5"/>
  <c r="J250" i="5"/>
  <c r="I250" i="5"/>
  <c r="B250" i="5"/>
  <c r="L250" i="5" s="1"/>
  <c r="J249" i="5"/>
  <c r="I249" i="5"/>
  <c r="B249" i="5"/>
  <c r="L249" i="5" s="1"/>
  <c r="J248" i="5"/>
  <c r="I248" i="5"/>
  <c r="B248" i="5"/>
  <c r="M248" i="5" s="1"/>
  <c r="J247" i="5"/>
  <c r="I247" i="5"/>
  <c r="B247" i="5"/>
  <c r="M247" i="5" s="1"/>
  <c r="J246" i="5"/>
  <c r="I246" i="5"/>
  <c r="B246" i="5"/>
  <c r="L246" i="5" s="1"/>
  <c r="J245" i="5"/>
  <c r="I245" i="5"/>
  <c r="B245" i="5"/>
  <c r="L245" i="5" s="1"/>
  <c r="J244" i="5"/>
  <c r="I244" i="5"/>
  <c r="B244" i="5"/>
  <c r="M244" i="5" s="1"/>
  <c r="J243" i="5"/>
  <c r="I243" i="5"/>
  <c r="B243" i="5"/>
  <c r="M243" i="5" s="1"/>
  <c r="J242" i="5"/>
  <c r="I242" i="5"/>
  <c r="B242" i="5"/>
  <c r="L242" i="5" s="1"/>
  <c r="J241" i="5"/>
  <c r="I241" i="5"/>
  <c r="B241" i="5"/>
  <c r="J240" i="5"/>
  <c r="I240" i="5"/>
  <c r="B240" i="5"/>
  <c r="M240" i="5" s="1"/>
  <c r="J239" i="5"/>
  <c r="I239" i="5"/>
  <c r="B239" i="5"/>
  <c r="M239" i="5" s="1"/>
  <c r="M238" i="5"/>
  <c r="J238" i="5"/>
  <c r="I238" i="5"/>
  <c r="B238" i="5"/>
  <c r="L238" i="5" s="1"/>
  <c r="J237" i="5"/>
  <c r="I237" i="5"/>
  <c r="B237" i="5"/>
  <c r="M237" i="5" s="1"/>
  <c r="J236" i="5"/>
  <c r="I236" i="5"/>
  <c r="B236" i="5"/>
  <c r="M236" i="5" s="1"/>
  <c r="J235" i="5"/>
  <c r="I235" i="5"/>
  <c r="B235" i="5"/>
  <c r="M235" i="5" s="1"/>
  <c r="M234" i="5"/>
  <c r="J234" i="5"/>
  <c r="I234" i="5"/>
  <c r="B234" i="5"/>
  <c r="L234" i="5" s="1"/>
  <c r="J233" i="5"/>
  <c r="I233" i="5"/>
  <c r="B233" i="5"/>
  <c r="M233" i="5" s="1"/>
  <c r="J232" i="5"/>
  <c r="I232" i="5"/>
  <c r="B232" i="5"/>
  <c r="M232" i="5" s="1"/>
  <c r="J231" i="5"/>
  <c r="I231" i="5"/>
  <c r="B231" i="5"/>
  <c r="M231" i="5" s="1"/>
  <c r="J230" i="5"/>
  <c r="I230" i="5"/>
  <c r="B230" i="5"/>
  <c r="L230" i="5" s="1"/>
  <c r="J229" i="5"/>
  <c r="I229" i="5"/>
  <c r="B229" i="5"/>
  <c r="M229" i="5" s="1"/>
  <c r="J228" i="5"/>
  <c r="I228" i="5"/>
  <c r="B228" i="5"/>
  <c r="M228" i="5" s="1"/>
  <c r="J227" i="5"/>
  <c r="I227" i="5"/>
  <c r="B227" i="5"/>
  <c r="M227" i="5" s="1"/>
  <c r="J226" i="5"/>
  <c r="I226" i="5"/>
  <c r="B226" i="5"/>
  <c r="L226" i="5" s="1"/>
  <c r="J225" i="5"/>
  <c r="I225" i="5"/>
  <c r="B225" i="5"/>
  <c r="M225" i="5" s="1"/>
  <c r="J224" i="5"/>
  <c r="I224" i="5"/>
  <c r="B224" i="5"/>
  <c r="M224" i="5" s="1"/>
  <c r="J223" i="5"/>
  <c r="I223" i="5"/>
  <c r="B223" i="5"/>
  <c r="M223" i="5" s="1"/>
  <c r="M222" i="5"/>
  <c r="J222" i="5"/>
  <c r="I222" i="5"/>
  <c r="B222" i="5"/>
  <c r="L222" i="5" s="1"/>
  <c r="J221" i="5"/>
  <c r="I221" i="5"/>
  <c r="B221" i="5"/>
  <c r="M221" i="5" s="1"/>
  <c r="J220" i="5"/>
  <c r="I220" i="5"/>
  <c r="B220" i="5"/>
  <c r="M220" i="5" s="1"/>
  <c r="J219" i="5"/>
  <c r="I219" i="5"/>
  <c r="B219" i="5"/>
  <c r="M219" i="5" s="1"/>
  <c r="M218" i="5"/>
  <c r="J218" i="5"/>
  <c r="I218" i="5"/>
  <c r="B218" i="5"/>
  <c r="L218" i="5" s="1"/>
  <c r="J217" i="5"/>
  <c r="I217" i="5"/>
  <c r="B217" i="5"/>
  <c r="M217" i="5" s="1"/>
  <c r="J216" i="5"/>
  <c r="I216" i="5"/>
  <c r="B216" i="5"/>
  <c r="M216" i="5" s="1"/>
  <c r="J215" i="5"/>
  <c r="I215" i="5"/>
  <c r="B215" i="5"/>
  <c r="M215" i="5" s="1"/>
  <c r="J214" i="5"/>
  <c r="I214" i="5"/>
  <c r="B214" i="5"/>
  <c r="L214" i="5" s="1"/>
  <c r="J213" i="5"/>
  <c r="I213" i="5"/>
  <c r="B213" i="5"/>
  <c r="M213" i="5" s="1"/>
  <c r="J212" i="5"/>
  <c r="I212" i="5"/>
  <c r="B212" i="5"/>
  <c r="M212" i="5" s="1"/>
  <c r="J211" i="5"/>
  <c r="I211" i="5"/>
  <c r="B211" i="5"/>
  <c r="M211" i="5" s="1"/>
  <c r="J210" i="5"/>
  <c r="I210" i="5"/>
  <c r="B210" i="5"/>
  <c r="L210" i="5" s="1"/>
  <c r="J209" i="5"/>
  <c r="I209" i="5"/>
  <c r="B209" i="5"/>
  <c r="M209" i="5" s="1"/>
  <c r="J208" i="5"/>
  <c r="I208" i="5"/>
  <c r="B208" i="5"/>
  <c r="M208" i="5" s="1"/>
  <c r="J207" i="5"/>
  <c r="I207" i="5"/>
  <c r="B207" i="5"/>
  <c r="M207" i="5" s="1"/>
  <c r="M206" i="5"/>
  <c r="J206" i="5"/>
  <c r="I206" i="5"/>
  <c r="B206" i="5"/>
  <c r="L206" i="5" s="1"/>
  <c r="J205" i="5"/>
  <c r="I205" i="5"/>
  <c r="B205" i="5"/>
  <c r="M205" i="5" s="1"/>
  <c r="J204" i="5"/>
  <c r="I204" i="5"/>
  <c r="B204" i="5"/>
  <c r="M204" i="5" s="1"/>
  <c r="J203" i="5"/>
  <c r="I203" i="5"/>
  <c r="B203" i="5"/>
  <c r="M203" i="5" s="1"/>
  <c r="J202" i="5"/>
  <c r="I202" i="5"/>
  <c r="B202" i="5"/>
  <c r="L202" i="5" s="1"/>
  <c r="J201" i="5"/>
  <c r="I201" i="5"/>
  <c r="B201" i="5"/>
  <c r="M201" i="5" s="1"/>
  <c r="J200" i="5"/>
  <c r="I200" i="5"/>
  <c r="B200" i="5"/>
  <c r="M200" i="5" s="1"/>
  <c r="J199" i="5"/>
  <c r="I199" i="5"/>
  <c r="B199" i="5"/>
  <c r="M199" i="5" s="1"/>
  <c r="M198" i="5"/>
  <c r="J198" i="5"/>
  <c r="I198" i="5"/>
  <c r="B198" i="5"/>
  <c r="L198" i="5" s="1"/>
  <c r="J197" i="5"/>
  <c r="I197" i="5"/>
  <c r="B197" i="5"/>
  <c r="M197" i="5" s="1"/>
  <c r="J196" i="5"/>
  <c r="I196" i="5"/>
  <c r="B196" i="5"/>
  <c r="M196" i="5" s="1"/>
  <c r="J195" i="5"/>
  <c r="I195" i="5"/>
  <c r="B195" i="5"/>
  <c r="M195" i="5" s="1"/>
  <c r="J194" i="5"/>
  <c r="I194" i="5"/>
  <c r="B194" i="5"/>
  <c r="L194" i="5" s="1"/>
  <c r="J193" i="5"/>
  <c r="I193" i="5"/>
  <c r="B193" i="5"/>
  <c r="M193" i="5" s="1"/>
  <c r="J192" i="5"/>
  <c r="I192" i="5"/>
  <c r="B192" i="5"/>
  <c r="M192" i="5" s="1"/>
  <c r="J191" i="5"/>
  <c r="I191" i="5"/>
  <c r="B191" i="5"/>
  <c r="M191" i="5" s="1"/>
  <c r="M190" i="5"/>
  <c r="J190" i="5"/>
  <c r="I190" i="5"/>
  <c r="B190" i="5"/>
  <c r="L190" i="5" s="1"/>
  <c r="J189" i="5"/>
  <c r="I189" i="5"/>
  <c r="B189" i="5"/>
  <c r="M189" i="5" s="1"/>
  <c r="J188" i="5"/>
  <c r="I188" i="5"/>
  <c r="B188" i="5"/>
  <c r="M188" i="5" s="1"/>
  <c r="J187" i="5"/>
  <c r="I187" i="5"/>
  <c r="B187" i="5"/>
  <c r="M187" i="5" s="1"/>
  <c r="J186" i="5"/>
  <c r="I186" i="5"/>
  <c r="B186" i="5"/>
  <c r="L186" i="5" s="1"/>
  <c r="J185" i="5"/>
  <c r="I185" i="5"/>
  <c r="B185" i="5"/>
  <c r="M185" i="5" s="1"/>
  <c r="J184" i="5"/>
  <c r="I184" i="5"/>
  <c r="B184" i="5"/>
  <c r="M184" i="5" s="1"/>
  <c r="J183" i="5"/>
  <c r="I183" i="5"/>
  <c r="B183" i="5"/>
  <c r="M183" i="5" s="1"/>
  <c r="M182" i="5"/>
  <c r="J182" i="5"/>
  <c r="I182" i="5"/>
  <c r="B182" i="5"/>
  <c r="L182" i="5" s="1"/>
  <c r="J181" i="5"/>
  <c r="I181" i="5"/>
  <c r="B181" i="5"/>
  <c r="M181" i="5" s="1"/>
  <c r="J180" i="5"/>
  <c r="I180" i="5"/>
  <c r="B180" i="5"/>
  <c r="M180" i="5" s="1"/>
  <c r="J179" i="5"/>
  <c r="I179" i="5"/>
  <c r="B179" i="5"/>
  <c r="M179" i="5" s="1"/>
  <c r="J178" i="5"/>
  <c r="I178" i="5"/>
  <c r="B178" i="5"/>
  <c r="L178" i="5" s="1"/>
  <c r="J177" i="5"/>
  <c r="I177" i="5"/>
  <c r="B177" i="5"/>
  <c r="M177" i="5" s="1"/>
  <c r="J176" i="5"/>
  <c r="I176" i="5"/>
  <c r="B176" i="5"/>
  <c r="M176" i="5" s="1"/>
  <c r="J175" i="5"/>
  <c r="I175" i="5"/>
  <c r="B175" i="5"/>
  <c r="L175" i="5" s="1"/>
  <c r="J174" i="5"/>
  <c r="I174" i="5"/>
  <c r="B174" i="5"/>
  <c r="L174" i="5" s="1"/>
  <c r="J173" i="5"/>
  <c r="I173" i="5"/>
  <c r="B173" i="5"/>
  <c r="J172" i="5"/>
  <c r="I172" i="5"/>
  <c r="B172" i="5"/>
  <c r="M172" i="5" s="1"/>
  <c r="J171" i="5"/>
  <c r="I171" i="5"/>
  <c r="B171" i="5"/>
  <c r="L171" i="5" s="1"/>
  <c r="J170" i="5"/>
  <c r="I170" i="5"/>
  <c r="B170" i="5"/>
  <c r="J169" i="5"/>
  <c r="I169" i="5"/>
  <c r="B169" i="5"/>
  <c r="M169" i="5" s="1"/>
  <c r="J168" i="5"/>
  <c r="I168" i="5"/>
  <c r="B168" i="5"/>
  <c r="J167" i="5"/>
  <c r="I167" i="5"/>
  <c r="B167" i="5"/>
  <c r="M166" i="5"/>
  <c r="J166" i="5"/>
  <c r="I166" i="5"/>
  <c r="B166" i="5"/>
  <c r="L166" i="5" s="1"/>
  <c r="J165" i="5"/>
  <c r="I165" i="5"/>
  <c r="B165" i="5"/>
  <c r="M165" i="5" s="1"/>
  <c r="J164" i="5"/>
  <c r="I164" i="5"/>
  <c r="B164" i="5"/>
  <c r="M164" i="5" s="1"/>
  <c r="L163" i="5"/>
  <c r="J163" i="5"/>
  <c r="I163" i="5"/>
  <c r="B163" i="5"/>
  <c r="J162" i="5"/>
  <c r="I162" i="5"/>
  <c r="B162" i="5"/>
  <c r="L162" i="5" s="1"/>
  <c r="J161" i="5"/>
  <c r="I161" i="5"/>
  <c r="B161" i="5"/>
  <c r="M161" i="5" s="1"/>
  <c r="J160" i="5"/>
  <c r="I160" i="5"/>
  <c r="B160" i="5"/>
  <c r="M160" i="5" s="1"/>
  <c r="J159" i="5"/>
  <c r="I159" i="5"/>
  <c r="B159" i="5"/>
  <c r="L159" i="5" s="1"/>
  <c r="J158" i="5"/>
  <c r="I158" i="5"/>
  <c r="B158" i="5"/>
  <c r="M158" i="5" s="1"/>
  <c r="J157" i="5"/>
  <c r="I157" i="5"/>
  <c r="B157" i="5"/>
  <c r="J156" i="5"/>
  <c r="I156" i="5"/>
  <c r="B156" i="5"/>
  <c r="M156" i="5" s="1"/>
  <c r="J155" i="5"/>
  <c r="I155" i="5"/>
  <c r="B155" i="5"/>
  <c r="L155" i="5" s="1"/>
  <c r="M154" i="5"/>
  <c r="J154" i="5"/>
  <c r="I154" i="5"/>
  <c r="B154" i="5"/>
  <c r="L154" i="5" s="1"/>
  <c r="M153" i="5"/>
  <c r="J153" i="5"/>
  <c r="I153" i="5"/>
  <c r="B153" i="5"/>
  <c r="J152" i="5"/>
  <c r="I152" i="5"/>
  <c r="B152" i="5"/>
  <c r="M152" i="5" s="1"/>
  <c r="J151" i="5"/>
  <c r="I151" i="5"/>
  <c r="B151" i="5"/>
  <c r="M150" i="5"/>
  <c r="J150" i="5"/>
  <c r="I150" i="5"/>
  <c r="B150" i="5"/>
  <c r="L150" i="5" s="1"/>
  <c r="J149" i="5"/>
  <c r="I149" i="5"/>
  <c r="B149" i="5"/>
  <c r="M149" i="5" s="1"/>
  <c r="J148" i="5"/>
  <c r="I148" i="5"/>
  <c r="B148" i="5"/>
  <c r="M148" i="5" s="1"/>
  <c r="L147" i="5"/>
  <c r="J147" i="5"/>
  <c r="I147" i="5"/>
  <c r="B147" i="5"/>
  <c r="M146" i="5"/>
  <c r="J146" i="5"/>
  <c r="I146" i="5"/>
  <c r="B146" i="5"/>
  <c r="J145" i="5"/>
  <c r="I145" i="5"/>
  <c r="B145" i="5"/>
  <c r="M145" i="5" s="1"/>
  <c r="J144" i="5"/>
  <c r="I144" i="5"/>
  <c r="B144" i="5"/>
  <c r="M144" i="5" s="1"/>
  <c r="J143" i="5"/>
  <c r="I143" i="5"/>
  <c r="B143" i="5"/>
  <c r="L143" i="5" s="1"/>
  <c r="J142" i="5"/>
  <c r="I142" i="5"/>
  <c r="B142" i="5"/>
  <c r="L142" i="5" s="1"/>
  <c r="J141" i="5"/>
  <c r="I141" i="5"/>
  <c r="B141" i="5"/>
  <c r="J140" i="5"/>
  <c r="I140" i="5"/>
  <c r="B140" i="5"/>
  <c r="M140" i="5" s="1"/>
  <c r="J139" i="5"/>
  <c r="I139" i="5"/>
  <c r="B139" i="5"/>
  <c r="L139" i="5" s="1"/>
  <c r="J138" i="5"/>
  <c r="I138" i="5"/>
  <c r="B138" i="5"/>
  <c r="J137" i="5"/>
  <c r="I137" i="5"/>
  <c r="B137" i="5"/>
  <c r="M137" i="5" s="1"/>
  <c r="J136" i="5"/>
  <c r="I136" i="5"/>
  <c r="B136" i="5"/>
  <c r="M136" i="5" s="1"/>
  <c r="J135" i="5"/>
  <c r="I135" i="5"/>
  <c r="B135" i="5"/>
  <c r="L135" i="5" s="1"/>
  <c r="M134" i="5"/>
  <c r="J134" i="5"/>
  <c r="I134" i="5"/>
  <c r="B134" i="5"/>
  <c r="L134" i="5" s="1"/>
  <c r="M133" i="5"/>
  <c r="J133" i="5"/>
  <c r="I133" i="5"/>
  <c r="B133" i="5"/>
  <c r="J132" i="5"/>
  <c r="I132" i="5"/>
  <c r="B132" i="5"/>
  <c r="M132" i="5" s="1"/>
  <c r="J131" i="5"/>
  <c r="I131" i="5"/>
  <c r="B131" i="5"/>
  <c r="L131" i="5" s="1"/>
  <c r="J130" i="5"/>
  <c r="I130" i="5"/>
  <c r="B130" i="5"/>
  <c r="J129" i="5"/>
  <c r="I129" i="5"/>
  <c r="B129" i="5"/>
  <c r="M129" i="5" s="1"/>
  <c r="J128" i="5"/>
  <c r="I128" i="5"/>
  <c r="B128" i="5"/>
  <c r="M128" i="5" s="1"/>
  <c r="J127" i="5"/>
  <c r="I127" i="5"/>
  <c r="B127" i="5"/>
  <c r="L127" i="5" s="1"/>
  <c r="M126" i="5"/>
  <c r="J126" i="5"/>
  <c r="I126" i="5"/>
  <c r="B126" i="5"/>
  <c r="L126" i="5" s="1"/>
  <c r="M125" i="5"/>
  <c r="J125" i="5"/>
  <c r="I125" i="5"/>
  <c r="B125" i="5"/>
  <c r="J124" i="5"/>
  <c r="I124" i="5"/>
  <c r="B124" i="5"/>
  <c r="M124" i="5" s="1"/>
  <c r="J123" i="5"/>
  <c r="I123" i="5"/>
  <c r="B123" i="5"/>
  <c r="L123" i="5" s="1"/>
  <c r="J122" i="5"/>
  <c r="I122" i="5"/>
  <c r="B122" i="5"/>
  <c r="J121" i="5"/>
  <c r="I121" i="5"/>
  <c r="B121" i="5"/>
  <c r="M121" i="5" s="1"/>
  <c r="J120" i="5"/>
  <c r="I120" i="5"/>
  <c r="B120" i="5"/>
  <c r="M120" i="5" s="1"/>
  <c r="J119" i="5"/>
  <c r="I119" i="5"/>
  <c r="B119" i="5"/>
  <c r="L119" i="5" s="1"/>
  <c r="M118" i="5"/>
  <c r="J118" i="5"/>
  <c r="I118" i="5"/>
  <c r="B118" i="5"/>
  <c r="L118" i="5" s="1"/>
  <c r="M117" i="5"/>
  <c r="J117" i="5"/>
  <c r="I117" i="5"/>
  <c r="B117" i="5"/>
  <c r="J116" i="5"/>
  <c r="I116" i="5"/>
  <c r="B116" i="5"/>
  <c r="M116" i="5" s="1"/>
  <c r="J115" i="5"/>
  <c r="I115" i="5"/>
  <c r="B115" i="5"/>
  <c r="L115" i="5" s="1"/>
  <c r="J114" i="5"/>
  <c r="I114" i="5"/>
  <c r="B114" i="5"/>
  <c r="J113" i="5"/>
  <c r="I113" i="5"/>
  <c r="B113" i="5"/>
  <c r="M113" i="5" s="1"/>
  <c r="J112" i="5"/>
  <c r="I112" i="5"/>
  <c r="B112" i="5"/>
  <c r="M112" i="5" s="1"/>
  <c r="J111" i="5"/>
  <c r="I111" i="5"/>
  <c r="B111" i="5"/>
  <c r="L111" i="5" s="1"/>
  <c r="J110" i="5"/>
  <c r="I110" i="5"/>
  <c r="B110" i="5"/>
  <c r="L110" i="5" s="1"/>
  <c r="J109" i="5"/>
  <c r="I109" i="5"/>
  <c r="B109" i="5"/>
  <c r="M109" i="5" s="1"/>
  <c r="J108" i="5"/>
  <c r="I108" i="5"/>
  <c r="B108" i="5"/>
  <c r="M108" i="5" s="1"/>
  <c r="J107" i="5"/>
  <c r="I107" i="5"/>
  <c r="B107" i="5"/>
  <c r="L107" i="5" s="1"/>
  <c r="J106" i="5"/>
  <c r="I106" i="5"/>
  <c r="B106" i="5"/>
  <c r="J105" i="5"/>
  <c r="I105" i="5"/>
  <c r="B105" i="5"/>
  <c r="M105" i="5" s="1"/>
  <c r="J104" i="5"/>
  <c r="I104" i="5"/>
  <c r="B104" i="5"/>
  <c r="M104" i="5" s="1"/>
  <c r="J103" i="5"/>
  <c r="I103" i="5"/>
  <c r="B103" i="5"/>
  <c r="L103" i="5" s="1"/>
  <c r="M102" i="5"/>
  <c r="J102" i="5"/>
  <c r="I102" i="5"/>
  <c r="B102" i="5"/>
  <c r="L102" i="5" s="1"/>
  <c r="M101" i="5"/>
  <c r="J101" i="5"/>
  <c r="I101" i="5"/>
  <c r="B101" i="5"/>
  <c r="J100" i="5"/>
  <c r="I100" i="5"/>
  <c r="B100" i="5"/>
  <c r="M100" i="5" s="1"/>
  <c r="J99" i="5"/>
  <c r="I99" i="5"/>
  <c r="B99" i="5"/>
  <c r="L99" i="5" s="1"/>
  <c r="J98" i="5"/>
  <c r="I98" i="5"/>
  <c r="B98" i="5"/>
  <c r="J97" i="5"/>
  <c r="I97" i="5"/>
  <c r="B97" i="5"/>
  <c r="M97" i="5" s="1"/>
  <c r="J96" i="5"/>
  <c r="I96" i="5"/>
  <c r="B96" i="5"/>
  <c r="M96" i="5" s="1"/>
  <c r="J95" i="5"/>
  <c r="I95" i="5"/>
  <c r="B95" i="5"/>
  <c r="L95" i="5" s="1"/>
  <c r="J94" i="5"/>
  <c r="I94" i="5"/>
  <c r="B94" i="5"/>
  <c r="L94" i="5" s="1"/>
  <c r="J93" i="5"/>
  <c r="I93" i="5"/>
  <c r="B93" i="5"/>
  <c r="M93" i="5" s="1"/>
  <c r="J92" i="5"/>
  <c r="I92" i="5"/>
  <c r="B92" i="5"/>
  <c r="M92" i="5" s="1"/>
  <c r="J91" i="5"/>
  <c r="I91" i="5"/>
  <c r="B91" i="5"/>
  <c r="L91" i="5" s="1"/>
  <c r="J90" i="5"/>
  <c r="I90" i="5"/>
  <c r="B90" i="5"/>
  <c r="J89" i="5"/>
  <c r="I89" i="5"/>
  <c r="B89" i="5"/>
  <c r="M89" i="5" s="1"/>
  <c r="J88" i="5"/>
  <c r="I88" i="5"/>
  <c r="B88" i="5"/>
  <c r="M88" i="5" s="1"/>
  <c r="J87" i="5"/>
  <c r="I87" i="5"/>
  <c r="B87" i="5"/>
  <c r="L87" i="5" s="1"/>
  <c r="M86" i="5"/>
  <c r="J86" i="5"/>
  <c r="I86" i="5"/>
  <c r="B86" i="5"/>
  <c r="L86" i="5" s="1"/>
  <c r="M85" i="5"/>
  <c r="J85" i="5"/>
  <c r="I85" i="5"/>
  <c r="B85" i="5"/>
  <c r="J84" i="5"/>
  <c r="I84" i="5"/>
  <c r="B84" i="5"/>
  <c r="M84" i="5" s="1"/>
  <c r="J83" i="5"/>
  <c r="I83" i="5"/>
  <c r="B83" i="5"/>
  <c r="L83" i="5" s="1"/>
  <c r="J82" i="5"/>
  <c r="I82" i="5"/>
  <c r="B82" i="5"/>
  <c r="J81" i="5"/>
  <c r="I81" i="5"/>
  <c r="B81" i="5"/>
  <c r="M81" i="5" s="1"/>
  <c r="J80" i="5"/>
  <c r="I80" i="5"/>
  <c r="B80" i="5"/>
  <c r="M80" i="5" s="1"/>
  <c r="J79" i="5"/>
  <c r="I79" i="5"/>
  <c r="B79" i="5"/>
  <c r="L79" i="5" s="1"/>
  <c r="M78" i="5"/>
  <c r="J78" i="5"/>
  <c r="I78" i="5"/>
  <c r="B78" i="5"/>
  <c r="L78" i="5" s="1"/>
  <c r="M77" i="5"/>
  <c r="J77" i="5"/>
  <c r="I77" i="5"/>
  <c r="B77" i="5"/>
  <c r="J76" i="5"/>
  <c r="I76" i="5"/>
  <c r="B76" i="5"/>
  <c r="M76" i="5" s="1"/>
  <c r="J75" i="5"/>
  <c r="I75" i="5"/>
  <c r="B75" i="5"/>
  <c r="L75" i="5" s="1"/>
  <c r="J74" i="5"/>
  <c r="I74" i="5"/>
  <c r="B74" i="5"/>
  <c r="L74" i="5" s="1"/>
  <c r="J73" i="5"/>
  <c r="I73" i="5"/>
  <c r="B73" i="5"/>
  <c r="M73" i="5" s="1"/>
  <c r="J72" i="5"/>
  <c r="I72" i="5"/>
  <c r="B72" i="5"/>
  <c r="M72" i="5" s="1"/>
  <c r="J71" i="5"/>
  <c r="I71" i="5"/>
  <c r="B71" i="5"/>
  <c r="L71" i="5" s="1"/>
  <c r="M70" i="5"/>
  <c r="J70" i="5"/>
  <c r="I70" i="5"/>
  <c r="B70" i="5"/>
  <c r="L70" i="5" s="1"/>
  <c r="M69" i="5"/>
  <c r="J69" i="5"/>
  <c r="I69" i="5"/>
  <c r="B69" i="5"/>
  <c r="J68" i="5"/>
  <c r="I68" i="5"/>
  <c r="B68" i="5"/>
  <c r="M68" i="5" s="1"/>
  <c r="J67" i="5"/>
  <c r="I67" i="5"/>
  <c r="B67" i="5"/>
  <c r="L67" i="5" s="1"/>
  <c r="J66" i="5"/>
  <c r="I66" i="5"/>
  <c r="B66" i="5"/>
  <c r="L66" i="5" s="1"/>
  <c r="J65" i="5"/>
  <c r="I65" i="5"/>
  <c r="B65" i="5"/>
  <c r="M65" i="5" s="1"/>
  <c r="J64" i="5"/>
  <c r="I64" i="5"/>
  <c r="B64" i="5"/>
  <c r="M64" i="5" s="1"/>
  <c r="J63" i="5"/>
  <c r="I63" i="5"/>
  <c r="B63" i="5"/>
  <c r="L63" i="5" s="1"/>
  <c r="M62" i="5"/>
  <c r="J62" i="5"/>
  <c r="I62" i="5"/>
  <c r="B62" i="5"/>
  <c r="L62" i="5" s="1"/>
  <c r="M61" i="5"/>
  <c r="J61" i="5"/>
  <c r="I61" i="5"/>
  <c r="B61" i="5"/>
  <c r="J60" i="5"/>
  <c r="I60" i="5"/>
  <c r="B60" i="5"/>
  <c r="M60" i="5" s="1"/>
  <c r="J59" i="5"/>
  <c r="I59" i="5"/>
  <c r="B59" i="5"/>
  <c r="L59" i="5" s="1"/>
  <c r="J58" i="5"/>
  <c r="I58" i="5"/>
  <c r="B58" i="5"/>
  <c r="L58" i="5" s="1"/>
  <c r="J57" i="5"/>
  <c r="I57" i="5"/>
  <c r="B57" i="5"/>
  <c r="M57" i="5" s="1"/>
  <c r="J56" i="5"/>
  <c r="I56" i="5"/>
  <c r="B56" i="5"/>
  <c r="M56" i="5" s="1"/>
  <c r="J55" i="5"/>
  <c r="I55" i="5"/>
  <c r="B55" i="5"/>
  <c r="L55" i="5" s="1"/>
  <c r="M54" i="5"/>
  <c r="J54" i="5"/>
  <c r="I54" i="5"/>
  <c r="B54" i="5"/>
  <c r="L54" i="5" s="1"/>
  <c r="M53" i="5"/>
  <c r="J53" i="5"/>
  <c r="I53" i="5"/>
  <c r="B53" i="5"/>
  <c r="J52" i="5"/>
  <c r="I52" i="5"/>
  <c r="B52" i="5"/>
  <c r="M52" i="5" s="1"/>
  <c r="J51" i="5"/>
  <c r="I51" i="5"/>
  <c r="B51" i="5"/>
  <c r="L51" i="5" s="1"/>
  <c r="J50" i="5"/>
  <c r="I50" i="5"/>
  <c r="B50" i="5"/>
  <c r="L50" i="5" s="1"/>
  <c r="J49" i="5"/>
  <c r="I49" i="5"/>
  <c r="B49" i="5"/>
  <c r="M49" i="5" s="1"/>
  <c r="J48" i="5"/>
  <c r="I48" i="5"/>
  <c r="B48" i="5"/>
  <c r="M48" i="5" s="1"/>
  <c r="J47" i="5"/>
  <c r="I47" i="5"/>
  <c r="B47" i="5"/>
  <c r="L47" i="5" s="1"/>
  <c r="M46" i="5"/>
  <c r="J46" i="5"/>
  <c r="I46" i="5"/>
  <c r="B46" i="5"/>
  <c r="L46" i="5" s="1"/>
  <c r="M45" i="5"/>
  <c r="J45" i="5"/>
  <c r="I45" i="5"/>
  <c r="B45" i="5"/>
  <c r="L44" i="5"/>
  <c r="J44" i="5"/>
  <c r="I44" i="5"/>
  <c r="B44" i="5"/>
  <c r="M44" i="5" s="1"/>
  <c r="J43" i="5"/>
  <c r="I43" i="5"/>
  <c r="B43" i="5"/>
  <c r="L43" i="5" s="1"/>
  <c r="J42" i="5"/>
  <c r="I42" i="5"/>
  <c r="B42" i="5"/>
  <c r="L42" i="5" s="1"/>
  <c r="J41" i="5"/>
  <c r="I41" i="5"/>
  <c r="B41" i="5"/>
  <c r="M41" i="5" s="1"/>
  <c r="J40" i="5"/>
  <c r="I40" i="5"/>
  <c r="B40" i="5"/>
  <c r="M40" i="5" s="1"/>
  <c r="J39" i="5"/>
  <c r="I39" i="5"/>
  <c r="B39" i="5"/>
  <c r="L39" i="5" s="1"/>
  <c r="M38" i="5"/>
  <c r="J38" i="5"/>
  <c r="I38" i="5"/>
  <c r="B38" i="5"/>
  <c r="L38" i="5" s="1"/>
  <c r="M37" i="5"/>
  <c r="J37" i="5"/>
  <c r="I37" i="5"/>
  <c r="B37" i="5"/>
  <c r="J36" i="5"/>
  <c r="I36" i="5"/>
  <c r="B36" i="5"/>
  <c r="M36" i="5" s="1"/>
  <c r="M35" i="5"/>
  <c r="J35" i="5"/>
  <c r="I35" i="5"/>
  <c r="B35" i="5"/>
  <c r="L35" i="5" s="1"/>
  <c r="J34" i="5"/>
  <c r="I34" i="5"/>
  <c r="B34" i="5"/>
  <c r="J33" i="5"/>
  <c r="I33" i="5"/>
  <c r="B33" i="5"/>
  <c r="L33" i="5" s="1"/>
  <c r="J32" i="5"/>
  <c r="I32" i="5"/>
  <c r="B32" i="5"/>
  <c r="M32" i="5" s="1"/>
  <c r="J31" i="5"/>
  <c r="I31" i="5"/>
  <c r="B31" i="5"/>
  <c r="L31" i="5" s="1"/>
  <c r="J30" i="5"/>
  <c r="I30" i="5"/>
  <c r="B30" i="5"/>
  <c r="J29" i="5"/>
  <c r="I29" i="5"/>
  <c r="B29" i="5"/>
  <c r="L29" i="5" s="1"/>
  <c r="J28" i="5"/>
  <c r="I28" i="5"/>
  <c r="B28" i="5"/>
  <c r="M28" i="5" s="1"/>
  <c r="M27" i="5"/>
  <c r="J27" i="5"/>
  <c r="I27" i="5"/>
  <c r="B27" i="5"/>
  <c r="L27" i="5" s="1"/>
  <c r="J26" i="5"/>
  <c r="I26" i="5"/>
  <c r="B26" i="5"/>
  <c r="M25" i="5"/>
  <c r="J25" i="5"/>
  <c r="I25" i="5"/>
  <c r="B25" i="5"/>
  <c r="L25" i="5" s="1"/>
  <c r="J24" i="5"/>
  <c r="I24" i="5"/>
  <c r="B24" i="5"/>
  <c r="M24" i="5" s="1"/>
  <c r="J23" i="5"/>
  <c r="I23" i="5"/>
  <c r="B23" i="5"/>
  <c r="L23" i="5" s="1"/>
  <c r="J22" i="5"/>
  <c r="I22" i="5"/>
  <c r="B22" i="5"/>
  <c r="J21" i="5"/>
  <c r="I21" i="5"/>
  <c r="B21" i="5"/>
  <c r="L21" i="5" s="1"/>
  <c r="J20" i="5"/>
  <c r="I20" i="5"/>
  <c r="B20" i="5"/>
  <c r="M20" i="5" s="1"/>
  <c r="M19" i="5"/>
  <c r="J19" i="5"/>
  <c r="I19" i="5"/>
  <c r="B19" i="5"/>
  <c r="L19" i="5" s="1"/>
  <c r="J18" i="5"/>
  <c r="I18" i="5"/>
  <c r="B18" i="5"/>
  <c r="M17" i="5"/>
  <c r="J17" i="5"/>
  <c r="I17" i="5"/>
  <c r="B17" i="5"/>
  <c r="L17" i="5" s="1"/>
  <c r="J16" i="5"/>
  <c r="I16" i="5"/>
  <c r="B16" i="5"/>
  <c r="M16" i="5" s="1"/>
  <c r="J15" i="5"/>
  <c r="I15" i="5"/>
  <c r="B15" i="5"/>
  <c r="L15" i="5" s="1"/>
  <c r="J14" i="5"/>
  <c r="I14" i="5"/>
  <c r="B14" i="5"/>
  <c r="J13" i="5"/>
  <c r="I13" i="5"/>
  <c r="B13" i="5"/>
  <c r="L13" i="5" s="1"/>
  <c r="J12" i="5"/>
  <c r="I12" i="5"/>
  <c r="B12" i="5"/>
  <c r="L12" i="5" s="1"/>
  <c r="J11" i="5"/>
  <c r="I11" i="5"/>
  <c r="B11" i="5"/>
  <c r="J10" i="5"/>
  <c r="I10" i="5"/>
  <c r="B10" i="5"/>
  <c r="L9" i="5"/>
  <c r="J9" i="5"/>
  <c r="I9" i="5"/>
  <c r="B9" i="5"/>
  <c r="L8" i="5"/>
  <c r="J8" i="5"/>
  <c r="I8" i="5"/>
  <c r="B8" i="5"/>
  <c r="J7" i="5"/>
  <c r="I7" i="5"/>
  <c r="B7" i="5"/>
  <c r="J6" i="5"/>
  <c r="I6" i="5"/>
  <c r="B6" i="5"/>
  <c r="J5" i="5"/>
  <c r="I5" i="5"/>
  <c r="B5" i="5"/>
  <c r="L5" i="5" s="1"/>
  <c r="J4" i="5"/>
  <c r="I4" i="5"/>
  <c r="B4" i="5"/>
  <c r="L4" i="5" s="1"/>
  <c r="S3" i="5"/>
  <c r="P3" i="5"/>
  <c r="P4" i="5" s="1"/>
  <c r="W4" i="5" s="1"/>
  <c r="L3" i="5"/>
  <c r="AA3" i="5" s="1"/>
  <c r="J3" i="5"/>
  <c r="I3" i="5"/>
  <c r="B3" i="5"/>
  <c r="Y2" i="5"/>
  <c r="W2" i="5"/>
  <c r="V2" i="5"/>
  <c r="U2" i="5"/>
  <c r="T2" i="5"/>
  <c r="S2" i="5"/>
  <c r="R2" i="5"/>
  <c r="M2" i="5"/>
  <c r="AB2" i="5" s="1"/>
  <c r="J2" i="5"/>
  <c r="I2" i="5"/>
  <c r="X2" i="5" s="1"/>
  <c r="B2" i="5"/>
  <c r="L2" i="5" s="1"/>
  <c r="AA2" i="5" s="1"/>
  <c r="N66" i="4"/>
  <c r="L66" i="4"/>
  <c r="K66" i="4"/>
  <c r="J66" i="4"/>
  <c r="G66" i="4"/>
  <c r="N19" i="4"/>
  <c r="K19" i="4"/>
  <c r="F19" i="4"/>
  <c r="N14" i="4"/>
  <c r="F14" i="4"/>
  <c r="H11" i="4"/>
  <c r="G6" i="4"/>
  <c r="O5" i="4"/>
  <c r="G4" i="4"/>
  <c r="N66" i="3"/>
  <c r="L66" i="3"/>
  <c r="K66" i="3"/>
  <c r="J66" i="3"/>
  <c r="G66" i="3"/>
  <c r="N19" i="3"/>
  <c r="K19" i="3"/>
  <c r="F19" i="3"/>
  <c r="N14" i="3"/>
  <c r="F14" i="3"/>
  <c r="H11" i="3"/>
  <c r="G6" i="3"/>
  <c r="O5" i="3"/>
  <c r="G4" i="3"/>
  <c r="N66" i="2"/>
  <c r="L66" i="2"/>
  <c r="K66" i="2"/>
  <c r="J66" i="2"/>
  <c r="G66" i="2"/>
  <c r="N19" i="2"/>
  <c r="J19" i="2"/>
  <c r="H19" i="2" s="1"/>
  <c r="F19" i="2"/>
  <c r="N14" i="2"/>
  <c r="F14" i="2"/>
  <c r="H11" i="2"/>
  <c r="G6" i="2"/>
  <c r="O5" i="2"/>
  <c r="G4" i="2"/>
  <c r="L19" i="2"/>
  <c r="L19" i="3"/>
  <c r="L19" i="4"/>
  <c r="K19" i="2" l="1"/>
  <c r="K267" i="5"/>
  <c r="K172" i="5"/>
  <c r="K140" i="5"/>
  <c r="K612" i="5"/>
  <c r="K604" i="5"/>
  <c r="K588" i="5"/>
  <c r="K572" i="5"/>
  <c r="K556" i="5"/>
  <c r="K540" i="5"/>
  <c r="K527" i="5"/>
  <c r="K511" i="5"/>
  <c r="K495" i="5"/>
  <c r="K479" i="5"/>
  <c r="K463" i="5"/>
  <c r="K447" i="5"/>
  <c r="K251" i="5"/>
  <c r="K207" i="5"/>
  <c r="K199" i="5"/>
  <c r="K616" i="5"/>
  <c r="K608" i="5"/>
  <c r="K592" i="5"/>
  <c r="K576" i="5"/>
  <c r="K560" i="5"/>
  <c r="K544" i="5"/>
  <c r="K515" i="5"/>
  <c r="K499" i="5"/>
  <c r="K483" i="5"/>
  <c r="K467" i="5"/>
  <c r="K451" i="5"/>
  <c r="K6" i="5"/>
  <c r="K14" i="5"/>
  <c r="K22" i="5"/>
  <c r="K30" i="5"/>
  <c r="L82" i="5"/>
  <c r="M82" i="5"/>
  <c r="L98" i="5"/>
  <c r="M98" i="5"/>
  <c r="L114" i="5"/>
  <c r="M114" i="5"/>
  <c r="L130" i="5"/>
  <c r="M130" i="5"/>
  <c r="M168" i="5"/>
  <c r="K168" i="5"/>
  <c r="K191" i="5"/>
  <c r="I5" i="2"/>
  <c r="E7" i="2" s="1"/>
  <c r="Q2" i="5"/>
  <c r="U3" i="5"/>
  <c r="K11" i="5"/>
  <c r="K142" i="5"/>
  <c r="K174" i="5"/>
  <c r="Q3" i="5"/>
  <c r="V3" i="5"/>
  <c r="K10" i="5"/>
  <c r="M15" i="5"/>
  <c r="K18" i="5"/>
  <c r="M23" i="5"/>
  <c r="K26" i="5"/>
  <c r="M33" i="5"/>
  <c r="M42" i="5"/>
  <c r="L90" i="5"/>
  <c r="M90" i="5"/>
  <c r="M94" i="5"/>
  <c r="L106" i="5"/>
  <c r="M106" i="5"/>
  <c r="M110" i="5"/>
  <c r="L122" i="5"/>
  <c r="M122" i="5"/>
  <c r="L138" i="5"/>
  <c r="M138" i="5"/>
  <c r="K156" i="5"/>
  <c r="L158" i="5"/>
  <c r="K158" i="5"/>
  <c r="N158" i="5" s="1"/>
  <c r="K162" i="5"/>
  <c r="L170" i="5"/>
  <c r="M170" i="5"/>
  <c r="K183" i="5"/>
  <c r="Y3" i="5"/>
  <c r="R3" i="5"/>
  <c r="W3" i="5"/>
  <c r="K7" i="5"/>
  <c r="M21" i="5"/>
  <c r="M29" i="5"/>
  <c r="M30" i="5"/>
  <c r="M31" i="5"/>
  <c r="K34" i="5"/>
  <c r="M50" i="5"/>
  <c r="M58" i="5"/>
  <c r="M66" i="5"/>
  <c r="M74" i="5"/>
  <c r="L146" i="5"/>
  <c r="K146" i="5"/>
  <c r="K152" i="5"/>
  <c r="M214" i="5"/>
  <c r="M230" i="5"/>
  <c r="M246" i="5"/>
  <c r="M258" i="5"/>
  <c r="M270" i="5"/>
  <c r="M322" i="5"/>
  <c r="K323" i="5"/>
  <c r="M338" i="5"/>
  <c r="M354" i="5"/>
  <c r="M370" i="5"/>
  <c r="M386" i="5"/>
  <c r="L610" i="5"/>
  <c r="M610" i="5"/>
  <c r="L626" i="5"/>
  <c r="M626" i="5"/>
  <c r="L653" i="5"/>
  <c r="M653" i="5"/>
  <c r="M142" i="5"/>
  <c r="M162" i="5"/>
  <c r="M174" i="5"/>
  <c r="M314" i="5"/>
  <c r="M326" i="5"/>
  <c r="M342" i="5"/>
  <c r="M358" i="5"/>
  <c r="M374" i="5"/>
  <c r="M390" i="5"/>
  <c r="M406" i="5"/>
  <c r="M422" i="5"/>
  <c r="M442" i="5"/>
  <c r="K443" i="5"/>
  <c r="M458" i="5"/>
  <c r="K459" i="5"/>
  <c r="M474" i="5"/>
  <c r="K475" i="5"/>
  <c r="M490" i="5"/>
  <c r="K491" i="5"/>
  <c r="M506" i="5"/>
  <c r="K507" i="5"/>
  <c r="M522" i="5"/>
  <c r="K523" i="5"/>
  <c r="K536" i="5"/>
  <c r="M538" i="5"/>
  <c r="K552" i="5"/>
  <c r="M554" i="5"/>
  <c r="K568" i="5"/>
  <c r="M570" i="5"/>
  <c r="K584" i="5"/>
  <c r="M586" i="5"/>
  <c r="K600" i="5"/>
  <c r="M602" i="5"/>
  <c r="L629" i="5"/>
  <c r="M629" i="5"/>
  <c r="L633" i="5"/>
  <c r="M633" i="5"/>
  <c r="L637" i="5"/>
  <c r="M637" i="5"/>
  <c r="L641" i="5"/>
  <c r="M641" i="5"/>
  <c r="L645" i="5"/>
  <c r="M645" i="5"/>
  <c r="M178" i="5"/>
  <c r="K179" i="5"/>
  <c r="M186" i="5"/>
  <c r="K187" i="5"/>
  <c r="M194" i="5"/>
  <c r="K195" i="5"/>
  <c r="M202" i="5"/>
  <c r="K203" i="5"/>
  <c r="M210" i="5"/>
  <c r="M226" i="5"/>
  <c r="M242" i="5"/>
  <c r="M254" i="5"/>
  <c r="M282" i="5"/>
  <c r="K283" i="5"/>
  <c r="M290" i="5"/>
  <c r="M298" i="5"/>
  <c r="M306" i="5"/>
  <c r="M318" i="5"/>
  <c r="M330" i="5"/>
  <c r="M346" i="5"/>
  <c r="M362" i="5"/>
  <c r="M378" i="5"/>
  <c r="M394" i="5"/>
  <c r="M410" i="5"/>
  <c r="M426" i="5"/>
  <c r="M438" i="5"/>
  <c r="K439" i="5"/>
  <c r="M454" i="5"/>
  <c r="K455" i="5"/>
  <c r="M470" i="5"/>
  <c r="K471" i="5"/>
  <c r="M486" i="5"/>
  <c r="K487" i="5"/>
  <c r="M502" i="5"/>
  <c r="K503" i="5"/>
  <c r="M518" i="5"/>
  <c r="K519" i="5"/>
  <c r="K532" i="5"/>
  <c r="M534" i="5"/>
  <c r="K548" i="5"/>
  <c r="M550" i="5"/>
  <c r="K564" i="5"/>
  <c r="M566" i="5"/>
  <c r="K580" i="5"/>
  <c r="M582" i="5"/>
  <c r="K596" i="5"/>
  <c r="M598" i="5"/>
  <c r="K620" i="5"/>
  <c r="M622" i="5"/>
  <c r="M624" i="5"/>
  <c r="K624" i="5"/>
  <c r="L669" i="5"/>
  <c r="M669" i="5"/>
  <c r="M661" i="5"/>
  <c r="M677" i="5"/>
  <c r="M689" i="5"/>
  <c r="M708" i="5"/>
  <c r="M709" i="5"/>
  <c r="M734" i="5"/>
  <c r="M746" i="5"/>
  <c r="M762" i="5"/>
  <c r="M782" i="5"/>
  <c r="M798" i="5"/>
  <c r="M821" i="5"/>
  <c r="M853" i="5"/>
  <c r="M877" i="5"/>
  <c r="M879" i="5"/>
  <c r="M895" i="5"/>
  <c r="M927" i="5"/>
  <c r="M931" i="5"/>
  <c r="M935" i="5"/>
  <c r="M939" i="5"/>
  <c r="M943" i="5"/>
  <c r="M947" i="5"/>
  <c r="M951" i="5"/>
  <c r="M955" i="5"/>
  <c r="M959" i="5"/>
  <c r="M963" i="5"/>
  <c r="M967" i="5"/>
  <c r="M971" i="5"/>
  <c r="M683" i="5"/>
  <c r="M685" i="5"/>
  <c r="M695" i="5"/>
  <c r="M697" i="5"/>
  <c r="M699" i="5"/>
  <c r="M701" i="5"/>
  <c r="M704" i="5"/>
  <c r="M705" i="5"/>
  <c r="M712" i="5"/>
  <c r="M713" i="5"/>
  <c r="M718" i="5"/>
  <c r="M730" i="5"/>
  <c r="M754" i="5"/>
  <c r="M790" i="5"/>
  <c r="M806" i="5"/>
  <c r="M817" i="5"/>
  <c r="M837" i="5"/>
  <c r="M869" i="5"/>
  <c r="M871" i="5"/>
  <c r="M885" i="5"/>
  <c r="M887" i="5"/>
  <c r="M19" i="4"/>
  <c r="D5" i="4" s="1"/>
  <c r="M19" i="3"/>
  <c r="D5" i="3" s="1"/>
  <c r="H13" i="1" s="1"/>
  <c r="M19" i="2"/>
  <c r="I19" i="2" s="1"/>
  <c r="H14" i="1"/>
  <c r="V4" i="5"/>
  <c r="K141" i="5"/>
  <c r="L141" i="5"/>
  <c r="M167" i="5"/>
  <c r="K167" i="5"/>
  <c r="K173" i="5"/>
  <c r="L173" i="5"/>
  <c r="K357" i="5"/>
  <c r="L357" i="5"/>
  <c r="M357" i="5"/>
  <c r="K389" i="5"/>
  <c r="L389" i="5"/>
  <c r="M389" i="5"/>
  <c r="E12" i="1"/>
  <c r="K971" i="5"/>
  <c r="N971" i="5" s="1"/>
  <c r="K967" i="5"/>
  <c r="N967" i="5" s="1"/>
  <c r="K963" i="5"/>
  <c r="N963" i="5" s="1"/>
  <c r="K959" i="5"/>
  <c r="N959" i="5" s="1"/>
  <c r="K955" i="5"/>
  <c r="N955" i="5" s="1"/>
  <c r="K951" i="5"/>
  <c r="N951" i="5" s="1"/>
  <c r="K947" i="5"/>
  <c r="N947" i="5" s="1"/>
  <c r="K943" i="5"/>
  <c r="N943" i="5" s="1"/>
  <c r="K939" i="5"/>
  <c r="N939" i="5" s="1"/>
  <c r="K935" i="5"/>
  <c r="N935" i="5" s="1"/>
  <c r="K931" i="5"/>
  <c r="N931" i="5" s="1"/>
  <c r="K927" i="5"/>
  <c r="N927" i="5" s="1"/>
  <c r="K972" i="5"/>
  <c r="K923" i="5"/>
  <c r="N923" i="5" s="1"/>
  <c r="K919" i="5"/>
  <c r="N919" i="5" s="1"/>
  <c r="K915" i="5"/>
  <c r="N915" i="5" s="1"/>
  <c r="K911" i="5"/>
  <c r="N911" i="5" s="1"/>
  <c r="K907" i="5"/>
  <c r="N907" i="5" s="1"/>
  <c r="K903" i="5"/>
  <c r="N903" i="5" s="1"/>
  <c r="K899" i="5"/>
  <c r="N899" i="5" s="1"/>
  <c r="K895" i="5"/>
  <c r="N895" i="5" s="1"/>
  <c r="K893" i="5"/>
  <c r="K885" i="5"/>
  <c r="N885" i="5" s="1"/>
  <c r="K881" i="5"/>
  <c r="N881" i="5" s="1"/>
  <c r="K877" i="5"/>
  <c r="N877" i="5" s="1"/>
  <c r="K873" i="5"/>
  <c r="N873" i="5" s="1"/>
  <c r="K869" i="5"/>
  <c r="N869" i="5" s="1"/>
  <c r="K865" i="5"/>
  <c r="N865" i="5" s="1"/>
  <c r="K861" i="5"/>
  <c r="N861" i="5" s="1"/>
  <c r="K857" i="5"/>
  <c r="N857" i="5" s="1"/>
  <c r="K853" i="5"/>
  <c r="N853" i="5" s="1"/>
  <c r="K849" i="5"/>
  <c r="N849" i="5" s="1"/>
  <c r="K845" i="5"/>
  <c r="N845" i="5" s="1"/>
  <c r="K841" i="5"/>
  <c r="N841" i="5" s="1"/>
  <c r="K837" i="5"/>
  <c r="N837" i="5" s="1"/>
  <c r="K833" i="5"/>
  <c r="N833" i="5" s="1"/>
  <c r="K829" i="5"/>
  <c r="N829" i="5" s="1"/>
  <c r="K825" i="5"/>
  <c r="N825" i="5" s="1"/>
  <c r="K821" i="5"/>
  <c r="N821" i="5" s="1"/>
  <c r="K817" i="5"/>
  <c r="N817" i="5" s="1"/>
  <c r="K891" i="5"/>
  <c r="N891" i="5" s="1"/>
  <c r="K889" i="5"/>
  <c r="K810" i="5"/>
  <c r="N810" i="5" s="1"/>
  <c r="K806" i="5"/>
  <c r="N806" i="5" s="1"/>
  <c r="K802" i="5"/>
  <c r="N802" i="5" s="1"/>
  <c r="K798" i="5"/>
  <c r="N798" i="5" s="1"/>
  <c r="K794" i="5"/>
  <c r="N794" i="5" s="1"/>
  <c r="K790" i="5"/>
  <c r="N790" i="5" s="1"/>
  <c r="K786" i="5"/>
  <c r="N786" i="5" s="1"/>
  <c r="K782" i="5"/>
  <c r="N782" i="5" s="1"/>
  <c r="K778" i="5"/>
  <c r="N778" i="5" s="1"/>
  <c r="K887" i="5"/>
  <c r="N887" i="5" s="1"/>
  <c r="K883" i="5"/>
  <c r="N883" i="5" s="1"/>
  <c r="K879" i="5"/>
  <c r="N879" i="5" s="1"/>
  <c r="K875" i="5"/>
  <c r="N875" i="5" s="1"/>
  <c r="K871" i="5"/>
  <c r="N871" i="5" s="1"/>
  <c r="K866" i="5"/>
  <c r="K862" i="5"/>
  <c r="K858" i="5"/>
  <c r="K854" i="5"/>
  <c r="K850" i="5"/>
  <c r="K846" i="5"/>
  <c r="K842" i="5"/>
  <c r="K838" i="5"/>
  <c r="K834" i="5"/>
  <c r="K830" i="5"/>
  <c r="K826" i="5"/>
  <c r="K818" i="5"/>
  <c r="K812" i="5"/>
  <c r="K808" i="5"/>
  <c r="K804" i="5"/>
  <c r="K800" i="5"/>
  <c r="K796" i="5"/>
  <c r="K792" i="5"/>
  <c r="K788" i="5"/>
  <c r="K784" i="5"/>
  <c r="K780" i="5"/>
  <c r="K775" i="5"/>
  <c r="K771" i="5"/>
  <c r="K767" i="5"/>
  <c r="K921" i="5"/>
  <c r="K917" i="5"/>
  <c r="K913" i="5"/>
  <c r="K909" i="5"/>
  <c r="K905" i="5"/>
  <c r="K901" i="5"/>
  <c r="K897" i="5"/>
  <c r="K822" i="5"/>
  <c r="K814" i="5"/>
  <c r="K774" i="5"/>
  <c r="N774" i="5" s="1"/>
  <c r="K803" i="5"/>
  <c r="K787" i="5"/>
  <c r="K772" i="5"/>
  <c r="K766" i="5"/>
  <c r="N766" i="5" s="1"/>
  <c r="K758" i="5"/>
  <c r="N758" i="5" s="1"/>
  <c r="K750" i="5"/>
  <c r="N750" i="5" s="1"/>
  <c r="K807" i="5"/>
  <c r="K791" i="5"/>
  <c r="K770" i="5"/>
  <c r="N770" i="5" s="1"/>
  <c r="K709" i="5"/>
  <c r="N709" i="5" s="1"/>
  <c r="K811" i="5"/>
  <c r="K795" i="5"/>
  <c r="K779" i="5"/>
  <c r="K762" i="5"/>
  <c r="N762" i="5" s="1"/>
  <c r="K754" i="5"/>
  <c r="N754" i="5" s="1"/>
  <c r="K746" i="5"/>
  <c r="N746" i="5" s="1"/>
  <c r="K738" i="5"/>
  <c r="N738" i="5" s="1"/>
  <c r="K730" i="5"/>
  <c r="N730" i="5" s="1"/>
  <c r="K722" i="5"/>
  <c r="N722" i="5" s="1"/>
  <c r="K705" i="5"/>
  <c r="N705" i="5" s="1"/>
  <c r="K799" i="5"/>
  <c r="K783" i="5"/>
  <c r="K701" i="5"/>
  <c r="N701" i="5" s="1"/>
  <c r="K697" i="5"/>
  <c r="N697" i="5" s="1"/>
  <c r="K693" i="5"/>
  <c r="N693" i="5" s="1"/>
  <c r="K689" i="5"/>
  <c r="N689" i="5" s="1"/>
  <c r="K685" i="5"/>
  <c r="N685" i="5" s="1"/>
  <c r="K681" i="5"/>
  <c r="N681" i="5" s="1"/>
  <c r="K677" i="5"/>
  <c r="N677" i="5" s="1"/>
  <c r="K673" i="5"/>
  <c r="N673" i="5" s="1"/>
  <c r="K669" i="5"/>
  <c r="N669" i="5" s="1"/>
  <c r="K665" i="5"/>
  <c r="N665" i="5" s="1"/>
  <c r="K661" i="5"/>
  <c r="N661" i="5" s="1"/>
  <c r="K657" i="5"/>
  <c r="N657" i="5" s="1"/>
  <c r="K653" i="5"/>
  <c r="N653" i="5" s="1"/>
  <c r="K649" i="5"/>
  <c r="N649" i="5" s="1"/>
  <c r="K645" i="5"/>
  <c r="N645" i="5" s="1"/>
  <c r="K718" i="5"/>
  <c r="N718" i="5" s="1"/>
  <c r="K742" i="5"/>
  <c r="N742" i="5" s="1"/>
  <c r="K706" i="5"/>
  <c r="K686" i="5"/>
  <c r="K626" i="5"/>
  <c r="N626" i="5" s="1"/>
  <c r="K622" i="5"/>
  <c r="N622" i="5" s="1"/>
  <c r="K618" i="5"/>
  <c r="N618" i="5" s="1"/>
  <c r="K614" i="5"/>
  <c r="N614" i="5" s="1"/>
  <c r="K610" i="5"/>
  <c r="N610" i="5" s="1"/>
  <c r="K606" i="5"/>
  <c r="N606" i="5" s="1"/>
  <c r="K602" i="5"/>
  <c r="N602" i="5" s="1"/>
  <c r="K598" i="5"/>
  <c r="N598" i="5" s="1"/>
  <c r="K594" i="5"/>
  <c r="N594" i="5" s="1"/>
  <c r="K590" i="5"/>
  <c r="N590" i="5" s="1"/>
  <c r="K586" i="5"/>
  <c r="N586" i="5" s="1"/>
  <c r="K582" i="5"/>
  <c r="N582" i="5" s="1"/>
  <c r="K578" i="5"/>
  <c r="N578" i="5" s="1"/>
  <c r="K574" i="5"/>
  <c r="N574" i="5" s="1"/>
  <c r="K570" i="5"/>
  <c r="N570" i="5" s="1"/>
  <c r="K566" i="5"/>
  <c r="N566" i="5" s="1"/>
  <c r="K562" i="5"/>
  <c r="N562" i="5" s="1"/>
  <c r="K558" i="5"/>
  <c r="N558" i="5" s="1"/>
  <c r="K554" i="5"/>
  <c r="N554" i="5" s="1"/>
  <c r="K550" i="5"/>
  <c r="N550" i="5" s="1"/>
  <c r="K546" i="5"/>
  <c r="N546" i="5" s="1"/>
  <c r="K542" i="5"/>
  <c r="N542" i="5" s="1"/>
  <c r="K538" i="5"/>
  <c r="N538" i="5" s="1"/>
  <c r="K534" i="5"/>
  <c r="N534" i="5" s="1"/>
  <c r="K530" i="5"/>
  <c r="N530" i="5" s="1"/>
  <c r="K526" i="5"/>
  <c r="N526" i="5" s="1"/>
  <c r="K522" i="5"/>
  <c r="N522" i="5" s="1"/>
  <c r="K518" i="5"/>
  <c r="N518" i="5" s="1"/>
  <c r="K514" i="5"/>
  <c r="N514" i="5" s="1"/>
  <c r="K510" i="5"/>
  <c r="N510" i="5" s="1"/>
  <c r="K506" i="5"/>
  <c r="N506" i="5" s="1"/>
  <c r="K502" i="5"/>
  <c r="N502" i="5" s="1"/>
  <c r="K498" i="5"/>
  <c r="N498" i="5" s="1"/>
  <c r="K494" i="5"/>
  <c r="N494" i="5" s="1"/>
  <c r="K490" i="5"/>
  <c r="N490" i="5" s="1"/>
  <c r="K486" i="5"/>
  <c r="N486" i="5" s="1"/>
  <c r="K482" i="5"/>
  <c r="N482" i="5" s="1"/>
  <c r="K478" i="5"/>
  <c r="N478" i="5" s="1"/>
  <c r="K474" i="5"/>
  <c r="N474" i="5" s="1"/>
  <c r="K470" i="5"/>
  <c r="N470" i="5" s="1"/>
  <c r="K466" i="5"/>
  <c r="N466" i="5" s="1"/>
  <c r="K462" i="5"/>
  <c r="N462" i="5" s="1"/>
  <c r="K458" i="5"/>
  <c r="N458" i="5" s="1"/>
  <c r="K454" i="5"/>
  <c r="N454" i="5" s="1"/>
  <c r="K450" i="5"/>
  <c r="N450" i="5" s="1"/>
  <c r="K446" i="5"/>
  <c r="N446" i="5" s="1"/>
  <c r="K442" i="5"/>
  <c r="N442" i="5" s="1"/>
  <c r="K438" i="5"/>
  <c r="N438" i="5" s="1"/>
  <c r="K734" i="5"/>
  <c r="N734" i="5" s="1"/>
  <c r="K690" i="5"/>
  <c r="K641" i="5"/>
  <c r="N641" i="5" s="1"/>
  <c r="K639" i="5"/>
  <c r="K637" i="5"/>
  <c r="N637" i="5" s="1"/>
  <c r="K635" i="5"/>
  <c r="K633" i="5"/>
  <c r="N633" i="5" s="1"/>
  <c r="K631" i="5"/>
  <c r="K629" i="5"/>
  <c r="N629" i="5" s="1"/>
  <c r="K627" i="5"/>
  <c r="K623" i="5"/>
  <c r="K619" i="5"/>
  <c r="K615" i="5"/>
  <c r="K611" i="5"/>
  <c r="K607" i="5"/>
  <c r="K603" i="5"/>
  <c r="K599" i="5"/>
  <c r="K595" i="5"/>
  <c r="K591" i="5"/>
  <c r="K587" i="5"/>
  <c r="K583" i="5"/>
  <c r="K579" i="5"/>
  <c r="K575" i="5"/>
  <c r="K571" i="5"/>
  <c r="K567" i="5"/>
  <c r="K563" i="5"/>
  <c r="K559" i="5"/>
  <c r="K555" i="5"/>
  <c r="K551" i="5"/>
  <c r="K547" i="5"/>
  <c r="K543" i="5"/>
  <c r="K539" i="5"/>
  <c r="K535" i="5"/>
  <c r="K531" i="5"/>
  <c r="K726" i="5"/>
  <c r="N726" i="5" s="1"/>
  <c r="K713" i="5"/>
  <c r="N713" i="5" s="1"/>
  <c r="K694" i="5"/>
  <c r="K678" i="5"/>
  <c r="K674" i="5"/>
  <c r="K670" i="5"/>
  <c r="K666" i="5"/>
  <c r="K662" i="5"/>
  <c r="K658" i="5"/>
  <c r="K654" i="5"/>
  <c r="K650" i="5"/>
  <c r="K326" i="5"/>
  <c r="N326" i="5" s="1"/>
  <c r="K322" i="5"/>
  <c r="N322" i="5" s="1"/>
  <c r="K318" i="5"/>
  <c r="N318" i="5" s="1"/>
  <c r="K314" i="5"/>
  <c r="N314" i="5" s="1"/>
  <c r="K310" i="5"/>
  <c r="N310" i="5" s="1"/>
  <c r="K306" i="5"/>
  <c r="N306" i="5" s="1"/>
  <c r="K302" i="5"/>
  <c r="N302" i="5" s="1"/>
  <c r="K298" i="5"/>
  <c r="N298" i="5" s="1"/>
  <c r="K294" i="5"/>
  <c r="N294" i="5" s="1"/>
  <c r="K290" i="5"/>
  <c r="N290" i="5" s="1"/>
  <c r="K286" i="5"/>
  <c r="N286" i="5" s="1"/>
  <c r="K282" i="5"/>
  <c r="N282" i="5" s="1"/>
  <c r="K278" i="5"/>
  <c r="N278" i="5" s="1"/>
  <c r="K274" i="5"/>
  <c r="N274" i="5" s="1"/>
  <c r="K270" i="5"/>
  <c r="N270" i="5" s="1"/>
  <c r="K266" i="5"/>
  <c r="N266" i="5" s="1"/>
  <c r="K262" i="5"/>
  <c r="N262" i="5" s="1"/>
  <c r="K258" i="5"/>
  <c r="N258" i="5" s="1"/>
  <c r="K254" i="5"/>
  <c r="N254" i="5" s="1"/>
  <c r="K250" i="5"/>
  <c r="N250" i="5" s="1"/>
  <c r="K246" i="5"/>
  <c r="N246" i="5" s="1"/>
  <c r="K242" i="5"/>
  <c r="N242" i="5" s="1"/>
  <c r="K238" i="5"/>
  <c r="N238" i="5" s="1"/>
  <c r="K234" i="5"/>
  <c r="N234" i="5" s="1"/>
  <c r="K230" i="5"/>
  <c r="N230" i="5" s="1"/>
  <c r="K226" i="5"/>
  <c r="N226" i="5" s="1"/>
  <c r="K222" i="5"/>
  <c r="N222" i="5" s="1"/>
  <c r="K218" i="5"/>
  <c r="N218" i="5" s="1"/>
  <c r="K214" i="5"/>
  <c r="N214" i="5" s="1"/>
  <c r="K210" i="5"/>
  <c r="N210" i="5" s="1"/>
  <c r="K206" i="5"/>
  <c r="N206" i="5" s="1"/>
  <c r="K202" i="5"/>
  <c r="N202" i="5" s="1"/>
  <c r="K198" i="5"/>
  <c r="N198" i="5" s="1"/>
  <c r="K194" i="5"/>
  <c r="N194" i="5" s="1"/>
  <c r="K190" i="5"/>
  <c r="N190" i="5" s="1"/>
  <c r="K186" i="5"/>
  <c r="N186" i="5" s="1"/>
  <c r="K182" i="5"/>
  <c r="N182" i="5" s="1"/>
  <c r="K178" i="5"/>
  <c r="N178" i="5" s="1"/>
  <c r="K646" i="5"/>
  <c r="K528" i="5"/>
  <c r="K524" i="5"/>
  <c r="K520" i="5"/>
  <c r="K516" i="5"/>
  <c r="K512" i="5"/>
  <c r="K508" i="5"/>
  <c r="K504" i="5"/>
  <c r="K500" i="5"/>
  <c r="K496" i="5"/>
  <c r="K492" i="5"/>
  <c r="K488" i="5"/>
  <c r="K484" i="5"/>
  <c r="K480" i="5"/>
  <c r="K476" i="5"/>
  <c r="K472" i="5"/>
  <c r="K468" i="5"/>
  <c r="K464" i="5"/>
  <c r="K460" i="5"/>
  <c r="K456" i="5"/>
  <c r="K452" i="5"/>
  <c r="K448" i="5"/>
  <c r="K444" i="5"/>
  <c r="K440" i="5"/>
  <c r="K436" i="5"/>
  <c r="K434" i="5"/>
  <c r="N434" i="5" s="1"/>
  <c r="K432" i="5"/>
  <c r="K430" i="5"/>
  <c r="N430" i="5" s="1"/>
  <c r="K428" i="5"/>
  <c r="K426" i="5"/>
  <c r="N426" i="5" s="1"/>
  <c r="K424" i="5"/>
  <c r="K422" i="5"/>
  <c r="N422" i="5" s="1"/>
  <c r="K420" i="5"/>
  <c r="K418" i="5"/>
  <c r="N418" i="5" s="1"/>
  <c r="K416" i="5"/>
  <c r="K414" i="5"/>
  <c r="N414" i="5" s="1"/>
  <c r="K412" i="5"/>
  <c r="K410" i="5"/>
  <c r="N410" i="5" s="1"/>
  <c r="K408" i="5"/>
  <c r="K406" i="5"/>
  <c r="N406" i="5" s="1"/>
  <c r="K404" i="5"/>
  <c r="K402" i="5"/>
  <c r="N402" i="5" s="1"/>
  <c r="K400" i="5"/>
  <c r="K398" i="5"/>
  <c r="N398" i="5" s="1"/>
  <c r="K396" i="5"/>
  <c r="K394" i="5"/>
  <c r="N394" i="5" s="1"/>
  <c r="K392" i="5"/>
  <c r="K390" i="5"/>
  <c r="N390" i="5" s="1"/>
  <c r="K388" i="5"/>
  <c r="K386" i="5"/>
  <c r="N386" i="5" s="1"/>
  <c r="K384" i="5"/>
  <c r="K382" i="5"/>
  <c r="N382" i="5" s="1"/>
  <c r="K380" i="5"/>
  <c r="K378" i="5"/>
  <c r="N378" i="5" s="1"/>
  <c r="K376" i="5"/>
  <c r="K374" i="5"/>
  <c r="N374" i="5" s="1"/>
  <c r="K372" i="5"/>
  <c r="K370" i="5"/>
  <c r="N370" i="5" s="1"/>
  <c r="K368" i="5"/>
  <c r="K366" i="5"/>
  <c r="N366" i="5" s="1"/>
  <c r="K364" i="5"/>
  <c r="K362" i="5"/>
  <c r="N362" i="5" s="1"/>
  <c r="K360" i="5"/>
  <c r="K358" i="5"/>
  <c r="N358" i="5" s="1"/>
  <c r="K356" i="5"/>
  <c r="K354" i="5"/>
  <c r="N354" i="5" s="1"/>
  <c r="K352" i="5"/>
  <c r="K350" i="5"/>
  <c r="N350" i="5" s="1"/>
  <c r="K348" i="5"/>
  <c r="K346" i="5"/>
  <c r="N346" i="5" s="1"/>
  <c r="K344" i="5"/>
  <c r="K342" i="5"/>
  <c r="N342" i="5" s="1"/>
  <c r="K340" i="5"/>
  <c r="K338" i="5"/>
  <c r="N338" i="5" s="1"/>
  <c r="K336" i="5"/>
  <c r="K334" i="5"/>
  <c r="N334" i="5" s="1"/>
  <c r="K332" i="5"/>
  <c r="K330" i="5"/>
  <c r="N330" i="5" s="1"/>
  <c r="K327" i="5"/>
  <c r="K328" i="5"/>
  <c r="K180" i="5"/>
  <c r="K324" i="5"/>
  <c r="K320" i="5"/>
  <c r="K316" i="5"/>
  <c r="K312" i="5"/>
  <c r="K308" i="5"/>
  <c r="K304" i="5"/>
  <c r="K300" i="5"/>
  <c r="K296" i="5"/>
  <c r="K292" i="5"/>
  <c r="K288" i="5"/>
  <c r="K284" i="5"/>
  <c r="K280" i="5"/>
  <c r="K276" i="5"/>
  <c r="K272" i="5"/>
  <c r="K268" i="5"/>
  <c r="K264" i="5"/>
  <c r="K260" i="5"/>
  <c r="K256" i="5"/>
  <c r="K252" i="5"/>
  <c r="K248" i="5"/>
  <c r="K244" i="5"/>
  <c r="K240" i="5"/>
  <c r="K236" i="5"/>
  <c r="K232" i="5"/>
  <c r="K228" i="5"/>
  <c r="K224" i="5"/>
  <c r="K220" i="5"/>
  <c r="K216" i="5"/>
  <c r="K212" i="5"/>
  <c r="K208" i="5"/>
  <c r="K204" i="5"/>
  <c r="K200" i="5"/>
  <c r="K196" i="5"/>
  <c r="K192" i="5"/>
  <c r="K188" i="5"/>
  <c r="K184" i="5"/>
  <c r="K2" i="5"/>
  <c r="R4" i="5"/>
  <c r="K5" i="5"/>
  <c r="M5" i="5"/>
  <c r="K9" i="5"/>
  <c r="M9" i="5"/>
  <c r="K13" i="5"/>
  <c r="M13" i="5"/>
  <c r="K15" i="5"/>
  <c r="N15" i="5" s="1"/>
  <c r="K17" i="5"/>
  <c r="N17" i="5" s="1"/>
  <c r="K19" i="5"/>
  <c r="N19" i="5" s="1"/>
  <c r="K21" i="5"/>
  <c r="N21" i="5" s="1"/>
  <c r="K23" i="5"/>
  <c r="N23" i="5" s="1"/>
  <c r="K25" i="5"/>
  <c r="N25" i="5" s="1"/>
  <c r="K27" i="5"/>
  <c r="N27" i="5" s="1"/>
  <c r="K29" i="5"/>
  <c r="N29" i="5" s="1"/>
  <c r="K31" i="5"/>
  <c r="N31" i="5" s="1"/>
  <c r="K33" i="5"/>
  <c r="N33" i="5" s="1"/>
  <c r="K35" i="5"/>
  <c r="N35" i="5" s="1"/>
  <c r="K37" i="5"/>
  <c r="L37" i="5"/>
  <c r="K38" i="5"/>
  <c r="N38" i="5" s="1"/>
  <c r="K41" i="5"/>
  <c r="L41" i="5"/>
  <c r="K42" i="5"/>
  <c r="N42" i="5" s="1"/>
  <c r="K45" i="5"/>
  <c r="L45" i="5"/>
  <c r="K46" i="5"/>
  <c r="N46" i="5" s="1"/>
  <c r="K49" i="5"/>
  <c r="L49" i="5"/>
  <c r="K50" i="5"/>
  <c r="N50" i="5" s="1"/>
  <c r="K53" i="5"/>
  <c r="L53" i="5"/>
  <c r="K54" i="5"/>
  <c r="N54" i="5" s="1"/>
  <c r="K57" i="5"/>
  <c r="L57" i="5"/>
  <c r="K58" i="5"/>
  <c r="N58" i="5" s="1"/>
  <c r="K61" i="5"/>
  <c r="L61" i="5"/>
  <c r="K62" i="5"/>
  <c r="N62" i="5" s="1"/>
  <c r="K65" i="5"/>
  <c r="L65" i="5"/>
  <c r="K66" i="5"/>
  <c r="N66" i="5" s="1"/>
  <c r="K69" i="5"/>
  <c r="L69" i="5"/>
  <c r="K70" i="5"/>
  <c r="N70" i="5" s="1"/>
  <c r="K73" i="5"/>
  <c r="L73" i="5"/>
  <c r="K74" i="5"/>
  <c r="N74" i="5" s="1"/>
  <c r="K77" i="5"/>
  <c r="L77" i="5"/>
  <c r="K78" i="5"/>
  <c r="N78" i="5" s="1"/>
  <c r="K81" i="5"/>
  <c r="L81" i="5"/>
  <c r="K82" i="5"/>
  <c r="N82" i="5" s="1"/>
  <c r="K85" i="5"/>
  <c r="L85" i="5"/>
  <c r="K86" i="5"/>
  <c r="N86" i="5" s="1"/>
  <c r="K89" i="5"/>
  <c r="L89" i="5"/>
  <c r="K90" i="5"/>
  <c r="N90" i="5" s="1"/>
  <c r="K93" i="5"/>
  <c r="L93" i="5"/>
  <c r="K94" i="5"/>
  <c r="N94" i="5" s="1"/>
  <c r="K97" i="5"/>
  <c r="L97" i="5"/>
  <c r="K98" i="5"/>
  <c r="N98" i="5" s="1"/>
  <c r="K101" i="5"/>
  <c r="L101" i="5"/>
  <c r="K102" i="5"/>
  <c r="N102" i="5" s="1"/>
  <c r="K105" i="5"/>
  <c r="L105" i="5"/>
  <c r="K106" i="5"/>
  <c r="N106" i="5" s="1"/>
  <c r="K109" i="5"/>
  <c r="L109" i="5"/>
  <c r="K110" i="5"/>
  <c r="N110" i="5" s="1"/>
  <c r="K113" i="5"/>
  <c r="L113" i="5"/>
  <c r="K114" i="5"/>
  <c r="N114" i="5" s="1"/>
  <c r="K117" i="5"/>
  <c r="L117" i="5"/>
  <c r="K118" i="5"/>
  <c r="N118" i="5" s="1"/>
  <c r="K121" i="5"/>
  <c r="L121" i="5"/>
  <c r="K122" i="5"/>
  <c r="N122" i="5" s="1"/>
  <c r="K125" i="5"/>
  <c r="L125" i="5"/>
  <c r="K126" i="5"/>
  <c r="N126" i="5" s="1"/>
  <c r="K129" i="5"/>
  <c r="L129" i="5"/>
  <c r="K130" i="5"/>
  <c r="N130" i="5" s="1"/>
  <c r="K133" i="5"/>
  <c r="L133" i="5"/>
  <c r="K134" i="5"/>
  <c r="N134" i="5" s="1"/>
  <c r="K137" i="5"/>
  <c r="L137" i="5"/>
  <c r="K138" i="5"/>
  <c r="N138" i="5" s="1"/>
  <c r="M147" i="5"/>
  <c r="K147" i="5"/>
  <c r="K148" i="5"/>
  <c r="K153" i="5"/>
  <c r="L153" i="5"/>
  <c r="K154" i="5"/>
  <c r="N154" i="5" s="1"/>
  <c r="M163" i="5"/>
  <c r="K163" i="5"/>
  <c r="K164" i="5"/>
  <c r="K169" i="5"/>
  <c r="L169" i="5"/>
  <c r="K170" i="5"/>
  <c r="N170" i="5" s="1"/>
  <c r="K247" i="5"/>
  <c r="K263" i="5"/>
  <c r="K279" i="5"/>
  <c r="K319" i="5"/>
  <c r="P5" i="5"/>
  <c r="X4" i="5"/>
  <c r="T4" i="5"/>
  <c r="M14" i="5"/>
  <c r="M18" i="5"/>
  <c r="L20" i="5"/>
  <c r="M34" i="5"/>
  <c r="L52" i="5"/>
  <c r="L64" i="5"/>
  <c r="L68" i="5"/>
  <c r="L76" i="5"/>
  <c r="L80" i="5"/>
  <c r="L84" i="5"/>
  <c r="L88" i="5"/>
  <c r="L92" i="5"/>
  <c r="L96" i="5"/>
  <c r="L100" i="5"/>
  <c r="L104" i="5"/>
  <c r="L108" i="5"/>
  <c r="L112" i="5"/>
  <c r="L116" i="5"/>
  <c r="L120" i="5"/>
  <c r="L124" i="5"/>
  <c r="L128" i="5"/>
  <c r="L132" i="5"/>
  <c r="L136" i="5"/>
  <c r="M151" i="5"/>
  <c r="K151" i="5"/>
  <c r="K157" i="5"/>
  <c r="N157" i="5" s="1"/>
  <c r="L157" i="5"/>
  <c r="K341" i="5"/>
  <c r="L341" i="5"/>
  <c r="M341" i="5"/>
  <c r="K373" i="5"/>
  <c r="L373" i="5"/>
  <c r="M373" i="5"/>
  <c r="K405" i="5"/>
  <c r="L405" i="5"/>
  <c r="M405" i="5"/>
  <c r="K421" i="5"/>
  <c r="L421" i="5"/>
  <c r="M421" i="5"/>
  <c r="N451" i="5"/>
  <c r="K628" i="5"/>
  <c r="L628" i="5"/>
  <c r="M628" i="5"/>
  <c r="D5" i="2"/>
  <c r="J19" i="3"/>
  <c r="I19" i="3" s="1"/>
  <c r="J19" i="4"/>
  <c r="I19" i="4" s="1"/>
  <c r="K3" i="5"/>
  <c r="M3" i="5"/>
  <c r="K4" i="5"/>
  <c r="Z4" i="5" s="1"/>
  <c r="M4" i="5"/>
  <c r="AB4" i="5" s="1"/>
  <c r="S4" i="5"/>
  <c r="Y4" i="5"/>
  <c r="L7" i="5"/>
  <c r="K8" i="5"/>
  <c r="M8" i="5"/>
  <c r="L11" i="5"/>
  <c r="K12" i="5"/>
  <c r="M12" i="5"/>
  <c r="M143" i="5"/>
  <c r="K143" i="5"/>
  <c r="K144" i="5"/>
  <c r="K149" i="5"/>
  <c r="L149" i="5"/>
  <c r="K150" i="5"/>
  <c r="N150" i="5" s="1"/>
  <c r="M159" i="5"/>
  <c r="K159" i="5"/>
  <c r="K160" i="5"/>
  <c r="K165" i="5"/>
  <c r="L165" i="5"/>
  <c r="K166" i="5"/>
  <c r="N166" i="5" s="1"/>
  <c r="M175" i="5"/>
  <c r="K175" i="5"/>
  <c r="K176" i="5"/>
  <c r="K243" i="5"/>
  <c r="K259" i="5"/>
  <c r="K275" i="5"/>
  <c r="K315" i="5"/>
  <c r="Q4" i="5"/>
  <c r="AA4" i="5"/>
  <c r="M6" i="5"/>
  <c r="M10" i="5"/>
  <c r="L16" i="5"/>
  <c r="M22" i="5"/>
  <c r="L24" i="5"/>
  <c r="M26" i="5"/>
  <c r="L28" i="5"/>
  <c r="L32" i="5"/>
  <c r="L36" i="5"/>
  <c r="L40" i="5"/>
  <c r="L48" i="5"/>
  <c r="L56" i="5"/>
  <c r="L60" i="5"/>
  <c r="L72" i="5"/>
  <c r="U4" i="5"/>
  <c r="L6" i="5"/>
  <c r="N6" i="5" s="1"/>
  <c r="M7" i="5"/>
  <c r="L10" i="5"/>
  <c r="M11" i="5"/>
  <c r="L14" i="5"/>
  <c r="N14" i="5" s="1"/>
  <c r="K16" i="5"/>
  <c r="L18" i="5"/>
  <c r="K20" i="5"/>
  <c r="N20" i="5" s="1"/>
  <c r="L22" i="5"/>
  <c r="N22" i="5" s="1"/>
  <c r="K24" i="5"/>
  <c r="L26" i="5"/>
  <c r="K28" i="5"/>
  <c r="L30" i="5"/>
  <c r="N30" i="5" s="1"/>
  <c r="K32" i="5"/>
  <c r="L34" i="5"/>
  <c r="N34" i="5" s="1"/>
  <c r="K36" i="5"/>
  <c r="M39" i="5"/>
  <c r="K39" i="5"/>
  <c r="K40" i="5"/>
  <c r="M43" i="5"/>
  <c r="K43" i="5"/>
  <c r="K44" i="5"/>
  <c r="N44" i="5" s="1"/>
  <c r="M47" i="5"/>
  <c r="K47" i="5"/>
  <c r="K48" i="5"/>
  <c r="M51" i="5"/>
  <c r="K51" i="5"/>
  <c r="K52" i="5"/>
  <c r="N52" i="5" s="1"/>
  <c r="M55" i="5"/>
  <c r="K55" i="5"/>
  <c r="K56" i="5"/>
  <c r="M59" i="5"/>
  <c r="K59" i="5"/>
  <c r="K60" i="5"/>
  <c r="N60" i="5" s="1"/>
  <c r="M63" i="5"/>
  <c r="K63" i="5"/>
  <c r="K64" i="5"/>
  <c r="M67" i="5"/>
  <c r="K67" i="5"/>
  <c r="K68" i="5"/>
  <c r="N68" i="5" s="1"/>
  <c r="M71" i="5"/>
  <c r="K71" i="5"/>
  <c r="K72" i="5"/>
  <c r="M75" i="5"/>
  <c r="K75" i="5"/>
  <c r="K76" i="5"/>
  <c r="N76" i="5" s="1"/>
  <c r="M79" i="5"/>
  <c r="K79" i="5"/>
  <c r="K80" i="5"/>
  <c r="N80" i="5" s="1"/>
  <c r="M83" i="5"/>
  <c r="K83" i="5"/>
  <c r="K84" i="5"/>
  <c r="M87" i="5"/>
  <c r="K87" i="5"/>
  <c r="K88" i="5"/>
  <c r="M91" i="5"/>
  <c r="K91" i="5"/>
  <c r="K92" i="5"/>
  <c r="N92" i="5" s="1"/>
  <c r="M95" i="5"/>
  <c r="K95" i="5"/>
  <c r="K96" i="5"/>
  <c r="N96" i="5" s="1"/>
  <c r="M99" i="5"/>
  <c r="K99" i="5"/>
  <c r="K100" i="5"/>
  <c r="M103" i="5"/>
  <c r="K103" i="5"/>
  <c r="K104" i="5"/>
  <c r="M107" i="5"/>
  <c r="K107" i="5"/>
  <c r="K108" i="5"/>
  <c r="N108" i="5" s="1"/>
  <c r="M111" i="5"/>
  <c r="K111" i="5"/>
  <c r="K112" i="5"/>
  <c r="N112" i="5" s="1"/>
  <c r="M115" i="5"/>
  <c r="K115" i="5"/>
  <c r="K116" i="5"/>
  <c r="M119" i="5"/>
  <c r="K119" i="5"/>
  <c r="K120" i="5"/>
  <c r="M123" i="5"/>
  <c r="K123" i="5"/>
  <c r="K124" i="5"/>
  <c r="N124" i="5" s="1"/>
  <c r="M127" i="5"/>
  <c r="K127" i="5"/>
  <c r="K128" i="5"/>
  <c r="N128" i="5" s="1"/>
  <c r="M131" i="5"/>
  <c r="K131" i="5"/>
  <c r="K132" i="5"/>
  <c r="M135" i="5"/>
  <c r="K135" i="5"/>
  <c r="K136" i="5"/>
  <c r="M139" i="5"/>
  <c r="K139" i="5"/>
  <c r="M141" i="5"/>
  <c r="K145" i="5"/>
  <c r="N145" i="5" s="1"/>
  <c r="L145" i="5"/>
  <c r="L151" i="5"/>
  <c r="M155" i="5"/>
  <c r="K155" i="5"/>
  <c r="M157" i="5"/>
  <c r="K161" i="5"/>
  <c r="L161" i="5"/>
  <c r="L167" i="5"/>
  <c r="M171" i="5"/>
  <c r="K171" i="5"/>
  <c r="N171" i="5" s="1"/>
  <c r="M173" i="5"/>
  <c r="K177" i="5"/>
  <c r="L177" i="5"/>
  <c r="K181" i="5"/>
  <c r="L181" i="5"/>
  <c r="K185" i="5"/>
  <c r="N185" i="5" s="1"/>
  <c r="L185" i="5"/>
  <c r="K189" i="5"/>
  <c r="L189" i="5"/>
  <c r="K193" i="5"/>
  <c r="L193" i="5"/>
  <c r="K197" i="5"/>
  <c r="L197" i="5"/>
  <c r="K201" i="5"/>
  <c r="N201" i="5" s="1"/>
  <c r="L201" i="5"/>
  <c r="K205" i="5"/>
  <c r="L205" i="5"/>
  <c r="K209" i="5"/>
  <c r="L209" i="5"/>
  <c r="K211" i="5"/>
  <c r="K213" i="5"/>
  <c r="N213" i="5" s="1"/>
  <c r="L213" i="5"/>
  <c r="K215" i="5"/>
  <c r="K217" i="5"/>
  <c r="L217" i="5"/>
  <c r="K219" i="5"/>
  <c r="K221" i="5"/>
  <c r="L221" i="5"/>
  <c r="K223" i="5"/>
  <c r="K225" i="5"/>
  <c r="L225" i="5"/>
  <c r="K227" i="5"/>
  <c r="K229" i="5"/>
  <c r="N229" i="5" s="1"/>
  <c r="L229" i="5"/>
  <c r="K231" i="5"/>
  <c r="K233" i="5"/>
  <c r="L233" i="5"/>
  <c r="K235" i="5"/>
  <c r="K237" i="5"/>
  <c r="L237" i="5"/>
  <c r="K239" i="5"/>
  <c r="K241" i="5"/>
  <c r="M241" i="5"/>
  <c r="L241" i="5"/>
  <c r="K255" i="5"/>
  <c r="K271" i="5"/>
  <c r="K287" i="5"/>
  <c r="K291" i="5"/>
  <c r="K295" i="5"/>
  <c r="K299" i="5"/>
  <c r="K303" i="5"/>
  <c r="K307" i="5"/>
  <c r="K311" i="5"/>
  <c r="M343" i="5"/>
  <c r="K343" i="5"/>
  <c r="L343" i="5"/>
  <c r="M359" i="5"/>
  <c r="K359" i="5"/>
  <c r="L359" i="5"/>
  <c r="M375" i="5"/>
  <c r="K375" i="5"/>
  <c r="L375" i="5"/>
  <c r="M391" i="5"/>
  <c r="K391" i="5"/>
  <c r="L391" i="5"/>
  <c r="M407" i="5"/>
  <c r="K407" i="5"/>
  <c r="L407" i="5"/>
  <c r="M423" i="5"/>
  <c r="K423" i="5"/>
  <c r="L423" i="5"/>
  <c r="K337" i="5"/>
  <c r="L337" i="5"/>
  <c r="M339" i="5"/>
  <c r="K339" i="5"/>
  <c r="K353" i="5"/>
  <c r="L353" i="5"/>
  <c r="M355" i="5"/>
  <c r="K355" i="5"/>
  <c r="K369" i="5"/>
  <c r="L369" i="5"/>
  <c r="M371" i="5"/>
  <c r="K371" i="5"/>
  <c r="K385" i="5"/>
  <c r="L385" i="5"/>
  <c r="M387" i="5"/>
  <c r="K387" i="5"/>
  <c r="K401" i="5"/>
  <c r="L401" i="5"/>
  <c r="M403" i="5"/>
  <c r="K403" i="5"/>
  <c r="K417" i="5"/>
  <c r="L417" i="5"/>
  <c r="M419" i="5"/>
  <c r="K419" i="5"/>
  <c r="K433" i="5"/>
  <c r="L433" i="5"/>
  <c r="M435" i="5"/>
  <c r="K435" i="5"/>
  <c r="L140" i="5"/>
  <c r="N140" i="5" s="1"/>
  <c r="L144" i="5"/>
  <c r="L148" i="5"/>
  <c r="L152" i="5"/>
  <c r="N152" i="5" s="1"/>
  <c r="L156" i="5"/>
  <c r="N156" i="5" s="1"/>
  <c r="L160" i="5"/>
  <c r="L164" i="5"/>
  <c r="L168" i="5"/>
  <c r="N168" i="5" s="1"/>
  <c r="L172" i="5"/>
  <c r="N172" i="5" s="1"/>
  <c r="L176" i="5"/>
  <c r="T3" i="5"/>
  <c r="X3" i="5"/>
  <c r="AB3" i="5"/>
  <c r="L180" i="5"/>
  <c r="L184" i="5"/>
  <c r="L188" i="5"/>
  <c r="L192" i="5"/>
  <c r="L196" i="5"/>
  <c r="L200" i="5"/>
  <c r="L204" i="5"/>
  <c r="L208" i="5"/>
  <c r="L212" i="5"/>
  <c r="L216" i="5"/>
  <c r="L220" i="5"/>
  <c r="L224" i="5"/>
  <c r="L228" i="5"/>
  <c r="L232" i="5"/>
  <c r="L236" i="5"/>
  <c r="L240" i="5"/>
  <c r="L244" i="5"/>
  <c r="L248" i="5"/>
  <c r="L252" i="5"/>
  <c r="L256" i="5"/>
  <c r="L260" i="5"/>
  <c r="L264" i="5"/>
  <c r="L268" i="5"/>
  <c r="L272" i="5"/>
  <c r="L276" i="5"/>
  <c r="L280" i="5"/>
  <c r="L284" i="5"/>
  <c r="L288" i="5"/>
  <c r="L292" i="5"/>
  <c r="L296" i="5"/>
  <c r="L300" i="5"/>
  <c r="L304" i="5"/>
  <c r="L308" i="5"/>
  <c r="L312" i="5"/>
  <c r="L316" i="5"/>
  <c r="L320" i="5"/>
  <c r="L324" i="5"/>
  <c r="K333" i="5"/>
  <c r="L333" i="5"/>
  <c r="M335" i="5"/>
  <c r="K335" i="5"/>
  <c r="K349" i="5"/>
  <c r="L349" i="5"/>
  <c r="M351" i="5"/>
  <c r="K351" i="5"/>
  <c r="K365" i="5"/>
  <c r="L365" i="5"/>
  <c r="M367" i="5"/>
  <c r="K367" i="5"/>
  <c r="K381" i="5"/>
  <c r="L381" i="5"/>
  <c r="M383" i="5"/>
  <c r="K383" i="5"/>
  <c r="K397" i="5"/>
  <c r="L397" i="5"/>
  <c r="M399" i="5"/>
  <c r="K399" i="5"/>
  <c r="K413" i="5"/>
  <c r="L413" i="5"/>
  <c r="M415" i="5"/>
  <c r="K415" i="5"/>
  <c r="K429" i="5"/>
  <c r="L429" i="5"/>
  <c r="M431" i="5"/>
  <c r="K431" i="5"/>
  <c r="K245" i="5"/>
  <c r="M245" i="5"/>
  <c r="K249" i="5"/>
  <c r="M249" i="5"/>
  <c r="K253" i="5"/>
  <c r="M253" i="5"/>
  <c r="K257" i="5"/>
  <c r="M257" i="5"/>
  <c r="K261" i="5"/>
  <c r="M261" i="5"/>
  <c r="K265" i="5"/>
  <c r="M265" i="5"/>
  <c r="K269" i="5"/>
  <c r="M269" i="5"/>
  <c r="K273" i="5"/>
  <c r="M273" i="5"/>
  <c r="K277" i="5"/>
  <c r="M277" i="5"/>
  <c r="K281" i="5"/>
  <c r="M281" i="5"/>
  <c r="K285" i="5"/>
  <c r="M285" i="5"/>
  <c r="K289" i="5"/>
  <c r="M289" i="5"/>
  <c r="K293" i="5"/>
  <c r="M293" i="5"/>
  <c r="K297" i="5"/>
  <c r="M297" i="5"/>
  <c r="K301" i="5"/>
  <c r="M301" i="5"/>
  <c r="K305" i="5"/>
  <c r="M305" i="5"/>
  <c r="K309" i="5"/>
  <c r="M309" i="5"/>
  <c r="K313" i="5"/>
  <c r="M313" i="5"/>
  <c r="K317" i="5"/>
  <c r="M317" i="5"/>
  <c r="K321" i="5"/>
  <c r="M321" i="5"/>
  <c r="K325" i="5"/>
  <c r="M325" i="5"/>
  <c r="K329" i="5"/>
  <c r="L329" i="5"/>
  <c r="M331" i="5"/>
  <c r="K331" i="5"/>
  <c r="K345" i="5"/>
  <c r="L345" i="5"/>
  <c r="M347" i="5"/>
  <c r="K347" i="5"/>
  <c r="K361" i="5"/>
  <c r="L361" i="5"/>
  <c r="M363" i="5"/>
  <c r="K363" i="5"/>
  <c r="K377" i="5"/>
  <c r="L377" i="5"/>
  <c r="M379" i="5"/>
  <c r="K379" i="5"/>
  <c r="K393" i="5"/>
  <c r="L393" i="5"/>
  <c r="M395" i="5"/>
  <c r="K395" i="5"/>
  <c r="K409" i="5"/>
  <c r="L409" i="5"/>
  <c r="M411" i="5"/>
  <c r="K411" i="5"/>
  <c r="K425" i="5"/>
  <c r="L425" i="5"/>
  <c r="M427" i="5"/>
  <c r="K427" i="5"/>
  <c r="M630" i="5"/>
  <c r="K630" i="5"/>
  <c r="L630" i="5"/>
  <c r="L328" i="5"/>
  <c r="K533" i="5"/>
  <c r="M533" i="5"/>
  <c r="K537" i="5"/>
  <c r="M537" i="5"/>
  <c r="K541" i="5"/>
  <c r="M541" i="5"/>
  <c r="K545" i="5"/>
  <c r="M545" i="5"/>
  <c r="K549" i="5"/>
  <c r="M549" i="5"/>
  <c r="K553" i="5"/>
  <c r="M553" i="5"/>
  <c r="K557" i="5"/>
  <c r="M557" i="5"/>
  <c r="K561" i="5"/>
  <c r="M561" i="5"/>
  <c r="K565" i="5"/>
  <c r="M565" i="5"/>
  <c r="K569" i="5"/>
  <c r="M569" i="5"/>
  <c r="K573" i="5"/>
  <c r="M573" i="5"/>
  <c r="K577" i="5"/>
  <c r="M577" i="5"/>
  <c r="K581" i="5"/>
  <c r="M581" i="5"/>
  <c r="K585" i="5"/>
  <c r="M585" i="5"/>
  <c r="K589" i="5"/>
  <c r="M589" i="5"/>
  <c r="K593" i="5"/>
  <c r="M593" i="5"/>
  <c r="K597" i="5"/>
  <c r="M597" i="5"/>
  <c r="K601" i="5"/>
  <c r="M601" i="5"/>
  <c r="K605" i="5"/>
  <c r="M605" i="5"/>
  <c r="K609" i="5"/>
  <c r="M609" i="5"/>
  <c r="K613" i="5"/>
  <c r="M613" i="5"/>
  <c r="K617" i="5"/>
  <c r="M617" i="5"/>
  <c r="K621" i="5"/>
  <c r="M621" i="5"/>
  <c r="K625" i="5"/>
  <c r="M625" i="5"/>
  <c r="K640" i="5"/>
  <c r="L640" i="5"/>
  <c r="M642" i="5"/>
  <c r="K642" i="5"/>
  <c r="L179" i="5"/>
  <c r="N179" i="5" s="1"/>
  <c r="L183" i="5"/>
  <c r="N183" i="5" s="1"/>
  <c r="L187" i="5"/>
  <c r="N187" i="5" s="1"/>
  <c r="L191" i="5"/>
  <c r="N191" i="5" s="1"/>
  <c r="L195" i="5"/>
  <c r="N195" i="5" s="1"/>
  <c r="L199" i="5"/>
  <c r="N199" i="5" s="1"/>
  <c r="L203" i="5"/>
  <c r="N203" i="5" s="1"/>
  <c r="L207" i="5"/>
  <c r="N207" i="5" s="1"/>
  <c r="L211" i="5"/>
  <c r="L215" i="5"/>
  <c r="L219" i="5"/>
  <c r="L223" i="5"/>
  <c r="L227" i="5"/>
  <c r="L231" i="5"/>
  <c r="L235" i="5"/>
  <c r="L239" i="5"/>
  <c r="L243" i="5"/>
  <c r="L247" i="5"/>
  <c r="L251" i="5"/>
  <c r="N251" i="5" s="1"/>
  <c r="L255" i="5"/>
  <c r="L259" i="5"/>
  <c r="L263" i="5"/>
  <c r="L267" i="5"/>
  <c r="N267" i="5" s="1"/>
  <c r="L271" i="5"/>
  <c r="L275" i="5"/>
  <c r="L279" i="5"/>
  <c r="L283" i="5"/>
  <c r="N283" i="5" s="1"/>
  <c r="L287" i="5"/>
  <c r="L291" i="5"/>
  <c r="L295" i="5"/>
  <c r="L299" i="5"/>
  <c r="L303" i="5"/>
  <c r="L307" i="5"/>
  <c r="L311" i="5"/>
  <c r="L315" i="5"/>
  <c r="L319" i="5"/>
  <c r="L323" i="5"/>
  <c r="N323" i="5" s="1"/>
  <c r="L327" i="5"/>
  <c r="L332" i="5"/>
  <c r="L336" i="5"/>
  <c r="L340" i="5"/>
  <c r="L344" i="5"/>
  <c r="L348" i="5"/>
  <c r="L352" i="5"/>
  <c r="L356" i="5"/>
  <c r="L360" i="5"/>
  <c r="L364" i="5"/>
  <c r="L368" i="5"/>
  <c r="L372" i="5"/>
  <c r="L376" i="5"/>
  <c r="L380" i="5"/>
  <c r="L384" i="5"/>
  <c r="L388" i="5"/>
  <c r="L392" i="5"/>
  <c r="L396" i="5"/>
  <c r="L400" i="5"/>
  <c r="L404" i="5"/>
  <c r="L408" i="5"/>
  <c r="L412" i="5"/>
  <c r="L416" i="5"/>
  <c r="L420" i="5"/>
  <c r="L424" i="5"/>
  <c r="L428" i="5"/>
  <c r="L432" i="5"/>
  <c r="L436" i="5"/>
  <c r="L440" i="5"/>
  <c r="L444" i="5"/>
  <c r="L448" i="5"/>
  <c r="L452" i="5"/>
  <c r="L456" i="5"/>
  <c r="L460" i="5"/>
  <c r="L464" i="5"/>
  <c r="L468" i="5"/>
  <c r="L472" i="5"/>
  <c r="L476" i="5"/>
  <c r="L480" i="5"/>
  <c r="L484" i="5"/>
  <c r="L488" i="5"/>
  <c r="L492" i="5"/>
  <c r="L496" i="5"/>
  <c r="L500" i="5"/>
  <c r="L504" i="5"/>
  <c r="L508" i="5"/>
  <c r="L512" i="5"/>
  <c r="L516" i="5"/>
  <c r="L520" i="5"/>
  <c r="L524" i="5"/>
  <c r="L528" i="5"/>
  <c r="K636" i="5"/>
  <c r="L636" i="5"/>
  <c r="M638" i="5"/>
  <c r="K638" i="5"/>
  <c r="K437" i="5"/>
  <c r="M437" i="5"/>
  <c r="K441" i="5"/>
  <c r="M441" i="5"/>
  <c r="K445" i="5"/>
  <c r="M445" i="5"/>
  <c r="K449" i="5"/>
  <c r="M449" i="5"/>
  <c r="K453" i="5"/>
  <c r="M453" i="5"/>
  <c r="K457" i="5"/>
  <c r="M457" i="5"/>
  <c r="K461" i="5"/>
  <c r="M461" i="5"/>
  <c r="K465" i="5"/>
  <c r="M465" i="5"/>
  <c r="K469" i="5"/>
  <c r="M469" i="5"/>
  <c r="K473" i="5"/>
  <c r="M473" i="5"/>
  <c r="K477" i="5"/>
  <c r="M477" i="5"/>
  <c r="K481" i="5"/>
  <c r="M481" i="5"/>
  <c r="K485" i="5"/>
  <c r="M485" i="5"/>
  <c r="K489" i="5"/>
  <c r="M489" i="5"/>
  <c r="K493" i="5"/>
  <c r="M493" i="5"/>
  <c r="K497" i="5"/>
  <c r="M497" i="5"/>
  <c r="K501" i="5"/>
  <c r="M501" i="5"/>
  <c r="K505" i="5"/>
  <c r="M505" i="5"/>
  <c r="K509" i="5"/>
  <c r="M509" i="5"/>
  <c r="K513" i="5"/>
  <c r="M513" i="5"/>
  <c r="K517" i="5"/>
  <c r="M517" i="5"/>
  <c r="K521" i="5"/>
  <c r="M521" i="5"/>
  <c r="K525" i="5"/>
  <c r="M525" i="5"/>
  <c r="K529" i="5"/>
  <c r="M529" i="5"/>
  <c r="K632" i="5"/>
  <c r="L632" i="5"/>
  <c r="M634" i="5"/>
  <c r="K634" i="5"/>
  <c r="L682" i="5"/>
  <c r="K688" i="5"/>
  <c r="M688" i="5"/>
  <c r="M716" i="5"/>
  <c r="K716" i="5"/>
  <c r="L532" i="5"/>
  <c r="N532" i="5" s="1"/>
  <c r="L536" i="5"/>
  <c r="N536" i="5" s="1"/>
  <c r="L540" i="5"/>
  <c r="N540" i="5" s="1"/>
  <c r="L544" i="5"/>
  <c r="N544" i="5" s="1"/>
  <c r="L548" i="5"/>
  <c r="N548" i="5" s="1"/>
  <c r="L552" i="5"/>
  <c r="N552" i="5" s="1"/>
  <c r="L556" i="5"/>
  <c r="N556" i="5" s="1"/>
  <c r="L560" i="5"/>
  <c r="N560" i="5" s="1"/>
  <c r="L564" i="5"/>
  <c r="N564" i="5" s="1"/>
  <c r="L568" i="5"/>
  <c r="N568" i="5" s="1"/>
  <c r="L572" i="5"/>
  <c r="N572" i="5" s="1"/>
  <c r="L576" i="5"/>
  <c r="N576" i="5" s="1"/>
  <c r="L580" i="5"/>
  <c r="N580" i="5" s="1"/>
  <c r="L584" i="5"/>
  <c r="N584" i="5" s="1"/>
  <c r="L588" i="5"/>
  <c r="N588" i="5" s="1"/>
  <c r="L592" i="5"/>
  <c r="N592" i="5" s="1"/>
  <c r="L596" i="5"/>
  <c r="N596" i="5" s="1"/>
  <c r="L600" i="5"/>
  <c r="N600" i="5" s="1"/>
  <c r="L604" i="5"/>
  <c r="N604" i="5" s="1"/>
  <c r="L608" i="5"/>
  <c r="N608" i="5" s="1"/>
  <c r="L612" i="5"/>
  <c r="N612" i="5" s="1"/>
  <c r="L616" i="5"/>
  <c r="N616" i="5" s="1"/>
  <c r="L620" i="5"/>
  <c r="N620" i="5" s="1"/>
  <c r="L624" i="5"/>
  <c r="N624" i="5" s="1"/>
  <c r="L646" i="5"/>
  <c r="L650" i="5"/>
  <c r="L654" i="5"/>
  <c r="L658" i="5"/>
  <c r="L662" i="5"/>
  <c r="L666" i="5"/>
  <c r="L670" i="5"/>
  <c r="L674" i="5"/>
  <c r="L678" i="5"/>
  <c r="K684" i="5"/>
  <c r="M684" i="5"/>
  <c r="L694" i="5"/>
  <c r="M724" i="5"/>
  <c r="K724" i="5"/>
  <c r="L439" i="5"/>
  <c r="N439" i="5" s="1"/>
  <c r="L443" i="5"/>
  <c r="N443" i="5" s="1"/>
  <c r="L447" i="5"/>
  <c r="N447" i="5" s="1"/>
  <c r="L451" i="5"/>
  <c r="L455" i="5"/>
  <c r="N455" i="5" s="1"/>
  <c r="L459" i="5"/>
  <c r="N459" i="5" s="1"/>
  <c r="L463" i="5"/>
  <c r="N463" i="5" s="1"/>
  <c r="L467" i="5"/>
  <c r="N467" i="5" s="1"/>
  <c r="L471" i="5"/>
  <c r="N471" i="5" s="1"/>
  <c r="L475" i="5"/>
  <c r="N475" i="5" s="1"/>
  <c r="L479" i="5"/>
  <c r="N479" i="5" s="1"/>
  <c r="L483" i="5"/>
  <c r="N483" i="5" s="1"/>
  <c r="L487" i="5"/>
  <c r="N487" i="5" s="1"/>
  <c r="L491" i="5"/>
  <c r="N491" i="5" s="1"/>
  <c r="L495" i="5"/>
  <c r="N495" i="5" s="1"/>
  <c r="L499" i="5"/>
  <c r="N499" i="5" s="1"/>
  <c r="L503" i="5"/>
  <c r="N503" i="5" s="1"/>
  <c r="L507" i="5"/>
  <c r="N507" i="5" s="1"/>
  <c r="L511" i="5"/>
  <c r="N511" i="5" s="1"/>
  <c r="L515" i="5"/>
  <c r="N515" i="5" s="1"/>
  <c r="L519" i="5"/>
  <c r="N519" i="5" s="1"/>
  <c r="L523" i="5"/>
  <c r="N523" i="5" s="1"/>
  <c r="L527" i="5"/>
  <c r="N527" i="5" s="1"/>
  <c r="L531" i="5"/>
  <c r="L535" i="5"/>
  <c r="L539" i="5"/>
  <c r="L543" i="5"/>
  <c r="L547" i="5"/>
  <c r="L551" i="5"/>
  <c r="L555" i="5"/>
  <c r="L559" i="5"/>
  <c r="L563" i="5"/>
  <c r="L567" i="5"/>
  <c r="L571" i="5"/>
  <c r="L575" i="5"/>
  <c r="L579" i="5"/>
  <c r="L583" i="5"/>
  <c r="L587" i="5"/>
  <c r="L591" i="5"/>
  <c r="L595" i="5"/>
  <c r="L599" i="5"/>
  <c r="L603" i="5"/>
  <c r="L607" i="5"/>
  <c r="L611" i="5"/>
  <c r="L615" i="5"/>
  <c r="L619" i="5"/>
  <c r="L623" i="5"/>
  <c r="L627" i="5"/>
  <c r="L631" i="5"/>
  <c r="L635" i="5"/>
  <c r="L639" i="5"/>
  <c r="K643" i="5"/>
  <c r="M643" i="5"/>
  <c r="K647" i="5"/>
  <c r="M647" i="5"/>
  <c r="K651" i="5"/>
  <c r="M651" i="5"/>
  <c r="K655" i="5"/>
  <c r="M655" i="5"/>
  <c r="K659" i="5"/>
  <c r="M659" i="5"/>
  <c r="K663" i="5"/>
  <c r="M663" i="5"/>
  <c r="K667" i="5"/>
  <c r="M667" i="5"/>
  <c r="K671" i="5"/>
  <c r="M671" i="5"/>
  <c r="K675" i="5"/>
  <c r="M675" i="5"/>
  <c r="K680" i="5"/>
  <c r="M680" i="5"/>
  <c r="L690" i="5"/>
  <c r="K696" i="5"/>
  <c r="L696" i="5"/>
  <c r="M698" i="5"/>
  <c r="K698" i="5"/>
  <c r="K700" i="5"/>
  <c r="L700" i="5"/>
  <c r="M702" i="5"/>
  <c r="K702" i="5"/>
  <c r="M732" i="5"/>
  <c r="K732" i="5"/>
  <c r="N732" i="5" s="1"/>
  <c r="K644" i="5"/>
  <c r="N644" i="5" s="1"/>
  <c r="M644" i="5"/>
  <c r="K648" i="5"/>
  <c r="M648" i="5"/>
  <c r="K652" i="5"/>
  <c r="N652" i="5" s="1"/>
  <c r="M652" i="5"/>
  <c r="K656" i="5"/>
  <c r="M656" i="5"/>
  <c r="K660" i="5"/>
  <c r="N660" i="5" s="1"/>
  <c r="M660" i="5"/>
  <c r="K664" i="5"/>
  <c r="M664" i="5"/>
  <c r="K668" i="5"/>
  <c r="N668" i="5" s="1"/>
  <c r="M668" i="5"/>
  <c r="K672" i="5"/>
  <c r="M672" i="5"/>
  <c r="K676" i="5"/>
  <c r="N676" i="5" s="1"/>
  <c r="M676" i="5"/>
  <c r="K682" i="5"/>
  <c r="L686" i="5"/>
  <c r="L688" i="5"/>
  <c r="K692" i="5"/>
  <c r="M692" i="5"/>
  <c r="L716" i="5"/>
  <c r="M740" i="5"/>
  <c r="K740" i="5"/>
  <c r="K679" i="5"/>
  <c r="N679" i="5" s="1"/>
  <c r="K683" i="5"/>
  <c r="N683" i="5" s="1"/>
  <c r="K687" i="5"/>
  <c r="N687" i="5" s="1"/>
  <c r="K691" i="5"/>
  <c r="N691" i="5" s="1"/>
  <c r="K695" i="5"/>
  <c r="N695" i="5" s="1"/>
  <c r="K699" i="5"/>
  <c r="N699" i="5" s="1"/>
  <c r="K703" i="5"/>
  <c r="N703" i="5" s="1"/>
  <c r="M703" i="5"/>
  <c r="L706" i="5"/>
  <c r="K710" i="5"/>
  <c r="K720" i="5"/>
  <c r="N720" i="5" s="1"/>
  <c r="K728" i="5"/>
  <c r="K736" i="5"/>
  <c r="K744" i="5"/>
  <c r="N744" i="5" s="1"/>
  <c r="K752" i="5"/>
  <c r="N752" i="5" s="1"/>
  <c r="K760" i="5"/>
  <c r="K768" i="5"/>
  <c r="L772" i="5"/>
  <c r="K823" i="5"/>
  <c r="N823" i="5" s="1"/>
  <c r="L823" i="5"/>
  <c r="K707" i="5"/>
  <c r="M707" i="5"/>
  <c r="L710" i="5"/>
  <c r="K714" i="5"/>
  <c r="L720" i="5"/>
  <c r="L728" i="5"/>
  <c r="L736" i="5"/>
  <c r="L744" i="5"/>
  <c r="L752" i="5"/>
  <c r="L760" i="5"/>
  <c r="L768" i="5"/>
  <c r="M776" i="5"/>
  <c r="K776" i="5"/>
  <c r="K843" i="5"/>
  <c r="M843" i="5"/>
  <c r="L843" i="5"/>
  <c r="K711" i="5"/>
  <c r="M711" i="5"/>
  <c r="M714" i="5"/>
  <c r="K748" i="5"/>
  <c r="K756" i="5"/>
  <c r="K764" i="5"/>
  <c r="N764" i="5" s="1"/>
  <c r="L748" i="5"/>
  <c r="L756" i="5"/>
  <c r="L764" i="5"/>
  <c r="K815" i="5"/>
  <c r="L815" i="5"/>
  <c r="K827" i="5"/>
  <c r="M827" i="5"/>
  <c r="L827" i="5"/>
  <c r="K859" i="5"/>
  <c r="N859" i="5" s="1"/>
  <c r="M859" i="5"/>
  <c r="L859" i="5"/>
  <c r="K781" i="5"/>
  <c r="M781" i="5"/>
  <c r="K785" i="5"/>
  <c r="M785" i="5"/>
  <c r="K789" i="5"/>
  <c r="M789" i="5"/>
  <c r="K793" i="5"/>
  <c r="M793" i="5"/>
  <c r="K797" i="5"/>
  <c r="M797" i="5"/>
  <c r="K801" i="5"/>
  <c r="M801" i="5"/>
  <c r="K805" i="5"/>
  <c r="M805" i="5"/>
  <c r="K809" i="5"/>
  <c r="M809" i="5"/>
  <c r="L813" i="5"/>
  <c r="K813" i="5"/>
  <c r="N813" i="5" s="1"/>
  <c r="K831" i="5"/>
  <c r="M831" i="5"/>
  <c r="K847" i="5"/>
  <c r="M847" i="5"/>
  <c r="K863" i="5"/>
  <c r="M863" i="5"/>
  <c r="M892" i="5"/>
  <c r="K892" i="5"/>
  <c r="N892" i="5" s="1"/>
  <c r="L892" i="5"/>
  <c r="K704" i="5"/>
  <c r="N704" i="5" s="1"/>
  <c r="K708" i="5"/>
  <c r="N708" i="5" s="1"/>
  <c r="K712" i="5"/>
  <c r="N712" i="5" s="1"/>
  <c r="K715" i="5"/>
  <c r="K719" i="5"/>
  <c r="K723" i="5"/>
  <c r="K727" i="5"/>
  <c r="N727" i="5" s="1"/>
  <c r="K731" i="5"/>
  <c r="K735" i="5"/>
  <c r="K739" i="5"/>
  <c r="K743" i="5"/>
  <c r="N743" i="5" s="1"/>
  <c r="K747" i="5"/>
  <c r="K751" i="5"/>
  <c r="K755" i="5"/>
  <c r="K759" i="5"/>
  <c r="N759" i="5" s="1"/>
  <c r="K763" i="5"/>
  <c r="K839" i="5"/>
  <c r="M839" i="5"/>
  <c r="K855" i="5"/>
  <c r="N855" i="5" s="1"/>
  <c r="M855" i="5"/>
  <c r="K894" i="5"/>
  <c r="L894" i="5"/>
  <c r="M894" i="5"/>
  <c r="L715" i="5"/>
  <c r="K717" i="5"/>
  <c r="M717" i="5"/>
  <c r="L719" i="5"/>
  <c r="K721" i="5"/>
  <c r="M721" i="5"/>
  <c r="L723" i="5"/>
  <c r="K725" i="5"/>
  <c r="N725" i="5" s="1"/>
  <c r="M725" i="5"/>
  <c r="L727" i="5"/>
  <c r="K729" i="5"/>
  <c r="M729" i="5"/>
  <c r="L731" i="5"/>
  <c r="K733" i="5"/>
  <c r="M733" i="5"/>
  <c r="L735" i="5"/>
  <c r="K737" i="5"/>
  <c r="M737" i="5"/>
  <c r="L739" i="5"/>
  <c r="K741" i="5"/>
  <c r="N741" i="5" s="1"/>
  <c r="M741" i="5"/>
  <c r="L743" i="5"/>
  <c r="K745" i="5"/>
  <c r="M745" i="5"/>
  <c r="L747" i="5"/>
  <c r="K749" i="5"/>
  <c r="M749" i="5"/>
  <c r="L751" i="5"/>
  <c r="K753" i="5"/>
  <c r="M753" i="5"/>
  <c r="L755" i="5"/>
  <c r="K757" i="5"/>
  <c r="N757" i="5" s="1"/>
  <c r="M757" i="5"/>
  <c r="L759" i="5"/>
  <c r="K761" i="5"/>
  <c r="M761" i="5"/>
  <c r="L763" i="5"/>
  <c r="K765" i="5"/>
  <c r="M765" i="5"/>
  <c r="L767" i="5"/>
  <c r="K769" i="5"/>
  <c r="M769" i="5"/>
  <c r="L771" i="5"/>
  <c r="K773" i="5"/>
  <c r="N773" i="5" s="1"/>
  <c r="M773" i="5"/>
  <c r="L775" i="5"/>
  <c r="K777" i="5"/>
  <c r="M777" i="5"/>
  <c r="L780" i="5"/>
  <c r="L781" i="5"/>
  <c r="L784" i="5"/>
  <c r="L785" i="5"/>
  <c r="L788" i="5"/>
  <c r="L789" i="5"/>
  <c r="L792" i="5"/>
  <c r="L793" i="5"/>
  <c r="L796" i="5"/>
  <c r="L797" i="5"/>
  <c r="L800" i="5"/>
  <c r="L801" i="5"/>
  <c r="L804" i="5"/>
  <c r="L805" i="5"/>
  <c r="L808" i="5"/>
  <c r="L809" i="5"/>
  <c r="L812" i="5"/>
  <c r="M813" i="5"/>
  <c r="K819" i="5"/>
  <c r="M819" i="5"/>
  <c r="L831" i="5"/>
  <c r="K835" i="5"/>
  <c r="M835" i="5"/>
  <c r="L847" i="5"/>
  <c r="K851" i="5"/>
  <c r="M851" i="5"/>
  <c r="L863" i="5"/>
  <c r="K867" i="5"/>
  <c r="N867" i="5" s="1"/>
  <c r="M867" i="5"/>
  <c r="M870" i="5"/>
  <c r="K870" i="5"/>
  <c r="N870" i="5" s="1"/>
  <c r="M874" i="5"/>
  <c r="K874" i="5"/>
  <c r="M878" i="5"/>
  <c r="K878" i="5"/>
  <c r="N878" i="5" s="1"/>
  <c r="M882" i="5"/>
  <c r="K882" i="5"/>
  <c r="M886" i="5"/>
  <c r="K886" i="5"/>
  <c r="N886" i="5" s="1"/>
  <c r="M896" i="5"/>
  <c r="K896" i="5"/>
  <c r="L896" i="5"/>
  <c r="K898" i="5"/>
  <c r="L898" i="5"/>
  <c r="M898" i="5"/>
  <c r="M900" i="5"/>
  <c r="K900" i="5"/>
  <c r="L900" i="5"/>
  <c r="M904" i="5"/>
  <c r="K904" i="5"/>
  <c r="L904" i="5"/>
  <c r="M908" i="5"/>
  <c r="K908" i="5"/>
  <c r="L908" i="5"/>
  <c r="M912" i="5"/>
  <c r="K912" i="5"/>
  <c r="N912" i="5" s="1"/>
  <c r="L912" i="5"/>
  <c r="M916" i="5"/>
  <c r="K916" i="5"/>
  <c r="L916" i="5"/>
  <c r="M920" i="5"/>
  <c r="K920" i="5"/>
  <c r="L920" i="5"/>
  <c r="M924" i="5"/>
  <c r="K924" i="5"/>
  <c r="L924" i="5"/>
  <c r="L779" i="5"/>
  <c r="L783" i="5"/>
  <c r="L787" i="5"/>
  <c r="L791" i="5"/>
  <c r="L795" i="5"/>
  <c r="L799" i="5"/>
  <c r="L803" i="5"/>
  <c r="L807" i="5"/>
  <c r="L811" i="5"/>
  <c r="L814" i="5"/>
  <c r="K816" i="5"/>
  <c r="M816" i="5"/>
  <c r="L818" i="5"/>
  <c r="K820" i="5"/>
  <c r="N820" i="5" s="1"/>
  <c r="M820" i="5"/>
  <c r="L822" i="5"/>
  <c r="K824" i="5"/>
  <c r="M824" i="5"/>
  <c r="L826" i="5"/>
  <c r="K828" i="5"/>
  <c r="M828" i="5"/>
  <c r="L830" i="5"/>
  <c r="K832" i="5"/>
  <c r="M832" i="5"/>
  <c r="L834" i="5"/>
  <c r="K836" i="5"/>
  <c r="N836" i="5" s="1"/>
  <c r="M836" i="5"/>
  <c r="L838" i="5"/>
  <c r="K840" i="5"/>
  <c r="M840" i="5"/>
  <c r="L842" i="5"/>
  <c r="K844" i="5"/>
  <c r="M844" i="5"/>
  <c r="L846" i="5"/>
  <c r="K848" i="5"/>
  <c r="M848" i="5"/>
  <c r="L850" i="5"/>
  <c r="K852" i="5"/>
  <c r="N852" i="5" s="1"/>
  <c r="M852" i="5"/>
  <c r="L854" i="5"/>
  <c r="K856" i="5"/>
  <c r="M856" i="5"/>
  <c r="L858" i="5"/>
  <c r="K860" i="5"/>
  <c r="M860" i="5"/>
  <c r="L862" i="5"/>
  <c r="K864" i="5"/>
  <c r="M864" i="5"/>
  <c r="L866" i="5"/>
  <c r="K868" i="5"/>
  <c r="N868" i="5" s="1"/>
  <c r="M868" i="5"/>
  <c r="K872" i="5"/>
  <c r="M872" i="5"/>
  <c r="K876" i="5"/>
  <c r="N876" i="5" s="1"/>
  <c r="M876" i="5"/>
  <c r="K880" i="5"/>
  <c r="M880" i="5"/>
  <c r="K884" i="5"/>
  <c r="N884" i="5" s="1"/>
  <c r="M884" i="5"/>
  <c r="M888" i="5"/>
  <c r="K888" i="5"/>
  <c r="L888" i="5"/>
  <c r="K890" i="5"/>
  <c r="L890" i="5"/>
  <c r="M890" i="5"/>
  <c r="L889" i="5"/>
  <c r="L893" i="5"/>
  <c r="L897" i="5"/>
  <c r="L901" i="5"/>
  <c r="L905" i="5"/>
  <c r="L909" i="5"/>
  <c r="L913" i="5"/>
  <c r="L917" i="5"/>
  <c r="L921" i="5"/>
  <c r="K925" i="5"/>
  <c r="M925" i="5"/>
  <c r="K926" i="5"/>
  <c r="L926" i="5"/>
  <c r="M928" i="5"/>
  <c r="K928" i="5"/>
  <c r="K929" i="5"/>
  <c r="M929" i="5"/>
  <c r="K930" i="5"/>
  <c r="L930" i="5"/>
  <c r="M932" i="5"/>
  <c r="K932" i="5"/>
  <c r="N932" i="5" s="1"/>
  <c r="K933" i="5"/>
  <c r="M933" i="5"/>
  <c r="K934" i="5"/>
  <c r="L934" i="5"/>
  <c r="M936" i="5"/>
  <c r="K936" i="5"/>
  <c r="K937" i="5"/>
  <c r="M937" i="5"/>
  <c r="K938" i="5"/>
  <c r="L938" i="5"/>
  <c r="M940" i="5"/>
  <c r="K940" i="5"/>
  <c r="N940" i="5" s="1"/>
  <c r="K941" i="5"/>
  <c r="M941" i="5"/>
  <c r="K942" i="5"/>
  <c r="L942" i="5"/>
  <c r="M944" i="5"/>
  <c r="K944" i="5"/>
  <c r="K945" i="5"/>
  <c r="M945" i="5"/>
  <c r="K946" i="5"/>
  <c r="L946" i="5"/>
  <c r="M948" i="5"/>
  <c r="K948" i="5"/>
  <c r="N948" i="5" s="1"/>
  <c r="K949" i="5"/>
  <c r="M949" i="5"/>
  <c r="K950" i="5"/>
  <c r="L950" i="5"/>
  <c r="M952" i="5"/>
  <c r="K952" i="5"/>
  <c r="K953" i="5"/>
  <c r="M953" i="5"/>
  <c r="K954" i="5"/>
  <c r="L954" i="5"/>
  <c r="M956" i="5"/>
  <c r="K956" i="5"/>
  <c r="N956" i="5" s="1"/>
  <c r="K957" i="5"/>
  <c r="M957" i="5"/>
  <c r="K958" i="5"/>
  <c r="L958" i="5"/>
  <c r="M960" i="5"/>
  <c r="K960" i="5"/>
  <c r="K961" i="5"/>
  <c r="M961" i="5"/>
  <c r="K962" i="5"/>
  <c r="L962" i="5"/>
  <c r="M964" i="5"/>
  <c r="K964" i="5"/>
  <c r="N964" i="5" s="1"/>
  <c r="K965" i="5"/>
  <c r="M965" i="5"/>
  <c r="K966" i="5"/>
  <c r="L966" i="5"/>
  <c r="M968" i="5"/>
  <c r="K968" i="5"/>
  <c r="K969" i="5"/>
  <c r="M969" i="5"/>
  <c r="K970" i="5"/>
  <c r="L970" i="5"/>
  <c r="K902" i="5"/>
  <c r="L902" i="5"/>
  <c r="K906" i="5"/>
  <c r="L906" i="5"/>
  <c r="K910" i="5"/>
  <c r="L910" i="5"/>
  <c r="K914" i="5"/>
  <c r="L914" i="5"/>
  <c r="K918" i="5"/>
  <c r="L918" i="5"/>
  <c r="K922" i="5"/>
  <c r="L922" i="5"/>
  <c r="L972" i="5"/>
  <c r="N167" i="5" l="1"/>
  <c r="N146" i="5"/>
  <c r="N640" i="5"/>
  <c r="N621" i="5"/>
  <c r="N613" i="5"/>
  <c r="N605" i="5"/>
  <c r="N597" i="5"/>
  <c r="N589" i="5"/>
  <c r="N581" i="5"/>
  <c r="N573" i="5"/>
  <c r="N565" i="5"/>
  <c r="N557" i="5"/>
  <c r="N549" i="5"/>
  <c r="N541" i="5"/>
  <c r="N533" i="5"/>
  <c r="N425" i="5"/>
  <c r="N409" i="5"/>
  <c r="N393" i="5"/>
  <c r="N377" i="5"/>
  <c r="N361" i="5"/>
  <c r="N345" i="5"/>
  <c r="N329" i="5"/>
  <c r="N321" i="5"/>
  <c r="N313" i="5"/>
  <c r="N305" i="5"/>
  <c r="N297" i="5"/>
  <c r="N289" i="5"/>
  <c r="N281" i="5"/>
  <c r="N273" i="5"/>
  <c r="N265" i="5"/>
  <c r="N257" i="5"/>
  <c r="N249" i="5"/>
  <c r="N433" i="5"/>
  <c r="N417" i="5"/>
  <c r="N401" i="5"/>
  <c r="N385" i="5"/>
  <c r="N369" i="5"/>
  <c r="N353" i="5"/>
  <c r="N337" i="5"/>
  <c r="N391" i="5"/>
  <c r="N233" i="5"/>
  <c r="N217" i="5"/>
  <c r="N197" i="5"/>
  <c r="N181" i="5"/>
  <c r="N357" i="5"/>
  <c r="N174" i="5"/>
  <c r="N968" i="5"/>
  <c r="N960" i="5"/>
  <c r="N952" i="5"/>
  <c r="N944" i="5"/>
  <c r="N936" i="5"/>
  <c r="N928" i="5"/>
  <c r="N756" i="5"/>
  <c r="N776" i="5"/>
  <c r="N634" i="5"/>
  <c r="N638" i="5"/>
  <c r="N642" i="5"/>
  <c r="N427" i="5"/>
  <c r="N411" i="5"/>
  <c r="N395" i="5"/>
  <c r="N379" i="5"/>
  <c r="N363" i="5"/>
  <c r="N347" i="5"/>
  <c r="N331" i="5"/>
  <c r="N435" i="5"/>
  <c r="N419" i="5"/>
  <c r="N403" i="5"/>
  <c r="N387" i="5"/>
  <c r="N371" i="5"/>
  <c r="N355" i="5"/>
  <c r="N339" i="5"/>
  <c r="N132" i="5"/>
  <c r="N127" i="5"/>
  <c r="N116" i="5"/>
  <c r="N111" i="5"/>
  <c r="N100" i="5"/>
  <c r="N95" i="5"/>
  <c r="N84" i="5"/>
  <c r="N79" i="5"/>
  <c r="N63" i="5"/>
  <c r="N47" i="5"/>
  <c r="N36" i="5"/>
  <c r="N28" i="5"/>
  <c r="N160" i="5"/>
  <c r="N405" i="5"/>
  <c r="N148" i="5"/>
  <c r="N133" i="5"/>
  <c r="N117" i="5"/>
  <c r="N101" i="5"/>
  <c r="N85" i="5"/>
  <c r="N69" i="5"/>
  <c r="N53" i="5"/>
  <c r="N37" i="5"/>
  <c r="N444" i="5"/>
  <c r="N460" i="5"/>
  <c r="N476" i="5"/>
  <c r="N492" i="5"/>
  <c r="N508" i="5"/>
  <c r="N524" i="5"/>
  <c r="N531" i="5"/>
  <c r="N547" i="5"/>
  <c r="N563" i="5"/>
  <c r="N579" i="5"/>
  <c r="N595" i="5"/>
  <c r="N611" i="5"/>
  <c r="N627" i="5"/>
  <c r="N690" i="5"/>
  <c r="N162" i="5"/>
  <c r="N142" i="5"/>
  <c r="N155" i="5"/>
  <c r="N131" i="5"/>
  <c r="N115" i="5"/>
  <c r="N99" i="5"/>
  <c r="N83" i="5"/>
  <c r="N72" i="5"/>
  <c r="N67" i="5"/>
  <c r="N51" i="5"/>
  <c r="N40" i="5"/>
  <c r="N26" i="5"/>
  <c r="N18" i="5"/>
  <c r="N10" i="5"/>
  <c r="N159" i="5"/>
  <c r="N628" i="5"/>
  <c r="N147" i="5"/>
  <c r="N647" i="5"/>
  <c r="N227" i="5"/>
  <c r="N211" i="5"/>
  <c r="N259" i="5"/>
  <c r="N3" i="5"/>
  <c r="Z3" i="5"/>
  <c r="N279" i="5"/>
  <c r="N192" i="5"/>
  <c r="N208" i="5"/>
  <c r="N224" i="5"/>
  <c r="N240" i="5"/>
  <c r="N256" i="5"/>
  <c r="N272" i="5"/>
  <c r="N288" i="5"/>
  <c r="N304" i="5"/>
  <c r="N320" i="5"/>
  <c r="N327" i="5"/>
  <c r="N336" i="5"/>
  <c r="N344" i="5"/>
  <c r="N352" i="5"/>
  <c r="N360" i="5"/>
  <c r="N368" i="5"/>
  <c r="N376" i="5"/>
  <c r="N384" i="5"/>
  <c r="N392" i="5"/>
  <c r="N400" i="5"/>
  <c r="N408" i="5"/>
  <c r="N416" i="5"/>
  <c r="N424" i="5"/>
  <c r="N432" i="5"/>
  <c r="N662" i="5"/>
  <c r="N678" i="5"/>
  <c r="N635" i="5"/>
  <c r="N811" i="5"/>
  <c r="N807" i="5"/>
  <c r="N772" i="5"/>
  <c r="N814" i="5"/>
  <c r="N905" i="5"/>
  <c r="N921" i="5"/>
  <c r="N780" i="5"/>
  <c r="N796" i="5"/>
  <c r="N812" i="5"/>
  <c r="N834" i="5"/>
  <c r="N850" i="5"/>
  <c r="N866" i="5"/>
  <c r="N972" i="5"/>
  <c r="N918" i="5"/>
  <c r="N902" i="5"/>
  <c r="N966" i="5"/>
  <c r="N961" i="5"/>
  <c r="N950" i="5"/>
  <c r="N945" i="5"/>
  <c r="N934" i="5"/>
  <c r="N929" i="5"/>
  <c r="N856" i="5"/>
  <c r="N900" i="5"/>
  <c r="N819" i="5"/>
  <c r="N761" i="5"/>
  <c r="N755" i="5"/>
  <c r="N723" i="5"/>
  <c r="N797" i="5"/>
  <c r="N781" i="5"/>
  <c r="N815" i="5"/>
  <c r="N843" i="5"/>
  <c r="N680" i="5"/>
  <c r="N663" i="5"/>
  <c r="N632" i="5"/>
  <c r="N517" i="5"/>
  <c r="N501" i="5"/>
  <c r="N485" i="5"/>
  <c r="N469" i="5"/>
  <c r="N453" i="5"/>
  <c r="N437" i="5"/>
  <c r="N291" i="5"/>
  <c r="N880" i="5"/>
  <c r="N844" i="5"/>
  <c r="N828" i="5"/>
  <c r="N920" i="5"/>
  <c r="N835" i="5"/>
  <c r="N765" i="5"/>
  <c r="N733" i="5"/>
  <c r="N717" i="5"/>
  <c r="N839" i="5"/>
  <c r="N735" i="5"/>
  <c r="N711" i="5"/>
  <c r="N707" i="5"/>
  <c r="N736" i="5"/>
  <c r="N682" i="5"/>
  <c r="N664" i="5"/>
  <c r="N648" i="5"/>
  <c r="N700" i="5"/>
  <c r="N303" i="5"/>
  <c r="N231" i="5"/>
  <c r="N221" i="5"/>
  <c r="N161" i="5"/>
  <c r="N120" i="5"/>
  <c r="N104" i="5"/>
  <c r="N243" i="5"/>
  <c r="N149" i="5"/>
  <c r="E6" i="2"/>
  <c r="H12" i="1"/>
  <c r="N421" i="5"/>
  <c r="N263" i="5"/>
  <c r="N169" i="5"/>
  <c r="N137" i="5"/>
  <c r="N121" i="5"/>
  <c r="N105" i="5"/>
  <c r="N89" i="5"/>
  <c r="N73" i="5"/>
  <c r="N57" i="5"/>
  <c r="N41" i="5"/>
  <c r="N13" i="5"/>
  <c r="N5" i="5"/>
  <c r="N196" i="5"/>
  <c r="N212" i="5"/>
  <c r="N228" i="5"/>
  <c r="N244" i="5"/>
  <c r="N260" i="5"/>
  <c r="N276" i="5"/>
  <c r="N292" i="5"/>
  <c r="N308" i="5"/>
  <c r="N324" i="5"/>
  <c r="N448" i="5"/>
  <c r="N464" i="5"/>
  <c r="N480" i="5"/>
  <c r="N496" i="5"/>
  <c r="N512" i="5"/>
  <c r="N528" i="5"/>
  <c r="N650" i="5"/>
  <c r="N666" i="5"/>
  <c r="N694" i="5"/>
  <c r="N535" i="5"/>
  <c r="N551" i="5"/>
  <c r="N567" i="5"/>
  <c r="N583" i="5"/>
  <c r="N599" i="5"/>
  <c r="N615" i="5"/>
  <c r="N783" i="5"/>
  <c r="N787" i="5"/>
  <c r="N822" i="5"/>
  <c r="N909" i="5"/>
  <c r="N767" i="5"/>
  <c r="N784" i="5"/>
  <c r="N800" i="5"/>
  <c r="N818" i="5"/>
  <c r="N838" i="5"/>
  <c r="N854" i="5"/>
  <c r="N389" i="5"/>
  <c r="N910" i="5"/>
  <c r="N969" i="5"/>
  <c r="N958" i="5"/>
  <c r="N953" i="5"/>
  <c r="N942" i="5"/>
  <c r="N937" i="5"/>
  <c r="N926" i="5"/>
  <c r="N888" i="5"/>
  <c r="N840" i="5"/>
  <c r="N824" i="5"/>
  <c r="N916" i="5"/>
  <c r="N898" i="5"/>
  <c r="N777" i="5"/>
  <c r="N745" i="5"/>
  <c r="N729" i="5"/>
  <c r="N739" i="5"/>
  <c r="N847" i="5"/>
  <c r="N805" i="5"/>
  <c r="N789" i="5"/>
  <c r="N710" i="5"/>
  <c r="N671" i="5"/>
  <c r="N655" i="5"/>
  <c r="N716" i="5"/>
  <c r="N525" i="5"/>
  <c r="N509" i="5"/>
  <c r="N493" i="5"/>
  <c r="N477" i="5"/>
  <c r="N461" i="5"/>
  <c r="N445" i="5"/>
  <c r="N636" i="5"/>
  <c r="N307" i="5"/>
  <c r="N872" i="5"/>
  <c r="N860" i="5"/>
  <c r="N904" i="5"/>
  <c r="N749" i="5"/>
  <c r="N894" i="5"/>
  <c r="N751" i="5"/>
  <c r="N719" i="5"/>
  <c r="N768" i="5"/>
  <c r="N672" i="5"/>
  <c r="N656" i="5"/>
  <c r="N696" i="5"/>
  <c r="N407" i="5"/>
  <c r="N343" i="5"/>
  <c r="N287" i="5"/>
  <c r="N237" i="5"/>
  <c r="N215" i="5"/>
  <c r="N205" i="5"/>
  <c r="N189" i="5"/>
  <c r="N136" i="5"/>
  <c r="N88" i="5"/>
  <c r="N56" i="5"/>
  <c r="N8" i="5"/>
  <c r="N922" i="5"/>
  <c r="N914" i="5"/>
  <c r="N906" i="5"/>
  <c r="N970" i="5"/>
  <c r="N965" i="5"/>
  <c r="N962" i="5"/>
  <c r="N957" i="5"/>
  <c r="N954" i="5"/>
  <c r="N949" i="5"/>
  <c r="N946" i="5"/>
  <c r="N941" i="5"/>
  <c r="N938" i="5"/>
  <c r="N933" i="5"/>
  <c r="N930" i="5"/>
  <c r="N925" i="5"/>
  <c r="N890" i="5"/>
  <c r="N864" i="5"/>
  <c r="N848" i="5"/>
  <c r="N832" i="5"/>
  <c r="N816" i="5"/>
  <c r="N924" i="5"/>
  <c r="N908" i="5"/>
  <c r="N896" i="5"/>
  <c r="N882" i="5"/>
  <c r="N874" i="5"/>
  <c r="N851" i="5"/>
  <c r="N769" i="5"/>
  <c r="N753" i="5"/>
  <c r="N737" i="5"/>
  <c r="N721" i="5"/>
  <c r="N763" i="5"/>
  <c r="N747" i="5"/>
  <c r="N731" i="5"/>
  <c r="N715" i="5"/>
  <c r="N863" i="5"/>
  <c r="N831" i="5"/>
  <c r="N809" i="5"/>
  <c r="N801" i="5"/>
  <c r="N793" i="5"/>
  <c r="N785" i="5"/>
  <c r="N827" i="5"/>
  <c r="N748" i="5"/>
  <c r="N714" i="5"/>
  <c r="N760" i="5"/>
  <c r="N728" i="5"/>
  <c r="N740" i="5"/>
  <c r="N692" i="5"/>
  <c r="N702" i="5"/>
  <c r="N698" i="5"/>
  <c r="N675" i="5"/>
  <c r="N667" i="5"/>
  <c r="N659" i="5"/>
  <c r="N651" i="5"/>
  <c r="N643" i="5"/>
  <c r="N724" i="5"/>
  <c r="N684" i="5"/>
  <c r="N529" i="5"/>
  <c r="N521" i="5"/>
  <c r="N513" i="5"/>
  <c r="N505" i="5"/>
  <c r="N497" i="5"/>
  <c r="N489" i="5"/>
  <c r="N481" i="5"/>
  <c r="N473" i="5"/>
  <c r="N465" i="5"/>
  <c r="N457" i="5"/>
  <c r="N449" i="5"/>
  <c r="N441" i="5"/>
  <c r="N625" i="5"/>
  <c r="N617" i="5"/>
  <c r="N609" i="5"/>
  <c r="N601" i="5"/>
  <c r="N593" i="5"/>
  <c r="N585" i="5"/>
  <c r="N577" i="5"/>
  <c r="N569" i="5"/>
  <c r="N561" i="5"/>
  <c r="N553" i="5"/>
  <c r="N545" i="5"/>
  <c r="N537" i="5"/>
  <c r="N325" i="5"/>
  <c r="N317" i="5"/>
  <c r="N309" i="5"/>
  <c r="N301" i="5"/>
  <c r="N293" i="5"/>
  <c r="N285" i="5"/>
  <c r="N277" i="5"/>
  <c r="N269" i="5"/>
  <c r="N261" i="5"/>
  <c r="N253" i="5"/>
  <c r="N245" i="5"/>
  <c r="N429" i="5"/>
  <c r="N413" i="5"/>
  <c r="N397" i="5"/>
  <c r="N381" i="5"/>
  <c r="N365" i="5"/>
  <c r="N349" i="5"/>
  <c r="N333" i="5"/>
  <c r="N423" i="5"/>
  <c r="N359" i="5"/>
  <c r="N299" i="5"/>
  <c r="N271" i="5"/>
  <c r="N241" i="5"/>
  <c r="N235" i="5"/>
  <c r="N225" i="5"/>
  <c r="N219" i="5"/>
  <c r="N209" i="5"/>
  <c r="N193" i="5"/>
  <c r="N177" i="5"/>
  <c r="N135" i="5"/>
  <c r="N119" i="5"/>
  <c r="N103" i="5"/>
  <c r="N87" i="5"/>
  <c r="N71" i="5"/>
  <c r="N55" i="5"/>
  <c r="N39" i="5"/>
  <c r="N32" i="5"/>
  <c r="N24" i="5"/>
  <c r="N16" i="5"/>
  <c r="N315" i="5"/>
  <c r="N176" i="5"/>
  <c r="N144" i="5"/>
  <c r="N12" i="5"/>
  <c r="N7" i="5"/>
  <c r="N4" i="5"/>
  <c r="N341" i="5"/>
  <c r="N151" i="5"/>
  <c r="P6" i="5"/>
  <c r="AB5" i="5"/>
  <c r="X5" i="5"/>
  <c r="T5" i="5"/>
  <c r="AA5" i="5"/>
  <c r="V5" i="5"/>
  <c r="Q5" i="5"/>
  <c r="W5" i="5"/>
  <c r="Z5" i="5"/>
  <c r="U5" i="5"/>
  <c r="Y5" i="5"/>
  <c r="S5" i="5"/>
  <c r="R5" i="5"/>
  <c r="N247" i="5"/>
  <c r="N164" i="5"/>
  <c r="N125" i="5"/>
  <c r="N109" i="5"/>
  <c r="N93" i="5"/>
  <c r="N77" i="5"/>
  <c r="N61" i="5"/>
  <c r="N45" i="5"/>
  <c r="N184" i="5"/>
  <c r="N200" i="5"/>
  <c r="N216" i="5"/>
  <c r="N232" i="5"/>
  <c r="N248" i="5"/>
  <c r="N264" i="5"/>
  <c r="N280" i="5"/>
  <c r="N296" i="5"/>
  <c r="N312" i="5"/>
  <c r="N180" i="5"/>
  <c r="N332" i="5"/>
  <c r="N340" i="5"/>
  <c r="N348" i="5"/>
  <c r="N356" i="5"/>
  <c r="N364" i="5"/>
  <c r="N372" i="5"/>
  <c r="N380" i="5"/>
  <c r="N388" i="5"/>
  <c r="N396" i="5"/>
  <c r="N404" i="5"/>
  <c r="N412" i="5"/>
  <c r="N420" i="5"/>
  <c r="N428" i="5"/>
  <c r="N436" i="5"/>
  <c r="N452" i="5"/>
  <c r="N468" i="5"/>
  <c r="N484" i="5"/>
  <c r="N500" i="5"/>
  <c r="N516" i="5"/>
  <c r="N646" i="5"/>
  <c r="N654" i="5"/>
  <c r="N670" i="5"/>
  <c r="N539" i="5"/>
  <c r="N555" i="5"/>
  <c r="N571" i="5"/>
  <c r="N587" i="5"/>
  <c r="N603" i="5"/>
  <c r="N619" i="5"/>
  <c r="N631" i="5"/>
  <c r="N639" i="5"/>
  <c r="N686" i="5"/>
  <c r="N799" i="5"/>
  <c r="N779" i="5"/>
  <c r="N803" i="5"/>
  <c r="N897" i="5"/>
  <c r="N913" i="5"/>
  <c r="N771" i="5"/>
  <c r="N788" i="5"/>
  <c r="N804" i="5"/>
  <c r="N826" i="5"/>
  <c r="N842" i="5"/>
  <c r="N858" i="5"/>
  <c r="N688" i="5"/>
  <c r="N630" i="5"/>
  <c r="N431" i="5"/>
  <c r="N415" i="5"/>
  <c r="N399" i="5"/>
  <c r="N383" i="5"/>
  <c r="N367" i="5"/>
  <c r="N351" i="5"/>
  <c r="N335" i="5"/>
  <c r="N375" i="5"/>
  <c r="N311" i="5"/>
  <c r="N295" i="5"/>
  <c r="N255" i="5"/>
  <c r="N239" i="5"/>
  <c r="N223" i="5"/>
  <c r="N139" i="5"/>
  <c r="N123" i="5"/>
  <c r="N107" i="5"/>
  <c r="N91" i="5"/>
  <c r="N75" i="5"/>
  <c r="N64" i="5"/>
  <c r="N59" i="5"/>
  <c r="N48" i="5"/>
  <c r="N43" i="5"/>
  <c r="N275" i="5"/>
  <c r="N175" i="5"/>
  <c r="N165" i="5"/>
  <c r="N143" i="5"/>
  <c r="N11" i="5"/>
  <c r="I5" i="4"/>
  <c r="H19" i="4"/>
  <c r="H19" i="3"/>
  <c r="I5" i="3"/>
  <c r="N373" i="5"/>
  <c r="N319" i="5"/>
  <c r="N163" i="5"/>
  <c r="N153" i="5"/>
  <c r="N129" i="5"/>
  <c r="N113" i="5"/>
  <c r="N97" i="5"/>
  <c r="N81" i="5"/>
  <c r="N65" i="5"/>
  <c r="N49" i="5"/>
  <c r="N9" i="5"/>
  <c r="N2" i="5"/>
  <c r="Z2" i="5"/>
  <c r="N188" i="5"/>
  <c r="N204" i="5"/>
  <c r="N220" i="5"/>
  <c r="N236" i="5"/>
  <c r="N252" i="5"/>
  <c r="N268" i="5"/>
  <c r="N284" i="5"/>
  <c r="N300" i="5"/>
  <c r="N316" i="5"/>
  <c r="N328" i="5"/>
  <c r="N440" i="5"/>
  <c r="N456" i="5"/>
  <c r="N472" i="5"/>
  <c r="N488" i="5"/>
  <c r="N504" i="5"/>
  <c r="N520" i="5"/>
  <c r="N658" i="5"/>
  <c r="N674" i="5"/>
  <c r="N543" i="5"/>
  <c r="N559" i="5"/>
  <c r="N575" i="5"/>
  <c r="N591" i="5"/>
  <c r="N607" i="5"/>
  <c r="N623" i="5"/>
  <c r="N706" i="5"/>
  <c r="N795" i="5"/>
  <c r="N791" i="5"/>
  <c r="N901" i="5"/>
  <c r="N917" i="5"/>
  <c r="N775" i="5"/>
  <c r="N792" i="5"/>
  <c r="N808" i="5"/>
  <c r="N830" i="5"/>
  <c r="N846" i="5"/>
  <c r="N862" i="5"/>
  <c r="N889" i="5"/>
  <c r="N893" i="5"/>
  <c r="N173" i="5"/>
  <c r="N141" i="5"/>
  <c r="E7" i="4" l="1"/>
  <c r="E14" i="1"/>
  <c r="F14" i="1" s="1"/>
  <c r="G14" i="1" s="1"/>
  <c r="E6" i="4"/>
  <c r="E13" i="1"/>
  <c r="E7" i="3"/>
  <c r="E6" i="3"/>
  <c r="P7" i="5"/>
  <c r="AB6" i="5"/>
  <c r="X6" i="5"/>
  <c r="T6" i="5"/>
  <c r="W6" i="5"/>
  <c r="R6" i="5"/>
  <c r="Y6" i="5"/>
  <c r="AA6" i="5"/>
  <c r="V6" i="5"/>
  <c r="Q6" i="5"/>
  <c r="Z6" i="5"/>
  <c r="U6" i="5"/>
  <c r="S6" i="5"/>
  <c r="D5" i="1"/>
  <c r="F12" i="1"/>
  <c r="L13" i="1" l="1"/>
  <c r="L5" i="3" s="1"/>
  <c r="L12" i="1"/>
  <c r="L5" i="2" s="1"/>
  <c r="L14" i="1"/>
  <c r="L5" i="4" s="1"/>
  <c r="J14" i="1"/>
  <c r="J13" i="1"/>
  <c r="H5" i="1"/>
  <c r="G6" i="1" s="1"/>
  <c r="F13" i="1"/>
  <c r="G13" i="1" s="1"/>
  <c r="P8" i="5"/>
  <c r="AB7" i="5"/>
  <c r="X7" i="5"/>
  <c r="T7" i="5"/>
  <c r="Y7" i="5"/>
  <c r="S7" i="5"/>
  <c r="Z7" i="5"/>
  <c r="U7" i="5"/>
  <c r="W7" i="5"/>
  <c r="R7" i="5"/>
  <c r="AA7" i="5"/>
  <c r="V7" i="5"/>
  <c r="Q7" i="5"/>
  <c r="J12" i="1"/>
  <c r="G12" i="1"/>
  <c r="E7" i="1"/>
  <c r="G7" i="1" s="1"/>
  <c r="O19" i="4" l="1"/>
  <c r="Q19" i="4"/>
  <c r="P19" i="4" s="1"/>
  <c r="O19" i="2"/>
  <c r="Q19" i="2"/>
  <c r="P19" i="2" s="1"/>
  <c r="G5" i="4"/>
  <c r="G5" i="3"/>
  <c r="G5" i="2"/>
  <c r="P9" i="5"/>
  <c r="AB8" i="5"/>
  <c r="X8" i="5"/>
  <c r="T8" i="5"/>
  <c r="Z8" i="5"/>
  <c r="U8" i="5"/>
  <c r="AA8" i="5"/>
  <c r="V8" i="5"/>
  <c r="Q8" i="5"/>
  <c r="Y8" i="5"/>
  <c r="S8" i="5"/>
  <c r="W8" i="5"/>
  <c r="R8" i="5"/>
  <c r="Q19" i="3"/>
  <c r="O19" i="3"/>
  <c r="P19" i="3" l="1"/>
  <c r="G7" i="4"/>
  <c r="G7" i="3"/>
  <c r="G7" i="2"/>
  <c r="P10" i="5"/>
  <c r="AB9" i="5"/>
  <c r="X9" i="5"/>
  <c r="T9" i="5"/>
  <c r="AA9" i="5"/>
  <c r="V9" i="5"/>
  <c r="Q9" i="5"/>
  <c r="R9" i="5"/>
  <c r="Z9" i="5"/>
  <c r="U9" i="5"/>
  <c r="W9" i="5"/>
  <c r="Y9" i="5"/>
  <c r="S9" i="5"/>
  <c r="P11" i="5" l="1"/>
  <c r="AB10" i="5"/>
  <c r="X10" i="5"/>
  <c r="T10" i="5"/>
  <c r="W10" i="5"/>
  <c r="R10" i="5"/>
  <c r="AA10" i="5"/>
  <c r="V10" i="5"/>
  <c r="Q10" i="5"/>
  <c r="S10" i="5"/>
  <c r="Z10" i="5"/>
  <c r="U10" i="5"/>
  <c r="Y10" i="5"/>
  <c r="P12" i="5" l="1"/>
  <c r="AB11" i="5"/>
  <c r="X11" i="5"/>
  <c r="T11" i="5"/>
  <c r="Y11" i="5"/>
  <c r="S11" i="5"/>
  <c r="Z11" i="5"/>
  <c r="W11" i="5"/>
  <c r="R11" i="5"/>
  <c r="AA11" i="5"/>
  <c r="V11" i="5"/>
  <c r="Q11" i="5"/>
  <c r="U11" i="5"/>
  <c r="P13" i="5" l="1"/>
  <c r="AB12" i="5"/>
  <c r="X12" i="5"/>
  <c r="T12" i="5"/>
  <c r="Z12" i="5"/>
  <c r="U12" i="5"/>
  <c r="Y12" i="5"/>
  <c r="S12" i="5"/>
  <c r="V12" i="5"/>
  <c r="W12" i="5"/>
  <c r="R12" i="5"/>
  <c r="AA12" i="5"/>
  <c r="Q12" i="5"/>
  <c r="AB13" i="5" l="1"/>
  <c r="X13" i="5"/>
  <c r="T13" i="5"/>
  <c r="AA13" i="5"/>
  <c r="V13" i="5"/>
  <c r="Q13" i="5"/>
  <c r="W13" i="5"/>
  <c r="R13" i="5"/>
  <c r="Z13" i="5"/>
  <c r="U13" i="5"/>
  <c r="Y13" i="5"/>
  <c r="S13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<sst xmlns="http://schemas.openxmlformats.org/spreadsheetml/2006/main" count="1356" uniqueCount="273">
  <si>
    <t>Alocação Geral</t>
  </si>
  <si>
    <t>Patrimônio Total</t>
  </si>
  <si>
    <t>Investido</t>
  </si>
  <si>
    <t>Disponível para Aporte</t>
  </si>
  <si>
    <t>%Cres.:</t>
  </si>
  <si>
    <t>L/P:</t>
  </si>
  <si>
    <t>%L/P:</t>
  </si>
  <si>
    <t>Tabela de Distribuição de Classes</t>
  </si>
  <si>
    <t>Tipo</t>
  </si>
  <si>
    <t>L/P</t>
  </si>
  <si>
    <t>%L/P</t>
  </si>
  <si>
    <t>Patrimônio Atual</t>
  </si>
  <si>
    <t>Peso ideal</t>
  </si>
  <si>
    <t xml:space="preserve">Peso atual </t>
  </si>
  <si>
    <t>Status</t>
  </si>
  <si>
    <t>Aporte equílibrio</t>
  </si>
  <si>
    <t>Ações</t>
  </si>
  <si>
    <t>BDRs</t>
  </si>
  <si>
    <t>FIIs</t>
  </si>
  <si>
    <t>Criado por:</t>
  </si>
  <si>
    <t>Gabriel Romão</t>
  </si>
  <si>
    <t xml:space="preserve">Gráfico da Diversificação Atual </t>
  </si>
  <si>
    <t>email:</t>
  </si>
  <si>
    <t>factorg123@gmail.com</t>
  </si>
  <si>
    <t>QR Code (PIX):</t>
  </si>
  <si>
    <t>Gráficos de Desempenho</t>
  </si>
  <si>
    <t>Dados Gerais</t>
  </si>
  <si>
    <t>Patrimônio em ações</t>
  </si>
  <si>
    <t>Rent.:</t>
  </si>
  <si>
    <t>Aporte Equílibrio</t>
  </si>
  <si>
    <t>Peso Atual:</t>
  </si>
  <si>
    <t>Peso Ideal:</t>
  </si>
  <si>
    <t>%Rent:</t>
  </si>
  <si>
    <t>Status:</t>
  </si>
  <si>
    <t>Realizar Operação</t>
  </si>
  <si>
    <t>Operação:</t>
  </si>
  <si>
    <t>Registro</t>
  </si>
  <si>
    <t>Título:</t>
  </si>
  <si>
    <t>Calculadora de posição</t>
  </si>
  <si>
    <t xml:space="preserve"> </t>
  </si>
  <si>
    <t>Total:</t>
  </si>
  <si>
    <t>Cotação</t>
  </si>
  <si>
    <t>Qtd:</t>
  </si>
  <si>
    <t>Ativos de Interesse</t>
  </si>
  <si>
    <t>Título</t>
  </si>
  <si>
    <t>Setor</t>
  </si>
  <si>
    <t>Qtd.</t>
  </si>
  <si>
    <t>Nota</t>
  </si>
  <si>
    <t>%Div</t>
  </si>
  <si>
    <t>%Cres</t>
  </si>
  <si>
    <t>Patri. Invest.</t>
  </si>
  <si>
    <t>Preço M.</t>
  </si>
  <si>
    <t>Preço A.</t>
  </si>
  <si>
    <t>Patri. Atual</t>
  </si>
  <si>
    <t>%ideal</t>
  </si>
  <si>
    <t>%Atual</t>
  </si>
  <si>
    <t>Aporte eq.</t>
  </si>
  <si>
    <t>Gráfico de Diversificação</t>
  </si>
  <si>
    <t>Histórico de Operações</t>
  </si>
  <si>
    <t>Calculo do Preço Médio e Patrimônio</t>
  </si>
  <si>
    <t>Operação</t>
  </si>
  <si>
    <t>Data</t>
  </si>
  <si>
    <t>Preço</t>
  </si>
  <si>
    <t>Total</t>
  </si>
  <si>
    <t>Qtd acum.</t>
  </si>
  <si>
    <t>PM</t>
  </si>
  <si>
    <t>Saldo Acum.</t>
  </si>
  <si>
    <t>Fimmes</t>
  </si>
  <si>
    <t>Patrimônio em BDRs</t>
  </si>
  <si>
    <t>Compra</t>
  </si>
  <si>
    <t>Gráfico de Rendimento</t>
  </si>
  <si>
    <t>Qtd Acum</t>
  </si>
  <si>
    <t>fimmês</t>
  </si>
  <si>
    <t>Patrimônio em FIIs</t>
  </si>
  <si>
    <t>P ações</t>
  </si>
  <si>
    <t>PA Ações</t>
  </si>
  <si>
    <t>P BDRs</t>
  </si>
  <si>
    <t>PA BDRs</t>
  </si>
  <si>
    <t>P FIIs</t>
  </si>
  <si>
    <t>PA FIIs</t>
  </si>
  <si>
    <t>P Investido</t>
  </si>
  <si>
    <t>P Atual</t>
  </si>
  <si>
    <t>R Ações</t>
  </si>
  <si>
    <t>R BDRs</t>
  </si>
  <si>
    <t>R FIIs</t>
  </si>
  <si>
    <t>R Total</t>
  </si>
  <si>
    <t>Atual</t>
  </si>
  <si>
    <t>R. Ações</t>
  </si>
  <si>
    <t>R. BDRs</t>
  </si>
  <si>
    <t>R.  FIIs</t>
  </si>
  <si>
    <t>Soma de R Total</t>
  </si>
  <si>
    <t>2022</t>
  </si>
  <si>
    <t>2022 Total</t>
  </si>
  <si>
    <t>2023</t>
  </si>
  <si>
    <t>2023 Total</t>
  </si>
  <si>
    <t>2024</t>
  </si>
  <si>
    <t>2024 Total</t>
  </si>
  <si>
    <t>2025</t>
  </si>
  <si>
    <t>2025 Total</t>
  </si>
  <si>
    <t>2026</t>
  </si>
  <si>
    <t>2026 Total</t>
  </si>
  <si>
    <t>2027</t>
  </si>
  <si>
    <t>2027 Total</t>
  </si>
  <si>
    <t>2028</t>
  </si>
  <si>
    <t>2028 Total</t>
  </si>
  <si>
    <t>2029</t>
  </si>
  <si>
    <t>2029 Total</t>
  </si>
  <si>
    <t>2030</t>
  </si>
  <si>
    <t>2030 Total</t>
  </si>
  <si>
    <t>2031</t>
  </si>
  <si>
    <t>2031 Total</t>
  </si>
  <si>
    <t>2032</t>
  </si>
  <si>
    <t>2032 Total</t>
  </si>
  <si>
    <t>2033</t>
  </si>
  <si>
    <t>2033 Total</t>
  </si>
  <si>
    <t>2034</t>
  </si>
  <si>
    <t>2034 Total</t>
  </si>
  <si>
    <t>2035</t>
  </si>
  <si>
    <t>2035 Total</t>
  </si>
  <si>
    <t>2036</t>
  </si>
  <si>
    <t>2036 Total</t>
  </si>
  <si>
    <t>2037</t>
  </si>
  <si>
    <t>2037 Total</t>
  </si>
  <si>
    <t>2038</t>
  </si>
  <si>
    <t>2038 Total</t>
  </si>
  <si>
    <t>2039</t>
  </si>
  <si>
    <t>2039 Total</t>
  </si>
  <si>
    <t>2040</t>
  </si>
  <si>
    <t>2040 Total</t>
  </si>
  <si>
    <t>2041</t>
  </si>
  <si>
    <t>2041 Total</t>
  </si>
  <si>
    <t>2042</t>
  </si>
  <si>
    <t>2042 Total</t>
  </si>
  <si>
    <t>2043</t>
  </si>
  <si>
    <t>2043 Total</t>
  </si>
  <si>
    <t>2044</t>
  </si>
  <si>
    <t>2044 Total</t>
  </si>
  <si>
    <t>2045</t>
  </si>
  <si>
    <t>2045 Total</t>
  </si>
  <si>
    <t>2046</t>
  </si>
  <si>
    <t>2046 Total</t>
  </si>
  <si>
    <t>2047</t>
  </si>
  <si>
    <t>2047 Total</t>
  </si>
  <si>
    <t>2048</t>
  </si>
  <si>
    <t>2048 Total</t>
  </si>
  <si>
    <t>2049</t>
  </si>
  <si>
    <t>2049 Total</t>
  </si>
  <si>
    <t>2050</t>
  </si>
  <si>
    <t>2050 Total</t>
  </si>
  <si>
    <t>2051</t>
  </si>
  <si>
    <t>2051 Total</t>
  </si>
  <si>
    <t>2052</t>
  </si>
  <si>
    <t>2052 Total</t>
  </si>
  <si>
    <t>2053</t>
  </si>
  <si>
    <t>2053 Total</t>
  </si>
  <si>
    <t>2054</t>
  </si>
  <si>
    <t>2054 Total</t>
  </si>
  <si>
    <t>2055</t>
  </si>
  <si>
    <t>2055 Total</t>
  </si>
  <si>
    <t>2056</t>
  </si>
  <si>
    <t>2056 Total</t>
  </si>
  <si>
    <t>2057</t>
  </si>
  <si>
    <t>2057 Total</t>
  </si>
  <si>
    <t>2058</t>
  </si>
  <si>
    <t>2058 Total</t>
  </si>
  <si>
    <t>2059</t>
  </si>
  <si>
    <t>2059 Total</t>
  </si>
  <si>
    <t>2060</t>
  </si>
  <si>
    <t>2060 Total</t>
  </si>
  <si>
    <t>2061</t>
  </si>
  <si>
    <t>2061 Total</t>
  </si>
  <si>
    <t>2062</t>
  </si>
  <si>
    <t>2062 Total</t>
  </si>
  <si>
    <t>2063</t>
  </si>
  <si>
    <t>2063 Total</t>
  </si>
  <si>
    <t>2064</t>
  </si>
  <si>
    <t>2064 Total</t>
  </si>
  <si>
    <t>2065</t>
  </si>
  <si>
    <t>2065 Total</t>
  </si>
  <si>
    <t>2066</t>
  </si>
  <si>
    <t>2066 Total</t>
  </si>
  <si>
    <t>2067</t>
  </si>
  <si>
    <t>2067 Total</t>
  </si>
  <si>
    <t>2068</t>
  </si>
  <si>
    <t>2068 Total</t>
  </si>
  <si>
    <t>2069</t>
  </si>
  <si>
    <t>2069 Total</t>
  </si>
  <si>
    <t>2070</t>
  </si>
  <si>
    <t>2070 Total</t>
  </si>
  <si>
    <t>2071</t>
  </si>
  <si>
    <t>2071 Total</t>
  </si>
  <si>
    <t>2072</t>
  </si>
  <si>
    <t>2072 Total</t>
  </si>
  <si>
    <t>2073</t>
  </si>
  <si>
    <t>2073 Total</t>
  </si>
  <si>
    <t>2074</t>
  </si>
  <si>
    <t>2074 Total</t>
  </si>
  <si>
    <t>2075</t>
  </si>
  <si>
    <t>2075 Total</t>
  </si>
  <si>
    <t>2076</t>
  </si>
  <si>
    <t>2076 Total</t>
  </si>
  <si>
    <t>2077</t>
  </si>
  <si>
    <t>2077 Total</t>
  </si>
  <si>
    <t>2078</t>
  </si>
  <si>
    <t>2078 Total</t>
  </si>
  <si>
    <t>2079</t>
  </si>
  <si>
    <t>2079 Total</t>
  </si>
  <si>
    <t>2080</t>
  </si>
  <si>
    <t>2080 Total</t>
  </si>
  <si>
    <t>2081</t>
  </si>
  <si>
    <t>2081 Total</t>
  </si>
  <si>
    <t>2082</t>
  </si>
  <si>
    <t>2082 Total</t>
  </si>
  <si>
    <t>2083</t>
  </si>
  <si>
    <t>2083 Total</t>
  </si>
  <si>
    <t>2084</t>
  </si>
  <si>
    <t>2084 Total</t>
  </si>
  <si>
    <t>2085</t>
  </si>
  <si>
    <t>2085 Total</t>
  </si>
  <si>
    <t>2086</t>
  </si>
  <si>
    <t>2086 Total</t>
  </si>
  <si>
    <t>2087</t>
  </si>
  <si>
    <t>2087 Total</t>
  </si>
  <si>
    <t>2088</t>
  </si>
  <si>
    <t>2088 Total</t>
  </si>
  <si>
    <t>2089</t>
  </si>
  <si>
    <t>2089 Total</t>
  </si>
  <si>
    <t>2090</t>
  </si>
  <si>
    <t>2090 Total</t>
  </si>
  <si>
    <t>2091</t>
  </si>
  <si>
    <t>2091 Total</t>
  </si>
  <si>
    <t>2092</t>
  </si>
  <si>
    <t>2092 Total</t>
  </si>
  <si>
    <t>2093</t>
  </si>
  <si>
    <t>2093 Total</t>
  </si>
  <si>
    <t>2094</t>
  </si>
  <si>
    <t>2094 Total</t>
  </si>
  <si>
    <t>2095</t>
  </si>
  <si>
    <t>2095 Total</t>
  </si>
  <si>
    <t>2096</t>
  </si>
  <si>
    <t>2096 Total</t>
  </si>
  <si>
    <t>2097</t>
  </si>
  <si>
    <t>2097 Total</t>
  </si>
  <si>
    <t>2098</t>
  </si>
  <si>
    <t>2098 Total</t>
  </si>
  <si>
    <t>2099</t>
  </si>
  <si>
    <t>2099 Total</t>
  </si>
  <si>
    <t>2100</t>
  </si>
  <si>
    <t>2100 Total</t>
  </si>
  <si>
    <t>2101</t>
  </si>
  <si>
    <t>2101 Total</t>
  </si>
  <si>
    <t>2102</t>
  </si>
  <si>
    <t>2102 Total</t>
  </si>
  <si>
    <t>Operações com ações</t>
  </si>
  <si>
    <t>Rótulos de Linha</t>
  </si>
  <si>
    <t>Soma de %Atual</t>
  </si>
  <si>
    <t>(vazio)</t>
  </si>
  <si>
    <t>Total Geral</t>
  </si>
  <si>
    <t>Venda</t>
  </si>
  <si>
    <t>Provento</t>
  </si>
  <si>
    <t>data2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</si>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</sst>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&quot;R$&quot;\ #,##0.00;\-&quot;R$&quot;\ #,##0.00"/>
    <numFmt numFmtId="164" formatCode="&quot;R$&quot;\ #,##0.00"/>
    <numFmt numFmtId="165" formatCode="&quot;$&quot;#,##0.00"/>
    <numFmt numFmtId="166" formatCode="0.0%"/>
  </numFmts>
  <fonts count="22">
    <font>
      <sz val="11"/>
      <color theme="1"/>
      <name val="Gill Sans"/>
      <scheme val="minor"/>
    </font>
    <font>
      <sz val="11"/>
      <color theme="1"/>
      <name val="Gill Sans"/>
    </font>
    <font>
      <sz val="11"/>
      <color rgb="FFEADDF6"/>
      <name val="Gill Sans"/>
    </font>
    <font>
      <b/>
      <sz val="14"/>
      <color rgb="FFE3DEF7"/>
      <name val="Gill Sans"/>
    </font>
    <font>
      <sz val="11"/>
      <name val="Gill Sans"/>
    </font>
    <font>
      <b/>
      <sz val="16"/>
      <color rgb="FF0C0C0C"/>
      <name val="Gill Sans"/>
    </font>
    <font>
      <b/>
      <sz val="12"/>
      <color rgb="FF0C0C0C"/>
      <name val="Gill Sans"/>
    </font>
    <font>
      <sz val="11"/>
      <color rgb="FF0C0C0C"/>
      <name val="Gill Sans"/>
    </font>
    <font>
      <b/>
      <sz val="11"/>
      <color rgb="FF0C0C0C"/>
      <name val="Gill Sans"/>
    </font>
    <font>
      <sz val="18"/>
      <color rgb="FF0C0C0C"/>
      <name val="Gill Sans"/>
    </font>
    <font>
      <sz val="16"/>
      <color rgb="FF0C0C0C"/>
      <name val="Gill Sans"/>
    </font>
    <font>
      <sz val="12"/>
      <color rgb="FF0C0C0C"/>
      <name val="Gill Sans"/>
    </font>
    <font>
      <sz val="11"/>
      <color theme="0"/>
      <name val="Gill Sans"/>
    </font>
    <font>
      <b/>
      <sz val="11"/>
      <color theme="0"/>
      <name val="Gill Sans"/>
    </font>
    <font>
      <b/>
      <sz val="14"/>
      <color rgb="FF0C0C0C"/>
      <name val="Gill Sans"/>
    </font>
    <font>
      <b/>
      <sz val="11"/>
      <color theme="1"/>
      <name val="Gill Sans"/>
    </font>
    <font>
      <b/>
      <sz val="14"/>
      <color theme="1"/>
      <name val="Gill Sans"/>
    </font>
    <font>
      <b/>
      <sz val="12"/>
      <color theme="1"/>
      <name val="Gill Sans"/>
    </font>
    <font>
      <sz val="16"/>
      <color theme="1"/>
      <name val="Gill Sans"/>
    </font>
    <font>
      <b/>
      <sz val="11"/>
      <color rgb="FF4E1E76"/>
      <name val="Gill Sans"/>
    </font>
    <font>
      <sz val="12"/>
      <color rgb="FF000000"/>
      <name val="Gill Sans"/>
    </font>
    <font>
      <sz val="11"/>
      <color theme="1"/>
      <name val="Gill Sans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F2A60"/>
        <bgColor rgb="FF2F2A60"/>
      </patternFill>
    </fill>
    <fill>
      <patternFill patternType="solid">
        <fgColor rgb="FFAC9DE8"/>
        <bgColor rgb="FFAC9DE8"/>
      </patternFill>
    </fill>
    <fill>
      <patternFill patternType="solid">
        <fgColor rgb="FFE8DE87"/>
        <bgColor rgb="FFE8DE87"/>
      </patternFill>
    </fill>
    <fill>
      <patternFill patternType="solid">
        <fgColor rgb="FFD8D8D8"/>
        <bgColor rgb="FFD8D8D8"/>
      </patternFill>
    </fill>
  </fills>
  <borders count="4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hair">
        <color rgb="FF7F7F7F"/>
      </right>
      <top style="medium">
        <color rgb="FF000000"/>
      </top>
      <bottom style="thin">
        <color rgb="FF000000"/>
      </bottom>
      <diagonal/>
    </border>
    <border>
      <left style="hair">
        <color rgb="FF7F7F7F"/>
      </left>
      <right style="hair">
        <color rgb="FF7F7F7F"/>
      </right>
      <top style="medium">
        <color rgb="FF000000"/>
      </top>
      <bottom style="thin">
        <color rgb="FF000000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/>
      <right style="hair">
        <color rgb="FF7F7F7F"/>
      </right>
      <top style="thin">
        <color rgb="FF000000"/>
      </top>
      <bottom style="thin">
        <color rgb="FF000000"/>
      </bottom>
      <diagonal/>
    </border>
    <border>
      <left style="hair">
        <color rgb="FF7F7F7F"/>
      </left>
      <right style="hair">
        <color rgb="FF7F7F7F"/>
      </right>
      <top style="thin">
        <color rgb="FF000000"/>
      </top>
      <bottom style="thin">
        <color rgb="FF000000"/>
      </bottom>
      <diagonal/>
    </border>
    <border>
      <left style="hair">
        <color rgb="FF7F7F7F"/>
      </left>
      <right style="hair">
        <color rgb="FF7F7F7F"/>
      </right>
      <top/>
      <bottom style="thin">
        <color rgb="FF000000"/>
      </bottom>
      <diagonal/>
    </border>
    <border>
      <left style="hair">
        <color rgb="FF7F7F7F"/>
      </left>
      <right style="hair">
        <color rgb="FF7F7F7F"/>
      </right>
      <top style="thin">
        <color rgb="FF0C0C0C"/>
      </top>
      <bottom style="thin">
        <color rgb="FF0C0C0C"/>
      </bottom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61">
    <xf numFmtId="0" fontId="0" fillId="0" borderId="0" xfId="0" applyFont="1" applyAlignment="1"/>
    <xf numFmtId="0" fontId="1" fillId="2" borderId="1" xfId="0" applyFont="1" applyFill="1" applyBorder="1"/>
    <xf numFmtId="0" fontId="2" fillId="3" borderId="1" xfId="0" applyFont="1" applyFill="1" applyBorder="1"/>
    <xf numFmtId="0" fontId="1" fillId="3" borderId="1" xfId="0" applyFont="1" applyFill="1" applyBorder="1"/>
    <xf numFmtId="0" fontId="6" fillId="4" borderId="1" xfId="0" applyFont="1" applyFill="1" applyBorder="1" applyAlignment="1">
      <alignment horizontal="right"/>
    </xf>
    <xf numFmtId="0" fontId="7" fillId="4" borderId="1" xfId="0" applyFont="1" applyFill="1" applyBorder="1"/>
    <xf numFmtId="0" fontId="8" fillId="4" borderId="1" xfId="0" applyFont="1" applyFill="1" applyBorder="1"/>
    <xf numFmtId="165" fontId="10" fillId="4" borderId="1" xfId="0" applyNumberFormat="1" applyFont="1" applyFill="1" applyBorder="1"/>
    <xf numFmtId="0" fontId="11" fillId="4" borderId="1" xfId="0" applyFont="1" applyFill="1" applyBorder="1" applyAlignment="1">
      <alignment horizontal="right"/>
    </xf>
    <xf numFmtId="10" fontId="8" fillId="4" borderId="1" xfId="0" applyNumberFormat="1" applyFont="1" applyFill="1" applyBorder="1"/>
    <xf numFmtId="0" fontId="7" fillId="4" borderId="1" xfId="0" applyFont="1" applyFill="1" applyBorder="1" applyAlignment="1">
      <alignment horizontal="right"/>
    </xf>
    <xf numFmtId="164" fontId="8" fillId="4" borderId="1" xfId="0" applyNumberFormat="1" applyFont="1" applyFill="1" applyBorder="1"/>
    <xf numFmtId="0" fontId="3" fillId="3" borderId="1" xfId="0" applyFont="1" applyFill="1" applyBorder="1"/>
    <xf numFmtId="0" fontId="6" fillId="4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/>
    </xf>
    <xf numFmtId="0" fontId="6" fillId="4" borderId="14" xfId="0" applyFont="1" applyFill="1" applyBorder="1"/>
    <xf numFmtId="164" fontId="6" fillId="4" borderId="14" xfId="0" applyNumberFormat="1" applyFont="1" applyFill="1" applyBorder="1"/>
    <xf numFmtId="164" fontId="6" fillId="4" borderId="15" xfId="0" applyNumberFormat="1" applyFont="1" applyFill="1" applyBorder="1"/>
    <xf numFmtId="10" fontId="8" fillId="4" borderId="1" xfId="0" applyNumberFormat="1" applyFont="1" applyFill="1" applyBorder="1"/>
    <xf numFmtId="9" fontId="6" fillId="5" borderId="15" xfId="0" applyNumberFormat="1" applyFont="1" applyFill="1" applyBorder="1" applyAlignment="1">
      <alignment horizontal="right"/>
    </xf>
    <xf numFmtId="9" fontId="6" fillId="4" borderId="15" xfId="0" applyNumberFormat="1" applyFont="1" applyFill="1" applyBorder="1"/>
    <xf numFmtId="164" fontId="6" fillId="4" borderId="15" xfId="0" applyNumberFormat="1" applyFont="1" applyFill="1" applyBorder="1" applyAlignment="1">
      <alignment horizontal="center"/>
    </xf>
    <xf numFmtId="164" fontId="6" fillId="4" borderId="16" xfId="0" applyNumberFormat="1" applyFont="1" applyFill="1" applyBorder="1"/>
    <xf numFmtId="164" fontId="1" fillId="3" borderId="1" xfId="0" applyNumberFormat="1" applyFont="1" applyFill="1" applyBorder="1"/>
    <xf numFmtId="0" fontId="6" fillId="4" borderId="17" xfId="0" applyFont="1" applyFill="1" applyBorder="1"/>
    <xf numFmtId="164" fontId="6" fillId="4" borderId="17" xfId="0" applyNumberFormat="1" applyFont="1" applyFill="1" applyBorder="1"/>
    <xf numFmtId="164" fontId="6" fillId="4" borderId="18" xfId="0" applyNumberFormat="1" applyFont="1" applyFill="1" applyBorder="1"/>
    <xf numFmtId="9" fontId="6" fillId="5" borderId="19" xfId="0" applyNumberFormat="1" applyFont="1" applyFill="1" applyBorder="1" applyAlignment="1">
      <alignment horizontal="right"/>
    </xf>
    <xf numFmtId="9" fontId="6" fillId="4" borderId="19" xfId="0" applyNumberFormat="1" applyFont="1" applyFill="1" applyBorder="1"/>
    <xf numFmtId="164" fontId="6" fillId="4" borderId="20" xfId="0" applyNumberFormat="1" applyFont="1" applyFill="1" applyBorder="1"/>
    <xf numFmtId="0" fontId="1" fillId="3" borderId="21" xfId="0" applyFont="1" applyFill="1" applyBorder="1"/>
    <xf numFmtId="0" fontId="12" fillId="2" borderId="1" xfId="0" applyFont="1" applyFill="1" applyBorder="1"/>
    <xf numFmtId="0" fontId="13" fillId="2" borderId="1" xfId="0" applyFont="1" applyFill="1" applyBorder="1"/>
    <xf numFmtId="0" fontId="6" fillId="4" borderId="1" xfId="0" applyFont="1" applyFill="1" applyBorder="1"/>
    <xf numFmtId="0" fontId="14" fillId="4" borderId="11" xfId="0" applyFont="1" applyFill="1" applyBorder="1"/>
    <xf numFmtId="9" fontId="8" fillId="4" borderId="1" xfId="0" applyNumberFormat="1" applyFont="1" applyFill="1" applyBorder="1"/>
    <xf numFmtId="0" fontId="8" fillId="4" borderId="1" xfId="0" applyFont="1" applyFill="1" applyBorder="1" applyAlignment="1">
      <alignment horizontal="right"/>
    </xf>
    <xf numFmtId="164" fontId="8" fillId="4" borderId="1" xfId="0" applyNumberFormat="1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14" fontId="6" fillId="5" borderId="1" xfId="0" applyNumberFormat="1" applyFont="1" applyFill="1" applyBorder="1" applyAlignment="1">
      <alignment horizontal="right"/>
    </xf>
    <xf numFmtId="14" fontId="8" fillId="4" borderId="1" xfId="0" applyNumberFormat="1" applyFont="1" applyFill="1" applyBorder="1"/>
    <xf numFmtId="164" fontId="8" fillId="5" borderId="1" xfId="0" applyNumberFormat="1" applyFont="1" applyFill="1" applyBorder="1" applyAlignment="1">
      <alignment horizontal="right"/>
    </xf>
    <xf numFmtId="0" fontId="6" fillId="4" borderId="22" xfId="0" applyFont="1" applyFill="1" applyBorder="1" applyAlignment="1">
      <alignment horizontal="left" vertical="center"/>
    </xf>
    <xf numFmtId="0" fontId="6" fillId="4" borderId="13" xfId="0" applyFont="1" applyFill="1" applyBorder="1" applyAlignment="1">
      <alignment horizontal="left" vertical="center" wrapText="1"/>
    </xf>
    <xf numFmtId="0" fontId="6" fillId="4" borderId="12" xfId="0" applyFont="1" applyFill="1" applyBorder="1" applyAlignment="1">
      <alignment horizontal="left" vertical="center" wrapText="1"/>
    </xf>
    <xf numFmtId="0" fontId="6" fillId="5" borderId="23" xfId="0" applyFont="1" applyFill="1" applyBorder="1" applyAlignment="1">
      <alignment horizontal="left" vertical="center"/>
    </xf>
    <xf numFmtId="0" fontId="6" fillId="5" borderId="23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left"/>
    </xf>
    <xf numFmtId="9" fontId="6" fillId="4" borderId="23" xfId="0" applyNumberFormat="1" applyFont="1" applyFill="1" applyBorder="1" applyAlignment="1">
      <alignment horizontal="left"/>
    </xf>
    <xf numFmtId="10" fontId="8" fillId="4" borderId="24" xfId="0" applyNumberFormat="1" applyFont="1" applyFill="1" applyBorder="1" applyAlignment="1">
      <alignment horizontal="center"/>
    </xf>
    <xf numFmtId="164" fontId="6" fillId="4" borderId="23" xfId="0" applyNumberFormat="1" applyFont="1" applyFill="1" applyBorder="1" applyAlignment="1">
      <alignment horizontal="left"/>
    </xf>
    <xf numFmtId="166" fontId="6" fillId="4" borderId="23" xfId="0" applyNumberFormat="1" applyFont="1" applyFill="1" applyBorder="1" applyAlignment="1">
      <alignment horizontal="left"/>
    </xf>
    <xf numFmtId="0" fontId="6" fillId="4" borderId="27" xfId="0" applyFont="1" applyFill="1" applyBorder="1" applyAlignment="1">
      <alignment horizontal="left" vertical="center"/>
    </xf>
    <xf numFmtId="0" fontId="6" fillId="4" borderId="28" xfId="0" applyFont="1" applyFill="1" applyBorder="1" applyAlignment="1">
      <alignment horizontal="left" vertical="center" wrapText="1"/>
    </xf>
    <xf numFmtId="0" fontId="6" fillId="4" borderId="29" xfId="0" applyFont="1" applyFill="1" applyBorder="1" applyAlignment="1">
      <alignment horizontal="left" vertical="center" wrapText="1"/>
    </xf>
    <xf numFmtId="0" fontId="6" fillId="4" borderId="30" xfId="0" applyFont="1" applyFill="1" applyBorder="1" applyAlignment="1">
      <alignment horizontal="left" vertical="center" wrapText="1"/>
    </xf>
    <xf numFmtId="164" fontId="11" fillId="4" borderId="31" xfId="0" applyNumberFormat="1" applyFont="1" applyFill="1" applyBorder="1" applyAlignment="1">
      <alignment horizontal="left"/>
    </xf>
    <xf numFmtId="0" fontId="11" fillId="5" borderId="31" xfId="0" applyFont="1" applyFill="1" applyBorder="1" applyAlignment="1">
      <alignment horizontal="left"/>
    </xf>
    <xf numFmtId="0" fontId="11" fillId="4" borderId="31" xfId="0" applyFont="1" applyFill="1" applyBorder="1" applyAlignment="1">
      <alignment horizontal="left"/>
    </xf>
    <xf numFmtId="7" fontId="11" fillId="5" borderId="31" xfId="0" applyNumberFormat="1" applyFont="1" applyFill="1" applyBorder="1" applyAlignment="1">
      <alignment horizontal="left"/>
    </xf>
    <xf numFmtId="1" fontId="11" fillId="4" borderId="31" xfId="0" applyNumberFormat="1" applyFont="1" applyFill="1" applyBorder="1" applyAlignment="1">
      <alignment horizontal="left"/>
    </xf>
    <xf numFmtId="14" fontId="11" fillId="4" borderId="31" xfId="0" applyNumberFormat="1" applyFont="1" applyFill="1" applyBorder="1" applyAlignment="1">
      <alignment horizontal="left"/>
    </xf>
    <xf numFmtId="14" fontId="1" fillId="3" borderId="1" xfId="0" applyNumberFormat="1" applyFont="1" applyFill="1" applyBorder="1"/>
    <xf numFmtId="7" fontId="1" fillId="3" borderId="1" xfId="0" applyNumberFormat="1" applyFont="1" applyFill="1" applyBorder="1"/>
    <xf numFmtId="0" fontId="17" fillId="4" borderId="1" xfId="0" applyFont="1" applyFill="1" applyBorder="1" applyAlignment="1">
      <alignment horizontal="right"/>
    </xf>
    <xf numFmtId="164" fontId="15" fillId="4" borderId="1" xfId="0" applyNumberFormat="1" applyFont="1" applyFill="1" applyBorder="1"/>
    <xf numFmtId="0" fontId="17" fillId="4" borderId="1" xfId="0" applyFont="1" applyFill="1" applyBorder="1"/>
    <xf numFmtId="0" fontId="1" fillId="4" borderId="1" xfId="0" applyFont="1" applyFill="1" applyBorder="1"/>
    <xf numFmtId="0" fontId="16" fillId="4" borderId="11" xfId="0" applyFont="1" applyFill="1" applyBorder="1" applyAlignment="1">
      <alignment horizontal="left"/>
    </xf>
    <xf numFmtId="9" fontId="15" fillId="4" borderId="1" xfId="0" applyNumberFormat="1" applyFont="1" applyFill="1" applyBorder="1"/>
    <xf numFmtId="165" fontId="18" fillId="4" borderId="1" xfId="0" applyNumberFormat="1" applyFont="1" applyFill="1" applyBorder="1"/>
    <xf numFmtId="0" fontId="15" fillId="4" borderId="1" xfId="0" applyFont="1" applyFill="1" applyBorder="1" applyAlignment="1">
      <alignment horizontal="right"/>
    </xf>
    <xf numFmtId="0" fontId="1" fillId="4" borderId="1" xfId="0" applyFont="1" applyFill="1" applyBorder="1" applyAlignment="1">
      <alignment horizontal="right"/>
    </xf>
    <xf numFmtId="164" fontId="15" fillId="4" borderId="1" xfId="0" applyNumberFormat="1" applyFont="1" applyFill="1" applyBorder="1" applyAlignment="1">
      <alignment horizontal="right"/>
    </xf>
    <xf numFmtId="0" fontId="17" fillId="5" borderId="1" xfId="0" applyFont="1" applyFill="1" applyBorder="1" applyAlignment="1">
      <alignment horizontal="right"/>
    </xf>
    <xf numFmtId="14" fontId="17" fillId="5" borderId="1" xfId="0" applyNumberFormat="1" applyFont="1" applyFill="1" applyBorder="1" applyAlignment="1">
      <alignment horizontal="right"/>
    </xf>
    <xf numFmtId="0" fontId="15" fillId="4" borderId="1" xfId="0" applyFont="1" applyFill="1" applyBorder="1"/>
    <xf numFmtId="14" fontId="19" fillId="4" borderId="1" xfId="0" applyNumberFormat="1" applyFont="1" applyFill="1" applyBorder="1"/>
    <xf numFmtId="164" fontId="15" fillId="5" borderId="1" xfId="0" applyNumberFormat="1" applyFont="1" applyFill="1" applyBorder="1" applyAlignment="1">
      <alignment horizontal="right"/>
    </xf>
    <xf numFmtId="0" fontId="17" fillId="4" borderId="13" xfId="0" applyFont="1" applyFill="1" applyBorder="1" applyAlignment="1">
      <alignment horizontal="left" vertical="center" wrapText="1"/>
    </xf>
    <xf numFmtId="0" fontId="17" fillId="4" borderId="12" xfId="0" applyFont="1" applyFill="1" applyBorder="1" applyAlignment="1">
      <alignment horizontal="left" vertical="center" wrapText="1"/>
    </xf>
    <xf numFmtId="0" fontId="17" fillId="4" borderId="23" xfId="0" applyFont="1" applyFill="1" applyBorder="1" applyAlignment="1">
      <alignment horizontal="left"/>
    </xf>
    <xf numFmtId="9" fontId="17" fillId="4" borderId="23" xfId="0" applyNumberFormat="1" applyFont="1" applyFill="1" applyBorder="1" applyAlignment="1">
      <alignment horizontal="left"/>
    </xf>
    <xf numFmtId="10" fontId="6" fillId="4" borderId="24" xfId="0" applyNumberFormat="1" applyFont="1" applyFill="1" applyBorder="1" applyAlignment="1">
      <alignment horizontal="center"/>
    </xf>
    <xf numFmtId="164" fontId="17" fillId="4" borderId="23" xfId="0" applyNumberFormat="1" applyFont="1" applyFill="1" applyBorder="1" applyAlignment="1">
      <alignment horizontal="left"/>
    </xf>
    <xf numFmtId="166" fontId="17" fillId="4" borderId="23" xfId="0" applyNumberFormat="1" applyFont="1" applyFill="1" applyBorder="1" applyAlignment="1">
      <alignment horizontal="left"/>
    </xf>
    <xf numFmtId="0" fontId="17" fillId="4" borderId="28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left"/>
    </xf>
    <xf numFmtId="14" fontId="17" fillId="5" borderId="1" xfId="0" applyNumberFormat="1" applyFont="1" applyFill="1" applyBorder="1" applyAlignment="1">
      <alignment horizontal="left"/>
    </xf>
    <xf numFmtId="0" fontId="17" fillId="4" borderId="1" xfId="0" applyFont="1" applyFill="1" applyBorder="1" applyAlignment="1">
      <alignment horizontal="left"/>
    </xf>
    <xf numFmtId="0" fontId="17" fillId="5" borderId="1" xfId="0" applyFont="1" applyFill="1" applyBorder="1" applyAlignment="1">
      <alignment horizontal="left"/>
    </xf>
    <xf numFmtId="7" fontId="17" fillId="5" borderId="1" xfId="0" applyNumberFormat="1" applyFont="1" applyFill="1" applyBorder="1" applyAlignment="1">
      <alignment horizontal="left"/>
    </xf>
    <xf numFmtId="164" fontId="17" fillId="4" borderId="1" xfId="0" applyNumberFormat="1" applyFont="1" applyFill="1" applyBorder="1" applyAlignment="1">
      <alignment horizontal="left"/>
    </xf>
    <xf numFmtId="14" fontId="17" fillId="4" borderId="1" xfId="0" applyNumberFormat="1" applyFont="1" applyFill="1" applyBorder="1" applyAlignment="1">
      <alignment horizontal="left"/>
    </xf>
    <xf numFmtId="0" fontId="17" fillId="4" borderId="22" xfId="0" applyFont="1" applyFill="1" applyBorder="1" applyAlignment="1">
      <alignment horizontal="left" vertical="center"/>
    </xf>
    <xf numFmtId="0" fontId="17" fillId="4" borderId="27" xfId="0" applyFont="1" applyFill="1" applyBorder="1" applyAlignment="1">
      <alignment horizontal="left" vertical="center"/>
    </xf>
    <xf numFmtId="0" fontId="17" fillId="4" borderId="29" xfId="0" applyFont="1" applyFill="1" applyBorder="1" applyAlignment="1">
      <alignment horizontal="left" vertical="center" wrapText="1"/>
    </xf>
    <xf numFmtId="1" fontId="11" fillId="4" borderId="1" xfId="0" applyNumberFormat="1" applyFont="1" applyFill="1" applyBorder="1" applyAlignment="1">
      <alignment horizontal="left"/>
    </xf>
    <xf numFmtId="0" fontId="6" fillId="5" borderId="31" xfId="0" applyFont="1" applyFill="1" applyBorder="1" applyAlignment="1">
      <alignment horizontal="left"/>
    </xf>
    <xf numFmtId="0" fontId="17" fillId="5" borderId="31" xfId="0" applyFont="1" applyFill="1" applyBorder="1" applyAlignment="1">
      <alignment horizontal="left"/>
    </xf>
    <xf numFmtId="0" fontId="17" fillId="4" borderId="31" xfId="0" applyFont="1" applyFill="1" applyBorder="1" applyAlignment="1">
      <alignment horizontal="left"/>
    </xf>
    <xf numFmtId="7" fontId="17" fillId="5" borderId="31" xfId="0" applyNumberFormat="1" applyFont="1" applyFill="1" applyBorder="1" applyAlignment="1">
      <alignment horizontal="left"/>
    </xf>
    <xf numFmtId="164" fontId="17" fillId="4" borderId="31" xfId="0" applyNumberFormat="1" applyFont="1" applyFill="1" applyBorder="1" applyAlignment="1">
      <alignment horizontal="left"/>
    </xf>
    <xf numFmtId="1" fontId="11" fillId="4" borderId="23" xfId="0" applyNumberFormat="1" applyFont="1" applyFill="1" applyBorder="1" applyAlignment="1">
      <alignment horizontal="left"/>
    </xf>
    <xf numFmtId="164" fontId="11" fillId="4" borderId="23" xfId="0" applyNumberFormat="1" applyFont="1" applyFill="1" applyBorder="1" applyAlignment="1">
      <alignment horizontal="left"/>
    </xf>
    <xf numFmtId="14" fontId="20" fillId="4" borderId="1" xfId="0" applyNumberFormat="1" applyFont="1" applyFill="1" applyBorder="1" applyAlignment="1">
      <alignment horizontal="left"/>
    </xf>
    <xf numFmtId="0" fontId="21" fillId="0" borderId="0" xfId="0" applyFont="1"/>
    <xf numFmtId="14" fontId="1" fillId="0" borderId="0" xfId="0" applyNumberFormat="1" applyFont="1"/>
    <xf numFmtId="164" fontId="1" fillId="0" borderId="0" xfId="0" applyNumberFormat="1" applyFont="1"/>
    <xf numFmtId="7" fontId="1" fillId="0" borderId="0" xfId="0" applyNumberFormat="1" applyFont="1"/>
    <xf numFmtId="0" fontId="1" fillId="0" borderId="0" xfId="0" applyFont="1"/>
    <xf numFmtId="0" fontId="1" fillId="0" borderId="32" xfId="0" applyFont="1" applyBorder="1"/>
    <xf numFmtId="0" fontId="1" fillId="0" borderId="32" xfId="0" applyFont="1" applyBorder="1" applyAlignment="1">
      <alignment horizontal="left"/>
    </xf>
    <xf numFmtId="9" fontId="1" fillId="0" borderId="32" xfId="0" applyNumberFormat="1" applyFont="1" applyBorder="1"/>
    <xf numFmtId="0" fontId="1" fillId="0" borderId="0" xfId="0" applyFont="1" applyAlignment="1">
      <alignment horizontal="left"/>
    </xf>
    <xf numFmtId="0" fontId="17" fillId="0" borderId="0" xfId="0" applyFont="1"/>
    <xf numFmtId="164" fontId="9" fillId="4" borderId="8" xfId="0" applyNumberFormat="1" applyFont="1" applyFill="1" applyBorder="1" applyAlignment="1">
      <alignment horizontal="right"/>
    </xf>
    <xf numFmtId="0" fontId="4" fillId="0" borderId="9" xfId="0" applyFont="1" applyBorder="1"/>
    <xf numFmtId="0" fontId="4" fillId="0" borderId="10" xfId="0" applyFont="1" applyBorder="1"/>
    <xf numFmtId="0" fontId="3" fillId="2" borderId="2" xfId="0" applyFont="1" applyFill="1" applyBorder="1" applyAlignment="1">
      <alignment horizontal="center"/>
    </xf>
    <xf numFmtId="0" fontId="4" fillId="0" borderId="3" xfId="0" applyFont="1" applyBorder="1"/>
    <xf numFmtId="0" fontId="4" fillId="0" borderId="4" xfId="0" applyFont="1" applyBorder="1"/>
    <xf numFmtId="0" fontId="5" fillId="4" borderId="5" xfId="0" applyFont="1" applyFill="1" applyBorder="1" applyAlignment="1">
      <alignment horizontal="left"/>
    </xf>
    <xf numFmtId="0" fontId="4" fillId="0" borderId="6" xfId="0" applyFont="1" applyBorder="1"/>
    <xf numFmtId="0" fontId="4" fillId="0" borderId="7" xfId="0" applyFont="1" applyBorder="1"/>
    <xf numFmtId="164" fontId="9" fillId="4" borderId="2" xfId="0" applyNumberFormat="1" applyFont="1" applyFill="1" applyBorder="1" applyAlignment="1">
      <alignment horizontal="right"/>
    </xf>
    <xf numFmtId="0" fontId="1" fillId="3" borderId="2" xfId="0" applyFont="1" applyFill="1" applyBorder="1" applyAlignment="1">
      <alignment horizontal="center"/>
    </xf>
    <xf numFmtId="0" fontId="14" fillId="4" borderId="5" xfId="0" applyFont="1" applyFill="1" applyBorder="1" applyAlignment="1">
      <alignment horizontal="left"/>
    </xf>
    <xf numFmtId="164" fontId="10" fillId="4" borderId="2" xfId="0" applyNumberFormat="1" applyFont="1" applyFill="1" applyBorder="1"/>
    <xf numFmtId="165" fontId="10" fillId="4" borderId="2" xfId="0" applyNumberFormat="1" applyFont="1" applyFill="1" applyBorder="1"/>
    <xf numFmtId="0" fontId="15" fillId="3" borderId="25" xfId="0" applyFont="1" applyFill="1" applyBorder="1" applyAlignment="1">
      <alignment horizontal="center"/>
    </xf>
    <xf numFmtId="0" fontId="4" fillId="0" borderId="26" xfId="0" applyFont="1" applyBorder="1"/>
    <xf numFmtId="164" fontId="10" fillId="4" borderId="8" xfId="0" applyNumberFormat="1" applyFont="1" applyFill="1" applyBorder="1" applyAlignment="1">
      <alignment horizontal="right"/>
    </xf>
    <xf numFmtId="0" fontId="6" fillId="4" borderId="5" xfId="0" applyFont="1" applyFill="1" applyBorder="1" applyAlignment="1">
      <alignment horizontal="center"/>
    </xf>
    <xf numFmtId="164" fontId="8" fillId="5" borderId="8" xfId="0" applyNumberFormat="1" applyFont="1" applyFill="1" applyBorder="1"/>
    <xf numFmtId="164" fontId="8" fillId="5" borderId="2" xfId="0" applyNumberFormat="1" applyFont="1" applyFill="1" applyBorder="1"/>
    <xf numFmtId="1" fontId="8" fillId="4" borderId="2" xfId="0" applyNumberFormat="1" applyFont="1" applyFill="1" applyBorder="1"/>
    <xf numFmtId="0" fontId="16" fillId="4" borderId="5" xfId="0" applyFont="1" applyFill="1" applyBorder="1" applyAlignment="1">
      <alignment horizontal="left"/>
    </xf>
    <xf numFmtId="164" fontId="18" fillId="4" borderId="2" xfId="0" applyNumberFormat="1" applyFont="1" applyFill="1" applyBorder="1"/>
    <xf numFmtId="165" fontId="18" fillId="4" borderId="8" xfId="0" applyNumberFormat="1" applyFont="1" applyFill="1" applyBorder="1" applyAlignment="1">
      <alignment horizontal="right"/>
    </xf>
    <xf numFmtId="164" fontId="18" fillId="4" borderId="8" xfId="0" applyNumberFormat="1" applyFont="1" applyFill="1" applyBorder="1" applyAlignment="1">
      <alignment horizontal="right"/>
    </xf>
    <xf numFmtId="0" fontId="17" fillId="4" borderId="5" xfId="0" applyFont="1" applyFill="1" applyBorder="1" applyAlignment="1">
      <alignment horizontal="center"/>
    </xf>
    <xf numFmtId="164" fontId="15" fillId="5" borderId="2" xfId="0" applyNumberFormat="1" applyFont="1" applyFill="1" applyBorder="1"/>
    <xf numFmtId="1" fontId="15" fillId="4" borderId="2" xfId="0" applyNumberFormat="1" applyFont="1" applyFill="1" applyBorder="1"/>
    <xf numFmtId="0" fontId="17" fillId="0" borderId="32" xfId="0" applyFont="1" applyBorder="1" applyAlignment="1">
      <alignment horizontal="center"/>
    </xf>
    <xf numFmtId="0" fontId="0" fillId="0" borderId="0" xfId="0" applyFont="1" applyAlignment="1"/>
    <xf numFmtId="0" fontId="4" fillId="0" borderId="33" xfId="0" applyFont="1" applyBorder="1"/>
    <xf numFmtId="0" fontId="1" fillId="0" borderId="32" xfId="0" applyFont="1" applyBorder="1" applyAlignment="1">
      <alignment horizontal="center"/>
    </xf>
    <xf numFmtId="0" fontId="0" fillId="0" borderId="34" xfId="0" pivotButton="1" applyFont="1" applyBorder="1" applyAlignment="1"/>
    <xf numFmtId="0" fontId="0" fillId="0" borderId="35" xfId="0" applyFont="1" applyBorder="1" applyAlignment="1"/>
    <xf numFmtId="0" fontId="0" fillId="0" borderId="34" xfId="0" applyFont="1" applyBorder="1" applyAlignment="1"/>
    <xf numFmtId="14" fontId="0" fillId="0" borderId="34" xfId="0" applyNumberFormat="1" applyFont="1" applyBorder="1" applyAlignment="1"/>
    <xf numFmtId="0" fontId="0" fillId="0" borderId="35" xfId="0" applyNumberFormat="1" applyFont="1" applyBorder="1" applyAlignment="1"/>
    <xf numFmtId="0" fontId="0" fillId="0" borderId="36" xfId="0" applyFont="1" applyBorder="1" applyAlignment="1"/>
    <xf numFmtId="14" fontId="0" fillId="0" borderId="37" xfId="0" applyNumberFormat="1" applyFont="1" applyBorder="1" applyAlignment="1"/>
    <xf numFmtId="0" fontId="0" fillId="0" borderId="38" xfId="0" applyNumberFormat="1" applyFont="1" applyBorder="1" applyAlignment="1"/>
    <xf numFmtId="0" fontId="0" fillId="0" borderId="39" xfId="0" applyFont="1" applyBorder="1" applyAlignment="1"/>
    <xf numFmtId="0" fontId="0" fillId="0" borderId="40" xfId="0" applyFont="1" applyBorder="1" applyAlignment="1"/>
    <xf numFmtId="0" fontId="0" fillId="0" borderId="41" xfId="0" applyFont="1" applyBorder="1" applyAlignment="1"/>
    <xf numFmtId="0" fontId="0" fillId="0" borderId="42" xfId="0" applyNumberFormat="1" applyFont="1" applyBorder="1" applyAlignment="1"/>
  </cellXfs>
  <cellStyles count="1">
    <cellStyle name="Normal" xfId="0" builtinId="0"/>
  </cellStyles>
  <dxfs count="9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491347"/>
      </font>
      <fill>
        <patternFill patternType="solid">
          <fgColor rgb="FFF1CBF0"/>
          <bgColor rgb="FFF1CBF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491347"/>
      </font>
      <fill>
        <patternFill patternType="solid">
          <fgColor rgb="FFF1CBF0"/>
          <bgColor rgb="FFF1CBF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301D7D"/>
      </font>
      <fill>
        <patternFill patternType="solid">
          <fgColor rgb="FF9BB3E9"/>
          <bgColor rgb="FF9BB3E9"/>
        </patternFill>
      </fill>
    </dxf>
  </dxfs>
  <tableStyles count="7">
    <tableStyle name="Visão Geral-style" pivot="0" count="0" xr9:uid="{00000000-0011-0000-FFFF-FFFF00000000}"/>
    <tableStyle name="Ações-style" pivot="0" count="0" xr9:uid="{00000000-0011-0000-FFFF-FFFF01000000}"/>
    <tableStyle name="Ações-style 2" pivot="0" count="0" xr9:uid="{00000000-0011-0000-FFFF-FFFF02000000}"/>
    <tableStyle name="BDRs-style" pivot="0" count="0" xr9:uid="{00000000-0011-0000-FFFF-FFFF03000000}"/>
    <tableStyle name="BDRs-style 2" pivot="0" count="0" xr9:uid="{00000000-0011-0000-FFFF-FFFF04000000}"/>
    <tableStyle name="FIIs-style" pivot="0" count="0" xr9:uid="{00000000-0011-0000-FFFF-FFFF05000000}"/>
    <tableStyle name="FIIs-style 2" pivot="0" count="0" xr9:uid="{00000000-0011-0000-FFFF-FFFF06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customschemas.google.com/relationships/workbookmetadata" Target="metadata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autoTitleDeleted val="1"/>
    <c:plotArea>
      <c:layout/>
      <c:doughnutChart>
        <c:varyColors val="1"/>
        <c:ser>
          <c:idx val="0"/>
          <c:order val="0"/>
          <c:tx>
            <c:strRef>
              <c:f>'Visão Geral'!$J$11</c:f>
              <c:strCache>
                <c:ptCount val="1"/>
                <c:pt idx="0">
                  <c:v>Peso atual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C7B0-43AA-A69A-629FA51D5D1C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3-C7B0-43AA-A69A-629FA51D5D1C}"/>
              </c:ext>
            </c:extLst>
          </c:dPt>
          <c:dPt>
            <c:idx val="2"/>
            <c:bubble3D val="0"/>
            <c:spPr>
              <a:solidFill>
                <a:srgbClr val="755DD9"/>
              </a:solidFill>
            </c:spPr>
            <c:extLst>
              <c:ext xmlns:c16="http://schemas.microsoft.com/office/drawing/2014/chart" uri="{C3380CC4-5D6E-409C-BE32-E72D297353CC}">
                <c16:uniqueId val="{00000005-C7B0-43AA-A69A-629FA51D5D1C}"/>
              </c:ext>
            </c:extLst>
          </c:dPt>
          <c:cat>
            <c:strRef>
              <c:f>'Visão Geral'!$D$12:$D$14</c:f>
              <c:strCache>
                <c:ptCount val="3"/>
                <c:pt idx="0">
                  <c:v>Ações</c:v>
                </c:pt>
                <c:pt idx="1">
                  <c:v>BDRs</c:v>
                </c:pt>
                <c:pt idx="2">
                  <c:v>FIIs</c:v>
                </c:pt>
              </c:strCache>
            </c:strRef>
          </c:cat>
          <c:val>
            <c:numRef>
              <c:f>'Visão Geral'!$J$12:$J$14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B0-43AA-A69A-629FA51D5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legend>
      <c:legendPos val="r"/>
      <c:layout>
        <c:manualLayout>
          <c:xMode val="edge"/>
          <c:yMode val="edge"/>
          <c:x val="0.64964584217391985"/>
          <c:y val="0.33682014324480625"/>
          <c:w val="0.10061024407877159"/>
          <c:h val="0.28626718270385693"/>
        </c:manualLayout>
      </c:layout>
      <c:overlay val="0"/>
      <c:txPr>
        <a:bodyPr/>
        <a:lstStyle/>
        <a:p>
          <a:pPr lvl="0">
            <a:defRPr sz="1600" b="1" i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Patrimônio Investido x Atual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Investido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Patrimônio!$X$2:$X$13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F69-4704-9A2E-ACDCABF3A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92480197"/>
        <c:axId val="270259983"/>
      </c:barChart>
      <c:lineChart>
        <c:grouping val="standard"/>
        <c:varyColors val="0"/>
        <c:ser>
          <c:idx val="1"/>
          <c:order val="1"/>
          <c:tx>
            <c:v>Atual</c:v>
          </c:tx>
          <c:spPr>
            <a:ln w="28575" cmpd="sng">
              <a:solidFill>
                <a:srgbClr val="00B050">
                  <a:alpha val="100000"/>
                </a:srgbClr>
              </a:solidFill>
            </a:ln>
          </c:spPr>
          <c:marker>
            <c:symbol val="circle"/>
            <c:size val="5"/>
            <c:spPr>
              <a:solidFill>
                <a:srgbClr val="00B050">
                  <a:alpha val="100000"/>
                </a:srgbClr>
              </a:solidFill>
              <a:ln cmpd="sng">
                <a:solidFill>
                  <a:srgbClr val="00B050">
                    <a:alpha val="100000"/>
                  </a:srgbClr>
                </a:solidFill>
              </a:ln>
            </c:spPr>
          </c:marker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Patrimônio!$Y$2:$Y$13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69-4704-9A2E-ACDCABF3A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2480197"/>
        <c:axId val="270259983"/>
      </c:lineChart>
      <c:dateAx>
        <c:axId val="189248019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mm/yy" sourceLinked="0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70259983"/>
        <c:crosses val="autoZero"/>
        <c:auto val="1"/>
        <c:lblOffset val="100"/>
        <c:baseTimeUnit val="months"/>
      </c:dateAx>
      <c:valAx>
        <c:axId val="27025998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&quot;R$&quot;\ 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892480197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sz="900" b="0" i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400" b="1" i="0">
                <a:solidFill>
                  <a:srgbClr val="757575"/>
                </a:solidFill>
                <a:latin typeface="+mn-lt"/>
              </a:defRPr>
            </a:pPr>
            <a:r>
              <a:rPr lang="pt-BR" sz="1400" b="1" i="0">
                <a:solidFill>
                  <a:srgbClr val="757575"/>
                </a:solidFill>
                <a:latin typeface="+mn-lt"/>
              </a:rPr>
              <a:t>Total de Proventos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Patrimônio!$R$22</c:f>
              <c:strCache>
                <c:ptCount val="1"/>
                <c:pt idx="0">
                  <c:v>Data</c:v>
                </c:pt>
              </c:strCache>
            </c:strRef>
          </c:tx>
          <c:invertIfNegative val="1"/>
          <c:cat>
            <c:strRef>
              <c:f>Patrimônio!$Q$23:$Q$36</c:f>
              <c:strCache>
                <c:ptCount val="14"/>
                <c:pt idx="0">
                  <c:v>2022</c:v>
                </c:pt>
                <c:pt idx="12">
                  <c:v>2022 Total</c:v>
                </c:pt>
                <c:pt idx="13">
                  <c:v>2023</c:v>
                </c:pt>
              </c:strCache>
            </c:strRef>
          </c:cat>
          <c:val>
            <c:numRef>
              <c:f>Patrimônio!$R$23:$R$36</c:f>
              <c:numCache>
                <c:formatCode>m/d/yyyy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3-46ED-A852-1C823E48A7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9369961"/>
        <c:axId val="2141401793"/>
      </c:barChart>
      <c:catAx>
        <c:axId val="17493699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0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41401793"/>
        <c:crosses val="autoZero"/>
        <c:auto val="1"/>
        <c:lblAlgn val="ctr"/>
        <c:lblOffset val="100"/>
        <c:noMultiLvlLbl val="1"/>
      </c:catAx>
      <c:valAx>
        <c:axId val="2141401793"/>
        <c:scaling>
          <c:orientation val="minMax"/>
        </c:scaling>
        <c:delete val="0"/>
        <c:axPos val="l"/>
        <c:numFmt formatCode="m/d/yyyy" sourceLinked="1"/>
        <c:majorTickMark val="cross"/>
        <c:minorTickMark val="cross"/>
        <c:tickLblPos val="nextTo"/>
        <c:spPr>
          <a:ln>
            <a:noFill/>
          </a:ln>
        </c:spPr>
        <c:crossAx val="1749369961"/>
        <c:crosses val="autoZero"/>
        <c:crossBetween val="between"/>
      </c:valAx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Setor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Auxiliar!$D$5</c:f>
              <c:strCache>
                <c:ptCount val="1"/>
                <c:pt idx="0">
                  <c:v>Soma de %Atual</c:v>
                </c:pt>
              </c:strCache>
            </c:strRef>
          </c:tx>
          <c:dPt>
            <c:idx val="0"/>
            <c:bubble3D val="0"/>
            <c:spPr>
              <a:solidFill>
                <a:srgbClr val="92278F"/>
              </a:solidFill>
            </c:spPr>
            <c:extLst>
              <c:ext xmlns:c16="http://schemas.microsoft.com/office/drawing/2014/chart" uri="{C3380CC4-5D6E-409C-BE32-E72D297353CC}">
                <c16:uniqueId val="{00000001-3412-4AFF-9A64-47F41E11679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Auxiliar!$C$6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Auxiliar!$D$6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2-4AFF-9A64-47F41E116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Ação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%Atual</c:v>
          </c:tx>
          <c:spPr>
            <a:solidFill>
              <a:srgbClr val="45A5ED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900" b="1" i="0"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Ações!$D$19</c:f>
              <c:numCache>
                <c:formatCode>General</c:formatCode>
                <c:ptCount val="1"/>
              </c:numCache>
            </c:numRef>
          </c:cat>
          <c:val>
            <c:numRef>
              <c:f>Ações!$O$19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FF5-4088-B4F5-6764516A951C}"/>
            </c:ext>
          </c:extLst>
        </c:ser>
        <c:ser>
          <c:idx val="1"/>
          <c:order val="1"/>
          <c:tx>
            <c:v>%ideal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Ações!$D$19</c:f>
              <c:numCache>
                <c:formatCode>General</c:formatCode>
                <c:ptCount val="1"/>
              </c:numCache>
            </c:numRef>
          </c:cat>
          <c:val>
            <c:numRef>
              <c:f>Ações!$N$19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CFF5-4088-B4F5-6764516A9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59674686"/>
        <c:axId val="207319642"/>
      </c:barChart>
      <c:catAx>
        <c:axId val="155967468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07319642"/>
        <c:crosses val="autoZero"/>
        <c:auto val="1"/>
        <c:lblAlgn val="ctr"/>
        <c:lblOffset val="100"/>
        <c:noMultiLvlLbl val="1"/>
      </c:catAx>
      <c:valAx>
        <c:axId val="20731964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559674686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Proventos Mensais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R. Ações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Patrimônio!$Z$2:$Z$13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BD5D-4802-837F-35A1837C1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76638369"/>
        <c:axId val="1697544567"/>
      </c:barChart>
      <c:dateAx>
        <c:axId val="37663836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mm/yy" sourceLinked="0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97544567"/>
        <c:crosses val="autoZero"/>
        <c:auto val="1"/>
        <c:lblOffset val="100"/>
        <c:baseTimeUnit val="months"/>
      </c:dateAx>
      <c:valAx>
        <c:axId val="169754456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&quot;R$&quot;\ 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376638369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Setor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Auxiliar!$I$5</c:f>
              <c:strCache>
                <c:ptCount val="1"/>
                <c:pt idx="0">
                  <c:v>Soma de %Atual</c:v>
                </c:pt>
              </c:strCache>
            </c:strRef>
          </c:tx>
          <c:dPt>
            <c:idx val="0"/>
            <c:bubble3D val="0"/>
            <c:spPr>
              <a:solidFill>
                <a:srgbClr val="92278F"/>
              </a:solidFill>
            </c:spPr>
            <c:extLst>
              <c:ext xmlns:c16="http://schemas.microsoft.com/office/drawing/2014/chart" uri="{C3380CC4-5D6E-409C-BE32-E72D297353CC}">
                <c16:uniqueId val="{00000001-EC66-420C-A3D2-5943F3BD217F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Auxiliar!$H$6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Auxiliar!$I$6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66-420C-A3D2-5943F3BD2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Ação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%Atual</c:v>
          </c:tx>
          <c:spPr>
            <a:solidFill>
              <a:srgbClr val="45A5ED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000" b="1" i="0"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BDRs!$D$19</c:f>
              <c:numCache>
                <c:formatCode>General</c:formatCode>
                <c:ptCount val="1"/>
              </c:numCache>
            </c:numRef>
          </c:cat>
          <c:val>
            <c:numRef>
              <c:f>BDRs!$O$19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E4C-4AB3-9005-0E50A8D1696C}"/>
            </c:ext>
          </c:extLst>
        </c:ser>
        <c:ser>
          <c:idx val="1"/>
          <c:order val="1"/>
          <c:tx>
            <c:v>%ideal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BDRs!$D$19</c:f>
              <c:numCache>
                <c:formatCode>General</c:formatCode>
                <c:ptCount val="1"/>
              </c:numCache>
            </c:numRef>
          </c:cat>
          <c:val>
            <c:numRef>
              <c:f>BDRs!$N$18:$N$19</c:f>
              <c:numCache>
                <c:formatCode>0.0%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4E4C-4AB3-9005-0E50A8D16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25041241"/>
        <c:axId val="306849101"/>
      </c:barChart>
      <c:catAx>
        <c:axId val="212504124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306849101"/>
        <c:crosses val="autoZero"/>
        <c:auto val="1"/>
        <c:lblAlgn val="ctr"/>
        <c:lblOffset val="100"/>
        <c:noMultiLvlLbl val="1"/>
      </c:catAx>
      <c:valAx>
        <c:axId val="30684910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125041241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Proventos Mensais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R. BDRs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Patrimônio!$AA$2:$AA$13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86A-4663-9836-15B10547B9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64595465"/>
        <c:axId val="1624261491"/>
      </c:barChart>
      <c:dateAx>
        <c:axId val="106459546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mm/yy" sourceLinked="0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624261491"/>
        <c:crosses val="autoZero"/>
        <c:auto val="1"/>
        <c:lblOffset val="100"/>
        <c:baseTimeUnit val="months"/>
      </c:dateAx>
      <c:valAx>
        <c:axId val="16242614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&quot;R$&quot;\ 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064595465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Fundo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%Atual</c:v>
          </c:tx>
          <c:spPr>
            <a:solidFill>
              <a:srgbClr val="45A5ED"/>
            </a:solidFill>
            <a:ln cmpd="sng">
              <a:solidFill>
                <a:srgbClr val="000000"/>
              </a:solidFill>
            </a:ln>
          </c:spPr>
          <c:invertIfNegative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000" b="1" i="0">
                    <a:latin typeface="+mn-lt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FIIs!$D$19</c:f>
              <c:numCache>
                <c:formatCode>General</c:formatCode>
                <c:ptCount val="1"/>
              </c:numCache>
            </c:numRef>
          </c:cat>
          <c:val>
            <c:numRef>
              <c:f>FIIs!$O$19</c:f>
              <c:numCache>
                <c:formatCode>0.0%</c:formatCode>
                <c:ptCount val="1"/>
                <c:pt idx="0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0829-458B-8A6B-1A1BBE257004}"/>
            </c:ext>
          </c:extLst>
        </c:ser>
        <c:ser>
          <c:idx val="1"/>
          <c:order val="1"/>
          <c:tx>
            <c:v>%ideal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FIIs!$D$19</c:f>
              <c:numCache>
                <c:formatCode>General</c:formatCode>
                <c:ptCount val="1"/>
              </c:numCache>
            </c:numRef>
          </c:cat>
          <c:val>
            <c:numRef>
              <c:f>FIIs!$N$18:$N$19</c:f>
              <c:numCache>
                <c:formatCode>0.0%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0829-458B-8A6B-1A1BBE257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1141079"/>
        <c:axId val="452769082"/>
      </c:barChart>
      <c:catAx>
        <c:axId val="2071141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452769082"/>
        <c:crosses val="autoZero"/>
        <c:auto val="1"/>
        <c:lblAlgn val="ctr"/>
        <c:lblOffset val="100"/>
        <c:noMultiLvlLbl val="1"/>
      </c:catAx>
      <c:valAx>
        <c:axId val="45276908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2071141079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Proventos Mensais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1"/>
        <c:ser>
          <c:idx val="0"/>
          <c:order val="0"/>
          <c:tx>
            <c:v>R.  FIIs</c:v>
          </c:tx>
          <c:spPr>
            <a:solidFill>
              <a:srgbClr val="9B57D3"/>
            </a:solidFill>
            <a:ln cmpd="sng">
              <a:solidFill>
                <a:srgbClr val="000000"/>
              </a:solidFill>
            </a:ln>
          </c:spPr>
          <c:invertIfNegative val="1"/>
          <c:cat>
            <c:numRef>
              <c:f>Patrimônio!$Q$2:$Q$13</c:f>
              <c:numCache>
                <c:formatCode>m/d/yyyy</c:formatCode>
                <c:ptCount val="12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44681</c:v>
                </c:pt>
                <c:pt idx="4">
                  <c:v>44712</c:v>
                </c:pt>
                <c:pt idx="5">
                  <c:v>44742</c:v>
                </c:pt>
                <c:pt idx="6">
                  <c:v>44773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44926</c:v>
                </c:pt>
              </c:numCache>
            </c:numRef>
          </c:cat>
          <c:val>
            <c:numRef>
              <c:f>Patrimônio!$AB$2:$AB$13</c:f>
              <c:numCache>
                <c:formatCode>"R$"\ 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7AC4-4F30-BFCB-C94525C8E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847635"/>
        <c:axId val="1289972258"/>
      </c:barChart>
      <c:dateAx>
        <c:axId val="10958476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mm/yy" sourceLinked="0"/>
        <c:majorTickMark val="none"/>
        <c:minorTickMark val="none"/>
        <c:tickLblPos val="nextTo"/>
        <c:txPr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289972258"/>
        <c:crosses val="autoZero"/>
        <c:auto val="1"/>
        <c:lblOffset val="100"/>
        <c:baseTimeUnit val="months"/>
      </c:dateAx>
      <c:valAx>
        <c:axId val="128997225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pt-BR"/>
              </a:p>
            </c:rich>
          </c:tx>
          <c:overlay val="0"/>
        </c:title>
        <c:numFmt formatCode="&quot;R$&quot;\ #,##0.00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pt-BR"/>
          </a:p>
        </c:txPr>
        <c:crossAx val="1095847635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 lvl="0">
              <a:defRPr sz="1600" b="1" i="0">
                <a:solidFill>
                  <a:srgbClr val="757575"/>
                </a:solidFill>
                <a:latin typeface="+mn-lt"/>
              </a:defRPr>
            </a:pPr>
            <a:r>
              <a:rPr lang="pt-BR" sz="1600" b="1" i="0">
                <a:solidFill>
                  <a:srgbClr val="757575"/>
                </a:solidFill>
                <a:latin typeface="+mn-lt"/>
              </a:rPr>
              <a:t>Diversificação por Tipo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Auxiliar!$Q$5</c:f>
              <c:strCache>
                <c:ptCount val="1"/>
                <c:pt idx="0">
                  <c:v>Soma de %Atual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1-EEED-4CE2-B98A-2F601CFE4A85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3-EEED-4CE2-B98A-2F601CFE4A85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Auxiliar!$P$6:$P$7</c:f>
              <c:strCache>
                <c:ptCount val="2"/>
                <c:pt idx="0">
                  <c:v>(vazio)</c:v>
                </c:pt>
                <c:pt idx="1">
                  <c:v>Total Geral</c:v>
                </c:pt>
              </c:strCache>
            </c:strRef>
          </c:cat>
          <c:val>
            <c:numRef>
              <c:f>Auxiliar!$Q$6:$Q$7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ED-4CE2-B98A-2F601CFE4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zero"/>
    <c:showDLblsOverMax val="1"/>
  </c:chart>
  <c:spPr>
    <a:solidFill>
      <a:srgbClr val="E8DE87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FIIs!A1"/><Relationship Id="rId5" Type="http://schemas.openxmlformats.org/officeDocument/2006/relationships/hyperlink" Target="#BDRs!A1"/><Relationship Id="rId4" Type="http://schemas.openxmlformats.org/officeDocument/2006/relationships/hyperlink" Target="#A&#231;&#245;es!A1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6.xml"/><Relationship Id="rId7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hyperlink" Target="#FIIs!A1"/><Relationship Id="rId5" Type="http://schemas.openxmlformats.org/officeDocument/2006/relationships/hyperlink" Target="#BDRs!A1"/><Relationship Id="rId4" Type="http://schemas.openxmlformats.org/officeDocument/2006/relationships/hyperlink" Target="#'Vis&#227;o%20Ger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9.xml"/><Relationship Id="rId7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hyperlink" Target="#FIIs!A1"/><Relationship Id="rId5" Type="http://schemas.openxmlformats.org/officeDocument/2006/relationships/hyperlink" Target="#A&#231;&#245;es!A1"/><Relationship Id="rId4" Type="http://schemas.openxmlformats.org/officeDocument/2006/relationships/hyperlink" Target="#'Vis&#227;o%20Geral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chart" Target="../charts/chart12.xml"/><Relationship Id="rId7" Type="http://schemas.openxmlformats.org/officeDocument/2006/relationships/image" Target="../media/image1.pn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hyperlink" Target="#BDRs!A1"/><Relationship Id="rId5" Type="http://schemas.openxmlformats.org/officeDocument/2006/relationships/hyperlink" Target="#A&#231;&#245;es!A1"/><Relationship Id="rId4" Type="http://schemas.openxmlformats.org/officeDocument/2006/relationships/hyperlink" Target="#'Vis&#227;o%20Geral'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1428750</xdr:colOff>
      <xdr:row>17</xdr:row>
      <xdr:rowOff>209550</xdr:rowOff>
    </xdr:from>
    <xdr:ext cx="7953375" cy="3371850"/>
    <xdr:graphicFrame macro="">
      <xdr:nvGraphicFramePr>
        <xdr:cNvPr id="1758761744" name="Chart 1">
          <a:extLst>
            <a:ext uri="{FF2B5EF4-FFF2-40B4-BE49-F238E27FC236}">
              <a16:creationId xmlns:a16="http://schemas.microsoft.com/office/drawing/2014/main" id="{00000000-0008-0000-0000-00001093D4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3</xdr:col>
      <xdr:colOff>0</xdr:colOff>
      <xdr:row>39</xdr:row>
      <xdr:rowOff>0</xdr:rowOff>
    </xdr:from>
    <xdr:ext cx="6791325" cy="3686175"/>
    <xdr:graphicFrame macro="">
      <xdr:nvGraphicFramePr>
        <xdr:cNvPr id="1163473639" name="Chart 2">
          <a:extLst>
            <a:ext uri="{FF2B5EF4-FFF2-40B4-BE49-F238E27FC236}">
              <a16:creationId xmlns:a16="http://schemas.microsoft.com/office/drawing/2014/main" id="{00000000-0008-0000-0000-0000E7325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8</xdr:col>
      <xdr:colOff>714375</xdr:colOff>
      <xdr:row>39</xdr:row>
      <xdr:rowOff>0</xdr:rowOff>
    </xdr:from>
    <xdr:ext cx="6724650" cy="3686175"/>
    <xdr:graphicFrame macro="">
      <xdr:nvGraphicFramePr>
        <xdr:cNvPr id="688468785" name="Chart 3">
          <a:extLst>
            <a:ext uri="{FF2B5EF4-FFF2-40B4-BE49-F238E27FC236}">
              <a16:creationId xmlns:a16="http://schemas.microsoft.com/office/drawing/2014/main" id="{00000000-0008-0000-0000-0000313309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11</xdr:col>
      <xdr:colOff>409575</xdr:colOff>
      <xdr:row>5</xdr:row>
      <xdr:rowOff>123825</xdr:rowOff>
    </xdr:from>
    <xdr:ext cx="2343150" cy="2476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79188" y="3656175"/>
          <a:ext cx="2333625" cy="247650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Adicionar/Retirar Capital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7</xdr:row>
      <xdr:rowOff>19050</xdr:rowOff>
    </xdr:from>
    <xdr:ext cx="1571625" cy="409575"/>
    <xdr:sp macro="" textlink="">
      <xdr:nvSpPr>
        <xdr:cNvPr id="4" name="Shap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Ações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5</xdr:row>
      <xdr:rowOff>0</xdr:rowOff>
    </xdr:from>
    <xdr:ext cx="1571625" cy="314325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574475" y="3637125"/>
          <a:ext cx="1543050" cy="285750"/>
        </a:xfrm>
        <a:prstGeom prst="flowChartTerminator">
          <a:avLst/>
        </a:prstGeom>
        <a:solidFill>
          <a:srgbClr val="AB9CE8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C0C0C"/>
              </a:solidFill>
              <a:latin typeface="Gill Sans"/>
              <a:ea typeface="Gill Sans"/>
              <a:cs typeface="Gill Sans"/>
              <a:sym typeface="Gill Sans"/>
            </a:rPr>
            <a:t>Visão Geral</a:t>
          </a:r>
          <a:endParaRPr sz="1100" b="1">
            <a:solidFill>
              <a:srgbClr val="0C0C0C"/>
            </a:solidFill>
          </a:endParaRPr>
        </a:p>
      </xdr:txBody>
    </xdr:sp>
    <xdr:clientData fLocksWithSheet="0"/>
  </xdr:oneCellAnchor>
  <xdr:oneCellAnchor>
    <xdr:from>
      <xdr:col>0</xdr:col>
      <xdr:colOff>76200</xdr:colOff>
      <xdr:row>9</xdr:row>
      <xdr:rowOff>180975</xdr:rowOff>
    </xdr:from>
    <xdr:ext cx="1571625" cy="409575"/>
    <xdr:sp macro="" textlink="">
      <xdr:nvSpPr>
        <xdr:cNvPr id="6" name="Shape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574475" y="3584738"/>
          <a:ext cx="1543050" cy="39052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BDRs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10</xdr:row>
      <xdr:rowOff>619125</xdr:rowOff>
    </xdr:from>
    <xdr:ext cx="1571625" cy="409575"/>
    <xdr:sp macro="" textlink="">
      <xdr:nvSpPr>
        <xdr:cNvPr id="7" name="Shape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574475" y="3584738"/>
          <a:ext cx="1543050" cy="39052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FIIs</a:t>
          </a:r>
          <a:endParaRPr sz="1400"/>
        </a:p>
      </xdr:txBody>
    </xdr:sp>
    <xdr:clientData fLocksWithSheet="0"/>
  </xdr:oneCellAnchor>
  <xdr:oneCellAnchor>
    <xdr:from>
      <xdr:col>0</xdr:col>
      <xdr:colOff>257175</xdr:colOff>
      <xdr:row>0</xdr:row>
      <xdr:rowOff>76200</xdr:rowOff>
    </xdr:from>
    <xdr:ext cx="1219200" cy="1038225"/>
    <xdr:pic>
      <xdr:nvPicPr>
        <xdr:cNvPr id="2" name="image3.png" descr="Carteir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20</xdr:row>
      <xdr:rowOff>180975</xdr:rowOff>
    </xdr:from>
    <xdr:ext cx="1619250" cy="1619250"/>
    <xdr:pic>
      <xdr:nvPicPr>
        <xdr:cNvPr id="8" name="image1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400050</xdr:colOff>
      <xdr:row>29</xdr:row>
      <xdr:rowOff>28575</xdr:rowOff>
    </xdr:from>
    <xdr:ext cx="904875" cy="904875"/>
    <xdr:pic>
      <xdr:nvPicPr>
        <xdr:cNvPr id="9" name="image2.png" descr="Repeti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22</xdr:row>
      <xdr:rowOff>0</xdr:rowOff>
    </xdr:from>
    <xdr:ext cx="4505325" cy="3724275"/>
    <xdr:graphicFrame macro="">
      <xdr:nvGraphicFramePr>
        <xdr:cNvPr id="614627130" name="Chart 4">
          <a:extLst>
            <a:ext uri="{FF2B5EF4-FFF2-40B4-BE49-F238E27FC236}">
              <a16:creationId xmlns:a16="http://schemas.microsoft.com/office/drawing/2014/main" id="{00000000-0008-0000-0100-00003A77A2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76200</xdr:colOff>
      <xdr:row>22</xdr:row>
      <xdr:rowOff>0</xdr:rowOff>
    </xdr:from>
    <xdr:ext cx="9020175" cy="3724275"/>
    <xdr:graphicFrame macro="">
      <xdr:nvGraphicFramePr>
        <xdr:cNvPr id="227408320" name="Chart 5">
          <a:extLst>
            <a:ext uri="{FF2B5EF4-FFF2-40B4-BE49-F238E27FC236}">
              <a16:creationId xmlns:a16="http://schemas.microsoft.com/office/drawing/2014/main" id="{00000000-0008-0000-0100-0000C0F98D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228600</xdr:colOff>
      <xdr:row>44</xdr:row>
      <xdr:rowOff>0</xdr:rowOff>
    </xdr:from>
    <xdr:ext cx="6734175" cy="3686175"/>
    <xdr:graphicFrame macro="">
      <xdr:nvGraphicFramePr>
        <xdr:cNvPr id="1500069854" name="Chart 6">
          <a:extLst>
            <a:ext uri="{FF2B5EF4-FFF2-40B4-BE49-F238E27FC236}">
              <a16:creationId xmlns:a16="http://schemas.microsoft.com/office/drawing/2014/main" id="{00000000-0008-0000-0100-0000DE3F69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14</xdr:col>
      <xdr:colOff>466725</xdr:colOff>
      <xdr:row>5</xdr:row>
      <xdr:rowOff>85725</xdr:rowOff>
    </xdr:from>
    <xdr:ext cx="2152650" cy="333375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74438" y="3618075"/>
          <a:ext cx="2143125" cy="323850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Adicionar/Retirar Capital</a:t>
          </a:r>
          <a:endParaRPr sz="1400"/>
        </a:p>
      </xdr:txBody>
    </xdr:sp>
    <xdr:clientData fLocksWithSheet="0"/>
  </xdr:oneCellAnchor>
  <xdr:oneCellAnchor>
    <xdr:from>
      <xdr:col>9</xdr:col>
      <xdr:colOff>323850</xdr:colOff>
      <xdr:row>11</xdr:row>
      <xdr:rowOff>57150</xdr:rowOff>
    </xdr:from>
    <xdr:ext cx="1600200" cy="30480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550663" y="3632363"/>
          <a:ext cx="1590675" cy="295275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Registrar Operação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7</xdr:row>
      <xdr:rowOff>171450</xdr:rowOff>
    </xdr:from>
    <xdr:ext cx="1571625" cy="361950"/>
    <xdr:sp macro="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4574475" y="3613313"/>
          <a:ext cx="1543050" cy="333375"/>
        </a:xfrm>
        <a:prstGeom prst="flowChartTerminator">
          <a:avLst/>
        </a:prstGeom>
        <a:solidFill>
          <a:srgbClr val="AB9CE8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C0C0C"/>
              </a:solidFill>
              <a:latin typeface="Gill Sans"/>
              <a:ea typeface="Gill Sans"/>
              <a:cs typeface="Gill Sans"/>
              <a:sym typeface="Gill Sans"/>
            </a:rPr>
            <a:t>Ações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5</xdr:row>
      <xdr:rowOff>-9525</xdr:rowOff>
    </xdr:from>
    <xdr:ext cx="1571625" cy="409575"/>
    <xdr:sp macro="" textlink="">
      <xdr:nvSpPr>
        <xdr:cNvPr id="11" name="Shape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Visão Geral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10</xdr:row>
      <xdr:rowOff>76200</xdr:rowOff>
    </xdr:from>
    <xdr:ext cx="1571625" cy="381000"/>
    <xdr:sp macro="" textlink="">
      <xdr:nvSpPr>
        <xdr:cNvPr id="12" name="Shape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4574475" y="3603788"/>
          <a:ext cx="1543050" cy="35242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BDRs</a:t>
          </a:r>
          <a:endParaRPr sz="1400"/>
        </a:p>
      </xdr:txBody>
    </xdr:sp>
    <xdr:clientData fLocksWithSheet="0"/>
  </xdr:oneCellAnchor>
  <xdr:oneCellAnchor>
    <xdr:from>
      <xdr:col>0</xdr:col>
      <xdr:colOff>85725</xdr:colOff>
      <xdr:row>13</xdr:row>
      <xdr:rowOff>28575</xdr:rowOff>
    </xdr:from>
    <xdr:ext cx="1571625" cy="400050"/>
    <xdr:sp macro="" textlink="">
      <xdr:nvSpPr>
        <xdr:cNvPr id="13" name="Shape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FIIs</a:t>
          </a:r>
          <a:endParaRPr sz="1400"/>
        </a:p>
      </xdr:txBody>
    </xdr:sp>
    <xdr:clientData fLocksWithSheet="0"/>
  </xdr:oneCellAnchor>
  <xdr:oneCellAnchor>
    <xdr:from>
      <xdr:col>0</xdr:col>
      <xdr:colOff>247650</xdr:colOff>
      <xdr:row>0</xdr:row>
      <xdr:rowOff>9525</xdr:rowOff>
    </xdr:from>
    <xdr:ext cx="1219200" cy="1095375"/>
    <xdr:pic>
      <xdr:nvPicPr>
        <xdr:cNvPr id="2" name="image3.png" descr="Carteir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409575</xdr:colOff>
      <xdr:row>18</xdr:row>
      <xdr:rowOff>66675</xdr:rowOff>
    </xdr:from>
    <xdr:ext cx="904875" cy="838200"/>
    <xdr:pic>
      <xdr:nvPicPr>
        <xdr:cNvPr id="3" name="image2.png" descr="Repetir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19050</xdr:colOff>
      <xdr:row>22</xdr:row>
      <xdr:rowOff>0</xdr:rowOff>
    </xdr:from>
    <xdr:ext cx="4295775" cy="3724275"/>
    <xdr:graphicFrame macro="">
      <xdr:nvGraphicFramePr>
        <xdr:cNvPr id="1540036587" name="Chart 7">
          <a:extLst>
            <a:ext uri="{FF2B5EF4-FFF2-40B4-BE49-F238E27FC236}">
              <a16:creationId xmlns:a16="http://schemas.microsoft.com/office/drawing/2014/main" id="{00000000-0008-0000-0200-0000EB17CB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8</xdr:col>
      <xdr:colOff>76200</xdr:colOff>
      <xdr:row>22</xdr:row>
      <xdr:rowOff>0</xdr:rowOff>
    </xdr:from>
    <xdr:ext cx="9029700" cy="3724275"/>
    <xdr:graphicFrame macro="">
      <xdr:nvGraphicFramePr>
        <xdr:cNvPr id="1505912520" name="Chart 8">
          <a:extLst>
            <a:ext uri="{FF2B5EF4-FFF2-40B4-BE49-F238E27FC236}">
              <a16:creationId xmlns:a16="http://schemas.microsoft.com/office/drawing/2014/main" id="{00000000-0008-0000-0200-0000C866C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10</xdr:col>
      <xdr:colOff>200025</xdr:colOff>
      <xdr:row>44</xdr:row>
      <xdr:rowOff>0</xdr:rowOff>
    </xdr:from>
    <xdr:ext cx="6753225" cy="3686175"/>
    <xdr:graphicFrame macro="">
      <xdr:nvGraphicFramePr>
        <xdr:cNvPr id="1787761935" name="Chart 9">
          <a:extLst>
            <a:ext uri="{FF2B5EF4-FFF2-40B4-BE49-F238E27FC236}">
              <a16:creationId xmlns:a16="http://schemas.microsoft.com/office/drawing/2014/main" id="{00000000-0008-0000-0200-00000F158F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14</xdr:col>
      <xdr:colOff>476250</xdr:colOff>
      <xdr:row>5</xdr:row>
      <xdr:rowOff>47625</xdr:rowOff>
    </xdr:from>
    <xdr:ext cx="1571625" cy="28575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564950" y="3641888"/>
          <a:ext cx="1562100" cy="276225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Adicionar/Retirar Capital</a:t>
          </a:r>
          <a:endParaRPr sz="1400"/>
        </a:p>
      </xdr:txBody>
    </xdr:sp>
    <xdr:clientData fLocksWithSheet="0"/>
  </xdr:oneCellAnchor>
  <xdr:oneCellAnchor>
    <xdr:from>
      <xdr:col>9</xdr:col>
      <xdr:colOff>323850</xdr:colOff>
      <xdr:row>11</xdr:row>
      <xdr:rowOff>57150</xdr:rowOff>
    </xdr:from>
    <xdr:ext cx="1600200" cy="30480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550663" y="3632363"/>
          <a:ext cx="1590675" cy="295275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Registrar Operação</a:t>
          </a:r>
          <a:endParaRPr sz="1400"/>
        </a:p>
      </xdr:txBody>
    </xdr:sp>
    <xdr:clientData fLocksWithSheet="0"/>
  </xdr:oneCellAnchor>
  <xdr:oneCellAnchor>
    <xdr:from>
      <xdr:col>0</xdr:col>
      <xdr:colOff>66675</xdr:colOff>
      <xdr:row>10</xdr:row>
      <xdr:rowOff>57150</xdr:rowOff>
    </xdr:from>
    <xdr:ext cx="1571625" cy="381000"/>
    <xdr:sp macro="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574475" y="3603788"/>
          <a:ext cx="1543050" cy="352425"/>
        </a:xfrm>
        <a:prstGeom prst="flowChartTerminator">
          <a:avLst/>
        </a:prstGeom>
        <a:solidFill>
          <a:srgbClr val="AB9CE8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C0C0C"/>
              </a:solidFill>
              <a:latin typeface="Gill Sans"/>
              <a:ea typeface="Gill Sans"/>
              <a:cs typeface="Gill Sans"/>
              <a:sym typeface="Gill Sans"/>
            </a:rPr>
            <a:t>BDRs</a:t>
          </a:r>
          <a:endParaRPr sz="1400"/>
        </a:p>
      </xdr:txBody>
    </xdr:sp>
    <xdr:clientData fLocksWithSheet="0"/>
  </xdr:oneCellAnchor>
  <xdr:oneCellAnchor>
    <xdr:from>
      <xdr:col>0</xdr:col>
      <xdr:colOff>66675</xdr:colOff>
      <xdr:row>5</xdr:row>
      <xdr:rowOff>-9525</xdr:rowOff>
    </xdr:from>
    <xdr:ext cx="1571625" cy="400050"/>
    <xdr:sp macro="" textlink="">
      <xdr:nvSpPr>
        <xdr:cNvPr id="17" name="Shape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Visão Geral</a:t>
          </a:r>
          <a:endParaRPr sz="1400"/>
        </a:p>
      </xdr:txBody>
    </xdr:sp>
    <xdr:clientData fLocksWithSheet="0"/>
  </xdr:oneCellAnchor>
  <xdr:oneCellAnchor>
    <xdr:from>
      <xdr:col>0</xdr:col>
      <xdr:colOff>66675</xdr:colOff>
      <xdr:row>7</xdr:row>
      <xdr:rowOff>171450</xdr:rowOff>
    </xdr:from>
    <xdr:ext cx="1571625" cy="352425"/>
    <xdr:sp macro="" textlink="">
      <xdr:nvSpPr>
        <xdr:cNvPr id="18" name="Shape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4574475" y="3613313"/>
          <a:ext cx="1543050" cy="33337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Ações</a:t>
          </a:r>
          <a:endParaRPr sz="1400"/>
        </a:p>
      </xdr:txBody>
    </xdr:sp>
    <xdr:clientData fLocksWithSheet="0"/>
  </xdr:oneCellAnchor>
  <xdr:oneCellAnchor>
    <xdr:from>
      <xdr:col>0</xdr:col>
      <xdr:colOff>66675</xdr:colOff>
      <xdr:row>13</xdr:row>
      <xdr:rowOff>19050</xdr:rowOff>
    </xdr:from>
    <xdr:ext cx="1571625" cy="409575"/>
    <xdr:sp macro="" textlink="">
      <xdr:nvSpPr>
        <xdr:cNvPr id="19" name="Shap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FIIs</a:t>
          </a:r>
          <a:endParaRPr sz="1400"/>
        </a:p>
      </xdr:txBody>
    </xdr:sp>
    <xdr:clientData fLocksWithSheet="0"/>
  </xdr:oneCellAnchor>
  <xdr:oneCellAnchor>
    <xdr:from>
      <xdr:col>0</xdr:col>
      <xdr:colOff>238125</xdr:colOff>
      <xdr:row>0</xdr:row>
      <xdr:rowOff>0</xdr:rowOff>
    </xdr:from>
    <xdr:ext cx="1219200" cy="1095375"/>
    <xdr:pic>
      <xdr:nvPicPr>
        <xdr:cNvPr id="2" name="image3.png" descr="Carteira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400050</xdr:colOff>
      <xdr:row>18</xdr:row>
      <xdr:rowOff>47625</xdr:rowOff>
    </xdr:from>
    <xdr:ext cx="904875" cy="838200"/>
    <xdr:pic>
      <xdr:nvPicPr>
        <xdr:cNvPr id="3" name="image2.png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76200</xdr:colOff>
      <xdr:row>22</xdr:row>
      <xdr:rowOff>0</xdr:rowOff>
    </xdr:from>
    <xdr:ext cx="9010650" cy="3724275"/>
    <xdr:graphicFrame macro="">
      <xdr:nvGraphicFramePr>
        <xdr:cNvPr id="1762080678" name="Chart 10">
          <a:extLst>
            <a:ext uri="{FF2B5EF4-FFF2-40B4-BE49-F238E27FC236}">
              <a16:creationId xmlns:a16="http://schemas.microsoft.com/office/drawing/2014/main" id="{00000000-0008-0000-0300-0000A6370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219075</xdr:colOff>
      <xdr:row>44</xdr:row>
      <xdr:rowOff>28575</xdr:rowOff>
    </xdr:from>
    <xdr:ext cx="6734175" cy="3695700"/>
    <xdr:graphicFrame macro="">
      <xdr:nvGraphicFramePr>
        <xdr:cNvPr id="1026149640" name="Chart 11">
          <a:extLst>
            <a:ext uri="{FF2B5EF4-FFF2-40B4-BE49-F238E27FC236}">
              <a16:creationId xmlns:a16="http://schemas.microsoft.com/office/drawing/2014/main" id="{00000000-0008-0000-0300-000008CD2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3</xdr:col>
      <xdr:colOff>0</xdr:colOff>
      <xdr:row>22</xdr:row>
      <xdr:rowOff>0</xdr:rowOff>
    </xdr:from>
    <xdr:ext cx="4343400" cy="3724275"/>
    <xdr:graphicFrame macro="">
      <xdr:nvGraphicFramePr>
        <xdr:cNvPr id="2115887164" name="Chart 12">
          <a:extLst>
            <a:ext uri="{FF2B5EF4-FFF2-40B4-BE49-F238E27FC236}">
              <a16:creationId xmlns:a16="http://schemas.microsoft.com/office/drawing/2014/main" id="{00000000-0008-0000-0300-00003CE01D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14</xdr:col>
      <xdr:colOff>476250</xdr:colOff>
      <xdr:row>5</xdr:row>
      <xdr:rowOff>47625</xdr:rowOff>
    </xdr:from>
    <xdr:ext cx="1571625" cy="28575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4564950" y="3641888"/>
          <a:ext cx="1562100" cy="276225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Adicionar/Retirar Capital</a:t>
          </a:r>
          <a:endParaRPr sz="1400"/>
        </a:p>
      </xdr:txBody>
    </xdr:sp>
    <xdr:clientData fLocksWithSheet="0"/>
  </xdr:oneCellAnchor>
  <xdr:oneCellAnchor>
    <xdr:from>
      <xdr:col>9</xdr:col>
      <xdr:colOff>323850</xdr:colOff>
      <xdr:row>11</xdr:row>
      <xdr:rowOff>57150</xdr:rowOff>
    </xdr:from>
    <xdr:ext cx="1600200" cy="30480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4550663" y="3632363"/>
          <a:ext cx="1590675" cy="295275"/>
        </a:xfrm>
        <a:prstGeom prst="roundRect">
          <a:avLst>
            <a:gd name="adj" fmla="val 16667"/>
          </a:avLst>
        </a:prstGeom>
        <a:solidFill>
          <a:srgbClr val="463F90"/>
        </a:solidFill>
        <a:ln>
          <a:noFill/>
        </a:ln>
        <a:effectLst>
          <a:outerShdw blurRad="107950" dist="12700" dir="5400000" algn="ctr">
            <a:srgbClr val="000000"/>
          </a:outerShdw>
        </a:effectLst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Registrar Operação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13</xdr:row>
      <xdr:rowOff>0</xdr:rowOff>
    </xdr:from>
    <xdr:ext cx="1571625" cy="409575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AB9CE8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C0C0C"/>
              </a:solidFill>
              <a:latin typeface="Gill Sans"/>
              <a:ea typeface="Gill Sans"/>
              <a:cs typeface="Gill Sans"/>
              <a:sym typeface="Gill Sans"/>
            </a:rPr>
            <a:t>FIIs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5</xdr:row>
      <xdr:rowOff>-9525</xdr:rowOff>
    </xdr:from>
    <xdr:ext cx="1571625" cy="400050"/>
    <xdr:sp macro="" textlink="">
      <xdr:nvSpPr>
        <xdr:cNvPr id="23" name="Shape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574475" y="3589500"/>
          <a:ext cx="1543050" cy="381000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Visão Geral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7</xdr:row>
      <xdr:rowOff>161925</xdr:rowOff>
    </xdr:from>
    <xdr:ext cx="1571625" cy="352425"/>
    <xdr:sp macro="" textlink="">
      <xdr:nvSpPr>
        <xdr:cNvPr id="24" name="Shape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574475" y="3613313"/>
          <a:ext cx="1543050" cy="33337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Ações</a:t>
          </a:r>
          <a:endParaRPr sz="1400"/>
        </a:p>
      </xdr:txBody>
    </xdr:sp>
    <xdr:clientData fLocksWithSheet="0"/>
  </xdr:oneCellAnchor>
  <xdr:oneCellAnchor>
    <xdr:from>
      <xdr:col>0</xdr:col>
      <xdr:colOff>76200</xdr:colOff>
      <xdr:row>10</xdr:row>
      <xdr:rowOff>57150</xdr:rowOff>
    </xdr:from>
    <xdr:ext cx="1571625" cy="371475"/>
    <xdr:sp macro="" textlink="">
      <xdr:nvSpPr>
        <xdr:cNvPr id="25" name="Shape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574475" y="3603788"/>
          <a:ext cx="1543050" cy="352425"/>
        </a:xfrm>
        <a:prstGeom prst="flowChartTerminator">
          <a:avLst/>
        </a:prstGeom>
        <a:solidFill>
          <a:srgbClr val="2F2A60"/>
        </a:solidFill>
        <a:ln w="22225" cap="rnd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chemeClr val="lt1"/>
              </a:solidFill>
              <a:latin typeface="Gill Sans"/>
              <a:ea typeface="Gill Sans"/>
              <a:cs typeface="Gill Sans"/>
              <a:sym typeface="Gill Sans"/>
            </a:rPr>
            <a:t>BDRs</a:t>
          </a:r>
          <a:endParaRPr sz="1400"/>
        </a:p>
      </xdr:txBody>
    </xdr:sp>
    <xdr:clientData fLocksWithSheet="0"/>
  </xdr:oneCellAnchor>
  <xdr:oneCellAnchor>
    <xdr:from>
      <xdr:col>0</xdr:col>
      <xdr:colOff>228600</xdr:colOff>
      <xdr:row>0</xdr:row>
      <xdr:rowOff>9525</xdr:rowOff>
    </xdr:from>
    <xdr:ext cx="1219200" cy="1095375"/>
    <xdr:pic>
      <xdr:nvPicPr>
        <xdr:cNvPr id="2" name="image3.png" descr="Carteir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400050</xdr:colOff>
      <xdr:row>18</xdr:row>
      <xdr:rowOff>28575</xdr:rowOff>
    </xdr:from>
    <xdr:ext cx="904875" cy="819150"/>
    <xdr:pic>
      <xdr:nvPicPr>
        <xdr:cNvPr id="3" name="image2.png" descr="Repet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riel Romão" refreshedDate="44647.404314467596" refreshedVersion="7" recordCount="971" xr:uid="{00000000-000A-0000-FFFF-FFFF00000000}">
  <cacheSource type="worksheet">
    <worksheetSource ref="B1:N972" sheet="Patrimônio"/>
  </cacheSource>
  <cacheFields count="14">
    <cacheField name="Data" numFmtId="14">
      <sharedItems containsSemiMixedTypes="0" containsNonDate="0" containsDate="1" containsString="0" minDate="2022-01-31T00:00:00" maxDate="2102-12-01T00:00:00" count="971">
        <d v="2022-01-31T00:00:00"/>
        <d v="2022-02-28T00:00:00"/>
        <d v="2022-03-31T00:00:00"/>
        <d v="2022-04-30T00:00:00"/>
        <d v="2022-05-31T00:00:00"/>
        <d v="2022-06-30T00:00:00"/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  <d v="2036-01-31T00:00:00"/>
        <d v="2036-02-29T00:00:00"/>
        <d v="2036-03-31T00:00:00"/>
        <d v="2036-04-30T00:00:00"/>
        <d v="2036-05-31T00:00:00"/>
        <d v="2036-06-30T00:00:00"/>
        <d v="2036-07-31T00:00:00"/>
        <d v="2036-08-31T00:00:00"/>
        <d v="2036-09-30T00:00:00"/>
        <d v="2036-10-31T00:00:00"/>
        <d v="2036-11-30T00:00:00"/>
        <d v="2036-12-31T00:00:00"/>
        <d v="2037-01-31T00:00:00"/>
        <d v="2037-02-28T00:00:00"/>
        <d v="2037-03-31T00:00:00"/>
        <d v="2037-04-30T00:00:00"/>
        <d v="2037-05-31T00:00:00"/>
        <d v="2037-06-30T00:00:00"/>
        <d v="2037-07-31T00:00:00"/>
        <d v="2037-08-31T00:00:00"/>
        <d v="2037-09-30T00:00:00"/>
        <d v="2037-10-31T00:00:00"/>
        <d v="2037-11-30T00:00:00"/>
        <d v="2037-12-31T00:00:00"/>
        <d v="2038-01-31T00:00:00"/>
        <d v="2038-02-28T00:00:00"/>
        <d v="2038-03-31T00:00:00"/>
        <d v="2038-04-30T00:00:00"/>
        <d v="2038-05-31T00:00:00"/>
        <d v="2038-06-30T00:00:00"/>
        <d v="2038-07-31T00:00:00"/>
        <d v="2038-08-31T00:00:00"/>
        <d v="2038-09-30T00:00:00"/>
        <d v="2038-10-31T00:00:00"/>
        <d v="2038-11-30T00:00:00"/>
        <d v="2038-12-31T00:00:00"/>
        <d v="2039-01-31T00:00:00"/>
        <d v="2039-02-28T00:00:00"/>
        <d v="2039-03-31T00:00:00"/>
        <d v="2039-04-30T00:00:00"/>
        <d v="2039-05-31T00:00:00"/>
        <d v="2039-06-30T00:00:00"/>
        <d v="2039-07-31T00:00:00"/>
        <d v="2039-08-31T00:00:00"/>
        <d v="2039-09-30T00:00:00"/>
        <d v="2039-10-31T00:00:00"/>
        <d v="2039-11-30T00:00:00"/>
        <d v="2039-12-31T00:00:00"/>
        <d v="2040-01-31T00:00:00"/>
        <d v="2040-02-29T00:00:00"/>
        <d v="2040-03-31T00:00:00"/>
        <d v="2040-04-30T00:00:00"/>
        <d v="2040-05-31T00:00:00"/>
        <d v="2040-06-30T00:00:00"/>
        <d v="2040-07-31T00:00:00"/>
        <d v="2040-08-31T00:00:00"/>
        <d v="2040-09-30T00:00:00"/>
        <d v="2040-10-31T00:00:00"/>
        <d v="2040-11-30T00:00:00"/>
        <d v="2040-12-31T00:00:00"/>
        <d v="2041-01-31T00:00:00"/>
        <d v="2041-02-28T00:00:00"/>
        <d v="2041-03-31T00:00:00"/>
        <d v="2041-04-30T00:00:00"/>
        <d v="2041-05-31T00:00:00"/>
        <d v="2041-06-30T00:00:00"/>
        <d v="2041-07-31T00:00:00"/>
        <d v="2041-08-31T00:00:00"/>
        <d v="2041-09-30T00:00:00"/>
        <d v="2041-10-31T00:00:00"/>
        <d v="2041-11-30T00:00:00"/>
        <d v="2041-12-31T00:00:00"/>
        <d v="2042-01-31T00:00:00"/>
        <d v="2042-02-28T00:00:00"/>
        <d v="2042-03-31T00:00:00"/>
        <d v="2042-04-30T00:00:00"/>
        <d v="2042-05-31T00:00:00"/>
        <d v="2042-06-30T00:00:00"/>
        <d v="2042-07-31T00:00:00"/>
        <d v="2042-08-31T00:00:00"/>
        <d v="2042-09-30T00:00:00"/>
        <d v="2042-10-31T00:00:00"/>
        <d v="2042-11-30T00:00:00"/>
        <d v="2042-12-31T00:00:00"/>
        <d v="2043-01-31T00:00:00"/>
        <d v="2043-02-28T00:00:00"/>
        <d v="2043-03-31T00:00:00"/>
        <d v="2043-04-30T00:00:00"/>
        <d v="2043-05-31T00:00:00"/>
        <d v="2043-06-30T00:00:00"/>
        <d v="2043-07-31T00:00:00"/>
        <d v="2043-08-31T00:00:00"/>
        <d v="2043-09-30T00:00:00"/>
        <d v="2043-10-31T00:00:00"/>
        <d v="2043-11-30T00:00:00"/>
        <d v="2043-12-31T00:00:00"/>
        <d v="2044-01-31T00:00:00"/>
        <d v="2044-02-29T00:00:00"/>
        <d v="2044-03-31T00:00:00"/>
        <d v="2044-04-30T00:00:00"/>
        <d v="2044-05-31T00:00:00"/>
        <d v="2044-06-30T00:00:00"/>
        <d v="2044-07-31T00:00:00"/>
        <d v="2044-08-31T00:00:00"/>
        <d v="2044-09-30T00:00:00"/>
        <d v="2044-10-31T00:00:00"/>
        <d v="2044-11-30T00:00:00"/>
        <d v="2044-12-31T00:00:00"/>
        <d v="2045-01-31T00:00:00"/>
        <d v="2045-02-28T00:00:00"/>
        <d v="2045-03-31T00:00:00"/>
        <d v="2045-04-30T00:00:00"/>
        <d v="2045-05-31T00:00:00"/>
        <d v="2045-06-30T00:00:00"/>
        <d v="2045-07-31T00:00:00"/>
        <d v="2045-08-31T00:00:00"/>
        <d v="2045-09-30T00:00:00"/>
        <d v="2045-10-31T00:00:00"/>
        <d v="2045-11-30T00:00:00"/>
        <d v="2045-12-31T00:00:00"/>
        <d v="2046-01-31T00:00:00"/>
        <d v="2046-02-28T00:00:00"/>
        <d v="2046-03-31T00:00:00"/>
        <d v="2046-04-30T00:00:00"/>
        <d v="2046-05-31T00:00:00"/>
        <d v="2046-06-30T00:00:00"/>
        <d v="2046-07-31T00:00:00"/>
        <d v="2046-08-31T00:00:00"/>
        <d v="2046-09-30T00:00:00"/>
        <d v="2046-10-31T00:00:00"/>
        <d v="2046-11-30T00:00:00"/>
        <d v="2046-12-31T00:00:00"/>
        <d v="2047-01-31T00:00:00"/>
        <d v="2047-02-28T00:00:00"/>
        <d v="2047-03-31T00:00:00"/>
        <d v="2047-04-30T00:00:00"/>
        <d v="2047-05-31T00:00:00"/>
        <d v="2047-06-30T00:00:00"/>
        <d v="2047-07-31T00:00:00"/>
        <d v="2047-08-31T00:00:00"/>
        <d v="2047-09-30T00:00:00"/>
        <d v="2047-10-31T00:00:00"/>
        <d v="2047-11-30T00:00:00"/>
        <d v="2047-12-31T00:00:00"/>
        <d v="2048-01-31T00:00:00"/>
        <d v="2048-02-29T00:00:00"/>
        <d v="2048-03-31T00:00:00"/>
        <d v="2048-04-30T00:00:00"/>
        <d v="2048-05-31T00:00:00"/>
        <d v="2048-06-30T00:00:00"/>
        <d v="2048-07-31T00:00:00"/>
        <d v="2048-08-31T00:00:00"/>
        <d v="2048-09-30T00:00:00"/>
        <d v="2048-10-31T00:00:00"/>
        <d v="2048-11-30T00:00:00"/>
        <d v="2048-12-31T00:00:00"/>
        <d v="2049-01-31T00:00:00"/>
        <d v="2049-02-28T00:00:00"/>
        <d v="2049-03-31T00:00:00"/>
        <d v="2049-04-30T00:00:00"/>
        <d v="2049-05-31T00:00:00"/>
        <d v="2049-06-30T00:00:00"/>
        <d v="2049-07-31T00:00:00"/>
        <d v="2049-08-31T00:00:00"/>
        <d v="2049-09-30T00:00:00"/>
        <d v="2049-10-31T00:00:00"/>
        <d v="2049-11-30T00:00:00"/>
        <d v="2049-12-31T00:00:00"/>
        <d v="2050-01-31T00:00:00"/>
        <d v="2050-02-28T00:00:00"/>
        <d v="2050-03-31T00:00:00"/>
        <d v="2050-04-30T00:00:00"/>
        <d v="2050-05-31T00:00:00"/>
        <d v="2050-06-30T00:00:00"/>
        <d v="2050-07-31T00:00:00"/>
        <d v="2050-08-31T00:00:00"/>
        <d v="2050-09-30T00:00:00"/>
        <d v="2050-10-31T00:00:00"/>
        <d v="2050-11-30T00:00:00"/>
        <d v="2050-12-31T00:00:00"/>
        <d v="2051-01-31T00:00:00"/>
        <d v="2051-02-28T00:00:00"/>
        <d v="2051-03-31T00:00:00"/>
        <d v="2051-04-30T00:00:00"/>
        <d v="2051-05-31T00:00:00"/>
        <d v="2051-06-30T00:00:00"/>
        <d v="2051-07-31T00:00:00"/>
        <d v="2051-08-31T00:00:00"/>
        <d v="2051-09-30T00:00:00"/>
        <d v="2051-10-31T00:00:00"/>
        <d v="2051-11-30T00:00:00"/>
        <d v="2051-12-31T00:00:00"/>
        <d v="2052-01-31T00:00:00"/>
        <d v="2052-02-29T00:00:00"/>
        <d v="2052-03-31T00:00:00"/>
        <d v="2052-04-30T00:00:00"/>
        <d v="2052-05-31T00:00:00"/>
        <d v="2052-06-30T00:00:00"/>
        <d v="2052-07-31T00:00:00"/>
        <d v="2052-08-31T00:00:00"/>
        <d v="2052-09-30T00:00:00"/>
        <d v="2052-10-31T00:00:00"/>
        <d v="2052-11-30T00:00:00"/>
        <d v="2052-12-31T00:00:00"/>
        <d v="2053-01-31T00:00:00"/>
        <d v="2053-02-28T00:00:00"/>
        <d v="2053-03-31T00:00:00"/>
        <d v="2053-04-30T00:00:00"/>
        <d v="2053-05-31T00:00:00"/>
        <d v="2053-06-30T00:00:00"/>
        <d v="2053-07-31T00:00:00"/>
        <d v="2053-08-31T00:00:00"/>
        <d v="2053-09-30T00:00:00"/>
        <d v="2053-10-31T00:00:00"/>
        <d v="2053-11-30T00:00:00"/>
        <d v="2053-12-31T00:00:00"/>
        <d v="2054-01-31T00:00:00"/>
        <d v="2054-02-28T00:00:00"/>
        <d v="2054-03-31T00:00:00"/>
        <d v="2054-04-30T00:00:00"/>
        <d v="2054-05-31T00:00:00"/>
        <d v="2054-06-30T00:00:00"/>
        <d v="2054-07-31T00:00:00"/>
        <d v="2054-08-31T00:00:00"/>
        <d v="2054-09-30T00:00:00"/>
        <d v="2054-10-31T00:00:00"/>
        <d v="2054-11-30T00:00:00"/>
        <d v="2054-12-31T00:00:00"/>
        <d v="2055-01-31T00:00:00"/>
        <d v="2055-02-28T00:00:00"/>
        <d v="2055-03-31T00:00:00"/>
        <d v="2055-04-30T00:00:00"/>
        <d v="2055-05-31T00:00:00"/>
        <d v="2055-06-30T00:00:00"/>
        <d v="2055-07-31T00:00:00"/>
        <d v="2055-08-31T00:00:00"/>
        <d v="2055-09-30T00:00:00"/>
        <d v="2055-10-31T00:00:00"/>
        <d v="2055-11-30T00:00:00"/>
        <d v="2055-12-31T00:00:00"/>
        <d v="2056-01-31T00:00:00"/>
        <d v="2056-02-29T00:00:00"/>
        <d v="2056-03-31T00:00:00"/>
        <d v="2056-04-30T00:00:00"/>
        <d v="2056-05-31T00:00:00"/>
        <d v="2056-06-30T00:00:00"/>
        <d v="2056-07-31T00:00:00"/>
        <d v="2056-08-31T00:00:00"/>
        <d v="2056-09-30T00:00:00"/>
        <d v="2056-10-31T00:00:00"/>
        <d v="2056-11-30T00:00:00"/>
        <d v="2056-12-31T00:00:00"/>
        <d v="2057-01-31T00:00:00"/>
        <d v="2057-02-28T00:00:00"/>
        <d v="2057-03-31T00:00:00"/>
        <d v="2057-04-30T00:00:00"/>
        <d v="2057-05-31T00:00:00"/>
        <d v="2057-06-30T00:00:00"/>
        <d v="2057-07-31T00:00:00"/>
        <d v="2057-08-31T00:00:00"/>
        <d v="2057-09-30T00:00:00"/>
        <d v="2057-10-31T00:00:00"/>
        <d v="2057-11-30T00:00:00"/>
        <d v="2057-12-31T00:00:00"/>
        <d v="2058-01-31T00:00:00"/>
        <d v="2058-02-28T00:00:00"/>
        <d v="2058-03-31T00:00:00"/>
        <d v="2058-04-30T00:00:00"/>
        <d v="2058-05-31T00:00:00"/>
        <d v="2058-06-30T00:00:00"/>
        <d v="2058-07-31T00:00:00"/>
        <d v="2058-08-31T00:00:00"/>
        <d v="2058-09-30T00:00:00"/>
        <d v="2058-10-31T00:00:00"/>
        <d v="2058-11-30T00:00:00"/>
        <d v="2058-12-31T00:00:00"/>
        <d v="2059-01-31T00:00:00"/>
        <d v="2059-02-28T00:00:00"/>
        <d v="2059-03-31T00:00:00"/>
        <d v="2059-04-30T00:00:00"/>
        <d v="2059-05-31T00:00:00"/>
        <d v="2059-06-30T00:00:00"/>
        <d v="2059-07-31T00:00:00"/>
        <d v="2059-08-31T00:00:00"/>
        <d v="2059-09-30T00:00:00"/>
        <d v="2059-10-31T00:00:00"/>
        <d v="2059-11-30T00:00:00"/>
        <d v="2059-12-31T00:00:00"/>
        <d v="2060-01-31T00:00:00"/>
        <d v="2060-02-29T00:00:00"/>
        <d v="2060-03-31T00:00:00"/>
        <d v="2060-04-30T00:00:00"/>
        <d v="2060-05-31T00:00:00"/>
        <d v="2060-06-30T00:00:00"/>
        <d v="2060-07-31T00:00:00"/>
        <d v="2060-08-31T00:00:00"/>
        <d v="2060-09-30T00:00:00"/>
        <d v="2060-10-31T00:00:00"/>
        <d v="2060-11-30T00:00:00"/>
        <d v="2060-12-31T00:00:00"/>
        <d v="2061-01-31T00:00:00"/>
        <d v="2061-02-28T00:00:00"/>
        <d v="2061-03-31T00:00:00"/>
        <d v="2061-04-30T00:00:00"/>
        <d v="2061-05-31T00:00:00"/>
        <d v="2061-06-30T00:00:00"/>
        <d v="2061-07-31T00:00:00"/>
        <d v="2061-08-31T00:00:00"/>
        <d v="2061-09-30T00:00:00"/>
        <d v="2061-10-31T00:00:00"/>
        <d v="2061-11-30T00:00:00"/>
        <d v="2061-12-31T00:00:00"/>
        <d v="2062-01-31T00:00:00"/>
        <d v="2062-02-28T00:00:00"/>
        <d v="2062-03-31T00:00:00"/>
        <d v="2062-04-30T00:00:00"/>
        <d v="2062-05-31T00:00:00"/>
        <d v="2062-06-30T00:00:00"/>
        <d v="2062-07-31T00:00:00"/>
        <d v="2062-08-31T00:00:00"/>
        <d v="2062-09-30T00:00:00"/>
        <d v="2062-10-31T00:00:00"/>
        <d v="2062-11-30T00:00:00"/>
        <d v="2062-12-31T00:00:00"/>
        <d v="2063-01-31T00:00:00"/>
        <d v="2063-02-28T00:00:00"/>
        <d v="2063-03-31T00:00:00"/>
        <d v="2063-04-30T00:00:00"/>
        <d v="2063-05-31T00:00:00"/>
        <d v="2063-06-30T00:00:00"/>
        <d v="2063-07-31T00:00:00"/>
        <d v="2063-08-31T00:00:00"/>
        <d v="2063-09-30T00:00:00"/>
        <d v="2063-10-31T00:00:00"/>
        <d v="2063-11-30T00:00:00"/>
        <d v="2063-12-31T00:00:00"/>
        <d v="2064-01-31T00:00:00"/>
        <d v="2064-02-29T00:00:00"/>
        <d v="2064-03-31T00:00:00"/>
        <d v="2064-04-30T00:00:00"/>
        <d v="2064-05-31T00:00:00"/>
        <d v="2064-06-30T00:00:00"/>
        <d v="2064-07-31T00:00:00"/>
        <d v="2064-08-31T00:00:00"/>
        <d v="2064-09-30T00:00:00"/>
        <d v="2064-10-31T00:00:00"/>
        <d v="2064-11-30T00:00:00"/>
        <d v="2064-12-31T00:00:00"/>
        <d v="2065-01-31T00:00:00"/>
        <d v="2065-02-28T00:00:00"/>
        <d v="2065-03-31T00:00:00"/>
        <d v="2065-04-30T00:00:00"/>
        <d v="2065-05-31T00:00:00"/>
        <d v="2065-06-30T00:00:00"/>
        <d v="2065-07-31T00:00:00"/>
        <d v="2065-08-31T00:00:00"/>
        <d v="2065-09-30T00:00:00"/>
        <d v="2065-10-31T00:00:00"/>
        <d v="2065-11-30T00:00:00"/>
        <d v="2065-12-31T00:00:00"/>
        <d v="2066-01-31T00:00:00"/>
        <d v="2066-02-28T00:00:00"/>
        <d v="2066-03-31T00:00:00"/>
        <d v="2066-04-30T00:00:00"/>
        <d v="2066-05-31T00:00:00"/>
        <d v="2066-06-30T00:00:00"/>
        <d v="2066-07-31T00:00:00"/>
        <d v="2066-08-31T00:00:00"/>
        <d v="2066-09-30T00:00:00"/>
        <d v="2066-10-31T00:00:00"/>
        <d v="2066-11-30T00:00:00"/>
        <d v="2066-12-31T00:00:00"/>
        <d v="2067-01-31T00:00:00"/>
        <d v="2067-02-28T00:00:00"/>
        <d v="2067-03-31T00:00:00"/>
        <d v="2067-04-30T00:00:00"/>
        <d v="2067-05-31T00:00:00"/>
        <d v="2067-06-30T00:00:00"/>
        <d v="2067-07-31T00:00:00"/>
        <d v="2067-08-31T00:00:00"/>
        <d v="2067-09-30T00:00:00"/>
        <d v="2067-10-31T00:00:00"/>
        <d v="2067-11-30T00:00:00"/>
        <d v="2067-12-31T00:00:00"/>
        <d v="2068-01-31T00:00:00"/>
        <d v="2068-02-29T00:00:00"/>
        <d v="2068-03-31T00:00:00"/>
        <d v="2068-04-30T00:00:00"/>
        <d v="2068-05-31T00:00:00"/>
        <d v="2068-06-30T00:00:00"/>
        <d v="2068-07-31T00:00:00"/>
        <d v="2068-08-31T00:00:00"/>
        <d v="2068-09-30T00:00:00"/>
        <d v="2068-10-31T00:00:00"/>
        <d v="2068-11-30T00:00:00"/>
        <d v="2068-12-31T00:00:00"/>
        <d v="2069-01-31T00:00:00"/>
        <d v="2069-02-28T00:00:00"/>
        <d v="2069-03-31T00:00:00"/>
        <d v="2069-04-30T00:00:00"/>
        <d v="2069-05-31T00:00:00"/>
        <d v="2069-06-30T00:00:00"/>
        <d v="2069-07-31T00:00:00"/>
        <d v="2069-08-31T00:00:00"/>
        <d v="2069-09-30T00:00:00"/>
        <d v="2069-10-31T00:00:00"/>
        <d v="2069-11-30T00:00:00"/>
        <d v="2069-12-31T00:00:00"/>
        <d v="2070-01-31T00:00:00"/>
        <d v="2070-02-28T00:00:00"/>
        <d v="2070-03-31T00:00:00"/>
        <d v="2070-04-30T00:00:00"/>
        <d v="2070-05-31T00:00:00"/>
        <d v="2070-06-30T00:00:00"/>
        <d v="2070-07-31T00:00:00"/>
        <d v="2070-08-31T00:00:00"/>
        <d v="2070-09-30T00:00:00"/>
        <d v="2070-10-31T00:00:00"/>
        <d v="2070-11-30T00:00:00"/>
        <d v="2070-12-31T00:00:00"/>
        <d v="2071-01-31T00:00:00"/>
        <d v="2071-02-28T00:00:00"/>
        <d v="2071-03-31T00:00:00"/>
        <d v="2071-04-30T00:00:00"/>
        <d v="2071-05-31T00:00:00"/>
        <d v="2071-06-30T00:00:00"/>
        <d v="2071-07-31T00:00:00"/>
        <d v="2071-08-31T00:00:00"/>
        <d v="2071-09-30T00:00:00"/>
        <d v="2071-10-31T00:00:00"/>
        <d v="2071-11-30T00:00:00"/>
        <d v="2071-12-31T00:00:00"/>
        <d v="2072-01-31T00:00:00"/>
        <d v="2072-02-29T00:00:00"/>
        <d v="2072-03-31T00:00:00"/>
        <d v="2072-04-30T00:00:00"/>
        <d v="2072-05-31T00:00:00"/>
        <d v="2072-06-30T00:00:00"/>
        <d v="2072-07-31T00:00:00"/>
        <d v="2072-08-31T00:00:00"/>
        <d v="2072-09-30T00:00:00"/>
        <d v="2072-10-31T00:00:00"/>
        <d v="2072-11-30T00:00:00"/>
        <d v="2072-12-31T00:00:00"/>
        <d v="2073-01-31T00:00:00"/>
        <d v="2073-02-28T00:00:00"/>
        <d v="2073-03-31T00:00:00"/>
        <d v="2073-04-30T00:00:00"/>
        <d v="2073-05-31T00:00:00"/>
        <d v="2073-06-30T00:00:00"/>
        <d v="2073-07-31T00:00:00"/>
        <d v="2073-08-31T00:00:00"/>
        <d v="2073-09-30T00:00:00"/>
        <d v="2073-10-31T00:00:00"/>
        <d v="2073-11-30T00:00:00"/>
        <d v="2073-12-31T00:00:00"/>
        <d v="2074-01-31T00:00:00"/>
        <d v="2074-02-28T00:00:00"/>
        <d v="2074-03-31T00:00:00"/>
        <d v="2074-04-30T00:00:00"/>
        <d v="2074-05-31T00:00:00"/>
        <d v="2074-06-30T00:00:00"/>
        <d v="2074-07-31T00:00:00"/>
        <d v="2074-08-31T00:00:00"/>
        <d v="2074-09-30T00:00:00"/>
        <d v="2074-10-31T00:00:00"/>
        <d v="2074-11-30T00:00:00"/>
        <d v="2074-12-31T00:00:00"/>
        <d v="2075-01-31T00:00:00"/>
        <d v="2075-02-28T00:00:00"/>
        <d v="2075-03-31T00:00:00"/>
        <d v="2075-04-30T00:00:00"/>
        <d v="2075-05-31T00:00:00"/>
        <d v="2075-06-30T00:00:00"/>
        <d v="2075-07-31T00:00:00"/>
        <d v="2075-08-31T00:00:00"/>
        <d v="2075-09-30T00:00:00"/>
        <d v="2075-10-31T00:00:00"/>
        <d v="2075-11-30T00:00:00"/>
        <d v="2075-12-31T00:00:00"/>
        <d v="2076-01-31T00:00:00"/>
        <d v="2076-02-29T00:00:00"/>
        <d v="2076-03-31T00:00:00"/>
        <d v="2076-04-30T00:00:00"/>
        <d v="2076-05-31T00:00:00"/>
        <d v="2076-06-30T00:00:00"/>
        <d v="2076-07-31T00:00:00"/>
        <d v="2076-08-31T00:00:00"/>
        <d v="2076-09-30T00:00:00"/>
        <d v="2076-10-31T00:00:00"/>
        <d v="2076-11-30T00:00:00"/>
        <d v="2076-12-31T00:00:00"/>
        <d v="2077-01-31T00:00:00"/>
        <d v="2077-02-28T00:00:00"/>
        <d v="2077-03-31T00:00:00"/>
        <d v="2077-04-30T00:00:00"/>
        <d v="2077-05-31T00:00:00"/>
        <d v="2077-06-30T00:00:00"/>
        <d v="2077-07-31T00:00:00"/>
        <d v="2077-08-31T00:00:00"/>
        <d v="2077-09-30T00:00:00"/>
        <d v="2077-10-31T00:00:00"/>
        <d v="2077-11-30T00:00:00"/>
        <d v="2077-12-31T00:00:00"/>
        <d v="2078-01-31T00:00:00"/>
        <d v="2078-02-28T00:00:00"/>
        <d v="2078-03-31T00:00:00"/>
        <d v="2078-04-30T00:00:00"/>
        <d v="2078-05-31T00:00:00"/>
        <d v="2078-06-30T00:00:00"/>
        <d v="2078-07-31T00:00:00"/>
        <d v="2078-08-31T00:00:00"/>
        <d v="2078-09-30T00:00:00"/>
        <d v="2078-10-31T00:00:00"/>
        <d v="2078-11-30T00:00:00"/>
        <d v="2078-12-31T00:00:00"/>
        <d v="2079-01-31T00:00:00"/>
        <d v="2079-02-28T00:00:00"/>
        <d v="2079-03-31T00:00:00"/>
        <d v="2079-04-30T00:00:00"/>
        <d v="2079-05-31T00:00:00"/>
        <d v="2079-06-30T00:00:00"/>
        <d v="2079-07-31T00:00:00"/>
        <d v="2079-08-31T00:00:00"/>
        <d v="2079-09-30T00:00:00"/>
        <d v="2079-10-31T00:00:00"/>
        <d v="2079-11-30T00:00:00"/>
        <d v="2079-12-31T00:00:00"/>
        <d v="2080-01-31T00:00:00"/>
        <d v="2080-02-29T00:00:00"/>
        <d v="2080-03-31T00:00:00"/>
        <d v="2080-04-30T00:00:00"/>
        <d v="2080-05-31T00:00:00"/>
        <d v="2080-06-30T00:00:00"/>
        <d v="2080-07-31T00:00:00"/>
        <d v="2080-08-31T00:00:00"/>
        <d v="2080-09-30T00:00:00"/>
        <d v="2080-10-31T00:00:00"/>
        <d v="2080-11-30T00:00:00"/>
        <d v="2080-12-31T00:00:00"/>
        <d v="2081-01-31T00:00:00"/>
        <d v="2081-02-28T00:00:00"/>
        <d v="2081-03-31T00:00:00"/>
        <d v="2081-04-30T00:00:00"/>
        <d v="2081-05-31T00:00:00"/>
        <d v="2081-06-30T00:00:00"/>
        <d v="2081-07-31T00:00:00"/>
        <d v="2081-08-31T00:00:00"/>
        <d v="2081-09-30T00:00:00"/>
        <d v="2081-10-31T00:00:00"/>
        <d v="2081-11-30T00:00:00"/>
        <d v="2081-12-31T00:00:00"/>
        <d v="2082-01-31T00:00:00"/>
        <d v="2082-02-28T00:00:00"/>
        <d v="2082-03-31T00:00:00"/>
        <d v="2082-04-30T00:00:00"/>
        <d v="2082-05-31T00:00:00"/>
        <d v="2082-06-30T00:00:00"/>
        <d v="2082-07-31T00:00:00"/>
        <d v="2082-08-31T00:00:00"/>
        <d v="2082-09-30T00:00:00"/>
        <d v="2082-10-31T00:00:00"/>
        <d v="2082-11-30T00:00:00"/>
        <d v="2082-12-31T00:00:00"/>
        <d v="2083-01-31T00:00:00"/>
        <d v="2083-02-28T00:00:00"/>
        <d v="2083-03-31T00:00:00"/>
        <d v="2083-04-30T00:00:00"/>
        <d v="2083-05-31T00:00:00"/>
        <d v="2083-06-30T00:00:00"/>
        <d v="2083-07-31T00:00:00"/>
        <d v="2083-08-31T00:00:00"/>
        <d v="2083-09-30T00:00:00"/>
        <d v="2083-10-31T00:00:00"/>
        <d v="2083-11-30T00:00:00"/>
        <d v="2083-12-31T00:00:00"/>
        <d v="2084-01-31T00:00:00"/>
        <d v="2084-02-29T00:00:00"/>
        <d v="2084-03-31T00:00:00"/>
        <d v="2084-04-30T00:00:00"/>
        <d v="2084-05-31T00:00:00"/>
        <d v="2084-06-30T00:00:00"/>
        <d v="2084-07-31T00:00:00"/>
        <d v="2084-08-31T00:00:00"/>
        <d v="2084-09-30T00:00:00"/>
        <d v="2084-10-31T00:00:00"/>
        <d v="2084-11-30T00:00:00"/>
        <d v="2084-12-31T00:00:00"/>
        <d v="2085-01-31T00:00:00"/>
        <d v="2085-02-28T00:00:00"/>
        <d v="2085-03-31T00:00:00"/>
        <d v="2085-04-30T00:00:00"/>
        <d v="2085-05-31T00:00:00"/>
        <d v="2085-06-30T00:00:00"/>
        <d v="2085-07-31T00:00:00"/>
        <d v="2085-08-31T00:00:00"/>
        <d v="2085-09-30T00:00:00"/>
        <d v="2085-10-31T00:00:00"/>
        <d v="2085-11-30T00:00:00"/>
        <d v="2085-12-31T00:00:00"/>
        <d v="2086-01-31T00:00:00"/>
        <d v="2086-02-28T00:00:00"/>
        <d v="2086-03-31T00:00:00"/>
        <d v="2086-04-30T00:00:00"/>
        <d v="2086-05-31T00:00:00"/>
        <d v="2086-06-30T00:00:00"/>
        <d v="2086-07-31T00:00:00"/>
        <d v="2086-08-31T00:00:00"/>
        <d v="2086-09-30T00:00:00"/>
        <d v="2086-10-31T00:00:00"/>
        <d v="2086-11-30T00:00:00"/>
        <d v="2086-12-31T00:00:00"/>
        <d v="2087-01-31T00:00:00"/>
        <d v="2087-02-28T00:00:00"/>
        <d v="2087-03-31T00:00:00"/>
        <d v="2087-04-30T00:00:00"/>
        <d v="2087-05-31T00:00:00"/>
        <d v="2087-06-30T00:00:00"/>
        <d v="2087-07-31T00:00:00"/>
        <d v="2087-08-31T00:00:00"/>
        <d v="2087-09-30T00:00:00"/>
        <d v="2087-10-31T00:00:00"/>
        <d v="2087-11-30T00:00:00"/>
        <d v="2087-12-31T00:00:00"/>
        <d v="2088-01-31T00:00:00"/>
        <d v="2088-02-29T00:00:00"/>
        <d v="2088-03-31T00:00:00"/>
        <d v="2088-04-30T00:00:00"/>
        <d v="2088-05-31T00:00:00"/>
        <d v="2088-06-30T00:00:00"/>
        <d v="2088-07-31T00:00:00"/>
        <d v="2088-08-31T00:00:00"/>
        <d v="2088-09-30T00:00:00"/>
        <d v="2088-10-31T00:00:00"/>
        <d v="2088-11-30T00:00:00"/>
        <d v="2088-12-31T00:00:00"/>
        <d v="2089-01-31T00:00:00"/>
        <d v="2089-02-28T00:00:00"/>
        <d v="2089-03-31T00:00:00"/>
        <d v="2089-04-30T00:00:00"/>
        <d v="2089-05-31T00:00:00"/>
        <d v="2089-06-30T00:00:00"/>
        <d v="2089-07-31T00:00:00"/>
        <d v="2089-08-31T00:00:00"/>
        <d v="2089-09-30T00:00:00"/>
        <d v="2089-10-31T00:00:00"/>
        <d v="2089-11-30T00:00:00"/>
        <d v="2089-12-31T00:00:00"/>
        <d v="2090-01-31T00:00:00"/>
        <d v="2090-02-28T00:00:00"/>
        <d v="2090-03-31T00:00:00"/>
        <d v="2090-04-30T00:00:00"/>
        <d v="2090-05-31T00:00:00"/>
        <d v="2090-06-30T00:00:00"/>
        <d v="2090-07-31T00:00:00"/>
        <d v="2090-08-31T00:00:00"/>
        <d v="2090-09-30T00:00:00"/>
        <d v="2090-10-31T00:00:00"/>
        <d v="2090-11-30T00:00:00"/>
        <d v="2090-12-31T00:00:00"/>
        <d v="2091-01-31T00:00:00"/>
        <d v="2091-02-28T00:00:00"/>
        <d v="2091-03-31T00:00:00"/>
        <d v="2091-04-30T00:00:00"/>
        <d v="2091-05-31T00:00:00"/>
        <d v="2091-06-30T00:00:00"/>
        <d v="2091-07-31T00:00:00"/>
        <d v="2091-08-31T00:00:00"/>
        <d v="2091-09-30T00:00:00"/>
        <d v="2091-10-31T00:00:00"/>
        <d v="2091-11-30T00:00:00"/>
        <d v="2091-12-31T00:00:00"/>
        <d v="2092-01-31T00:00:00"/>
        <d v="2092-02-29T00:00:00"/>
        <d v="2092-03-31T00:00:00"/>
        <d v="2092-04-30T00:00:00"/>
        <d v="2092-05-31T00:00:00"/>
        <d v="2092-06-30T00:00:00"/>
        <d v="2092-07-31T00:00:00"/>
        <d v="2092-08-31T00:00:00"/>
        <d v="2092-09-30T00:00:00"/>
        <d v="2092-10-31T00:00:00"/>
        <d v="2092-11-30T00:00:00"/>
        <d v="2092-12-31T00:00:00"/>
        <d v="2093-01-31T00:00:00"/>
        <d v="2093-02-28T00:00:00"/>
        <d v="2093-03-31T00:00:00"/>
        <d v="2093-04-30T00:00:00"/>
        <d v="2093-05-31T00:00:00"/>
        <d v="2093-06-30T00:00:00"/>
        <d v="2093-07-31T00:00:00"/>
        <d v="2093-08-31T00:00:00"/>
        <d v="2093-09-30T00:00:00"/>
        <d v="2093-10-31T00:00:00"/>
        <d v="2093-11-30T00:00:00"/>
        <d v="2093-12-31T00:00:00"/>
        <d v="2094-01-31T00:00:00"/>
        <d v="2094-02-28T00:00:00"/>
        <d v="2094-03-31T00:00:00"/>
        <d v="2094-04-30T00:00:00"/>
        <d v="2094-05-31T00:00:00"/>
        <d v="2094-06-30T00:00:00"/>
        <d v="2094-07-31T00:00:00"/>
        <d v="2094-08-31T00:00:00"/>
        <d v="2094-09-30T00:00:00"/>
        <d v="2094-10-31T00:00:00"/>
        <d v="2094-11-30T00:00:00"/>
        <d v="2094-12-31T00:00:00"/>
        <d v="2095-01-31T00:00:00"/>
        <d v="2095-02-28T00:00:00"/>
        <d v="2095-03-31T00:00:00"/>
        <d v="2095-04-30T00:00:00"/>
        <d v="2095-05-31T00:00:00"/>
        <d v="2095-06-30T00:00:00"/>
        <d v="2095-07-31T00:00:00"/>
        <d v="2095-08-31T00:00:00"/>
        <d v="2095-09-30T00:00:00"/>
        <d v="2095-10-31T00:00:00"/>
        <d v="2095-11-30T00:00:00"/>
        <d v="2095-12-31T00:00:00"/>
        <d v="2096-01-31T00:00:00"/>
        <d v="2096-02-29T00:00:00"/>
        <d v="2096-03-31T00:00:00"/>
        <d v="2096-04-30T00:00:00"/>
        <d v="2096-05-31T00:00:00"/>
        <d v="2096-06-30T00:00:00"/>
        <d v="2096-07-31T00:00:00"/>
        <d v="2096-08-31T00:00:00"/>
        <d v="2096-09-30T00:00:00"/>
        <d v="2096-10-31T00:00:00"/>
        <d v="2096-11-30T00:00:00"/>
        <d v="2096-12-31T00:00:00"/>
        <d v="2097-01-31T00:00:00"/>
        <d v="2097-02-28T00:00:00"/>
        <d v="2097-03-31T00:00:00"/>
        <d v="2097-04-30T00:00:00"/>
        <d v="2097-05-31T00:00:00"/>
        <d v="2097-06-30T00:00:00"/>
        <d v="2097-07-31T00:00:00"/>
        <d v="2097-08-31T00:00:00"/>
        <d v="2097-09-30T00:00:00"/>
        <d v="2097-10-31T00:00:00"/>
        <d v="2097-11-30T00:00:00"/>
        <d v="2097-12-31T00:00:00"/>
        <d v="2098-01-31T00:00:00"/>
        <d v="2098-02-28T00:00:00"/>
        <d v="2098-03-31T00:00:00"/>
        <d v="2098-04-30T00:00:00"/>
        <d v="2098-05-31T00:00:00"/>
        <d v="2098-06-30T00:00:00"/>
        <d v="2098-07-31T00:00:00"/>
        <d v="2098-08-31T00:00:00"/>
        <d v="2098-09-30T00:00:00"/>
        <d v="2098-10-31T00:00:00"/>
        <d v="2098-11-30T00:00:00"/>
        <d v="2098-12-31T00:00:00"/>
        <d v="2099-01-31T00:00:00"/>
        <d v="2099-02-28T00:00:00"/>
        <d v="2099-03-31T00:00:00"/>
        <d v="2099-04-30T00:00:00"/>
        <d v="2099-05-31T00:00:00"/>
        <d v="2099-06-30T00:00:00"/>
        <d v="2099-07-31T00:00:00"/>
        <d v="2099-08-31T00:00:00"/>
        <d v="2099-09-30T00:00:00"/>
        <d v="2099-10-31T00:00:00"/>
        <d v="2099-11-30T00:00:00"/>
        <d v="2099-12-31T00:00:00"/>
        <d v="2100-01-31T00:00:00"/>
        <d v="2100-02-28T00:00:00"/>
        <d v="2100-03-31T00:00:00"/>
        <d v="2100-04-30T00:00:00"/>
        <d v="2100-05-31T00:00:00"/>
        <d v="2100-06-30T00:00:00"/>
        <d v="2100-07-31T00:00:00"/>
        <d v="2100-08-31T00:00:00"/>
        <d v="2100-09-30T00:00:00"/>
        <d v="2100-10-31T00:00:00"/>
        <d v="2100-11-30T00:00:00"/>
        <d v="2100-12-31T00:00:00"/>
        <d v="2101-01-31T00:00:00"/>
        <d v="2101-02-28T00:00:00"/>
        <d v="2101-03-31T00:00:00"/>
        <d v="2101-04-30T00:00:00"/>
        <d v="2101-05-31T00:00:00"/>
        <d v="2101-06-30T00:00:00"/>
        <d v="2101-07-31T00:00:00"/>
        <d v="2101-08-31T00:00:00"/>
        <d v="2101-09-30T00:00:00"/>
        <d v="2101-10-31T00:00:00"/>
        <d v="2101-11-30T00:00:00"/>
        <d v="2101-12-31T00:00:00"/>
        <d v="2102-01-31T00:00:00"/>
        <d v="2102-02-28T00:00:00"/>
        <d v="2102-03-31T00:00:00"/>
        <d v="2102-04-30T00:00:00"/>
        <d v="2102-05-31T00:00:00"/>
        <d v="2102-06-30T00:00:00"/>
        <d v="2102-07-31T00:00:00"/>
        <d v="2102-08-31T00:00:00"/>
        <d v="2102-09-30T00:00:00"/>
        <d v="2102-10-31T00:00:00"/>
        <d v="2102-11-30T00:00:00"/>
      </sharedItems>
      <fieldGroup par="13" base="0">
        <rangePr autoStart="0" autoEnd="0" groupBy="months" startDate="2022-01-31T00:00:00" endDate="2102-12-01T00:00:00"/>
        <groupItems count="14">
          <s v="&lt;31/01/2022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12/2102"/>
        </groupItems>
      </fieldGroup>
    </cacheField>
    <cacheField name="P ações" numFmtId="164">
      <sharedItems containsNonDate="0" containsString="0" containsBlank="1"/>
    </cacheField>
    <cacheField name="PA Ações" numFmtId="164">
      <sharedItems containsNonDate="0" containsString="0" containsBlank="1"/>
    </cacheField>
    <cacheField name="P BDRs" numFmtId="0">
      <sharedItems containsNonDate="0" containsString="0" containsBlank="1"/>
    </cacheField>
    <cacheField name="PA BDRs" numFmtId="0">
      <sharedItems containsNonDate="0" containsString="0" containsBlank="1"/>
    </cacheField>
    <cacheField name="P FIIs" numFmtId="0">
      <sharedItems containsNonDate="0" containsString="0" containsBlank="1"/>
    </cacheField>
    <cacheField name="PA FIIs" numFmtId="0">
      <sharedItems containsNonDate="0" containsString="0" containsBlank="1"/>
    </cacheField>
    <cacheField name="P Investido" numFmtId="164">
      <sharedItems containsSemiMixedTypes="0" containsString="0" containsNumber="1" containsInteger="1" minValue="0" maxValue="0"/>
    </cacheField>
    <cacheField name="P Atual" numFmtId="164">
      <sharedItems containsSemiMixedTypes="0" containsString="0" containsNumber="1" containsInteger="1" minValue="0" maxValue="0"/>
    </cacheField>
    <cacheField name="R Ações" numFmtId="164">
      <sharedItems containsSemiMixedTypes="0" containsString="0" containsNumber="1" containsInteger="1" minValue="0" maxValue="0"/>
    </cacheField>
    <cacheField name="R BDRs" numFmtId="164">
      <sharedItems containsSemiMixedTypes="0" containsString="0" containsNumber="1" containsInteger="1" minValue="0" maxValue="0"/>
    </cacheField>
    <cacheField name="R FIIs" numFmtId="164">
      <sharedItems containsSemiMixedTypes="0" containsString="0" containsNumber="1" containsInteger="1" minValue="0" maxValue="0"/>
    </cacheField>
    <cacheField name="R Total" numFmtId="164">
      <sharedItems containsSemiMixedTypes="0" containsString="0" containsNumber="1" containsInteger="1" minValue="0" maxValue="0"/>
    </cacheField>
    <cacheField name="data2" numFmtId="0" databaseField="0">
      <fieldGroup base="0">
        <rangePr autoStart="0" autoEnd="0" groupBy="years" startDate="2022-01-31T00:00:00" endDate="2102-12-01T00:00:00"/>
        <groupItems count="83">
          <s v="&lt;31/01/2022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2037"/>
          <s v="2038"/>
          <s v="2039"/>
          <s v="2040"/>
          <s v="2041"/>
          <s v="2042"/>
          <s v="2043"/>
          <s v="2044"/>
          <s v="2045"/>
          <s v="2046"/>
          <s v="2047"/>
          <s v="2048"/>
          <s v="2049"/>
          <s v="2050"/>
          <s v="2051"/>
          <s v="2052"/>
          <s v="2053"/>
          <s v="2054"/>
          <s v="2055"/>
          <s v="2056"/>
          <s v="2057"/>
          <s v="2058"/>
          <s v="2059"/>
          <s v="2060"/>
          <s v="2061"/>
          <s v="2062"/>
          <s v="2063"/>
          <s v="2064"/>
          <s v="2065"/>
          <s v="2066"/>
          <s v="2067"/>
          <s v="2068"/>
          <s v="2069"/>
          <s v="2070"/>
          <s v="2071"/>
          <s v="2072"/>
          <s v="2073"/>
          <s v="2074"/>
          <s v="2075"/>
          <s v="2076"/>
          <s v="2077"/>
          <s v="2078"/>
          <s v="2079"/>
          <s v="2080"/>
          <s v="2081"/>
          <s v="2082"/>
          <s v="2083"/>
          <s v="2084"/>
          <s v="2085"/>
          <s v="2086"/>
          <s v="2087"/>
          <s v="2088"/>
          <s v="2089"/>
          <s v="2090"/>
          <s v="2091"/>
          <s v="2092"/>
          <s v="2093"/>
          <s v="2094"/>
          <s v="2095"/>
          <s v="2096"/>
          <s v="2097"/>
          <s v="2098"/>
          <s v="2099"/>
          <s v="2100"/>
          <s v="2101"/>
          <s v="2102"/>
          <s v="&gt;01/12/210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1">
  <r>
    <x v="0"/>
    <m/>
    <m/>
    <m/>
    <m/>
    <m/>
    <m/>
    <n v="0"/>
    <n v="0"/>
    <n v="0"/>
    <n v="0"/>
    <n v="0"/>
    <n v="0"/>
  </r>
  <r>
    <x v="1"/>
    <m/>
    <m/>
    <m/>
    <m/>
    <m/>
    <m/>
    <n v="0"/>
    <n v="0"/>
    <n v="0"/>
    <n v="0"/>
    <n v="0"/>
    <n v="0"/>
  </r>
  <r>
    <x v="2"/>
    <m/>
    <m/>
    <m/>
    <m/>
    <m/>
    <m/>
    <n v="0"/>
    <n v="0"/>
    <n v="0"/>
    <n v="0"/>
    <n v="0"/>
    <n v="0"/>
  </r>
  <r>
    <x v="3"/>
    <m/>
    <m/>
    <m/>
    <m/>
    <m/>
    <m/>
    <n v="0"/>
    <n v="0"/>
    <n v="0"/>
    <n v="0"/>
    <n v="0"/>
    <n v="0"/>
  </r>
  <r>
    <x v="4"/>
    <m/>
    <m/>
    <m/>
    <m/>
    <m/>
    <m/>
    <n v="0"/>
    <n v="0"/>
    <n v="0"/>
    <n v="0"/>
    <n v="0"/>
    <n v="0"/>
  </r>
  <r>
    <x v="5"/>
    <m/>
    <m/>
    <m/>
    <m/>
    <m/>
    <m/>
    <n v="0"/>
    <n v="0"/>
    <n v="0"/>
    <n v="0"/>
    <n v="0"/>
    <n v="0"/>
  </r>
  <r>
    <x v="6"/>
    <m/>
    <m/>
    <m/>
    <m/>
    <m/>
    <m/>
    <n v="0"/>
    <n v="0"/>
    <n v="0"/>
    <n v="0"/>
    <n v="0"/>
    <n v="0"/>
  </r>
  <r>
    <x v="7"/>
    <m/>
    <m/>
    <m/>
    <m/>
    <m/>
    <m/>
    <n v="0"/>
    <n v="0"/>
    <n v="0"/>
    <n v="0"/>
    <n v="0"/>
    <n v="0"/>
  </r>
  <r>
    <x v="8"/>
    <m/>
    <m/>
    <m/>
    <m/>
    <m/>
    <m/>
    <n v="0"/>
    <n v="0"/>
    <n v="0"/>
    <n v="0"/>
    <n v="0"/>
    <n v="0"/>
  </r>
  <r>
    <x v="9"/>
    <m/>
    <m/>
    <m/>
    <m/>
    <m/>
    <m/>
    <n v="0"/>
    <n v="0"/>
    <n v="0"/>
    <n v="0"/>
    <n v="0"/>
    <n v="0"/>
  </r>
  <r>
    <x v="10"/>
    <m/>
    <m/>
    <m/>
    <m/>
    <m/>
    <m/>
    <n v="0"/>
    <n v="0"/>
    <n v="0"/>
    <n v="0"/>
    <n v="0"/>
    <n v="0"/>
  </r>
  <r>
    <x v="11"/>
    <m/>
    <m/>
    <m/>
    <m/>
    <m/>
    <m/>
    <n v="0"/>
    <n v="0"/>
    <n v="0"/>
    <n v="0"/>
    <n v="0"/>
    <n v="0"/>
  </r>
  <r>
    <x v="12"/>
    <m/>
    <m/>
    <m/>
    <m/>
    <m/>
    <m/>
    <n v="0"/>
    <n v="0"/>
    <n v="0"/>
    <n v="0"/>
    <n v="0"/>
    <n v="0"/>
  </r>
  <r>
    <x v="13"/>
    <m/>
    <m/>
    <m/>
    <m/>
    <m/>
    <m/>
    <n v="0"/>
    <n v="0"/>
    <n v="0"/>
    <n v="0"/>
    <n v="0"/>
    <n v="0"/>
  </r>
  <r>
    <x v="14"/>
    <m/>
    <m/>
    <m/>
    <m/>
    <m/>
    <m/>
    <n v="0"/>
    <n v="0"/>
    <n v="0"/>
    <n v="0"/>
    <n v="0"/>
    <n v="0"/>
  </r>
  <r>
    <x v="15"/>
    <m/>
    <m/>
    <m/>
    <m/>
    <m/>
    <m/>
    <n v="0"/>
    <n v="0"/>
    <n v="0"/>
    <n v="0"/>
    <n v="0"/>
    <n v="0"/>
  </r>
  <r>
    <x v="16"/>
    <m/>
    <m/>
    <m/>
    <m/>
    <m/>
    <m/>
    <n v="0"/>
    <n v="0"/>
    <n v="0"/>
    <n v="0"/>
    <n v="0"/>
    <n v="0"/>
  </r>
  <r>
    <x v="17"/>
    <m/>
    <m/>
    <m/>
    <m/>
    <m/>
    <m/>
    <n v="0"/>
    <n v="0"/>
    <n v="0"/>
    <n v="0"/>
    <n v="0"/>
    <n v="0"/>
  </r>
  <r>
    <x v="18"/>
    <m/>
    <m/>
    <m/>
    <m/>
    <m/>
    <m/>
    <n v="0"/>
    <n v="0"/>
    <n v="0"/>
    <n v="0"/>
    <n v="0"/>
    <n v="0"/>
  </r>
  <r>
    <x v="19"/>
    <m/>
    <m/>
    <m/>
    <m/>
    <m/>
    <m/>
    <n v="0"/>
    <n v="0"/>
    <n v="0"/>
    <n v="0"/>
    <n v="0"/>
    <n v="0"/>
  </r>
  <r>
    <x v="20"/>
    <m/>
    <m/>
    <m/>
    <m/>
    <m/>
    <m/>
    <n v="0"/>
    <n v="0"/>
    <n v="0"/>
    <n v="0"/>
    <n v="0"/>
    <n v="0"/>
  </r>
  <r>
    <x v="21"/>
    <m/>
    <m/>
    <m/>
    <m/>
    <m/>
    <m/>
    <n v="0"/>
    <n v="0"/>
    <n v="0"/>
    <n v="0"/>
    <n v="0"/>
    <n v="0"/>
  </r>
  <r>
    <x v="22"/>
    <m/>
    <m/>
    <m/>
    <m/>
    <m/>
    <m/>
    <n v="0"/>
    <n v="0"/>
    <n v="0"/>
    <n v="0"/>
    <n v="0"/>
    <n v="0"/>
  </r>
  <r>
    <x v="23"/>
    <m/>
    <m/>
    <m/>
    <m/>
    <m/>
    <m/>
    <n v="0"/>
    <n v="0"/>
    <n v="0"/>
    <n v="0"/>
    <n v="0"/>
    <n v="0"/>
  </r>
  <r>
    <x v="24"/>
    <m/>
    <m/>
    <m/>
    <m/>
    <m/>
    <m/>
    <n v="0"/>
    <n v="0"/>
    <n v="0"/>
    <n v="0"/>
    <n v="0"/>
    <n v="0"/>
  </r>
  <r>
    <x v="25"/>
    <m/>
    <m/>
    <m/>
    <m/>
    <m/>
    <m/>
    <n v="0"/>
    <n v="0"/>
    <n v="0"/>
    <n v="0"/>
    <n v="0"/>
    <n v="0"/>
  </r>
  <r>
    <x v="26"/>
    <m/>
    <m/>
    <m/>
    <m/>
    <m/>
    <m/>
    <n v="0"/>
    <n v="0"/>
    <n v="0"/>
    <n v="0"/>
    <n v="0"/>
    <n v="0"/>
  </r>
  <r>
    <x v="27"/>
    <m/>
    <m/>
    <m/>
    <m/>
    <m/>
    <m/>
    <n v="0"/>
    <n v="0"/>
    <n v="0"/>
    <n v="0"/>
    <n v="0"/>
    <n v="0"/>
  </r>
  <r>
    <x v="28"/>
    <m/>
    <m/>
    <m/>
    <m/>
    <m/>
    <m/>
    <n v="0"/>
    <n v="0"/>
    <n v="0"/>
    <n v="0"/>
    <n v="0"/>
    <n v="0"/>
  </r>
  <r>
    <x v="29"/>
    <m/>
    <m/>
    <m/>
    <m/>
    <m/>
    <m/>
    <n v="0"/>
    <n v="0"/>
    <n v="0"/>
    <n v="0"/>
    <n v="0"/>
    <n v="0"/>
  </r>
  <r>
    <x v="30"/>
    <m/>
    <m/>
    <m/>
    <m/>
    <m/>
    <m/>
    <n v="0"/>
    <n v="0"/>
    <n v="0"/>
    <n v="0"/>
    <n v="0"/>
    <n v="0"/>
  </r>
  <r>
    <x v="31"/>
    <m/>
    <m/>
    <m/>
    <m/>
    <m/>
    <m/>
    <n v="0"/>
    <n v="0"/>
    <n v="0"/>
    <n v="0"/>
    <n v="0"/>
    <n v="0"/>
  </r>
  <r>
    <x v="32"/>
    <m/>
    <m/>
    <m/>
    <m/>
    <m/>
    <m/>
    <n v="0"/>
    <n v="0"/>
    <n v="0"/>
    <n v="0"/>
    <n v="0"/>
    <n v="0"/>
  </r>
  <r>
    <x v="33"/>
    <m/>
    <m/>
    <m/>
    <m/>
    <m/>
    <m/>
    <n v="0"/>
    <n v="0"/>
    <n v="0"/>
    <n v="0"/>
    <n v="0"/>
    <n v="0"/>
  </r>
  <r>
    <x v="34"/>
    <m/>
    <m/>
    <m/>
    <m/>
    <m/>
    <m/>
    <n v="0"/>
    <n v="0"/>
    <n v="0"/>
    <n v="0"/>
    <n v="0"/>
    <n v="0"/>
  </r>
  <r>
    <x v="35"/>
    <m/>
    <m/>
    <m/>
    <m/>
    <m/>
    <m/>
    <n v="0"/>
    <n v="0"/>
    <n v="0"/>
    <n v="0"/>
    <n v="0"/>
    <n v="0"/>
  </r>
  <r>
    <x v="36"/>
    <m/>
    <m/>
    <m/>
    <m/>
    <m/>
    <m/>
    <n v="0"/>
    <n v="0"/>
    <n v="0"/>
    <n v="0"/>
    <n v="0"/>
    <n v="0"/>
  </r>
  <r>
    <x v="37"/>
    <m/>
    <m/>
    <m/>
    <m/>
    <m/>
    <m/>
    <n v="0"/>
    <n v="0"/>
    <n v="0"/>
    <n v="0"/>
    <n v="0"/>
    <n v="0"/>
  </r>
  <r>
    <x v="38"/>
    <m/>
    <m/>
    <m/>
    <m/>
    <m/>
    <m/>
    <n v="0"/>
    <n v="0"/>
    <n v="0"/>
    <n v="0"/>
    <n v="0"/>
    <n v="0"/>
  </r>
  <r>
    <x v="39"/>
    <m/>
    <m/>
    <m/>
    <m/>
    <m/>
    <m/>
    <n v="0"/>
    <n v="0"/>
    <n v="0"/>
    <n v="0"/>
    <n v="0"/>
    <n v="0"/>
  </r>
  <r>
    <x v="40"/>
    <m/>
    <m/>
    <m/>
    <m/>
    <m/>
    <m/>
    <n v="0"/>
    <n v="0"/>
    <n v="0"/>
    <n v="0"/>
    <n v="0"/>
    <n v="0"/>
  </r>
  <r>
    <x v="41"/>
    <m/>
    <m/>
    <m/>
    <m/>
    <m/>
    <m/>
    <n v="0"/>
    <n v="0"/>
    <n v="0"/>
    <n v="0"/>
    <n v="0"/>
    <n v="0"/>
  </r>
  <r>
    <x v="42"/>
    <m/>
    <m/>
    <m/>
    <m/>
    <m/>
    <m/>
    <n v="0"/>
    <n v="0"/>
    <n v="0"/>
    <n v="0"/>
    <n v="0"/>
    <n v="0"/>
  </r>
  <r>
    <x v="43"/>
    <m/>
    <m/>
    <m/>
    <m/>
    <m/>
    <m/>
    <n v="0"/>
    <n v="0"/>
    <n v="0"/>
    <n v="0"/>
    <n v="0"/>
    <n v="0"/>
  </r>
  <r>
    <x v="44"/>
    <m/>
    <m/>
    <m/>
    <m/>
    <m/>
    <m/>
    <n v="0"/>
    <n v="0"/>
    <n v="0"/>
    <n v="0"/>
    <n v="0"/>
    <n v="0"/>
  </r>
  <r>
    <x v="45"/>
    <m/>
    <m/>
    <m/>
    <m/>
    <m/>
    <m/>
    <n v="0"/>
    <n v="0"/>
    <n v="0"/>
    <n v="0"/>
    <n v="0"/>
    <n v="0"/>
  </r>
  <r>
    <x v="46"/>
    <m/>
    <m/>
    <m/>
    <m/>
    <m/>
    <m/>
    <n v="0"/>
    <n v="0"/>
    <n v="0"/>
    <n v="0"/>
    <n v="0"/>
    <n v="0"/>
  </r>
  <r>
    <x v="47"/>
    <m/>
    <m/>
    <m/>
    <m/>
    <m/>
    <m/>
    <n v="0"/>
    <n v="0"/>
    <n v="0"/>
    <n v="0"/>
    <n v="0"/>
    <n v="0"/>
  </r>
  <r>
    <x v="48"/>
    <m/>
    <m/>
    <m/>
    <m/>
    <m/>
    <m/>
    <n v="0"/>
    <n v="0"/>
    <n v="0"/>
    <n v="0"/>
    <n v="0"/>
    <n v="0"/>
  </r>
  <r>
    <x v="49"/>
    <m/>
    <m/>
    <m/>
    <m/>
    <m/>
    <m/>
    <n v="0"/>
    <n v="0"/>
    <n v="0"/>
    <n v="0"/>
    <n v="0"/>
    <n v="0"/>
  </r>
  <r>
    <x v="50"/>
    <m/>
    <m/>
    <m/>
    <m/>
    <m/>
    <m/>
    <n v="0"/>
    <n v="0"/>
    <n v="0"/>
    <n v="0"/>
    <n v="0"/>
    <n v="0"/>
  </r>
  <r>
    <x v="51"/>
    <m/>
    <m/>
    <m/>
    <m/>
    <m/>
    <m/>
    <n v="0"/>
    <n v="0"/>
    <n v="0"/>
    <n v="0"/>
    <n v="0"/>
    <n v="0"/>
  </r>
  <r>
    <x v="52"/>
    <m/>
    <m/>
    <m/>
    <m/>
    <m/>
    <m/>
    <n v="0"/>
    <n v="0"/>
    <n v="0"/>
    <n v="0"/>
    <n v="0"/>
    <n v="0"/>
  </r>
  <r>
    <x v="53"/>
    <m/>
    <m/>
    <m/>
    <m/>
    <m/>
    <m/>
    <n v="0"/>
    <n v="0"/>
    <n v="0"/>
    <n v="0"/>
    <n v="0"/>
    <n v="0"/>
  </r>
  <r>
    <x v="54"/>
    <m/>
    <m/>
    <m/>
    <m/>
    <m/>
    <m/>
    <n v="0"/>
    <n v="0"/>
    <n v="0"/>
    <n v="0"/>
    <n v="0"/>
    <n v="0"/>
  </r>
  <r>
    <x v="55"/>
    <m/>
    <m/>
    <m/>
    <m/>
    <m/>
    <m/>
    <n v="0"/>
    <n v="0"/>
    <n v="0"/>
    <n v="0"/>
    <n v="0"/>
    <n v="0"/>
  </r>
  <r>
    <x v="56"/>
    <m/>
    <m/>
    <m/>
    <m/>
    <m/>
    <m/>
    <n v="0"/>
    <n v="0"/>
    <n v="0"/>
    <n v="0"/>
    <n v="0"/>
    <n v="0"/>
  </r>
  <r>
    <x v="57"/>
    <m/>
    <m/>
    <m/>
    <m/>
    <m/>
    <m/>
    <n v="0"/>
    <n v="0"/>
    <n v="0"/>
    <n v="0"/>
    <n v="0"/>
    <n v="0"/>
  </r>
  <r>
    <x v="58"/>
    <m/>
    <m/>
    <m/>
    <m/>
    <m/>
    <m/>
    <n v="0"/>
    <n v="0"/>
    <n v="0"/>
    <n v="0"/>
    <n v="0"/>
    <n v="0"/>
  </r>
  <r>
    <x v="59"/>
    <m/>
    <m/>
    <m/>
    <m/>
    <m/>
    <m/>
    <n v="0"/>
    <n v="0"/>
    <n v="0"/>
    <n v="0"/>
    <n v="0"/>
    <n v="0"/>
  </r>
  <r>
    <x v="60"/>
    <m/>
    <m/>
    <m/>
    <m/>
    <m/>
    <m/>
    <n v="0"/>
    <n v="0"/>
    <n v="0"/>
    <n v="0"/>
    <n v="0"/>
    <n v="0"/>
  </r>
  <r>
    <x v="61"/>
    <m/>
    <m/>
    <m/>
    <m/>
    <m/>
    <m/>
    <n v="0"/>
    <n v="0"/>
    <n v="0"/>
    <n v="0"/>
    <n v="0"/>
    <n v="0"/>
  </r>
  <r>
    <x v="62"/>
    <m/>
    <m/>
    <m/>
    <m/>
    <m/>
    <m/>
    <n v="0"/>
    <n v="0"/>
    <n v="0"/>
    <n v="0"/>
    <n v="0"/>
    <n v="0"/>
  </r>
  <r>
    <x v="63"/>
    <m/>
    <m/>
    <m/>
    <m/>
    <m/>
    <m/>
    <n v="0"/>
    <n v="0"/>
    <n v="0"/>
    <n v="0"/>
    <n v="0"/>
    <n v="0"/>
  </r>
  <r>
    <x v="64"/>
    <m/>
    <m/>
    <m/>
    <m/>
    <m/>
    <m/>
    <n v="0"/>
    <n v="0"/>
    <n v="0"/>
    <n v="0"/>
    <n v="0"/>
    <n v="0"/>
  </r>
  <r>
    <x v="65"/>
    <m/>
    <m/>
    <m/>
    <m/>
    <m/>
    <m/>
    <n v="0"/>
    <n v="0"/>
    <n v="0"/>
    <n v="0"/>
    <n v="0"/>
    <n v="0"/>
  </r>
  <r>
    <x v="66"/>
    <m/>
    <m/>
    <m/>
    <m/>
    <m/>
    <m/>
    <n v="0"/>
    <n v="0"/>
    <n v="0"/>
    <n v="0"/>
    <n v="0"/>
    <n v="0"/>
  </r>
  <r>
    <x v="67"/>
    <m/>
    <m/>
    <m/>
    <m/>
    <m/>
    <m/>
    <n v="0"/>
    <n v="0"/>
    <n v="0"/>
    <n v="0"/>
    <n v="0"/>
    <n v="0"/>
  </r>
  <r>
    <x v="68"/>
    <m/>
    <m/>
    <m/>
    <m/>
    <m/>
    <m/>
    <n v="0"/>
    <n v="0"/>
    <n v="0"/>
    <n v="0"/>
    <n v="0"/>
    <n v="0"/>
  </r>
  <r>
    <x v="69"/>
    <m/>
    <m/>
    <m/>
    <m/>
    <m/>
    <m/>
    <n v="0"/>
    <n v="0"/>
    <n v="0"/>
    <n v="0"/>
    <n v="0"/>
    <n v="0"/>
  </r>
  <r>
    <x v="70"/>
    <m/>
    <m/>
    <m/>
    <m/>
    <m/>
    <m/>
    <n v="0"/>
    <n v="0"/>
    <n v="0"/>
    <n v="0"/>
    <n v="0"/>
    <n v="0"/>
  </r>
  <r>
    <x v="71"/>
    <m/>
    <m/>
    <m/>
    <m/>
    <m/>
    <m/>
    <n v="0"/>
    <n v="0"/>
    <n v="0"/>
    <n v="0"/>
    <n v="0"/>
    <n v="0"/>
  </r>
  <r>
    <x v="72"/>
    <m/>
    <m/>
    <m/>
    <m/>
    <m/>
    <m/>
    <n v="0"/>
    <n v="0"/>
    <n v="0"/>
    <n v="0"/>
    <n v="0"/>
    <n v="0"/>
  </r>
  <r>
    <x v="73"/>
    <m/>
    <m/>
    <m/>
    <m/>
    <m/>
    <m/>
    <n v="0"/>
    <n v="0"/>
    <n v="0"/>
    <n v="0"/>
    <n v="0"/>
    <n v="0"/>
  </r>
  <r>
    <x v="74"/>
    <m/>
    <m/>
    <m/>
    <m/>
    <m/>
    <m/>
    <n v="0"/>
    <n v="0"/>
    <n v="0"/>
    <n v="0"/>
    <n v="0"/>
    <n v="0"/>
  </r>
  <r>
    <x v="75"/>
    <m/>
    <m/>
    <m/>
    <m/>
    <m/>
    <m/>
    <n v="0"/>
    <n v="0"/>
    <n v="0"/>
    <n v="0"/>
    <n v="0"/>
    <n v="0"/>
  </r>
  <r>
    <x v="76"/>
    <m/>
    <m/>
    <m/>
    <m/>
    <m/>
    <m/>
    <n v="0"/>
    <n v="0"/>
    <n v="0"/>
    <n v="0"/>
    <n v="0"/>
    <n v="0"/>
  </r>
  <r>
    <x v="77"/>
    <m/>
    <m/>
    <m/>
    <m/>
    <m/>
    <m/>
    <n v="0"/>
    <n v="0"/>
    <n v="0"/>
    <n v="0"/>
    <n v="0"/>
    <n v="0"/>
  </r>
  <r>
    <x v="78"/>
    <m/>
    <m/>
    <m/>
    <m/>
    <m/>
    <m/>
    <n v="0"/>
    <n v="0"/>
    <n v="0"/>
    <n v="0"/>
    <n v="0"/>
    <n v="0"/>
  </r>
  <r>
    <x v="79"/>
    <m/>
    <m/>
    <m/>
    <m/>
    <m/>
    <m/>
    <n v="0"/>
    <n v="0"/>
    <n v="0"/>
    <n v="0"/>
    <n v="0"/>
    <n v="0"/>
  </r>
  <r>
    <x v="80"/>
    <m/>
    <m/>
    <m/>
    <m/>
    <m/>
    <m/>
    <n v="0"/>
    <n v="0"/>
    <n v="0"/>
    <n v="0"/>
    <n v="0"/>
    <n v="0"/>
  </r>
  <r>
    <x v="81"/>
    <m/>
    <m/>
    <m/>
    <m/>
    <m/>
    <m/>
    <n v="0"/>
    <n v="0"/>
    <n v="0"/>
    <n v="0"/>
    <n v="0"/>
    <n v="0"/>
  </r>
  <r>
    <x v="82"/>
    <m/>
    <m/>
    <m/>
    <m/>
    <m/>
    <m/>
    <n v="0"/>
    <n v="0"/>
    <n v="0"/>
    <n v="0"/>
    <n v="0"/>
    <n v="0"/>
  </r>
  <r>
    <x v="83"/>
    <m/>
    <m/>
    <m/>
    <m/>
    <m/>
    <m/>
    <n v="0"/>
    <n v="0"/>
    <n v="0"/>
    <n v="0"/>
    <n v="0"/>
    <n v="0"/>
  </r>
  <r>
    <x v="84"/>
    <m/>
    <m/>
    <m/>
    <m/>
    <m/>
    <m/>
    <n v="0"/>
    <n v="0"/>
    <n v="0"/>
    <n v="0"/>
    <n v="0"/>
    <n v="0"/>
  </r>
  <r>
    <x v="85"/>
    <m/>
    <m/>
    <m/>
    <m/>
    <m/>
    <m/>
    <n v="0"/>
    <n v="0"/>
    <n v="0"/>
    <n v="0"/>
    <n v="0"/>
    <n v="0"/>
  </r>
  <r>
    <x v="86"/>
    <m/>
    <m/>
    <m/>
    <m/>
    <m/>
    <m/>
    <n v="0"/>
    <n v="0"/>
    <n v="0"/>
    <n v="0"/>
    <n v="0"/>
    <n v="0"/>
  </r>
  <r>
    <x v="87"/>
    <m/>
    <m/>
    <m/>
    <m/>
    <m/>
    <m/>
    <n v="0"/>
    <n v="0"/>
    <n v="0"/>
    <n v="0"/>
    <n v="0"/>
    <n v="0"/>
  </r>
  <r>
    <x v="88"/>
    <m/>
    <m/>
    <m/>
    <m/>
    <m/>
    <m/>
    <n v="0"/>
    <n v="0"/>
    <n v="0"/>
    <n v="0"/>
    <n v="0"/>
    <n v="0"/>
  </r>
  <r>
    <x v="89"/>
    <m/>
    <m/>
    <m/>
    <m/>
    <m/>
    <m/>
    <n v="0"/>
    <n v="0"/>
    <n v="0"/>
    <n v="0"/>
    <n v="0"/>
    <n v="0"/>
  </r>
  <r>
    <x v="90"/>
    <m/>
    <m/>
    <m/>
    <m/>
    <m/>
    <m/>
    <n v="0"/>
    <n v="0"/>
    <n v="0"/>
    <n v="0"/>
    <n v="0"/>
    <n v="0"/>
  </r>
  <r>
    <x v="91"/>
    <m/>
    <m/>
    <m/>
    <m/>
    <m/>
    <m/>
    <n v="0"/>
    <n v="0"/>
    <n v="0"/>
    <n v="0"/>
    <n v="0"/>
    <n v="0"/>
  </r>
  <r>
    <x v="92"/>
    <m/>
    <m/>
    <m/>
    <m/>
    <m/>
    <m/>
    <n v="0"/>
    <n v="0"/>
    <n v="0"/>
    <n v="0"/>
    <n v="0"/>
    <n v="0"/>
  </r>
  <r>
    <x v="93"/>
    <m/>
    <m/>
    <m/>
    <m/>
    <m/>
    <m/>
    <n v="0"/>
    <n v="0"/>
    <n v="0"/>
    <n v="0"/>
    <n v="0"/>
    <n v="0"/>
  </r>
  <r>
    <x v="94"/>
    <m/>
    <m/>
    <m/>
    <m/>
    <m/>
    <m/>
    <n v="0"/>
    <n v="0"/>
    <n v="0"/>
    <n v="0"/>
    <n v="0"/>
    <n v="0"/>
  </r>
  <r>
    <x v="95"/>
    <m/>
    <m/>
    <m/>
    <m/>
    <m/>
    <m/>
    <n v="0"/>
    <n v="0"/>
    <n v="0"/>
    <n v="0"/>
    <n v="0"/>
    <n v="0"/>
  </r>
  <r>
    <x v="96"/>
    <m/>
    <m/>
    <m/>
    <m/>
    <m/>
    <m/>
    <n v="0"/>
    <n v="0"/>
    <n v="0"/>
    <n v="0"/>
    <n v="0"/>
    <n v="0"/>
  </r>
  <r>
    <x v="97"/>
    <m/>
    <m/>
    <m/>
    <m/>
    <m/>
    <m/>
    <n v="0"/>
    <n v="0"/>
    <n v="0"/>
    <n v="0"/>
    <n v="0"/>
    <n v="0"/>
  </r>
  <r>
    <x v="98"/>
    <m/>
    <m/>
    <m/>
    <m/>
    <m/>
    <m/>
    <n v="0"/>
    <n v="0"/>
    <n v="0"/>
    <n v="0"/>
    <n v="0"/>
    <n v="0"/>
  </r>
  <r>
    <x v="99"/>
    <m/>
    <m/>
    <m/>
    <m/>
    <m/>
    <m/>
    <n v="0"/>
    <n v="0"/>
    <n v="0"/>
    <n v="0"/>
    <n v="0"/>
    <n v="0"/>
  </r>
  <r>
    <x v="100"/>
    <m/>
    <m/>
    <m/>
    <m/>
    <m/>
    <m/>
    <n v="0"/>
    <n v="0"/>
    <n v="0"/>
    <n v="0"/>
    <n v="0"/>
    <n v="0"/>
  </r>
  <r>
    <x v="101"/>
    <m/>
    <m/>
    <m/>
    <m/>
    <m/>
    <m/>
    <n v="0"/>
    <n v="0"/>
    <n v="0"/>
    <n v="0"/>
    <n v="0"/>
    <n v="0"/>
  </r>
  <r>
    <x v="102"/>
    <m/>
    <m/>
    <m/>
    <m/>
    <m/>
    <m/>
    <n v="0"/>
    <n v="0"/>
    <n v="0"/>
    <n v="0"/>
    <n v="0"/>
    <n v="0"/>
  </r>
  <r>
    <x v="103"/>
    <m/>
    <m/>
    <m/>
    <m/>
    <m/>
    <m/>
    <n v="0"/>
    <n v="0"/>
    <n v="0"/>
    <n v="0"/>
    <n v="0"/>
    <n v="0"/>
  </r>
  <r>
    <x v="104"/>
    <m/>
    <m/>
    <m/>
    <m/>
    <m/>
    <m/>
    <n v="0"/>
    <n v="0"/>
    <n v="0"/>
    <n v="0"/>
    <n v="0"/>
    <n v="0"/>
  </r>
  <r>
    <x v="105"/>
    <m/>
    <m/>
    <m/>
    <m/>
    <m/>
    <m/>
    <n v="0"/>
    <n v="0"/>
    <n v="0"/>
    <n v="0"/>
    <n v="0"/>
    <n v="0"/>
  </r>
  <r>
    <x v="106"/>
    <m/>
    <m/>
    <m/>
    <m/>
    <m/>
    <m/>
    <n v="0"/>
    <n v="0"/>
    <n v="0"/>
    <n v="0"/>
    <n v="0"/>
    <n v="0"/>
  </r>
  <r>
    <x v="107"/>
    <m/>
    <m/>
    <m/>
    <m/>
    <m/>
    <m/>
    <n v="0"/>
    <n v="0"/>
    <n v="0"/>
    <n v="0"/>
    <n v="0"/>
    <n v="0"/>
  </r>
  <r>
    <x v="108"/>
    <m/>
    <m/>
    <m/>
    <m/>
    <m/>
    <m/>
    <n v="0"/>
    <n v="0"/>
    <n v="0"/>
    <n v="0"/>
    <n v="0"/>
    <n v="0"/>
  </r>
  <r>
    <x v="109"/>
    <m/>
    <m/>
    <m/>
    <m/>
    <m/>
    <m/>
    <n v="0"/>
    <n v="0"/>
    <n v="0"/>
    <n v="0"/>
    <n v="0"/>
    <n v="0"/>
  </r>
  <r>
    <x v="110"/>
    <m/>
    <m/>
    <m/>
    <m/>
    <m/>
    <m/>
    <n v="0"/>
    <n v="0"/>
    <n v="0"/>
    <n v="0"/>
    <n v="0"/>
    <n v="0"/>
  </r>
  <r>
    <x v="111"/>
    <m/>
    <m/>
    <m/>
    <m/>
    <m/>
    <m/>
    <n v="0"/>
    <n v="0"/>
    <n v="0"/>
    <n v="0"/>
    <n v="0"/>
    <n v="0"/>
  </r>
  <r>
    <x v="112"/>
    <m/>
    <m/>
    <m/>
    <m/>
    <m/>
    <m/>
    <n v="0"/>
    <n v="0"/>
    <n v="0"/>
    <n v="0"/>
    <n v="0"/>
    <n v="0"/>
  </r>
  <r>
    <x v="113"/>
    <m/>
    <m/>
    <m/>
    <m/>
    <m/>
    <m/>
    <n v="0"/>
    <n v="0"/>
    <n v="0"/>
    <n v="0"/>
    <n v="0"/>
    <n v="0"/>
  </r>
  <r>
    <x v="114"/>
    <m/>
    <m/>
    <m/>
    <m/>
    <m/>
    <m/>
    <n v="0"/>
    <n v="0"/>
    <n v="0"/>
    <n v="0"/>
    <n v="0"/>
    <n v="0"/>
  </r>
  <r>
    <x v="115"/>
    <m/>
    <m/>
    <m/>
    <m/>
    <m/>
    <m/>
    <n v="0"/>
    <n v="0"/>
    <n v="0"/>
    <n v="0"/>
    <n v="0"/>
    <n v="0"/>
  </r>
  <r>
    <x v="116"/>
    <m/>
    <m/>
    <m/>
    <m/>
    <m/>
    <m/>
    <n v="0"/>
    <n v="0"/>
    <n v="0"/>
    <n v="0"/>
    <n v="0"/>
    <n v="0"/>
  </r>
  <r>
    <x v="117"/>
    <m/>
    <m/>
    <m/>
    <m/>
    <m/>
    <m/>
    <n v="0"/>
    <n v="0"/>
    <n v="0"/>
    <n v="0"/>
    <n v="0"/>
    <n v="0"/>
  </r>
  <r>
    <x v="118"/>
    <m/>
    <m/>
    <m/>
    <m/>
    <m/>
    <m/>
    <n v="0"/>
    <n v="0"/>
    <n v="0"/>
    <n v="0"/>
    <n v="0"/>
    <n v="0"/>
  </r>
  <r>
    <x v="119"/>
    <m/>
    <m/>
    <m/>
    <m/>
    <m/>
    <m/>
    <n v="0"/>
    <n v="0"/>
    <n v="0"/>
    <n v="0"/>
    <n v="0"/>
    <n v="0"/>
  </r>
  <r>
    <x v="120"/>
    <m/>
    <m/>
    <m/>
    <m/>
    <m/>
    <m/>
    <n v="0"/>
    <n v="0"/>
    <n v="0"/>
    <n v="0"/>
    <n v="0"/>
    <n v="0"/>
  </r>
  <r>
    <x v="121"/>
    <m/>
    <m/>
    <m/>
    <m/>
    <m/>
    <m/>
    <n v="0"/>
    <n v="0"/>
    <n v="0"/>
    <n v="0"/>
    <n v="0"/>
    <n v="0"/>
  </r>
  <r>
    <x v="122"/>
    <m/>
    <m/>
    <m/>
    <m/>
    <m/>
    <m/>
    <n v="0"/>
    <n v="0"/>
    <n v="0"/>
    <n v="0"/>
    <n v="0"/>
    <n v="0"/>
  </r>
  <r>
    <x v="123"/>
    <m/>
    <m/>
    <m/>
    <m/>
    <m/>
    <m/>
    <n v="0"/>
    <n v="0"/>
    <n v="0"/>
    <n v="0"/>
    <n v="0"/>
    <n v="0"/>
  </r>
  <r>
    <x v="124"/>
    <m/>
    <m/>
    <m/>
    <m/>
    <m/>
    <m/>
    <n v="0"/>
    <n v="0"/>
    <n v="0"/>
    <n v="0"/>
    <n v="0"/>
    <n v="0"/>
  </r>
  <r>
    <x v="125"/>
    <m/>
    <m/>
    <m/>
    <m/>
    <m/>
    <m/>
    <n v="0"/>
    <n v="0"/>
    <n v="0"/>
    <n v="0"/>
    <n v="0"/>
    <n v="0"/>
  </r>
  <r>
    <x v="126"/>
    <m/>
    <m/>
    <m/>
    <m/>
    <m/>
    <m/>
    <n v="0"/>
    <n v="0"/>
    <n v="0"/>
    <n v="0"/>
    <n v="0"/>
    <n v="0"/>
  </r>
  <r>
    <x v="127"/>
    <m/>
    <m/>
    <m/>
    <m/>
    <m/>
    <m/>
    <n v="0"/>
    <n v="0"/>
    <n v="0"/>
    <n v="0"/>
    <n v="0"/>
    <n v="0"/>
  </r>
  <r>
    <x v="128"/>
    <m/>
    <m/>
    <m/>
    <m/>
    <m/>
    <m/>
    <n v="0"/>
    <n v="0"/>
    <n v="0"/>
    <n v="0"/>
    <n v="0"/>
    <n v="0"/>
  </r>
  <r>
    <x v="129"/>
    <m/>
    <m/>
    <m/>
    <m/>
    <m/>
    <m/>
    <n v="0"/>
    <n v="0"/>
    <n v="0"/>
    <n v="0"/>
    <n v="0"/>
    <n v="0"/>
  </r>
  <r>
    <x v="130"/>
    <m/>
    <m/>
    <m/>
    <m/>
    <m/>
    <m/>
    <n v="0"/>
    <n v="0"/>
    <n v="0"/>
    <n v="0"/>
    <n v="0"/>
    <n v="0"/>
  </r>
  <r>
    <x v="131"/>
    <m/>
    <m/>
    <m/>
    <m/>
    <m/>
    <m/>
    <n v="0"/>
    <n v="0"/>
    <n v="0"/>
    <n v="0"/>
    <n v="0"/>
    <n v="0"/>
  </r>
  <r>
    <x v="132"/>
    <m/>
    <m/>
    <m/>
    <m/>
    <m/>
    <m/>
    <n v="0"/>
    <n v="0"/>
    <n v="0"/>
    <n v="0"/>
    <n v="0"/>
    <n v="0"/>
  </r>
  <r>
    <x v="133"/>
    <m/>
    <m/>
    <m/>
    <m/>
    <m/>
    <m/>
    <n v="0"/>
    <n v="0"/>
    <n v="0"/>
    <n v="0"/>
    <n v="0"/>
    <n v="0"/>
  </r>
  <r>
    <x v="134"/>
    <m/>
    <m/>
    <m/>
    <m/>
    <m/>
    <m/>
    <n v="0"/>
    <n v="0"/>
    <n v="0"/>
    <n v="0"/>
    <n v="0"/>
    <n v="0"/>
  </r>
  <r>
    <x v="135"/>
    <m/>
    <m/>
    <m/>
    <m/>
    <m/>
    <m/>
    <n v="0"/>
    <n v="0"/>
    <n v="0"/>
    <n v="0"/>
    <n v="0"/>
    <n v="0"/>
  </r>
  <r>
    <x v="136"/>
    <m/>
    <m/>
    <m/>
    <m/>
    <m/>
    <m/>
    <n v="0"/>
    <n v="0"/>
    <n v="0"/>
    <n v="0"/>
    <n v="0"/>
    <n v="0"/>
  </r>
  <r>
    <x v="137"/>
    <m/>
    <m/>
    <m/>
    <m/>
    <m/>
    <m/>
    <n v="0"/>
    <n v="0"/>
    <n v="0"/>
    <n v="0"/>
    <n v="0"/>
    <n v="0"/>
  </r>
  <r>
    <x v="138"/>
    <m/>
    <m/>
    <m/>
    <m/>
    <m/>
    <m/>
    <n v="0"/>
    <n v="0"/>
    <n v="0"/>
    <n v="0"/>
    <n v="0"/>
    <n v="0"/>
  </r>
  <r>
    <x v="139"/>
    <m/>
    <m/>
    <m/>
    <m/>
    <m/>
    <m/>
    <n v="0"/>
    <n v="0"/>
    <n v="0"/>
    <n v="0"/>
    <n v="0"/>
    <n v="0"/>
  </r>
  <r>
    <x v="140"/>
    <m/>
    <m/>
    <m/>
    <m/>
    <m/>
    <m/>
    <n v="0"/>
    <n v="0"/>
    <n v="0"/>
    <n v="0"/>
    <n v="0"/>
    <n v="0"/>
  </r>
  <r>
    <x v="141"/>
    <m/>
    <m/>
    <m/>
    <m/>
    <m/>
    <m/>
    <n v="0"/>
    <n v="0"/>
    <n v="0"/>
    <n v="0"/>
    <n v="0"/>
    <n v="0"/>
  </r>
  <r>
    <x v="142"/>
    <m/>
    <m/>
    <m/>
    <m/>
    <m/>
    <m/>
    <n v="0"/>
    <n v="0"/>
    <n v="0"/>
    <n v="0"/>
    <n v="0"/>
    <n v="0"/>
  </r>
  <r>
    <x v="143"/>
    <m/>
    <m/>
    <m/>
    <m/>
    <m/>
    <m/>
    <n v="0"/>
    <n v="0"/>
    <n v="0"/>
    <n v="0"/>
    <n v="0"/>
    <n v="0"/>
  </r>
  <r>
    <x v="144"/>
    <m/>
    <m/>
    <m/>
    <m/>
    <m/>
    <m/>
    <n v="0"/>
    <n v="0"/>
    <n v="0"/>
    <n v="0"/>
    <n v="0"/>
    <n v="0"/>
  </r>
  <r>
    <x v="145"/>
    <m/>
    <m/>
    <m/>
    <m/>
    <m/>
    <m/>
    <n v="0"/>
    <n v="0"/>
    <n v="0"/>
    <n v="0"/>
    <n v="0"/>
    <n v="0"/>
  </r>
  <r>
    <x v="146"/>
    <m/>
    <m/>
    <m/>
    <m/>
    <m/>
    <m/>
    <n v="0"/>
    <n v="0"/>
    <n v="0"/>
    <n v="0"/>
    <n v="0"/>
    <n v="0"/>
  </r>
  <r>
    <x v="147"/>
    <m/>
    <m/>
    <m/>
    <m/>
    <m/>
    <m/>
    <n v="0"/>
    <n v="0"/>
    <n v="0"/>
    <n v="0"/>
    <n v="0"/>
    <n v="0"/>
  </r>
  <r>
    <x v="148"/>
    <m/>
    <m/>
    <m/>
    <m/>
    <m/>
    <m/>
    <n v="0"/>
    <n v="0"/>
    <n v="0"/>
    <n v="0"/>
    <n v="0"/>
    <n v="0"/>
  </r>
  <r>
    <x v="149"/>
    <m/>
    <m/>
    <m/>
    <m/>
    <m/>
    <m/>
    <n v="0"/>
    <n v="0"/>
    <n v="0"/>
    <n v="0"/>
    <n v="0"/>
    <n v="0"/>
  </r>
  <r>
    <x v="150"/>
    <m/>
    <m/>
    <m/>
    <m/>
    <m/>
    <m/>
    <n v="0"/>
    <n v="0"/>
    <n v="0"/>
    <n v="0"/>
    <n v="0"/>
    <n v="0"/>
  </r>
  <r>
    <x v="151"/>
    <m/>
    <m/>
    <m/>
    <m/>
    <m/>
    <m/>
    <n v="0"/>
    <n v="0"/>
    <n v="0"/>
    <n v="0"/>
    <n v="0"/>
    <n v="0"/>
  </r>
  <r>
    <x v="152"/>
    <m/>
    <m/>
    <m/>
    <m/>
    <m/>
    <m/>
    <n v="0"/>
    <n v="0"/>
    <n v="0"/>
    <n v="0"/>
    <n v="0"/>
    <n v="0"/>
  </r>
  <r>
    <x v="153"/>
    <m/>
    <m/>
    <m/>
    <m/>
    <m/>
    <m/>
    <n v="0"/>
    <n v="0"/>
    <n v="0"/>
    <n v="0"/>
    <n v="0"/>
    <n v="0"/>
  </r>
  <r>
    <x v="154"/>
    <m/>
    <m/>
    <m/>
    <m/>
    <m/>
    <m/>
    <n v="0"/>
    <n v="0"/>
    <n v="0"/>
    <n v="0"/>
    <n v="0"/>
    <n v="0"/>
  </r>
  <r>
    <x v="155"/>
    <m/>
    <m/>
    <m/>
    <m/>
    <m/>
    <m/>
    <n v="0"/>
    <n v="0"/>
    <n v="0"/>
    <n v="0"/>
    <n v="0"/>
    <n v="0"/>
  </r>
  <r>
    <x v="156"/>
    <m/>
    <m/>
    <m/>
    <m/>
    <m/>
    <m/>
    <n v="0"/>
    <n v="0"/>
    <n v="0"/>
    <n v="0"/>
    <n v="0"/>
    <n v="0"/>
  </r>
  <r>
    <x v="157"/>
    <m/>
    <m/>
    <m/>
    <m/>
    <m/>
    <m/>
    <n v="0"/>
    <n v="0"/>
    <n v="0"/>
    <n v="0"/>
    <n v="0"/>
    <n v="0"/>
  </r>
  <r>
    <x v="158"/>
    <m/>
    <m/>
    <m/>
    <m/>
    <m/>
    <m/>
    <n v="0"/>
    <n v="0"/>
    <n v="0"/>
    <n v="0"/>
    <n v="0"/>
    <n v="0"/>
  </r>
  <r>
    <x v="159"/>
    <m/>
    <m/>
    <m/>
    <m/>
    <m/>
    <m/>
    <n v="0"/>
    <n v="0"/>
    <n v="0"/>
    <n v="0"/>
    <n v="0"/>
    <n v="0"/>
  </r>
  <r>
    <x v="160"/>
    <m/>
    <m/>
    <m/>
    <m/>
    <m/>
    <m/>
    <n v="0"/>
    <n v="0"/>
    <n v="0"/>
    <n v="0"/>
    <n v="0"/>
    <n v="0"/>
  </r>
  <r>
    <x v="161"/>
    <m/>
    <m/>
    <m/>
    <m/>
    <m/>
    <m/>
    <n v="0"/>
    <n v="0"/>
    <n v="0"/>
    <n v="0"/>
    <n v="0"/>
    <n v="0"/>
  </r>
  <r>
    <x v="162"/>
    <m/>
    <m/>
    <m/>
    <m/>
    <m/>
    <m/>
    <n v="0"/>
    <n v="0"/>
    <n v="0"/>
    <n v="0"/>
    <n v="0"/>
    <n v="0"/>
  </r>
  <r>
    <x v="163"/>
    <m/>
    <m/>
    <m/>
    <m/>
    <m/>
    <m/>
    <n v="0"/>
    <n v="0"/>
    <n v="0"/>
    <n v="0"/>
    <n v="0"/>
    <n v="0"/>
  </r>
  <r>
    <x v="164"/>
    <m/>
    <m/>
    <m/>
    <m/>
    <m/>
    <m/>
    <n v="0"/>
    <n v="0"/>
    <n v="0"/>
    <n v="0"/>
    <n v="0"/>
    <n v="0"/>
  </r>
  <r>
    <x v="165"/>
    <m/>
    <m/>
    <m/>
    <m/>
    <m/>
    <m/>
    <n v="0"/>
    <n v="0"/>
    <n v="0"/>
    <n v="0"/>
    <n v="0"/>
    <n v="0"/>
  </r>
  <r>
    <x v="166"/>
    <m/>
    <m/>
    <m/>
    <m/>
    <m/>
    <m/>
    <n v="0"/>
    <n v="0"/>
    <n v="0"/>
    <n v="0"/>
    <n v="0"/>
    <n v="0"/>
  </r>
  <r>
    <x v="167"/>
    <m/>
    <m/>
    <m/>
    <m/>
    <m/>
    <m/>
    <n v="0"/>
    <n v="0"/>
    <n v="0"/>
    <n v="0"/>
    <n v="0"/>
    <n v="0"/>
  </r>
  <r>
    <x v="168"/>
    <m/>
    <m/>
    <m/>
    <m/>
    <m/>
    <m/>
    <n v="0"/>
    <n v="0"/>
    <n v="0"/>
    <n v="0"/>
    <n v="0"/>
    <n v="0"/>
  </r>
  <r>
    <x v="169"/>
    <m/>
    <m/>
    <m/>
    <m/>
    <m/>
    <m/>
    <n v="0"/>
    <n v="0"/>
    <n v="0"/>
    <n v="0"/>
    <n v="0"/>
    <n v="0"/>
  </r>
  <r>
    <x v="170"/>
    <m/>
    <m/>
    <m/>
    <m/>
    <m/>
    <m/>
    <n v="0"/>
    <n v="0"/>
    <n v="0"/>
    <n v="0"/>
    <n v="0"/>
    <n v="0"/>
  </r>
  <r>
    <x v="171"/>
    <m/>
    <m/>
    <m/>
    <m/>
    <m/>
    <m/>
    <n v="0"/>
    <n v="0"/>
    <n v="0"/>
    <n v="0"/>
    <n v="0"/>
    <n v="0"/>
  </r>
  <r>
    <x v="172"/>
    <m/>
    <m/>
    <m/>
    <m/>
    <m/>
    <m/>
    <n v="0"/>
    <n v="0"/>
    <n v="0"/>
    <n v="0"/>
    <n v="0"/>
    <n v="0"/>
  </r>
  <r>
    <x v="173"/>
    <m/>
    <m/>
    <m/>
    <m/>
    <m/>
    <m/>
    <n v="0"/>
    <n v="0"/>
    <n v="0"/>
    <n v="0"/>
    <n v="0"/>
    <n v="0"/>
  </r>
  <r>
    <x v="174"/>
    <m/>
    <m/>
    <m/>
    <m/>
    <m/>
    <m/>
    <n v="0"/>
    <n v="0"/>
    <n v="0"/>
    <n v="0"/>
    <n v="0"/>
    <n v="0"/>
  </r>
  <r>
    <x v="175"/>
    <m/>
    <m/>
    <m/>
    <m/>
    <m/>
    <m/>
    <n v="0"/>
    <n v="0"/>
    <n v="0"/>
    <n v="0"/>
    <n v="0"/>
    <n v="0"/>
  </r>
  <r>
    <x v="176"/>
    <m/>
    <m/>
    <m/>
    <m/>
    <m/>
    <m/>
    <n v="0"/>
    <n v="0"/>
    <n v="0"/>
    <n v="0"/>
    <n v="0"/>
    <n v="0"/>
  </r>
  <r>
    <x v="177"/>
    <m/>
    <m/>
    <m/>
    <m/>
    <m/>
    <m/>
    <n v="0"/>
    <n v="0"/>
    <n v="0"/>
    <n v="0"/>
    <n v="0"/>
    <n v="0"/>
  </r>
  <r>
    <x v="178"/>
    <m/>
    <m/>
    <m/>
    <m/>
    <m/>
    <m/>
    <n v="0"/>
    <n v="0"/>
    <n v="0"/>
    <n v="0"/>
    <n v="0"/>
    <n v="0"/>
  </r>
  <r>
    <x v="179"/>
    <m/>
    <m/>
    <m/>
    <m/>
    <m/>
    <m/>
    <n v="0"/>
    <n v="0"/>
    <n v="0"/>
    <n v="0"/>
    <n v="0"/>
    <n v="0"/>
  </r>
  <r>
    <x v="180"/>
    <m/>
    <m/>
    <m/>
    <m/>
    <m/>
    <m/>
    <n v="0"/>
    <n v="0"/>
    <n v="0"/>
    <n v="0"/>
    <n v="0"/>
    <n v="0"/>
  </r>
  <r>
    <x v="181"/>
    <m/>
    <m/>
    <m/>
    <m/>
    <m/>
    <m/>
    <n v="0"/>
    <n v="0"/>
    <n v="0"/>
    <n v="0"/>
    <n v="0"/>
    <n v="0"/>
  </r>
  <r>
    <x v="182"/>
    <m/>
    <m/>
    <m/>
    <m/>
    <m/>
    <m/>
    <n v="0"/>
    <n v="0"/>
    <n v="0"/>
    <n v="0"/>
    <n v="0"/>
    <n v="0"/>
  </r>
  <r>
    <x v="183"/>
    <m/>
    <m/>
    <m/>
    <m/>
    <m/>
    <m/>
    <n v="0"/>
    <n v="0"/>
    <n v="0"/>
    <n v="0"/>
    <n v="0"/>
    <n v="0"/>
  </r>
  <r>
    <x v="184"/>
    <m/>
    <m/>
    <m/>
    <m/>
    <m/>
    <m/>
    <n v="0"/>
    <n v="0"/>
    <n v="0"/>
    <n v="0"/>
    <n v="0"/>
    <n v="0"/>
  </r>
  <r>
    <x v="185"/>
    <m/>
    <m/>
    <m/>
    <m/>
    <m/>
    <m/>
    <n v="0"/>
    <n v="0"/>
    <n v="0"/>
    <n v="0"/>
    <n v="0"/>
    <n v="0"/>
  </r>
  <r>
    <x v="186"/>
    <m/>
    <m/>
    <m/>
    <m/>
    <m/>
    <m/>
    <n v="0"/>
    <n v="0"/>
    <n v="0"/>
    <n v="0"/>
    <n v="0"/>
    <n v="0"/>
  </r>
  <r>
    <x v="187"/>
    <m/>
    <m/>
    <m/>
    <m/>
    <m/>
    <m/>
    <n v="0"/>
    <n v="0"/>
    <n v="0"/>
    <n v="0"/>
    <n v="0"/>
    <n v="0"/>
  </r>
  <r>
    <x v="188"/>
    <m/>
    <m/>
    <m/>
    <m/>
    <m/>
    <m/>
    <n v="0"/>
    <n v="0"/>
    <n v="0"/>
    <n v="0"/>
    <n v="0"/>
    <n v="0"/>
  </r>
  <r>
    <x v="189"/>
    <m/>
    <m/>
    <m/>
    <m/>
    <m/>
    <m/>
    <n v="0"/>
    <n v="0"/>
    <n v="0"/>
    <n v="0"/>
    <n v="0"/>
    <n v="0"/>
  </r>
  <r>
    <x v="190"/>
    <m/>
    <m/>
    <m/>
    <m/>
    <m/>
    <m/>
    <n v="0"/>
    <n v="0"/>
    <n v="0"/>
    <n v="0"/>
    <n v="0"/>
    <n v="0"/>
  </r>
  <r>
    <x v="191"/>
    <m/>
    <m/>
    <m/>
    <m/>
    <m/>
    <m/>
    <n v="0"/>
    <n v="0"/>
    <n v="0"/>
    <n v="0"/>
    <n v="0"/>
    <n v="0"/>
  </r>
  <r>
    <x v="192"/>
    <m/>
    <m/>
    <m/>
    <m/>
    <m/>
    <m/>
    <n v="0"/>
    <n v="0"/>
    <n v="0"/>
    <n v="0"/>
    <n v="0"/>
    <n v="0"/>
  </r>
  <r>
    <x v="193"/>
    <m/>
    <m/>
    <m/>
    <m/>
    <m/>
    <m/>
    <n v="0"/>
    <n v="0"/>
    <n v="0"/>
    <n v="0"/>
    <n v="0"/>
    <n v="0"/>
  </r>
  <r>
    <x v="194"/>
    <m/>
    <m/>
    <m/>
    <m/>
    <m/>
    <m/>
    <n v="0"/>
    <n v="0"/>
    <n v="0"/>
    <n v="0"/>
    <n v="0"/>
    <n v="0"/>
  </r>
  <r>
    <x v="195"/>
    <m/>
    <m/>
    <m/>
    <m/>
    <m/>
    <m/>
    <n v="0"/>
    <n v="0"/>
    <n v="0"/>
    <n v="0"/>
    <n v="0"/>
    <n v="0"/>
  </r>
  <r>
    <x v="196"/>
    <m/>
    <m/>
    <m/>
    <m/>
    <m/>
    <m/>
    <n v="0"/>
    <n v="0"/>
    <n v="0"/>
    <n v="0"/>
    <n v="0"/>
    <n v="0"/>
  </r>
  <r>
    <x v="197"/>
    <m/>
    <m/>
    <m/>
    <m/>
    <m/>
    <m/>
    <n v="0"/>
    <n v="0"/>
    <n v="0"/>
    <n v="0"/>
    <n v="0"/>
    <n v="0"/>
  </r>
  <r>
    <x v="198"/>
    <m/>
    <m/>
    <m/>
    <m/>
    <m/>
    <m/>
    <n v="0"/>
    <n v="0"/>
    <n v="0"/>
    <n v="0"/>
    <n v="0"/>
    <n v="0"/>
  </r>
  <r>
    <x v="199"/>
    <m/>
    <m/>
    <m/>
    <m/>
    <m/>
    <m/>
    <n v="0"/>
    <n v="0"/>
    <n v="0"/>
    <n v="0"/>
    <n v="0"/>
    <n v="0"/>
  </r>
  <r>
    <x v="200"/>
    <m/>
    <m/>
    <m/>
    <m/>
    <m/>
    <m/>
    <n v="0"/>
    <n v="0"/>
    <n v="0"/>
    <n v="0"/>
    <n v="0"/>
    <n v="0"/>
  </r>
  <r>
    <x v="201"/>
    <m/>
    <m/>
    <m/>
    <m/>
    <m/>
    <m/>
    <n v="0"/>
    <n v="0"/>
    <n v="0"/>
    <n v="0"/>
    <n v="0"/>
    <n v="0"/>
  </r>
  <r>
    <x v="202"/>
    <m/>
    <m/>
    <m/>
    <m/>
    <m/>
    <m/>
    <n v="0"/>
    <n v="0"/>
    <n v="0"/>
    <n v="0"/>
    <n v="0"/>
    <n v="0"/>
  </r>
  <r>
    <x v="203"/>
    <m/>
    <m/>
    <m/>
    <m/>
    <m/>
    <m/>
    <n v="0"/>
    <n v="0"/>
    <n v="0"/>
    <n v="0"/>
    <n v="0"/>
    <n v="0"/>
  </r>
  <r>
    <x v="204"/>
    <m/>
    <m/>
    <m/>
    <m/>
    <m/>
    <m/>
    <n v="0"/>
    <n v="0"/>
    <n v="0"/>
    <n v="0"/>
    <n v="0"/>
    <n v="0"/>
  </r>
  <r>
    <x v="205"/>
    <m/>
    <m/>
    <m/>
    <m/>
    <m/>
    <m/>
    <n v="0"/>
    <n v="0"/>
    <n v="0"/>
    <n v="0"/>
    <n v="0"/>
    <n v="0"/>
  </r>
  <r>
    <x v="206"/>
    <m/>
    <m/>
    <m/>
    <m/>
    <m/>
    <m/>
    <n v="0"/>
    <n v="0"/>
    <n v="0"/>
    <n v="0"/>
    <n v="0"/>
    <n v="0"/>
  </r>
  <r>
    <x v="207"/>
    <m/>
    <m/>
    <m/>
    <m/>
    <m/>
    <m/>
    <n v="0"/>
    <n v="0"/>
    <n v="0"/>
    <n v="0"/>
    <n v="0"/>
    <n v="0"/>
  </r>
  <r>
    <x v="208"/>
    <m/>
    <m/>
    <m/>
    <m/>
    <m/>
    <m/>
    <n v="0"/>
    <n v="0"/>
    <n v="0"/>
    <n v="0"/>
    <n v="0"/>
    <n v="0"/>
  </r>
  <r>
    <x v="209"/>
    <m/>
    <m/>
    <m/>
    <m/>
    <m/>
    <m/>
    <n v="0"/>
    <n v="0"/>
    <n v="0"/>
    <n v="0"/>
    <n v="0"/>
    <n v="0"/>
  </r>
  <r>
    <x v="210"/>
    <m/>
    <m/>
    <m/>
    <m/>
    <m/>
    <m/>
    <n v="0"/>
    <n v="0"/>
    <n v="0"/>
    <n v="0"/>
    <n v="0"/>
    <n v="0"/>
  </r>
  <r>
    <x v="211"/>
    <m/>
    <m/>
    <m/>
    <m/>
    <m/>
    <m/>
    <n v="0"/>
    <n v="0"/>
    <n v="0"/>
    <n v="0"/>
    <n v="0"/>
    <n v="0"/>
  </r>
  <r>
    <x v="212"/>
    <m/>
    <m/>
    <m/>
    <m/>
    <m/>
    <m/>
    <n v="0"/>
    <n v="0"/>
    <n v="0"/>
    <n v="0"/>
    <n v="0"/>
    <n v="0"/>
  </r>
  <r>
    <x v="213"/>
    <m/>
    <m/>
    <m/>
    <m/>
    <m/>
    <m/>
    <n v="0"/>
    <n v="0"/>
    <n v="0"/>
    <n v="0"/>
    <n v="0"/>
    <n v="0"/>
  </r>
  <r>
    <x v="214"/>
    <m/>
    <m/>
    <m/>
    <m/>
    <m/>
    <m/>
    <n v="0"/>
    <n v="0"/>
    <n v="0"/>
    <n v="0"/>
    <n v="0"/>
    <n v="0"/>
  </r>
  <r>
    <x v="215"/>
    <m/>
    <m/>
    <m/>
    <m/>
    <m/>
    <m/>
    <n v="0"/>
    <n v="0"/>
    <n v="0"/>
    <n v="0"/>
    <n v="0"/>
    <n v="0"/>
  </r>
  <r>
    <x v="216"/>
    <m/>
    <m/>
    <m/>
    <m/>
    <m/>
    <m/>
    <n v="0"/>
    <n v="0"/>
    <n v="0"/>
    <n v="0"/>
    <n v="0"/>
    <n v="0"/>
  </r>
  <r>
    <x v="217"/>
    <m/>
    <m/>
    <m/>
    <m/>
    <m/>
    <m/>
    <n v="0"/>
    <n v="0"/>
    <n v="0"/>
    <n v="0"/>
    <n v="0"/>
    <n v="0"/>
  </r>
  <r>
    <x v="218"/>
    <m/>
    <m/>
    <m/>
    <m/>
    <m/>
    <m/>
    <n v="0"/>
    <n v="0"/>
    <n v="0"/>
    <n v="0"/>
    <n v="0"/>
    <n v="0"/>
  </r>
  <r>
    <x v="219"/>
    <m/>
    <m/>
    <m/>
    <m/>
    <m/>
    <m/>
    <n v="0"/>
    <n v="0"/>
    <n v="0"/>
    <n v="0"/>
    <n v="0"/>
    <n v="0"/>
  </r>
  <r>
    <x v="220"/>
    <m/>
    <m/>
    <m/>
    <m/>
    <m/>
    <m/>
    <n v="0"/>
    <n v="0"/>
    <n v="0"/>
    <n v="0"/>
    <n v="0"/>
    <n v="0"/>
  </r>
  <r>
    <x v="221"/>
    <m/>
    <m/>
    <m/>
    <m/>
    <m/>
    <m/>
    <n v="0"/>
    <n v="0"/>
    <n v="0"/>
    <n v="0"/>
    <n v="0"/>
    <n v="0"/>
  </r>
  <r>
    <x v="222"/>
    <m/>
    <m/>
    <m/>
    <m/>
    <m/>
    <m/>
    <n v="0"/>
    <n v="0"/>
    <n v="0"/>
    <n v="0"/>
    <n v="0"/>
    <n v="0"/>
  </r>
  <r>
    <x v="223"/>
    <m/>
    <m/>
    <m/>
    <m/>
    <m/>
    <m/>
    <n v="0"/>
    <n v="0"/>
    <n v="0"/>
    <n v="0"/>
    <n v="0"/>
    <n v="0"/>
  </r>
  <r>
    <x v="224"/>
    <m/>
    <m/>
    <m/>
    <m/>
    <m/>
    <m/>
    <n v="0"/>
    <n v="0"/>
    <n v="0"/>
    <n v="0"/>
    <n v="0"/>
    <n v="0"/>
  </r>
  <r>
    <x v="225"/>
    <m/>
    <m/>
    <m/>
    <m/>
    <m/>
    <m/>
    <n v="0"/>
    <n v="0"/>
    <n v="0"/>
    <n v="0"/>
    <n v="0"/>
    <n v="0"/>
  </r>
  <r>
    <x v="226"/>
    <m/>
    <m/>
    <m/>
    <m/>
    <m/>
    <m/>
    <n v="0"/>
    <n v="0"/>
    <n v="0"/>
    <n v="0"/>
    <n v="0"/>
    <n v="0"/>
  </r>
  <r>
    <x v="227"/>
    <m/>
    <m/>
    <m/>
    <m/>
    <m/>
    <m/>
    <n v="0"/>
    <n v="0"/>
    <n v="0"/>
    <n v="0"/>
    <n v="0"/>
    <n v="0"/>
  </r>
  <r>
    <x v="228"/>
    <m/>
    <m/>
    <m/>
    <m/>
    <m/>
    <m/>
    <n v="0"/>
    <n v="0"/>
    <n v="0"/>
    <n v="0"/>
    <n v="0"/>
    <n v="0"/>
  </r>
  <r>
    <x v="229"/>
    <m/>
    <m/>
    <m/>
    <m/>
    <m/>
    <m/>
    <n v="0"/>
    <n v="0"/>
    <n v="0"/>
    <n v="0"/>
    <n v="0"/>
    <n v="0"/>
  </r>
  <r>
    <x v="230"/>
    <m/>
    <m/>
    <m/>
    <m/>
    <m/>
    <m/>
    <n v="0"/>
    <n v="0"/>
    <n v="0"/>
    <n v="0"/>
    <n v="0"/>
    <n v="0"/>
  </r>
  <r>
    <x v="231"/>
    <m/>
    <m/>
    <m/>
    <m/>
    <m/>
    <m/>
    <n v="0"/>
    <n v="0"/>
    <n v="0"/>
    <n v="0"/>
    <n v="0"/>
    <n v="0"/>
  </r>
  <r>
    <x v="232"/>
    <m/>
    <m/>
    <m/>
    <m/>
    <m/>
    <m/>
    <n v="0"/>
    <n v="0"/>
    <n v="0"/>
    <n v="0"/>
    <n v="0"/>
    <n v="0"/>
  </r>
  <r>
    <x v="233"/>
    <m/>
    <m/>
    <m/>
    <m/>
    <m/>
    <m/>
    <n v="0"/>
    <n v="0"/>
    <n v="0"/>
    <n v="0"/>
    <n v="0"/>
    <n v="0"/>
  </r>
  <r>
    <x v="234"/>
    <m/>
    <m/>
    <m/>
    <m/>
    <m/>
    <m/>
    <n v="0"/>
    <n v="0"/>
    <n v="0"/>
    <n v="0"/>
    <n v="0"/>
    <n v="0"/>
  </r>
  <r>
    <x v="235"/>
    <m/>
    <m/>
    <m/>
    <m/>
    <m/>
    <m/>
    <n v="0"/>
    <n v="0"/>
    <n v="0"/>
    <n v="0"/>
    <n v="0"/>
    <n v="0"/>
  </r>
  <r>
    <x v="236"/>
    <m/>
    <m/>
    <m/>
    <m/>
    <m/>
    <m/>
    <n v="0"/>
    <n v="0"/>
    <n v="0"/>
    <n v="0"/>
    <n v="0"/>
    <n v="0"/>
  </r>
  <r>
    <x v="237"/>
    <m/>
    <m/>
    <m/>
    <m/>
    <m/>
    <m/>
    <n v="0"/>
    <n v="0"/>
    <n v="0"/>
    <n v="0"/>
    <n v="0"/>
    <n v="0"/>
  </r>
  <r>
    <x v="238"/>
    <m/>
    <m/>
    <m/>
    <m/>
    <m/>
    <m/>
    <n v="0"/>
    <n v="0"/>
    <n v="0"/>
    <n v="0"/>
    <n v="0"/>
    <n v="0"/>
  </r>
  <r>
    <x v="239"/>
    <m/>
    <m/>
    <m/>
    <m/>
    <m/>
    <m/>
    <n v="0"/>
    <n v="0"/>
    <n v="0"/>
    <n v="0"/>
    <n v="0"/>
    <n v="0"/>
  </r>
  <r>
    <x v="240"/>
    <m/>
    <m/>
    <m/>
    <m/>
    <m/>
    <m/>
    <n v="0"/>
    <n v="0"/>
    <n v="0"/>
    <n v="0"/>
    <n v="0"/>
    <n v="0"/>
  </r>
  <r>
    <x v="241"/>
    <m/>
    <m/>
    <m/>
    <m/>
    <m/>
    <m/>
    <n v="0"/>
    <n v="0"/>
    <n v="0"/>
    <n v="0"/>
    <n v="0"/>
    <n v="0"/>
  </r>
  <r>
    <x v="242"/>
    <m/>
    <m/>
    <m/>
    <m/>
    <m/>
    <m/>
    <n v="0"/>
    <n v="0"/>
    <n v="0"/>
    <n v="0"/>
    <n v="0"/>
    <n v="0"/>
  </r>
  <r>
    <x v="243"/>
    <m/>
    <m/>
    <m/>
    <m/>
    <m/>
    <m/>
    <n v="0"/>
    <n v="0"/>
    <n v="0"/>
    <n v="0"/>
    <n v="0"/>
    <n v="0"/>
  </r>
  <r>
    <x v="244"/>
    <m/>
    <m/>
    <m/>
    <m/>
    <m/>
    <m/>
    <n v="0"/>
    <n v="0"/>
    <n v="0"/>
    <n v="0"/>
    <n v="0"/>
    <n v="0"/>
  </r>
  <r>
    <x v="245"/>
    <m/>
    <m/>
    <m/>
    <m/>
    <m/>
    <m/>
    <n v="0"/>
    <n v="0"/>
    <n v="0"/>
    <n v="0"/>
    <n v="0"/>
    <n v="0"/>
  </r>
  <r>
    <x v="246"/>
    <m/>
    <m/>
    <m/>
    <m/>
    <m/>
    <m/>
    <n v="0"/>
    <n v="0"/>
    <n v="0"/>
    <n v="0"/>
    <n v="0"/>
    <n v="0"/>
  </r>
  <r>
    <x v="247"/>
    <m/>
    <m/>
    <m/>
    <m/>
    <m/>
    <m/>
    <n v="0"/>
    <n v="0"/>
    <n v="0"/>
    <n v="0"/>
    <n v="0"/>
    <n v="0"/>
  </r>
  <r>
    <x v="248"/>
    <m/>
    <m/>
    <m/>
    <m/>
    <m/>
    <m/>
    <n v="0"/>
    <n v="0"/>
    <n v="0"/>
    <n v="0"/>
    <n v="0"/>
    <n v="0"/>
  </r>
  <r>
    <x v="249"/>
    <m/>
    <m/>
    <m/>
    <m/>
    <m/>
    <m/>
    <n v="0"/>
    <n v="0"/>
    <n v="0"/>
    <n v="0"/>
    <n v="0"/>
    <n v="0"/>
  </r>
  <r>
    <x v="250"/>
    <m/>
    <m/>
    <m/>
    <m/>
    <m/>
    <m/>
    <n v="0"/>
    <n v="0"/>
    <n v="0"/>
    <n v="0"/>
    <n v="0"/>
    <n v="0"/>
  </r>
  <r>
    <x v="251"/>
    <m/>
    <m/>
    <m/>
    <m/>
    <m/>
    <m/>
    <n v="0"/>
    <n v="0"/>
    <n v="0"/>
    <n v="0"/>
    <n v="0"/>
    <n v="0"/>
  </r>
  <r>
    <x v="252"/>
    <m/>
    <m/>
    <m/>
    <m/>
    <m/>
    <m/>
    <n v="0"/>
    <n v="0"/>
    <n v="0"/>
    <n v="0"/>
    <n v="0"/>
    <n v="0"/>
  </r>
  <r>
    <x v="253"/>
    <m/>
    <m/>
    <m/>
    <m/>
    <m/>
    <m/>
    <n v="0"/>
    <n v="0"/>
    <n v="0"/>
    <n v="0"/>
    <n v="0"/>
    <n v="0"/>
  </r>
  <r>
    <x v="254"/>
    <m/>
    <m/>
    <m/>
    <m/>
    <m/>
    <m/>
    <n v="0"/>
    <n v="0"/>
    <n v="0"/>
    <n v="0"/>
    <n v="0"/>
    <n v="0"/>
  </r>
  <r>
    <x v="255"/>
    <m/>
    <m/>
    <m/>
    <m/>
    <m/>
    <m/>
    <n v="0"/>
    <n v="0"/>
    <n v="0"/>
    <n v="0"/>
    <n v="0"/>
    <n v="0"/>
  </r>
  <r>
    <x v="256"/>
    <m/>
    <m/>
    <m/>
    <m/>
    <m/>
    <m/>
    <n v="0"/>
    <n v="0"/>
    <n v="0"/>
    <n v="0"/>
    <n v="0"/>
    <n v="0"/>
  </r>
  <r>
    <x v="257"/>
    <m/>
    <m/>
    <m/>
    <m/>
    <m/>
    <m/>
    <n v="0"/>
    <n v="0"/>
    <n v="0"/>
    <n v="0"/>
    <n v="0"/>
    <n v="0"/>
  </r>
  <r>
    <x v="258"/>
    <m/>
    <m/>
    <m/>
    <m/>
    <m/>
    <m/>
    <n v="0"/>
    <n v="0"/>
    <n v="0"/>
    <n v="0"/>
    <n v="0"/>
    <n v="0"/>
  </r>
  <r>
    <x v="259"/>
    <m/>
    <m/>
    <m/>
    <m/>
    <m/>
    <m/>
    <n v="0"/>
    <n v="0"/>
    <n v="0"/>
    <n v="0"/>
    <n v="0"/>
    <n v="0"/>
  </r>
  <r>
    <x v="260"/>
    <m/>
    <m/>
    <m/>
    <m/>
    <m/>
    <m/>
    <n v="0"/>
    <n v="0"/>
    <n v="0"/>
    <n v="0"/>
    <n v="0"/>
    <n v="0"/>
  </r>
  <r>
    <x v="261"/>
    <m/>
    <m/>
    <m/>
    <m/>
    <m/>
    <m/>
    <n v="0"/>
    <n v="0"/>
    <n v="0"/>
    <n v="0"/>
    <n v="0"/>
    <n v="0"/>
  </r>
  <r>
    <x v="262"/>
    <m/>
    <m/>
    <m/>
    <m/>
    <m/>
    <m/>
    <n v="0"/>
    <n v="0"/>
    <n v="0"/>
    <n v="0"/>
    <n v="0"/>
    <n v="0"/>
  </r>
  <r>
    <x v="263"/>
    <m/>
    <m/>
    <m/>
    <m/>
    <m/>
    <m/>
    <n v="0"/>
    <n v="0"/>
    <n v="0"/>
    <n v="0"/>
    <n v="0"/>
    <n v="0"/>
  </r>
  <r>
    <x v="264"/>
    <m/>
    <m/>
    <m/>
    <m/>
    <m/>
    <m/>
    <n v="0"/>
    <n v="0"/>
    <n v="0"/>
    <n v="0"/>
    <n v="0"/>
    <n v="0"/>
  </r>
  <r>
    <x v="265"/>
    <m/>
    <m/>
    <m/>
    <m/>
    <m/>
    <m/>
    <n v="0"/>
    <n v="0"/>
    <n v="0"/>
    <n v="0"/>
    <n v="0"/>
    <n v="0"/>
  </r>
  <r>
    <x v="266"/>
    <m/>
    <m/>
    <m/>
    <m/>
    <m/>
    <m/>
    <n v="0"/>
    <n v="0"/>
    <n v="0"/>
    <n v="0"/>
    <n v="0"/>
    <n v="0"/>
  </r>
  <r>
    <x v="267"/>
    <m/>
    <m/>
    <m/>
    <m/>
    <m/>
    <m/>
    <n v="0"/>
    <n v="0"/>
    <n v="0"/>
    <n v="0"/>
    <n v="0"/>
    <n v="0"/>
  </r>
  <r>
    <x v="268"/>
    <m/>
    <m/>
    <m/>
    <m/>
    <m/>
    <m/>
    <n v="0"/>
    <n v="0"/>
    <n v="0"/>
    <n v="0"/>
    <n v="0"/>
    <n v="0"/>
  </r>
  <r>
    <x v="269"/>
    <m/>
    <m/>
    <m/>
    <m/>
    <m/>
    <m/>
    <n v="0"/>
    <n v="0"/>
    <n v="0"/>
    <n v="0"/>
    <n v="0"/>
    <n v="0"/>
  </r>
  <r>
    <x v="270"/>
    <m/>
    <m/>
    <m/>
    <m/>
    <m/>
    <m/>
    <n v="0"/>
    <n v="0"/>
    <n v="0"/>
    <n v="0"/>
    <n v="0"/>
    <n v="0"/>
  </r>
  <r>
    <x v="271"/>
    <m/>
    <m/>
    <m/>
    <m/>
    <m/>
    <m/>
    <n v="0"/>
    <n v="0"/>
    <n v="0"/>
    <n v="0"/>
    <n v="0"/>
    <n v="0"/>
  </r>
  <r>
    <x v="272"/>
    <m/>
    <m/>
    <m/>
    <m/>
    <m/>
    <m/>
    <n v="0"/>
    <n v="0"/>
    <n v="0"/>
    <n v="0"/>
    <n v="0"/>
    <n v="0"/>
  </r>
  <r>
    <x v="273"/>
    <m/>
    <m/>
    <m/>
    <m/>
    <m/>
    <m/>
    <n v="0"/>
    <n v="0"/>
    <n v="0"/>
    <n v="0"/>
    <n v="0"/>
    <n v="0"/>
  </r>
  <r>
    <x v="274"/>
    <m/>
    <m/>
    <m/>
    <m/>
    <m/>
    <m/>
    <n v="0"/>
    <n v="0"/>
    <n v="0"/>
    <n v="0"/>
    <n v="0"/>
    <n v="0"/>
  </r>
  <r>
    <x v="275"/>
    <m/>
    <m/>
    <m/>
    <m/>
    <m/>
    <m/>
    <n v="0"/>
    <n v="0"/>
    <n v="0"/>
    <n v="0"/>
    <n v="0"/>
    <n v="0"/>
  </r>
  <r>
    <x v="276"/>
    <m/>
    <m/>
    <m/>
    <m/>
    <m/>
    <m/>
    <n v="0"/>
    <n v="0"/>
    <n v="0"/>
    <n v="0"/>
    <n v="0"/>
    <n v="0"/>
  </r>
  <r>
    <x v="277"/>
    <m/>
    <m/>
    <m/>
    <m/>
    <m/>
    <m/>
    <n v="0"/>
    <n v="0"/>
    <n v="0"/>
    <n v="0"/>
    <n v="0"/>
    <n v="0"/>
  </r>
  <r>
    <x v="278"/>
    <m/>
    <m/>
    <m/>
    <m/>
    <m/>
    <m/>
    <n v="0"/>
    <n v="0"/>
    <n v="0"/>
    <n v="0"/>
    <n v="0"/>
    <n v="0"/>
  </r>
  <r>
    <x v="279"/>
    <m/>
    <m/>
    <m/>
    <m/>
    <m/>
    <m/>
    <n v="0"/>
    <n v="0"/>
    <n v="0"/>
    <n v="0"/>
    <n v="0"/>
    <n v="0"/>
  </r>
  <r>
    <x v="280"/>
    <m/>
    <m/>
    <m/>
    <m/>
    <m/>
    <m/>
    <n v="0"/>
    <n v="0"/>
    <n v="0"/>
    <n v="0"/>
    <n v="0"/>
    <n v="0"/>
  </r>
  <r>
    <x v="281"/>
    <m/>
    <m/>
    <m/>
    <m/>
    <m/>
    <m/>
    <n v="0"/>
    <n v="0"/>
    <n v="0"/>
    <n v="0"/>
    <n v="0"/>
    <n v="0"/>
  </r>
  <r>
    <x v="282"/>
    <m/>
    <m/>
    <m/>
    <m/>
    <m/>
    <m/>
    <n v="0"/>
    <n v="0"/>
    <n v="0"/>
    <n v="0"/>
    <n v="0"/>
    <n v="0"/>
  </r>
  <r>
    <x v="283"/>
    <m/>
    <m/>
    <m/>
    <m/>
    <m/>
    <m/>
    <n v="0"/>
    <n v="0"/>
    <n v="0"/>
    <n v="0"/>
    <n v="0"/>
    <n v="0"/>
  </r>
  <r>
    <x v="284"/>
    <m/>
    <m/>
    <m/>
    <m/>
    <m/>
    <m/>
    <n v="0"/>
    <n v="0"/>
    <n v="0"/>
    <n v="0"/>
    <n v="0"/>
    <n v="0"/>
  </r>
  <r>
    <x v="285"/>
    <m/>
    <m/>
    <m/>
    <m/>
    <m/>
    <m/>
    <n v="0"/>
    <n v="0"/>
    <n v="0"/>
    <n v="0"/>
    <n v="0"/>
    <n v="0"/>
  </r>
  <r>
    <x v="286"/>
    <m/>
    <m/>
    <m/>
    <m/>
    <m/>
    <m/>
    <n v="0"/>
    <n v="0"/>
    <n v="0"/>
    <n v="0"/>
    <n v="0"/>
    <n v="0"/>
  </r>
  <r>
    <x v="287"/>
    <m/>
    <m/>
    <m/>
    <m/>
    <m/>
    <m/>
    <n v="0"/>
    <n v="0"/>
    <n v="0"/>
    <n v="0"/>
    <n v="0"/>
    <n v="0"/>
  </r>
  <r>
    <x v="288"/>
    <m/>
    <m/>
    <m/>
    <m/>
    <m/>
    <m/>
    <n v="0"/>
    <n v="0"/>
    <n v="0"/>
    <n v="0"/>
    <n v="0"/>
    <n v="0"/>
  </r>
  <r>
    <x v="289"/>
    <m/>
    <m/>
    <m/>
    <m/>
    <m/>
    <m/>
    <n v="0"/>
    <n v="0"/>
    <n v="0"/>
    <n v="0"/>
    <n v="0"/>
    <n v="0"/>
  </r>
  <r>
    <x v="290"/>
    <m/>
    <m/>
    <m/>
    <m/>
    <m/>
    <m/>
    <n v="0"/>
    <n v="0"/>
    <n v="0"/>
    <n v="0"/>
    <n v="0"/>
    <n v="0"/>
  </r>
  <r>
    <x v="291"/>
    <m/>
    <m/>
    <m/>
    <m/>
    <m/>
    <m/>
    <n v="0"/>
    <n v="0"/>
    <n v="0"/>
    <n v="0"/>
    <n v="0"/>
    <n v="0"/>
  </r>
  <r>
    <x v="292"/>
    <m/>
    <m/>
    <m/>
    <m/>
    <m/>
    <m/>
    <n v="0"/>
    <n v="0"/>
    <n v="0"/>
    <n v="0"/>
    <n v="0"/>
    <n v="0"/>
  </r>
  <r>
    <x v="293"/>
    <m/>
    <m/>
    <m/>
    <m/>
    <m/>
    <m/>
    <n v="0"/>
    <n v="0"/>
    <n v="0"/>
    <n v="0"/>
    <n v="0"/>
    <n v="0"/>
  </r>
  <r>
    <x v="294"/>
    <m/>
    <m/>
    <m/>
    <m/>
    <m/>
    <m/>
    <n v="0"/>
    <n v="0"/>
    <n v="0"/>
    <n v="0"/>
    <n v="0"/>
    <n v="0"/>
  </r>
  <r>
    <x v="295"/>
    <m/>
    <m/>
    <m/>
    <m/>
    <m/>
    <m/>
    <n v="0"/>
    <n v="0"/>
    <n v="0"/>
    <n v="0"/>
    <n v="0"/>
    <n v="0"/>
  </r>
  <r>
    <x v="296"/>
    <m/>
    <m/>
    <m/>
    <m/>
    <m/>
    <m/>
    <n v="0"/>
    <n v="0"/>
    <n v="0"/>
    <n v="0"/>
    <n v="0"/>
    <n v="0"/>
  </r>
  <r>
    <x v="297"/>
    <m/>
    <m/>
    <m/>
    <m/>
    <m/>
    <m/>
    <n v="0"/>
    <n v="0"/>
    <n v="0"/>
    <n v="0"/>
    <n v="0"/>
    <n v="0"/>
  </r>
  <r>
    <x v="298"/>
    <m/>
    <m/>
    <m/>
    <m/>
    <m/>
    <m/>
    <n v="0"/>
    <n v="0"/>
    <n v="0"/>
    <n v="0"/>
    <n v="0"/>
    <n v="0"/>
  </r>
  <r>
    <x v="299"/>
    <m/>
    <m/>
    <m/>
    <m/>
    <m/>
    <m/>
    <n v="0"/>
    <n v="0"/>
    <n v="0"/>
    <n v="0"/>
    <n v="0"/>
    <n v="0"/>
  </r>
  <r>
    <x v="300"/>
    <m/>
    <m/>
    <m/>
    <m/>
    <m/>
    <m/>
    <n v="0"/>
    <n v="0"/>
    <n v="0"/>
    <n v="0"/>
    <n v="0"/>
    <n v="0"/>
  </r>
  <r>
    <x v="301"/>
    <m/>
    <m/>
    <m/>
    <m/>
    <m/>
    <m/>
    <n v="0"/>
    <n v="0"/>
    <n v="0"/>
    <n v="0"/>
    <n v="0"/>
    <n v="0"/>
  </r>
  <r>
    <x v="302"/>
    <m/>
    <m/>
    <m/>
    <m/>
    <m/>
    <m/>
    <n v="0"/>
    <n v="0"/>
    <n v="0"/>
    <n v="0"/>
    <n v="0"/>
    <n v="0"/>
  </r>
  <r>
    <x v="303"/>
    <m/>
    <m/>
    <m/>
    <m/>
    <m/>
    <m/>
    <n v="0"/>
    <n v="0"/>
    <n v="0"/>
    <n v="0"/>
    <n v="0"/>
    <n v="0"/>
  </r>
  <r>
    <x v="304"/>
    <m/>
    <m/>
    <m/>
    <m/>
    <m/>
    <m/>
    <n v="0"/>
    <n v="0"/>
    <n v="0"/>
    <n v="0"/>
    <n v="0"/>
    <n v="0"/>
  </r>
  <r>
    <x v="305"/>
    <m/>
    <m/>
    <m/>
    <m/>
    <m/>
    <m/>
    <n v="0"/>
    <n v="0"/>
    <n v="0"/>
    <n v="0"/>
    <n v="0"/>
    <n v="0"/>
  </r>
  <r>
    <x v="306"/>
    <m/>
    <m/>
    <m/>
    <m/>
    <m/>
    <m/>
    <n v="0"/>
    <n v="0"/>
    <n v="0"/>
    <n v="0"/>
    <n v="0"/>
    <n v="0"/>
  </r>
  <r>
    <x v="307"/>
    <m/>
    <m/>
    <m/>
    <m/>
    <m/>
    <m/>
    <n v="0"/>
    <n v="0"/>
    <n v="0"/>
    <n v="0"/>
    <n v="0"/>
    <n v="0"/>
  </r>
  <r>
    <x v="308"/>
    <m/>
    <m/>
    <m/>
    <m/>
    <m/>
    <m/>
    <n v="0"/>
    <n v="0"/>
    <n v="0"/>
    <n v="0"/>
    <n v="0"/>
    <n v="0"/>
  </r>
  <r>
    <x v="309"/>
    <m/>
    <m/>
    <m/>
    <m/>
    <m/>
    <m/>
    <n v="0"/>
    <n v="0"/>
    <n v="0"/>
    <n v="0"/>
    <n v="0"/>
    <n v="0"/>
  </r>
  <r>
    <x v="310"/>
    <m/>
    <m/>
    <m/>
    <m/>
    <m/>
    <m/>
    <n v="0"/>
    <n v="0"/>
    <n v="0"/>
    <n v="0"/>
    <n v="0"/>
    <n v="0"/>
  </r>
  <r>
    <x v="311"/>
    <m/>
    <m/>
    <m/>
    <m/>
    <m/>
    <m/>
    <n v="0"/>
    <n v="0"/>
    <n v="0"/>
    <n v="0"/>
    <n v="0"/>
    <n v="0"/>
  </r>
  <r>
    <x v="312"/>
    <m/>
    <m/>
    <m/>
    <m/>
    <m/>
    <m/>
    <n v="0"/>
    <n v="0"/>
    <n v="0"/>
    <n v="0"/>
    <n v="0"/>
    <n v="0"/>
  </r>
  <r>
    <x v="313"/>
    <m/>
    <m/>
    <m/>
    <m/>
    <m/>
    <m/>
    <n v="0"/>
    <n v="0"/>
    <n v="0"/>
    <n v="0"/>
    <n v="0"/>
    <n v="0"/>
  </r>
  <r>
    <x v="314"/>
    <m/>
    <m/>
    <m/>
    <m/>
    <m/>
    <m/>
    <n v="0"/>
    <n v="0"/>
    <n v="0"/>
    <n v="0"/>
    <n v="0"/>
    <n v="0"/>
  </r>
  <r>
    <x v="315"/>
    <m/>
    <m/>
    <m/>
    <m/>
    <m/>
    <m/>
    <n v="0"/>
    <n v="0"/>
    <n v="0"/>
    <n v="0"/>
    <n v="0"/>
    <n v="0"/>
  </r>
  <r>
    <x v="316"/>
    <m/>
    <m/>
    <m/>
    <m/>
    <m/>
    <m/>
    <n v="0"/>
    <n v="0"/>
    <n v="0"/>
    <n v="0"/>
    <n v="0"/>
    <n v="0"/>
  </r>
  <r>
    <x v="317"/>
    <m/>
    <m/>
    <m/>
    <m/>
    <m/>
    <m/>
    <n v="0"/>
    <n v="0"/>
    <n v="0"/>
    <n v="0"/>
    <n v="0"/>
    <n v="0"/>
  </r>
  <r>
    <x v="318"/>
    <m/>
    <m/>
    <m/>
    <m/>
    <m/>
    <m/>
    <n v="0"/>
    <n v="0"/>
    <n v="0"/>
    <n v="0"/>
    <n v="0"/>
    <n v="0"/>
  </r>
  <r>
    <x v="319"/>
    <m/>
    <m/>
    <m/>
    <m/>
    <m/>
    <m/>
    <n v="0"/>
    <n v="0"/>
    <n v="0"/>
    <n v="0"/>
    <n v="0"/>
    <n v="0"/>
  </r>
  <r>
    <x v="320"/>
    <m/>
    <m/>
    <m/>
    <m/>
    <m/>
    <m/>
    <n v="0"/>
    <n v="0"/>
    <n v="0"/>
    <n v="0"/>
    <n v="0"/>
    <n v="0"/>
  </r>
  <r>
    <x v="321"/>
    <m/>
    <m/>
    <m/>
    <m/>
    <m/>
    <m/>
    <n v="0"/>
    <n v="0"/>
    <n v="0"/>
    <n v="0"/>
    <n v="0"/>
    <n v="0"/>
  </r>
  <r>
    <x v="322"/>
    <m/>
    <m/>
    <m/>
    <m/>
    <m/>
    <m/>
    <n v="0"/>
    <n v="0"/>
    <n v="0"/>
    <n v="0"/>
    <n v="0"/>
    <n v="0"/>
  </r>
  <r>
    <x v="323"/>
    <m/>
    <m/>
    <m/>
    <m/>
    <m/>
    <m/>
    <n v="0"/>
    <n v="0"/>
    <n v="0"/>
    <n v="0"/>
    <n v="0"/>
    <n v="0"/>
  </r>
  <r>
    <x v="324"/>
    <m/>
    <m/>
    <m/>
    <m/>
    <m/>
    <m/>
    <n v="0"/>
    <n v="0"/>
    <n v="0"/>
    <n v="0"/>
    <n v="0"/>
    <n v="0"/>
  </r>
  <r>
    <x v="325"/>
    <m/>
    <m/>
    <m/>
    <m/>
    <m/>
    <m/>
    <n v="0"/>
    <n v="0"/>
    <n v="0"/>
    <n v="0"/>
    <n v="0"/>
    <n v="0"/>
  </r>
  <r>
    <x v="326"/>
    <m/>
    <m/>
    <m/>
    <m/>
    <m/>
    <m/>
    <n v="0"/>
    <n v="0"/>
    <n v="0"/>
    <n v="0"/>
    <n v="0"/>
    <n v="0"/>
  </r>
  <r>
    <x v="327"/>
    <m/>
    <m/>
    <m/>
    <m/>
    <m/>
    <m/>
    <n v="0"/>
    <n v="0"/>
    <n v="0"/>
    <n v="0"/>
    <n v="0"/>
    <n v="0"/>
  </r>
  <r>
    <x v="328"/>
    <m/>
    <m/>
    <m/>
    <m/>
    <m/>
    <m/>
    <n v="0"/>
    <n v="0"/>
    <n v="0"/>
    <n v="0"/>
    <n v="0"/>
    <n v="0"/>
  </r>
  <r>
    <x v="329"/>
    <m/>
    <m/>
    <m/>
    <m/>
    <m/>
    <m/>
    <n v="0"/>
    <n v="0"/>
    <n v="0"/>
    <n v="0"/>
    <n v="0"/>
    <n v="0"/>
  </r>
  <r>
    <x v="330"/>
    <m/>
    <m/>
    <m/>
    <m/>
    <m/>
    <m/>
    <n v="0"/>
    <n v="0"/>
    <n v="0"/>
    <n v="0"/>
    <n v="0"/>
    <n v="0"/>
  </r>
  <r>
    <x v="331"/>
    <m/>
    <m/>
    <m/>
    <m/>
    <m/>
    <m/>
    <n v="0"/>
    <n v="0"/>
    <n v="0"/>
    <n v="0"/>
    <n v="0"/>
    <n v="0"/>
  </r>
  <r>
    <x v="332"/>
    <m/>
    <m/>
    <m/>
    <m/>
    <m/>
    <m/>
    <n v="0"/>
    <n v="0"/>
    <n v="0"/>
    <n v="0"/>
    <n v="0"/>
    <n v="0"/>
  </r>
  <r>
    <x v="333"/>
    <m/>
    <m/>
    <m/>
    <m/>
    <m/>
    <m/>
    <n v="0"/>
    <n v="0"/>
    <n v="0"/>
    <n v="0"/>
    <n v="0"/>
    <n v="0"/>
  </r>
  <r>
    <x v="334"/>
    <m/>
    <m/>
    <m/>
    <m/>
    <m/>
    <m/>
    <n v="0"/>
    <n v="0"/>
    <n v="0"/>
    <n v="0"/>
    <n v="0"/>
    <n v="0"/>
  </r>
  <r>
    <x v="335"/>
    <m/>
    <m/>
    <m/>
    <m/>
    <m/>
    <m/>
    <n v="0"/>
    <n v="0"/>
    <n v="0"/>
    <n v="0"/>
    <n v="0"/>
    <n v="0"/>
  </r>
  <r>
    <x v="336"/>
    <m/>
    <m/>
    <m/>
    <m/>
    <m/>
    <m/>
    <n v="0"/>
    <n v="0"/>
    <n v="0"/>
    <n v="0"/>
    <n v="0"/>
    <n v="0"/>
  </r>
  <r>
    <x v="337"/>
    <m/>
    <m/>
    <m/>
    <m/>
    <m/>
    <m/>
    <n v="0"/>
    <n v="0"/>
    <n v="0"/>
    <n v="0"/>
    <n v="0"/>
    <n v="0"/>
  </r>
  <r>
    <x v="338"/>
    <m/>
    <m/>
    <m/>
    <m/>
    <m/>
    <m/>
    <n v="0"/>
    <n v="0"/>
    <n v="0"/>
    <n v="0"/>
    <n v="0"/>
    <n v="0"/>
  </r>
  <r>
    <x v="339"/>
    <m/>
    <m/>
    <m/>
    <m/>
    <m/>
    <m/>
    <n v="0"/>
    <n v="0"/>
    <n v="0"/>
    <n v="0"/>
    <n v="0"/>
    <n v="0"/>
  </r>
  <r>
    <x v="340"/>
    <m/>
    <m/>
    <m/>
    <m/>
    <m/>
    <m/>
    <n v="0"/>
    <n v="0"/>
    <n v="0"/>
    <n v="0"/>
    <n v="0"/>
    <n v="0"/>
  </r>
  <r>
    <x v="341"/>
    <m/>
    <m/>
    <m/>
    <m/>
    <m/>
    <m/>
    <n v="0"/>
    <n v="0"/>
    <n v="0"/>
    <n v="0"/>
    <n v="0"/>
    <n v="0"/>
  </r>
  <r>
    <x v="342"/>
    <m/>
    <m/>
    <m/>
    <m/>
    <m/>
    <m/>
    <n v="0"/>
    <n v="0"/>
    <n v="0"/>
    <n v="0"/>
    <n v="0"/>
    <n v="0"/>
  </r>
  <r>
    <x v="343"/>
    <m/>
    <m/>
    <m/>
    <m/>
    <m/>
    <m/>
    <n v="0"/>
    <n v="0"/>
    <n v="0"/>
    <n v="0"/>
    <n v="0"/>
    <n v="0"/>
  </r>
  <r>
    <x v="344"/>
    <m/>
    <m/>
    <m/>
    <m/>
    <m/>
    <m/>
    <n v="0"/>
    <n v="0"/>
    <n v="0"/>
    <n v="0"/>
    <n v="0"/>
    <n v="0"/>
  </r>
  <r>
    <x v="345"/>
    <m/>
    <m/>
    <m/>
    <m/>
    <m/>
    <m/>
    <n v="0"/>
    <n v="0"/>
    <n v="0"/>
    <n v="0"/>
    <n v="0"/>
    <n v="0"/>
  </r>
  <r>
    <x v="346"/>
    <m/>
    <m/>
    <m/>
    <m/>
    <m/>
    <m/>
    <n v="0"/>
    <n v="0"/>
    <n v="0"/>
    <n v="0"/>
    <n v="0"/>
    <n v="0"/>
  </r>
  <r>
    <x v="347"/>
    <m/>
    <m/>
    <m/>
    <m/>
    <m/>
    <m/>
    <n v="0"/>
    <n v="0"/>
    <n v="0"/>
    <n v="0"/>
    <n v="0"/>
    <n v="0"/>
  </r>
  <r>
    <x v="348"/>
    <m/>
    <m/>
    <m/>
    <m/>
    <m/>
    <m/>
    <n v="0"/>
    <n v="0"/>
    <n v="0"/>
    <n v="0"/>
    <n v="0"/>
    <n v="0"/>
  </r>
  <r>
    <x v="349"/>
    <m/>
    <m/>
    <m/>
    <m/>
    <m/>
    <m/>
    <n v="0"/>
    <n v="0"/>
    <n v="0"/>
    <n v="0"/>
    <n v="0"/>
    <n v="0"/>
  </r>
  <r>
    <x v="350"/>
    <m/>
    <m/>
    <m/>
    <m/>
    <m/>
    <m/>
    <n v="0"/>
    <n v="0"/>
    <n v="0"/>
    <n v="0"/>
    <n v="0"/>
    <n v="0"/>
  </r>
  <r>
    <x v="351"/>
    <m/>
    <m/>
    <m/>
    <m/>
    <m/>
    <m/>
    <n v="0"/>
    <n v="0"/>
    <n v="0"/>
    <n v="0"/>
    <n v="0"/>
    <n v="0"/>
  </r>
  <r>
    <x v="352"/>
    <m/>
    <m/>
    <m/>
    <m/>
    <m/>
    <m/>
    <n v="0"/>
    <n v="0"/>
    <n v="0"/>
    <n v="0"/>
    <n v="0"/>
    <n v="0"/>
  </r>
  <r>
    <x v="353"/>
    <m/>
    <m/>
    <m/>
    <m/>
    <m/>
    <m/>
    <n v="0"/>
    <n v="0"/>
    <n v="0"/>
    <n v="0"/>
    <n v="0"/>
    <n v="0"/>
  </r>
  <r>
    <x v="354"/>
    <m/>
    <m/>
    <m/>
    <m/>
    <m/>
    <m/>
    <n v="0"/>
    <n v="0"/>
    <n v="0"/>
    <n v="0"/>
    <n v="0"/>
    <n v="0"/>
  </r>
  <r>
    <x v="355"/>
    <m/>
    <m/>
    <m/>
    <m/>
    <m/>
    <m/>
    <n v="0"/>
    <n v="0"/>
    <n v="0"/>
    <n v="0"/>
    <n v="0"/>
    <n v="0"/>
  </r>
  <r>
    <x v="356"/>
    <m/>
    <m/>
    <m/>
    <m/>
    <m/>
    <m/>
    <n v="0"/>
    <n v="0"/>
    <n v="0"/>
    <n v="0"/>
    <n v="0"/>
    <n v="0"/>
  </r>
  <r>
    <x v="357"/>
    <m/>
    <m/>
    <m/>
    <m/>
    <m/>
    <m/>
    <n v="0"/>
    <n v="0"/>
    <n v="0"/>
    <n v="0"/>
    <n v="0"/>
    <n v="0"/>
  </r>
  <r>
    <x v="358"/>
    <m/>
    <m/>
    <m/>
    <m/>
    <m/>
    <m/>
    <n v="0"/>
    <n v="0"/>
    <n v="0"/>
    <n v="0"/>
    <n v="0"/>
    <n v="0"/>
  </r>
  <r>
    <x v="359"/>
    <m/>
    <m/>
    <m/>
    <m/>
    <m/>
    <m/>
    <n v="0"/>
    <n v="0"/>
    <n v="0"/>
    <n v="0"/>
    <n v="0"/>
    <n v="0"/>
  </r>
  <r>
    <x v="360"/>
    <m/>
    <m/>
    <m/>
    <m/>
    <m/>
    <m/>
    <n v="0"/>
    <n v="0"/>
    <n v="0"/>
    <n v="0"/>
    <n v="0"/>
    <n v="0"/>
  </r>
  <r>
    <x v="361"/>
    <m/>
    <m/>
    <m/>
    <m/>
    <m/>
    <m/>
    <n v="0"/>
    <n v="0"/>
    <n v="0"/>
    <n v="0"/>
    <n v="0"/>
    <n v="0"/>
  </r>
  <r>
    <x v="362"/>
    <m/>
    <m/>
    <m/>
    <m/>
    <m/>
    <m/>
    <n v="0"/>
    <n v="0"/>
    <n v="0"/>
    <n v="0"/>
    <n v="0"/>
    <n v="0"/>
  </r>
  <r>
    <x v="363"/>
    <m/>
    <m/>
    <m/>
    <m/>
    <m/>
    <m/>
    <n v="0"/>
    <n v="0"/>
    <n v="0"/>
    <n v="0"/>
    <n v="0"/>
    <n v="0"/>
  </r>
  <r>
    <x v="364"/>
    <m/>
    <m/>
    <m/>
    <m/>
    <m/>
    <m/>
    <n v="0"/>
    <n v="0"/>
    <n v="0"/>
    <n v="0"/>
    <n v="0"/>
    <n v="0"/>
  </r>
  <r>
    <x v="365"/>
    <m/>
    <m/>
    <m/>
    <m/>
    <m/>
    <m/>
    <n v="0"/>
    <n v="0"/>
    <n v="0"/>
    <n v="0"/>
    <n v="0"/>
    <n v="0"/>
  </r>
  <r>
    <x v="366"/>
    <m/>
    <m/>
    <m/>
    <m/>
    <m/>
    <m/>
    <n v="0"/>
    <n v="0"/>
    <n v="0"/>
    <n v="0"/>
    <n v="0"/>
    <n v="0"/>
  </r>
  <r>
    <x v="367"/>
    <m/>
    <m/>
    <m/>
    <m/>
    <m/>
    <m/>
    <n v="0"/>
    <n v="0"/>
    <n v="0"/>
    <n v="0"/>
    <n v="0"/>
    <n v="0"/>
  </r>
  <r>
    <x v="368"/>
    <m/>
    <m/>
    <m/>
    <m/>
    <m/>
    <m/>
    <n v="0"/>
    <n v="0"/>
    <n v="0"/>
    <n v="0"/>
    <n v="0"/>
    <n v="0"/>
  </r>
  <r>
    <x v="369"/>
    <m/>
    <m/>
    <m/>
    <m/>
    <m/>
    <m/>
    <n v="0"/>
    <n v="0"/>
    <n v="0"/>
    <n v="0"/>
    <n v="0"/>
    <n v="0"/>
  </r>
  <r>
    <x v="370"/>
    <m/>
    <m/>
    <m/>
    <m/>
    <m/>
    <m/>
    <n v="0"/>
    <n v="0"/>
    <n v="0"/>
    <n v="0"/>
    <n v="0"/>
    <n v="0"/>
  </r>
  <r>
    <x v="371"/>
    <m/>
    <m/>
    <m/>
    <m/>
    <m/>
    <m/>
    <n v="0"/>
    <n v="0"/>
    <n v="0"/>
    <n v="0"/>
    <n v="0"/>
    <n v="0"/>
  </r>
  <r>
    <x v="372"/>
    <m/>
    <m/>
    <m/>
    <m/>
    <m/>
    <m/>
    <n v="0"/>
    <n v="0"/>
    <n v="0"/>
    <n v="0"/>
    <n v="0"/>
    <n v="0"/>
  </r>
  <r>
    <x v="373"/>
    <m/>
    <m/>
    <m/>
    <m/>
    <m/>
    <m/>
    <n v="0"/>
    <n v="0"/>
    <n v="0"/>
    <n v="0"/>
    <n v="0"/>
    <n v="0"/>
  </r>
  <r>
    <x v="374"/>
    <m/>
    <m/>
    <m/>
    <m/>
    <m/>
    <m/>
    <n v="0"/>
    <n v="0"/>
    <n v="0"/>
    <n v="0"/>
    <n v="0"/>
    <n v="0"/>
  </r>
  <r>
    <x v="375"/>
    <m/>
    <m/>
    <m/>
    <m/>
    <m/>
    <m/>
    <n v="0"/>
    <n v="0"/>
    <n v="0"/>
    <n v="0"/>
    <n v="0"/>
    <n v="0"/>
  </r>
  <r>
    <x v="376"/>
    <m/>
    <m/>
    <m/>
    <m/>
    <m/>
    <m/>
    <n v="0"/>
    <n v="0"/>
    <n v="0"/>
    <n v="0"/>
    <n v="0"/>
    <n v="0"/>
  </r>
  <r>
    <x v="377"/>
    <m/>
    <m/>
    <m/>
    <m/>
    <m/>
    <m/>
    <n v="0"/>
    <n v="0"/>
    <n v="0"/>
    <n v="0"/>
    <n v="0"/>
    <n v="0"/>
  </r>
  <r>
    <x v="378"/>
    <m/>
    <m/>
    <m/>
    <m/>
    <m/>
    <m/>
    <n v="0"/>
    <n v="0"/>
    <n v="0"/>
    <n v="0"/>
    <n v="0"/>
    <n v="0"/>
  </r>
  <r>
    <x v="379"/>
    <m/>
    <m/>
    <m/>
    <m/>
    <m/>
    <m/>
    <n v="0"/>
    <n v="0"/>
    <n v="0"/>
    <n v="0"/>
    <n v="0"/>
    <n v="0"/>
  </r>
  <r>
    <x v="380"/>
    <m/>
    <m/>
    <m/>
    <m/>
    <m/>
    <m/>
    <n v="0"/>
    <n v="0"/>
    <n v="0"/>
    <n v="0"/>
    <n v="0"/>
    <n v="0"/>
  </r>
  <r>
    <x v="381"/>
    <m/>
    <m/>
    <m/>
    <m/>
    <m/>
    <m/>
    <n v="0"/>
    <n v="0"/>
    <n v="0"/>
    <n v="0"/>
    <n v="0"/>
    <n v="0"/>
  </r>
  <r>
    <x v="382"/>
    <m/>
    <m/>
    <m/>
    <m/>
    <m/>
    <m/>
    <n v="0"/>
    <n v="0"/>
    <n v="0"/>
    <n v="0"/>
    <n v="0"/>
    <n v="0"/>
  </r>
  <r>
    <x v="383"/>
    <m/>
    <m/>
    <m/>
    <m/>
    <m/>
    <m/>
    <n v="0"/>
    <n v="0"/>
    <n v="0"/>
    <n v="0"/>
    <n v="0"/>
    <n v="0"/>
  </r>
  <r>
    <x v="384"/>
    <m/>
    <m/>
    <m/>
    <m/>
    <m/>
    <m/>
    <n v="0"/>
    <n v="0"/>
    <n v="0"/>
    <n v="0"/>
    <n v="0"/>
    <n v="0"/>
  </r>
  <r>
    <x v="385"/>
    <m/>
    <m/>
    <m/>
    <m/>
    <m/>
    <m/>
    <n v="0"/>
    <n v="0"/>
    <n v="0"/>
    <n v="0"/>
    <n v="0"/>
    <n v="0"/>
  </r>
  <r>
    <x v="386"/>
    <m/>
    <m/>
    <m/>
    <m/>
    <m/>
    <m/>
    <n v="0"/>
    <n v="0"/>
    <n v="0"/>
    <n v="0"/>
    <n v="0"/>
    <n v="0"/>
  </r>
  <r>
    <x v="387"/>
    <m/>
    <m/>
    <m/>
    <m/>
    <m/>
    <m/>
    <n v="0"/>
    <n v="0"/>
    <n v="0"/>
    <n v="0"/>
    <n v="0"/>
    <n v="0"/>
  </r>
  <r>
    <x v="388"/>
    <m/>
    <m/>
    <m/>
    <m/>
    <m/>
    <m/>
    <n v="0"/>
    <n v="0"/>
    <n v="0"/>
    <n v="0"/>
    <n v="0"/>
    <n v="0"/>
  </r>
  <r>
    <x v="389"/>
    <m/>
    <m/>
    <m/>
    <m/>
    <m/>
    <m/>
    <n v="0"/>
    <n v="0"/>
    <n v="0"/>
    <n v="0"/>
    <n v="0"/>
    <n v="0"/>
  </r>
  <r>
    <x v="390"/>
    <m/>
    <m/>
    <m/>
    <m/>
    <m/>
    <m/>
    <n v="0"/>
    <n v="0"/>
    <n v="0"/>
    <n v="0"/>
    <n v="0"/>
    <n v="0"/>
  </r>
  <r>
    <x v="391"/>
    <m/>
    <m/>
    <m/>
    <m/>
    <m/>
    <m/>
    <n v="0"/>
    <n v="0"/>
    <n v="0"/>
    <n v="0"/>
    <n v="0"/>
    <n v="0"/>
  </r>
  <r>
    <x v="392"/>
    <m/>
    <m/>
    <m/>
    <m/>
    <m/>
    <m/>
    <n v="0"/>
    <n v="0"/>
    <n v="0"/>
    <n v="0"/>
    <n v="0"/>
    <n v="0"/>
  </r>
  <r>
    <x v="393"/>
    <m/>
    <m/>
    <m/>
    <m/>
    <m/>
    <m/>
    <n v="0"/>
    <n v="0"/>
    <n v="0"/>
    <n v="0"/>
    <n v="0"/>
    <n v="0"/>
  </r>
  <r>
    <x v="394"/>
    <m/>
    <m/>
    <m/>
    <m/>
    <m/>
    <m/>
    <n v="0"/>
    <n v="0"/>
    <n v="0"/>
    <n v="0"/>
    <n v="0"/>
    <n v="0"/>
  </r>
  <r>
    <x v="395"/>
    <m/>
    <m/>
    <m/>
    <m/>
    <m/>
    <m/>
    <n v="0"/>
    <n v="0"/>
    <n v="0"/>
    <n v="0"/>
    <n v="0"/>
    <n v="0"/>
  </r>
  <r>
    <x v="396"/>
    <m/>
    <m/>
    <m/>
    <m/>
    <m/>
    <m/>
    <n v="0"/>
    <n v="0"/>
    <n v="0"/>
    <n v="0"/>
    <n v="0"/>
    <n v="0"/>
  </r>
  <r>
    <x v="397"/>
    <m/>
    <m/>
    <m/>
    <m/>
    <m/>
    <m/>
    <n v="0"/>
    <n v="0"/>
    <n v="0"/>
    <n v="0"/>
    <n v="0"/>
    <n v="0"/>
  </r>
  <r>
    <x v="398"/>
    <m/>
    <m/>
    <m/>
    <m/>
    <m/>
    <m/>
    <n v="0"/>
    <n v="0"/>
    <n v="0"/>
    <n v="0"/>
    <n v="0"/>
    <n v="0"/>
  </r>
  <r>
    <x v="399"/>
    <m/>
    <m/>
    <m/>
    <m/>
    <m/>
    <m/>
    <n v="0"/>
    <n v="0"/>
    <n v="0"/>
    <n v="0"/>
    <n v="0"/>
    <n v="0"/>
  </r>
  <r>
    <x v="400"/>
    <m/>
    <m/>
    <m/>
    <m/>
    <m/>
    <m/>
    <n v="0"/>
    <n v="0"/>
    <n v="0"/>
    <n v="0"/>
    <n v="0"/>
    <n v="0"/>
  </r>
  <r>
    <x v="401"/>
    <m/>
    <m/>
    <m/>
    <m/>
    <m/>
    <m/>
    <n v="0"/>
    <n v="0"/>
    <n v="0"/>
    <n v="0"/>
    <n v="0"/>
    <n v="0"/>
  </r>
  <r>
    <x v="402"/>
    <m/>
    <m/>
    <m/>
    <m/>
    <m/>
    <m/>
    <n v="0"/>
    <n v="0"/>
    <n v="0"/>
    <n v="0"/>
    <n v="0"/>
    <n v="0"/>
  </r>
  <r>
    <x v="403"/>
    <m/>
    <m/>
    <m/>
    <m/>
    <m/>
    <m/>
    <n v="0"/>
    <n v="0"/>
    <n v="0"/>
    <n v="0"/>
    <n v="0"/>
    <n v="0"/>
  </r>
  <r>
    <x v="404"/>
    <m/>
    <m/>
    <m/>
    <m/>
    <m/>
    <m/>
    <n v="0"/>
    <n v="0"/>
    <n v="0"/>
    <n v="0"/>
    <n v="0"/>
    <n v="0"/>
  </r>
  <r>
    <x v="405"/>
    <m/>
    <m/>
    <m/>
    <m/>
    <m/>
    <m/>
    <n v="0"/>
    <n v="0"/>
    <n v="0"/>
    <n v="0"/>
    <n v="0"/>
    <n v="0"/>
  </r>
  <r>
    <x v="406"/>
    <m/>
    <m/>
    <m/>
    <m/>
    <m/>
    <m/>
    <n v="0"/>
    <n v="0"/>
    <n v="0"/>
    <n v="0"/>
    <n v="0"/>
    <n v="0"/>
  </r>
  <r>
    <x v="407"/>
    <m/>
    <m/>
    <m/>
    <m/>
    <m/>
    <m/>
    <n v="0"/>
    <n v="0"/>
    <n v="0"/>
    <n v="0"/>
    <n v="0"/>
    <n v="0"/>
  </r>
  <r>
    <x v="408"/>
    <m/>
    <m/>
    <m/>
    <m/>
    <m/>
    <m/>
    <n v="0"/>
    <n v="0"/>
    <n v="0"/>
    <n v="0"/>
    <n v="0"/>
    <n v="0"/>
  </r>
  <r>
    <x v="409"/>
    <m/>
    <m/>
    <m/>
    <m/>
    <m/>
    <m/>
    <n v="0"/>
    <n v="0"/>
    <n v="0"/>
    <n v="0"/>
    <n v="0"/>
    <n v="0"/>
  </r>
  <r>
    <x v="410"/>
    <m/>
    <m/>
    <m/>
    <m/>
    <m/>
    <m/>
    <n v="0"/>
    <n v="0"/>
    <n v="0"/>
    <n v="0"/>
    <n v="0"/>
    <n v="0"/>
  </r>
  <r>
    <x v="411"/>
    <m/>
    <m/>
    <m/>
    <m/>
    <m/>
    <m/>
    <n v="0"/>
    <n v="0"/>
    <n v="0"/>
    <n v="0"/>
    <n v="0"/>
    <n v="0"/>
  </r>
  <r>
    <x v="412"/>
    <m/>
    <m/>
    <m/>
    <m/>
    <m/>
    <m/>
    <n v="0"/>
    <n v="0"/>
    <n v="0"/>
    <n v="0"/>
    <n v="0"/>
    <n v="0"/>
  </r>
  <r>
    <x v="413"/>
    <m/>
    <m/>
    <m/>
    <m/>
    <m/>
    <m/>
    <n v="0"/>
    <n v="0"/>
    <n v="0"/>
    <n v="0"/>
    <n v="0"/>
    <n v="0"/>
  </r>
  <r>
    <x v="414"/>
    <m/>
    <m/>
    <m/>
    <m/>
    <m/>
    <m/>
    <n v="0"/>
    <n v="0"/>
    <n v="0"/>
    <n v="0"/>
    <n v="0"/>
    <n v="0"/>
  </r>
  <r>
    <x v="415"/>
    <m/>
    <m/>
    <m/>
    <m/>
    <m/>
    <m/>
    <n v="0"/>
    <n v="0"/>
    <n v="0"/>
    <n v="0"/>
    <n v="0"/>
    <n v="0"/>
  </r>
  <r>
    <x v="416"/>
    <m/>
    <m/>
    <m/>
    <m/>
    <m/>
    <m/>
    <n v="0"/>
    <n v="0"/>
    <n v="0"/>
    <n v="0"/>
    <n v="0"/>
    <n v="0"/>
  </r>
  <r>
    <x v="417"/>
    <m/>
    <m/>
    <m/>
    <m/>
    <m/>
    <m/>
    <n v="0"/>
    <n v="0"/>
    <n v="0"/>
    <n v="0"/>
    <n v="0"/>
    <n v="0"/>
  </r>
  <r>
    <x v="418"/>
    <m/>
    <m/>
    <m/>
    <m/>
    <m/>
    <m/>
    <n v="0"/>
    <n v="0"/>
    <n v="0"/>
    <n v="0"/>
    <n v="0"/>
    <n v="0"/>
  </r>
  <r>
    <x v="419"/>
    <m/>
    <m/>
    <m/>
    <m/>
    <m/>
    <m/>
    <n v="0"/>
    <n v="0"/>
    <n v="0"/>
    <n v="0"/>
    <n v="0"/>
    <n v="0"/>
  </r>
  <r>
    <x v="420"/>
    <m/>
    <m/>
    <m/>
    <m/>
    <m/>
    <m/>
    <n v="0"/>
    <n v="0"/>
    <n v="0"/>
    <n v="0"/>
    <n v="0"/>
    <n v="0"/>
  </r>
  <r>
    <x v="421"/>
    <m/>
    <m/>
    <m/>
    <m/>
    <m/>
    <m/>
    <n v="0"/>
    <n v="0"/>
    <n v="0"/>
    <n v="0"/>
    <n v="0"/>
    <n v="0"/>
  </r>
  <r>
    <x v="422"/>
    <m/>
    <m/>
    <m/>
    <m/>
    <m/>
    <m/>
    <n v="0"/>
    <n v="0"/>
    <n v="0"/>
    <n v="0"/>
    <n v="0"/>
    <n v="0"/>
  </r>
  <r>
    <x v="423"/>
    <m/>
    <m/>
    <m/>
    <m/>
    <m/>
    <m/>
    <n v="0"/>
    <n v="0"/>
    <n v="0"/>
    <n v="0"/>
    <n v="0"/>
    <n v="0"/>
  </r>
  <r>
    <x v="424"/>
    <m/>
    <m/>
    <m/>
    <m/>
    <m/>
    <m/>
    <n v="0"/>
    <n v="0"/>
    <n v="0"/>
    <n v="0"/>
    <n v="0"/>
    <n v="0"/>
  </r>
  <r>
    <x v="425"/>
    <m/>
    <m/>
    <m/>
    <m/>
    <m/>
    <m/>
    <n v="0"/>
    <n v="0"/>
    <n v="0"/>
    <n v="0"/>
    <n v="0"/>
    <n v="0"/>
  </r>
  <r>
    <x v="426"/>
    <m/>
    <m/>
    <m/>
    <m/>
    <m/>
    <m/>
    <n v="0"/>
    <n v="0"/>
    <n v="0"/>
    <n v="0"/>
    <n v="0"/>
    <n v="0"/>
  </r>
  <r>
    <x v="427"/>
    <m/>
    <m/>
    <m/>
    <m/>
    <m/>
    <m/>
    <n v="0"/>
    <n v="0"/>
    <n v="0"/>
    <n v="0"/>
    <n v="0"/>
    <n v="0"/>
  </r>
  <r>
    <x v="428"/>
    <m/>
    <m/>
    <m/>
    <m/>
    <m/>
    <m/>
    <n v="0"/>
    <n v="0"/>
    <n v="0"/>
    <n v="0"/>
    <n v="0"/>
    <n v="0"/>
  </r>
  <r>
    <x v="429"/>
    <m/>
    <m/>
    <m/>
    <m/>
    <m/>
    <m/>
    <n v="0"/>
    <n v="0"/>
    <n v="0"/>
    <n v="0"/>
    <n v="0"/>
    <n v="0"/>
  </r>
  <r>
    <x v="430"/>
    <m/>
    <m/>
    <m/>
    <m/>
    <m/>
    <m/>
    <n v="0"/>
    <n v="0"/>
    <n v="0"/>
    <n v="0"/>
    <n v="0"/>
    <n v="0"/>
  </r>
  <r>
    <x v="431"/>
    <m/>
    <m/>
    <m/>
    <m/>
    <m/>
    <m/>
    <n v="0"/>
    <n v="0"/>
    <n v="0"/>
    <n v="0"/>
    <n v="0"/>
    <n v="0"/>
  </r>
  <r>
    <x v="432"/>
    <m/>
    <m/>
    <m/>
    <m/>
    <m/>
    <m/>
    <n v="0"/>
    <n v="0"/>
    <n v="0"/>
    <n v="0"/>
    <n v="0"/>
    <n v="0"/>
  </r>
  <r>
    <x v="433"/>
    <m/>
    <m/>
    <m/>
    <m/>
    <m/>
    <m/>
    <n v="0"/>
    <n v="0"/>
    <n v="0"/>
    <n v="0"/>
    <n v="0"/>
    <n v="0"/>
  </r>
  <r>
    <x v="434"/>
    <m/>
    <m/>
    <m/>
    <m/>
    <m/>
    <m/>
    <n v="0"/>
    <n v="0"/>
    <n v="0"/>
    <n v="0"/>
    <n v="0"/>
    <n v="0"/>
  </r>
  <r>
    <x v="435"/>
    <m/>
    <m/>
    <m/>
    <m/>
    <m/>
    <m/>
    <n v="0"/>
    <n v="0"/>
    <n v="0"/>
    <n v="0"/>
    <n v="0"/>
    <n v="0"/>
  </r>
  <r>
    <x v="436"/>
    <m/>
    <m/>
    <m/>
    <m/>
    <m/>
    <m/>
    <n v="0"/>
    <n v="0"/>
    <n v="0"/>
    <n v="0"/>
    <n v="0"/>
    <n v="0"/>
  </r>
  <r>
    <x v="437"/>
    <m/>
    <m/>
    <m/>
    <m/>
    <m/>
    <m/>
    <n v="0"/>
    <n v="0"/>
    <n v="0"/>
    <n v="0"/>
    <n v="0"/>
    <n v="0"/>
  </r>
  <r>
    <x v="438"/>
    <m/>
    <m/>
    <m/>
    <m/>
    <m/>
    <m/>
    <n v="0"/>
    <n v="0"/>
    <n v="0"/>
    <n v="0"/>
    <n v="0"/>
    <n v="0"/>
  </r>
  <r>
    <x v="439"/>
    <m/>
    <m/>
    <m/>
    <m/>
    <m/>
    <m/>
    <n v="0"/>
    <n v="0"/>
    <n v="0"/>
    <n v="0"/>
    <n v="0"/>
    <n v="0"/>
  </r>
  <r>
    <x v="440"/>
    <m/>
    <m/>
    <m/>
    <m/>
    <m/>
    <m/>
    <n v="0"/>
    <n v="0"/>
    <n v="0"/>
    <n v="0"/>
    <n v="0"/>
    <n v="0"/>
  </r>
  <r>
    <x v="441"/>
    <m/>
    <m/>
    <m/>
    <m/>
    <m/>
    <m/>
    <n v="0"/>
    <n v="0"/>
    <n v="0"/>
    <n v="0"/>
    <n v="0"/>
    <n v="0"/>
  </r>
  <r>
    <x v="442"/>
    <m/>
    <m/>
    <m/>
    <m/>
    <m/>
    <m/>
    <n v="0"/>
    <n v="0"/>
    <n v="0"/>
    <n v="0"/>
    <n v="0"/>
    <n v="0"/>
  </r>
  <r>
    <x v="443"/>
    <m/>
    <m/>
    <m/>
    <m/>
    <m/>
    <m/>
    <n v="0"/>
    <n v="0"/>
    <n v="0"/>
    <n v="0"/>
    <n v="0"/>
    <n v="0"/>
  </r>
  <r>
    <x v="444"/>
    <m/>
    <m/>
    <m/>
    <m/>
    <m/>
    <m/>
    <n v="0"/>
    <n v="0"/>
    <n v="0"/>
    <n v="0"/>
    <n v="0"/>
    <n v="0"/>
  </r>
  <r>
    <x v="445"/>
    <m/>
    <m/>
    <m/>
    <m/>
    <m/>
    <m/>
    <n v="0"/>
    <n v="0"/>
    <n v="0"/>
    <n v="0"/>
    <n v="0"/>
    <n v="0"/>
  </r>
  <r>
    <x v="446"/>
    <m/>
    <m/>
    <m/>
    <m/>
    <m/>
    <m/>
    <n v="0"/>
    <n v="0"/>
    <n v="0"/>
    <n v="0"/>
    <n v="0"/>
    <n v="0"/>
  </r>
  <r>
    <x v="447"/>
    <m/>
    <m/>
    <m/>
    <m/>
    <m/>
    <m/>
    <n v="0"/>
    <n v="0"/>
    <n v="0"/>
    <n v="0"/>
    <n v="0"/>
    <n v="0"/>
  </r>
  <r>
    <x v="448"/>
    <m/>
    <m/>
    <m/>
    <m/>
    <m/>
    <m/>
    <n v="0"/>
    <n v="0"/>
    <n v="0"/>
    <n v="0"/>
    <n v="0"/>
    <n v="0"/>
  </r>
  <r>
    <x v="449"/>
    <m/>
    <m/>
    <m/>
    <m/>
    <m/>
    <m/>
    <n v="0"/>
    <n v="0"/>
    <n v="0"/>
    <n v="0"/>
    <n v="0"/>
    <n v="0"/>
  </r>
  <r>
    <x v="450"/>
    <m/>
    <m/>
    <m/>
    <m/>
    <m/>
    <m/>
    <n v="0"/>
    <n v="0"/>
    <n v="0"/>
    <n v="0"/>
    <n v="0"/>
    <n v="0"/>
  </r>
  <r>
    <x v="451"/>
    <m/>
    <m/>
    <m/>
    <m/>
    <m/>
    <m/>
    <n v="0"/>
    <n v="0"/>
    <n v="0"/>
    <n v="0"/>
    <n v="0"/>
    <n v="0"/>
  </r>
  <r>
    <x v="452"/>
    <m/>
    <m/>
    <m/>
    <m/>
    <m/>
    <m/>
    <n v="0"/>
    <n v="0"/>
    <n v="0"/>
    <n v="0"/>
    <n v="0"/>
    <n v="0"/>
  </r>
  <r>
    <x v="453"/>
    <m/>
    <m/>
    <m/>
    <m/>
    <m/>
    <m/>
    <n v="0"/>
    <n v="0"/>
    <n v="0"/>
    <n v="0"/>
    <n v="0"/>
    <n v="0"/>
  </r>
  <r>
    <x v="454"/>
    <m/>
    <m/>
    <m/>
    <m/>
    <m/>
    <m/>
    <n v="0"/>
    <n v="0"/>
    <n v="0"/>
    <n v="0"/>
    <n v="0"/>
    <n v="0"/>
  </r>
  <r>
    <x v="455"/>
    <m/>
    <m/>
    <m/>
    <m/>
    <m/>
    <m/>
    <n v="0"/>
    <n v="0"/>
    <n v="0"/>
    <n v="0"/>
    <n v="0"/>
    <n v="0"/>
  </r>
  <r>
    <x v="456"/>
    <m/>
    <m/>
    <m/>
    <m/>
    <m/>
    <m/>
    <n v="0"/>
    <n v="0"/>
    <n v="0"/>
    <n v="0"/>
    <n v="0"/>
    <n v="0"/>
  </r>
  <r>
    <x v="457"/>
    <m/>
    <m/>
    <m/>
    <m/>
    <m/>
    <m/>
    <n v="0"/>
    <n v="0"/>
    <n v="0"/>
    <n v="0"/>
    <n v="0"/>
    <n v="0"/>
  </r>
  <r>
    <x v="458"/>
    <m/>
    <m/>
    <m/>
    <m/>
    <m/>
    <m/>
    <n v="0"/>
    <n v="0"/>
    <n v="0"/>
    <n v="0"/>
    <n v="0"/>
    <n v="0"/>
  </r>
  <r>
    <x v="459"/>
    <m/>
    <m/>
    <m/>
    <m/>
    <m/>
    <m/>
    <n v="0"/>
    <n v="0"/>
    <n v="0"/>
    <n v="0"/>
    <n v="0"/>
    <n v="0"/>
  </r>
  <r>
    <x v="460"/>
    <m/>
    <m/>
    <m/>
    <m/>
    <m/>
    <m/>
    <n v="0"/>
    <n v="0"/>
    <n v="0"/>
    <n v="0"/>
    <n v="0"/>
    <n v="0"/>
  </r>
  <r>
    <x v="461"/>
    <m/>
    <m/>
    <m/>
    <m/>
    <m/>
    <m/>
    <n v="0"/>
    <n v="0"/>
    <n v="0"/>
    <n v="0"/>
    <n v="0"/>
    <n v="0"/>
  </r>
  <r>
    <x v="462"/>
    <m/>
    <m/>
    <m/>
    <m/>
    <m/>
    <m/>
    <n v="0"/>
    <n v="0"/>
    <n v="0"/>
    <n v="0"/>
    <n v="0"/>
    <n v="0"/>
  </r>
  <r>
    <x v="463"/>
    <m/>
    <m/>
    <m/>
    <m/>
    <m/>
    <m/>
    <n v="0"/>
    <n v="0"/>
    <n v="0"/>
    <n v="0"/>
    <n v="0"/>
    <n v="0"/>
  </r>
  <r>
    <x v="464"/>
    <m/>
    <m/>
    <m/>
    <m/>
    <m/>
    <m/>
    <n v="0"/>
    <n v="0"/>
    <n v="0"/>
    <n v="0"/>
    <n v="0"/>
    <n v="0"/>
  </r>
  <r>
    <x v="465"/>
    <m/>
    <m/>
    <m/>
    <m/>
    <m/>
    <m/>
    <n v="0"/>
    <n v="0"/>
    <n v="0"/>
    <n v="0"/>
    <n v="0"/>
    <n v="0"/>
  </r>
  <r>
    <x v="466"/>
    <m/>
    <m/>
    <m/>
    <m/>
    <m/>
    <m/>
    <n v="0"/>
    <n v="0"/>
    <n v="0"/>
    <n v="0"/>
    <n v="0"/>
    <n v="0"/>
  </r>
  <r>
    <x v="467"/>
    <m/>
    <m/>
    <m/>
    <m/>
    <m/>
    <m/>
    <n v="0"/>
    <n v="0"/>
    <n v="0"/>
    <n v="0"/>
    <n v="0"/>
    <n v="0"/>
  </r>
  <r>
    <x v="468"/>
    <m/>
    <m/>
    <m/>
    <m/>
    <m/>
    <m/>
    <n v="0"/>
    <n v="0"/>
    <n v="0"/>
    <n v="0"/>
    <n v="0"/>
    <n v="0"/>
  </r>
  <r>
    <x v="469"/>
    <m/>
    <m/>
    <m/>
    <m/>
    <m/>
    <m/>
    <n v="0"/>
    <n v="0"/>
    <n v="0"/>
    <n v="0"/>
    <n v="0"/>
    <n v="0"/>
  </r>
  <r>
    <x v="470"/>
    <m/>
    <m/>
    <m/>
    <m/>
    <m/>
    <m/>
    <n v="0"/>
    <n v="0"/>
    <n v="0"/>
    <n v="0"/>
    <n v="0"/>
    <n v="0"/>
  </r>
  <r>
    <x v="471"/>
    <m/>
    <m/>
    <m/>
    <m/>
    <m/>
    <m/>
    <n v="0"/>
    <n v="0"/>
    <n v="0"/>
    <n v="0"/>
    <n v="0"/>
    <n v="0"/>
  </r>
  <r>
    <x v="472"/>
    <m/>
    <m/>
    <m/>
    <m/>
    <m/>
    <m/>
    <n v="0"/>
    <n v="0"/>
    <n v="0"/>
    <n v="0"/>
    <n v="0"/>
    <n v="0"/>
  </r>
  <r>
    <x v="473"/>
    <m/>
    <m/>
    <m/>
    <m/>
    <m/>
    <m/>
    <n v="0"/>
    <n v="0"/>
    <n v="0"/>
    <n v="0"/>
    <n v="0"/>
    <n v="0"/>
  </r>
  <r>
    <x v="474"/>
    <m/>
    <m/>
    <m/>
    <m/>
    <m/>
    <m/>
    <n v="0"/>
    <n v="0"/>
    <n v="0"/>
    <n v="0"/>
    <n v="0"/>
    <n v="0"/>
  </r>
  <r>
    <x v="475"/>
    <m/>
    <m/>
    <m/>
    <m/>
    <m/>
    <m/>
    <n v="0"/>
    <n v="0"/>
    <n v="0"/>
    <n v="0"/>
    <n v="0"/>
    <n v="0"/>
  </r>
  <r>
    <x v="476"/>
    <m/>
    <m/>
    <m/>
    <m/>
    <m/>
    <m/>
    <n v="0"/>
    <n v="0"/>
    <n v="0"/>
    <n v="0"/>
    <n v="0"/>
    <n v="0"/>
  </r>
  <r>
    <x v="477"/>
    <m/>
    <m/>
    <m/>
    <m/>
    <m/>
    <m/>
    <n v="0"/>
    <n v="0"/>
    <n v="0"/>
    <n v="0"/>
    <n v="0"/>
    <n v="0"/>
  </r>
  <r>
    <x v="478"/>
    <m/>
    <m/>
    <m/>
    <m/>
    <m/>
    <m/>
    <n v="0"/>
    <n v="0"/>
    <n v="0"/>
    <n v="0"/>
    <n v="0"/>
    <n v="0"/>
  </r>
  <r>
    <x v="479"/>
    <m/>
    <m/>
    <m/>
    <m/>
    <m/>
    <m/>
    <n v="0"/>
    <n v="0"/>
    <n v="0"/>
    <n v="0"/>
    <n v="0"/>
    <n v="0"/>
  </r>
  <r>
    <x v="480"/>
    <m/>
    <m/>
    <m/>
    <m/>
    <m/>
    <m/>
    <n v="0"/>
    <n v="0"/>
    <n v="0"/>
    <n v="0"/>
    <n v="0"/>
    <n v="0"/>
  </r>
  <r>
    <x v="481"/>
    <m/>
    <m/>
    <m/>
    <m/>
    <m/>
    <m/>
    <n v="0"/>
    <n v="0"/>
    <n v="0"/>
    <n v="0"/>
    <n v="0"/>
    <n v="0"/>
  </r>
  <r>
    <x v="482"/>
    <m/>
    <m/>
    <m/>
    <m/>
    <m/>
    <m/>
    <n v="0"/>
    <n v="0"/>
    <n v="0"/>
    <n v="0"/>
    <n v="0"/>
    <n v="0"/>
  </r>
  <r>
    <x v="483"/>
    <m/>
    <m/>
    <m/>
    <m/>
    <m/>
    <m/>
    <n v="0"/>
    <n v="0"/>
    <n v="0"/>
    <n v="0"/>
    <n v="0"/>
    <n v="0"/>
  </r>
  <r>
    <x v="484"/>
    <m/>
    <m/>
    <m/>
    <m/>
    <m/>
    <m/>
    <n v="0"/>
    <n v="0"/>
    <n v="0"/>
    <n v="0"/>
    <n v="0"/>
    <n v="0"/>
  </r>
  <r>
    <x v="485"/>
    <m/>
    <m/>
    <m/>
    <m/>
    <m/>
    <m/>
    <n v="0"/>
    <n v="0"/>
    <n v="0"/>
    <n v="0"/>
    <n v="0"/>
    <n v="0"/>
  </r>
  <r>
    <x v="486"/>
    <m/>
    <m/>
    <m/>
    <m/>
    <m/>
    <m/>
    <n v="0"/>
    <n v="0"/>
    <n v="0"/>
    <n v="0"/>
    <n v="0"/>
    <n v="0"/>
  </r>
  <r>
    <x v="487"/>
    <m/>
    <m/>
    <m/>
    <m/>
    <m/>
    <m/>
    <n v="0"/>
    <n v="0"/>
    <n v="0"/>
    <n v="0"/>
    <n v="0"/>
    <n v="0"/>
  </r>
  <r>
    <x v="488"/>
    <m/>
    <m/>
    <m/>
    <m/>
    <m/>
    <m/>
    <n v="0"/>
    <n v="0"/>
    <n v="0"/>
    <n v="0"/>
    <n v="0"/>
    <n v="0"/>
  </r>
  <r>
    <x v="489"/>
    <m/>
    <m/>
    <m/>
    <m/>
    <m/>
    <m/>
    <n v="0"/>
    <n v="0"/>
    <n v="0"/>
    <n v="0"/>
    <n v="0"/>
    <n v="0"/>
  </r>
  <r>
    <x v="490"/>
    <m/>
    <m/>
    <m/>
    <m/>
    <m/>
    <m/>
    <n v="0"/>
    <n v="0"/>
    <n v="0"/>
    <n v="0"/>
    <n v="0"/>
    <n v="0"/>
  </r>
  <r>
    <x v="491"/>
    <m/>
    <m/>
    <m/>
    <m/>
    <m/>
    <m/>
    <n v="0"/>
    <n v="0"/>
    <n v="0"/>
    <n v="0"/>
    <n v="0"/>
    <n v="0"/>
  </r>
  <r>
    <x v="492"/>
    <m/>
    <m/>
    <m/>
    <m/>
    <m/>
    <m/>
    <n v="0"/>
    <n v="0"/>
    <n v="0"/>
    <n v="0"/>
    <n v="0"/>
    <n v="0"/>
  </r>
  <r>
    <x v="493"/>
    <m/>
    <m/>
    <m/>
    <m/>
    <m/>
    <m/>
    <n v="0"/>
    <n v="0"/>
    <n v="0"/>
    <n v="0"/>
    <n v="0"/>
    <n v="0"/>
  </r>
  <r>
    <x v="494"/>
    <m/>
    <m/>
    <m/>
    <m/>
    <m/>
    <m/>
    <n v="0"/>
    <n v="0"/>
    <n v="0"/>
    <n v="0"/>
    <n v="0"/>
    <n v="0"/>
  </r>
  <r>
    <x v="495"/>
    <m/>
    <m/>
    <m/>
    <m/>
    <m/>
    <m/>
    <n v="0"/>
    <n v="0"/>
    <n v="0"/>
    <n v="0"/>
    <n v="0"/>
    <n v="0"/>
  </r>
  <r>
    <x v="496"/>
    <m/>
    <m/>
    <m/>
    <m/>
    <m/>
    <m/>
    <n v="0"/>
    <n v="0"/>
    <n v="0"/>
    <n v="0"/>
    <n v="0"/>
    <n v="0"/>
  </r>
  <r>
    <x v="497"/>
    <m/>
    <m/>
    <m/>
    <m/>
    <m/>
    <m/>
    <n v="0"/>
    <n v="0"/>
    <n v="0"/>
    <n v="0"/>
    <n v="0"/>
    <n v="0"/>
  </r>
  <r>
    <x v="498"/>
    <m/>
    <m/>
    <m/>
    <m/>
    <m/>
    <m/>
    <n v="0"/>
    <n v="0"/>
    <n v="0"/>
    <n v="0"/>
    <n v="0"/>
    <n v="0"/>
  </r>
  <r>
    <x v="499"/>
    <m/>
    <m/>
    <m/>
    <m/>
    <m/>
    <m/>
    <n v="0"/>
    <n v="0"/>
    <n v="0"/>
    <n v="0"/>
    <n v="0"/>
    <n v="0"/>
  </r>
  <r>
    <x v="500"/>
    <m/>
    <m/>
    <m/>
    <m/>
    <m/>
    <m/>
    <n v="0"/>
    <n v="0"/>
    <n v="0"/>
    <n v="0"/>
    <n v="0"/>
    <n v="0"/>
  </r>
  <r>
    <x v="501"/>
    <m/>
    <m/>
    <m/>
    <m/>
    <m/>
    <m/>
    <n v="0"/>
    <n v="0"/>
    <n v="0"/>
    <n v="0"/>
    <n v="0"/>
    <n v="0"/>
  </r>
  <r>
    <x v="502"/>
    <m/>
    <m/>
    <m/>
    <m/>
    <m/>
    <m/>
    <n v="0"/>
    <n v="0"/>
    <n v="0"/>
    <n v="0"/>
    <n v="0"/>
    <n v="0"/>
  </r>
  <r>
    <x v="503"/>
    <m/>
    <m/>
    <m/>
    <m/>
    <m/>
    <m/>
    <n v="0"/>
    <n v="0"/>
    <n v="0"/>
    <n v="0"/>
    <n v="0"/>
    <n v="0"/>
  </r>
  <r>
    <x v="504"/>
    <m/>
    <m/>
    <m/>
    <m/>
    <m/>
    <m/>
    <n v="0"/>
    <n v="0"/>
    <n v="0"/>
    <n v="0"/>
    <n v="0"/>
    <n v="0"/>
  </r>
  <r>
    <x v="505"/>
    <m/>
    <m/>
    <m/>
    <m/>
    <m/>
    <m/>
    <n v="0"/>
    <n v="0"/>
    <n v="0"/>
    <n v="0"/>
    <n v="0"/>
    <n v="0"/>
  </r>
  <r>
    <x v="506"/>
    <m/>
    <m/>
    <m/>
    <m/>
    <m/>
    <m/>
    <n v="0"/>
    <n v="0"/>
    <n v="0"/>
    <n v="0"/>
    <n v="0"/>
    <n v="0"/>
  </r>
  <r>
    <x v="507"/>
    <m/>
    <m/>
    <m/>
    <m/>
    <m/>
    <m/>
    <n v="0"/>
    <n v="0"/>
    <n v="0"/>
    <n v="0"/>
    <n v="0"/>
    <n v="0"/>
  </r>
  <r>
    <x v="508"/>
    <m/>
    <m/>
    <m/>
    <m/>
    <m/>
    <m/>
    <n v="0"/>
    <n v="0"/>
    <n v="0"/>
    <n v="0"/>
    <n v="0"/>
    <n v="0"/>
  </r>
  <r>
    <x v="509"/>
    <m/>
    <m/>
    <m/>
    <m/>
    <m/>
    <m/>
    <n v="0"/>
    <n v="0"/>
    <n v="0"/>
    <n v="0"/>
    <n v="0"/>
    <n v="0"/>
  </r>
  <r>
    <x v="510"/>
    <m/>
    <m/>
    <m/>
    <m/>
    <m/>
    <m/>
    <n v="0"/>
    <n v="0"/>
    <n v="0"/>
    <n v="0"/>
    <n v="0"/>
    <n v="0"/>
  </r>
  <r>
    <x v="511"/>
    <m/>
    <m/>
    <m/>
    <m/>
    <m/>
    <m/>
    <n v="0"/>
    <n v="0"/>
    <n v="0"/>
    <n v="0"/>
    <n v="0"/>
    <n v="0"/>
  </r>
  <r>
    <x v="512"/>
    <m/>
    <m/>
    <m/>
    <m/>
    <m/>
    <m/>
    <n v="0"/>
    <n v="0"/>
    <n v="0"/>
    <n v="0"/>
    <n v="0"/>
    <n v="0"/>
  </r>
  <r>
    <x v="513"/>
    <m/>
    <m/>
    <m/>
    <m/>
    <m/>
    <m/>
    <n v="0"/>
    <n v="0"/>
    <n v="0"/>
    <n v="0"/>
    <n v="0"/>
    <n v="0"/>
  </r>
  <r>
    <x v="514"/>
    <m/>
    <m/>
    <m/>
    <m/>
    <m/>
    <m/>
    <n v="0"/>
    <n v="0"/>
    <n v="0"/>
    <n v="0"/>
    <n v="0"/>
    <n v="0"/>
  </r>
  <r>
    <x v="515"/>
    <m/>
    <m/>
    <m/>
    <m/>
    <m/>
    <m/>
    <n v="0"/>
    <n v="0"/>
    <n v="0"/>
    <n v="0"/>
    <n v="0"/>
    <n v="0"/>
  </r>
  <r>
    <x v="516"/>
    <m/>
    <m/>
    <m/>
    <m/>
    <m/>
    <m/>
    <n v="0"/>
    <n v="0"/>
    <n v="0"/>
    <n v="0"/>
    <n v="0"/>
    <n v="0"/>
  </r>
  <r>
    <x v="517"/>
    <m/>
    <m/>
    <m/>
    <m/>
    <m/>
    <m/>
    <n v="0"/>
    <n v="0"/>
    <n v="0"/>
    <n v="0"/>
    <n v="0"/>
    <n v="0"/>
  </r>
  <r>
    <x v="518"/>
    <m/>
    <m/>
    <m/>
    <m/>
    <m/>
    <m/>
    <n v="0"/>
    <n v="0"/>
    <n v="0"/>
    <n v="0"/>
    <n v="0"/>
    <n v="0"/>
  </r>
  <r>
    <x v="519"/>
    <m/>
    <m/>
    <m/>
    <m/>
    <m/>
    <m/>
    <n v="0"/>
    <n v="0"/>
    <n v="0"/>
    <n v="0"/>
    <n v="0"/>
    <n v="0"/>
  </r>
  <r>
    <x v="520"/>
    <m/>
    <m/>
    <m/>
    <m/>
    <m/>
    <m/>
    <n v="0"/>
    <n v="0"/>
    <n v="0"/>
    <n v="0"/>
    <n v="0"/>
    <n v="0"/>
  </r>
  <r>
    <x v="521"/>
    <m/>
    <m/>
    <m/>
    <m/>
    <m/>
    <m/>
    <n v="0"/>
    <n v="0"/>
    <n v="0"/>
    <n v="0"/>
    <n v="0"/>
    <n v="0"/>
  </r>
  <r>
    <x v="522"/>
    <m/>
    <m/>
    <m/>
    <m/>
    <m/>
    <m/>
    <n v="0"/>
    <n v="0"/>
    <n v="0"/>
    <n v="0"/>
    <n v="0"/>
    <n v="0"/>
  </r>
  <r>
    <x v="523"/>
    <m/>
    <m/>
    <m/>
    <m/>
    <m/>
    <m/>
    <n v="0"/>
    <n v="0"/>
    <n v="0"/>
    <n v="0"/>
    <n v="0"/>
    <n v="0"/>
  </r>
  <r>
    <x v="524"/>
    <m/>
    <m/>
    <m/>
    <m/>
    <m/>
    <m/>
    <n v="0"/>
    <n v="0"/>
    <n v="0"/>
    <n v="0"/>
    <n v="0"/>
    <n v="0"/>
  </r>
  <r>
    <x v="525"/>
    <m/>
    <m/>
    <m/>
    <m/>
    <m/>
    <m/>
    <n v="0"/>
    <n v="0"/>
    <n v="0"/>
    <n v="0"/>
    <n v="0"/>
    <n v="0"/>
  </r>
  <r>
    <x v="526"/>
    <m/>
    <m/>
    <m/>
    <m/>
    <m/>
    <m/>
    <n v="0"/>
    <n v="0"/>
    <n v="0"/>
    <n v="0"/>
    <n v="0"/>
    <n v="0"/>
  </r>
  <r>
    <x v="527"/>
    <m/>
    <m/>
    <m/>
    <m/>
    <m/>
    <m/>
    <n v="0"/>
    <n v="0"/>
    <n v="0"/>
    <n v="0"/>
    <n v="0"/>
    <n v="0"/>
  </r>
  <r>
    <x v="528"/>
    <m/>
    <m/>
    <m/>
    <m/>
    <m/>
    <m/>
    <n v="0"/>
    <n v="0"/>
    <n v="0"/>
    <n v="0"/>
    <n v="0"/>
    <n v="0"/>
  </r>
  <r>
    <x v="529"/>
    <m/>
    <m/>
    <m/>
    <m/>
    <m/>
    <m/>
    <n v="0"/>
    <n v="0"/>
    <n v="0"/>
    <n v="0"/>
    <n v="0"/>
    <n v="0"/>
  </r>
  <r>
    <x v="530"/>
    <m/>
    <m/>
    <m/>
    <m/>
    <m/>
    <m/>
    <n v="0"/>
    <n v="0"/>
    <n v="0"/>
    <n v="0"/>
    <n v="0"/>
    <n v="0"/>
  </r>
  <r>
    <x v="531"/>
    <m/>
    <m/>
    <m/>
    <m/>
    <m/>
    <m/>
    <n v="0"/>
    <n v="0"/>
    <n v="0"/>
    <n v="0"/>
    <n v="0"/>
    <n v="0"/>
  </r>
  <r>
    <x v="532"/>
    <m/>
    <m/>
    <m/>
    <m/>
    <m/>
    <m/>
    <n v="0"/>
    <n v="0"/>
    <n v="0"/>
    <n v="0"/>
    <n v="0"/>
    <n v="0"/>
  </r>
  <r>
    <x v="533"/>
    <m/>
    <m/>
    <m/>
    <m/>
    <m/>
    <m/>
    <n v="0"/>
    <n v="0"/>
    <n v="0"/>
    <n v="0"/>
    <n v="0"/>
    <n v="0"/>
  </r>
  <r>
    <x v="534"/>
    <m/>
    <m/>
    <m/>
    <m/>
    <m/>
    <m/>
    <n v="0"/>
    <n v="0"/>
    <n v="0"/>
    <n v="0"/>
    <n v="0"/>
    <n v="0"/>
  </r>
  <r>
    <x v="535"/>
    <m/>
    <m/>
    <m/>
    <m/>
    <m/>
    <m/>
    <n v="0"/>
    <n v="0"/>
    <n v="0"/>
    <n v="0"/>
    <n v="0"/>
    <n v="0"/>
  </r>
  <r>
    <x v="536"/>
    <m/>
    <m/>
    <m/>
    <m/>
    <m/>
    <m/>
    <n v="0"/>
    <n v="0"/>
    <n v="0"/>
    <n v="0"/>
    <n v="0"/>
    <n v="0"/>
  </r>
  <r>
    <x v="537"/>
    <m/>
    <m/>
    <m/>
    <m/>
    <m/>
    <m/>
    <n v="0"/>
    <n v="0"/>
    <n v="0"/>
    <n v="0"/>
    <n v="0"/>
    <n v="0"/>
  </r>
  <r>
    <x v="538"/>
    <m/>
    <m/>
    <m/>
    <m/>
    <m/>
    <m/>
    <n v="0"/>
    <n v="0"/>
    <n v="0"/>
    <n v="0"/>
    <n v="0"/>
    <n v="0"/>
  </r>
  <r>
    <x v="539"/>
    <m/>
    <m/>
    <m/>
    <m/>
    <m/>
    <m/>
    <n v="0"/>
    <n v="0"/>
    <n v="0"/>
    <n v="0"/>
    <n v="0"/>
    <n v="0"/>
  </r>
  <r>
    <x v="540"/>
    <m/>
    <m/>
    <m/>
    <m/>
    <m/>
    <m/>
    <n v="0"/>
    <n v="0"/>
    <n v="0"/>
    <n v="0"/>
    <n v="0"/>
    <n v="0"/>
  </r>
  <r>
    <x v="541"/>
    <m/>
    <m/>
    <m/>
    <m/>
    <m/>
    <m/>
    <n v="0"/>
    <n v="0"/>
    <n v="0"/>
    <n v="0"/>
    <n v="0"/>
    <n v="0"/>
  </r>
  <r>
    <x v="542"/>
    <m/>
    <m/>
    <m/>
    <m/>
    <m/>
    <m/>
    <n v="0"/>
    <n v="0"/>
    <n v="0"/>
    <n v="0"/>
    <n v="0"/>
    <n v="0"/>
  </r>
  <r>
    <x v="543"/>
    <m/>
    <m/>
    <m/>
    <m/>
    <m/>
    <m/>
    <n v="0"/>
    <n v="0"/>
    <n v="0"/>
    <n v="0"/>
    <n v="0"/>
    <n v="0"/>
  </r>
  <r>
    <x v="544"/>
    <m/>
    <m/>
    <m/>
    <m/>
    <m/>
    <m/>
    <n v="0"/>
    <n v="0"/>
    <n v="0"/>
    <n v="0"/>
    <n v="0"/>
    <n v="0"/>
  </r>
  <r>
    <x v="545"/>
    <m/>
    <m/>
    <m/>
    <m/>
    <m/>
    <m/>
    <n v="0"/>
    <n v="0"/>
    <n v="0"/>
    <n v="0"/>
    <n v="0"/>
    <n v="0"/>
  </r>
  <r>
    <x v="546"/>
    <m/>
    <m/>
    <m/>
    <m/>
    <m/>
    <m/>
    <n v="0"/>
    <n v="0"/>
    <n v="0"/>
    <n v="0"/>
    <n v="0"/>
    <n v="0"/>
  </r>
  <r>
    <x v="547"/>
    <m/>
    <m/>
    <m/>
    <m/>
    <m/>
    <m/>
    <n v="0"/>
    <n v="0"/>
    <n v="0"/>
    <n v="0"/>
    <n v="0"/>
    <n v="0"/>
  </r>
  <r>
    <x v="548"/>
    <m/>
    <m/>
    <m/>
    <m/>
    <m/>
    <m/>
    <n v="0"/>
    <n v="0"/>
    <n v="0"/>
    <n v="0"/>
    <n v="0"/>
    <n v="0"/>
  </r>
  <r>
    <x v="549"/>
    <m/>
    <m/>
    <m/>
    <m/>
    <m/>
    <m/>
    <n v="0"/>
    <n v="0"/>
    <n v="0"/>
    <n v="0"/>
    <n v="0"/>
    <n v="0"/>
  </r>
  <r>
    <x v="550"/>
    <m/>
    <m/>
    <m/>
    <m/>
    <m/>
    <m/>
    <n v="0"/>
    <n v="0"/>
    <n v="0"/>
    <n v="0"/>
    <n v="0"/>
    <n v="0"/>
  </r>
  <r>
    <x v="551"/>
    <m/>
    <m/>
    <m/>
    <m/>
    <m/>
    <m/>
    <n v="0"/>
    <n v="0"/>
    <n v="0"/>
    <n v="0"/>
    <n v="0"/>
    <n v="0"/>
  </r>
  <r>
    <x v="552"/>
    <m/>
    <m/>
    <m/>
    <m/>
    <m/>
    <m/>
    <n v="0"/>
    <n v="0"/>
    <n v="0"/>
    <n v="0"/>
    <n v="0"/>
    <n v="0"/>
  </r>
  <r>
    <x v="553"/>
    <m/>
    <m/>
    <m/>
    <m/>
    <m/>
    <m/>
    <n v="0"/>
    <n v="0"/>
    <n v="0"/>
    <n v="0"/>
    <n v="0"/>
    <n v="0"/>
  </r>
  <r>
    <x v="554"/>
    <m/>
    <m/>
    <m/>
    <m/>
    <m/>
    <m/>
    <n v="0"/>
    <n v="0"/>
    <n v="0"/>
    <n v="0"/>
    <n v="0"/>
    <n v="0"/>
  </r>
  <r>
    <x v="555"/>
    <m/>
    <m/>
    <m/>
    <m/>
    <m/>
    <m/>
    <n v="0"/>
    <n v="0"/>
    <n v="0"/>
    <n v="0"/>
    <n v="0"/>
    <n v="0"/>
  </r>
  <r>
    <x v="556"/>
    <m/>
    <m/>
    <m/>
    <m/>
    <m/>
    <m/>
    <n v="0"/>
    <n v="0"/>
    <n v="0"/>
    <n v="0"/>
    <n v="0"/>
    <n v="0"/>
  </r>
  <r>
    <x v="557"/>
    <m/>
    <m/>
    <m/>
    <m/>
    <m/>
    <m/>
    <n v="0"/>
    <n v="0"/>
    <n v="0"/>
    <n v="0"/>
    <n v="0"/>
    <n v="0"/>
  </r>
  <r>
    <x v="558"/>
    <m/>
    <m/>
    <m/>
    <m/>
    <m/>
    <m/>
    <n v="0"/>
    <n v="0"/>
    <n v="0"/>
    <n v="0"/>
    <n v="0"/>
    <n v="0"/>
  </r>
  <r>
    <x v="559"/>
    <m/>
    <m/>
    <m/>
    <m/>
    <m/>
    <m/>
    <n v="0"/>
    <n v="0"/>
    <n v="0"/>
    <n v="0"/>
    <n v="0"/>
    <n v="0"/>
  </r>
  <r>
    <x v="560"/>
    <m/>
    <m/>
    <m/>
    <m/>
    <m/>
    <m/>
    <n v="0"/>
    <n v="0"/>
    <n v="0"/>
    <n v="0"/>
    <n v="0"/>
    <n v="0"/>
  </r>
  <r>
    <x v="561"/>
    <m/>
    <m/>
    <m/>
    <m/>
    <m/>
    <m/>
    <n v="0"/>
    <n v="0"/>
    <n v="0"/>
    <n v="0"/>
    <n v="0"/>
    <n v="0"/>
  </r>
  <r>
    <x v="562"/>
    <m/>
    <m/>
    <m/>
    <m/>
    <m/>
    <m/>
    <n v="0"/>
    <n v="0"/>
    <n v="0"/>
    <n v="0"/>
    <n v="0"/>
    <n v="0"/>
  </r>
  <r>
    <x v="563"/>
    <m/>
    <m/>
    <m/>
    <m/>
    <m/>
    <m/>
    <n v="0"/>
    <n v="0"/>
    <n v="0"/>
    <n v="0"/>
    <n v="0"/>
    <n v="0"/>
  </r>
  <r>
    <x v="564"/>
    <m/>
    <m/>
    <m/>
    <m/>
    <m/>
    <m/>
    <n v="0"/>
    <n v="0"/>
    <n v="0"/>
    <n v="0"/>
    <n v="0"/>
    <n v="0"/>
  </r>
  <r>
    <x v="565"/>
    <m/>
    <m/>
    <m/>
    <m/>
    <m/>
    <m/>
    <n v="0"/>
    <n v="0"/>
    <n v="0"/>
    <n v="0"/>
    <n v="0"/>
    <n v="0"/>
  </r>
  <r>
    <x v="566"/>
    <m/>
    <m/>
    <m/>
    <m/>
    <m/>
    <m/>
    <n v="0"/>
    <n v="0"/>
    <n v="0"/>
    <n v="0"/>
    <n v="0"/>
    <n v="0"/>
  </r>
  <r>
    <x v="567"/>
    <m/>
    <m/>
    <m/>
    <m/>
    <m/>
    <m/>
    <n v="0"/>
    <n v="0"/>
    <n v="0"/>
    <n v="0"/>
    <n v="0"/>
    <n v="0"/>
  </r>
  <r>
    <x v="568"/>
    <m/>
    <m/>
    <m/>
    <m/>
    <m/>
    <m/>
    <n v="0"/>
    <n v="0"/>
    <n v="0"/>
    <n v="0"/>
    <n v="0"/>
    <n v="0"/>
  </r>
  <r>
    <x v="569"/>
    <m/>
    <m/>
    <m/>
    <m/>
    <m/>
    <m/>
    <n v="0"/>
    <n v="0"/>
    <n v="0"/>
    <n v="0"/>
    <n v="0"/>
    <n v="0"/>
  </r>
  <r>
    <x v="570"/>
    <m/>
    <m/>
    <m/>
    <m/>
    <m/>
    <m/>
    <n v="0"/>
    <n v="0"/>
    <n v="0"/>
    <n v="0"/>
    <n v="0"/>
    <n v="0"/>
  </r>
  <r>
    <x v="571"/>
    <m/>
    <m/>
    <m/>
    <m/>
    <m/>
    <m/>
    <n v="0"/>
    <n v="0"/>
    <n v="0"/>
    <n v="0"/>
    <n v="0"/>
    <n v="0"/>
  </r>
  <r>
    <x v="572"/>
    <m/>
    <m/>
    <m/>
    <m/>
    <m/>
    <m/>
    <n v="0"/>
    <n v="0"/>
    <n v="0"/>
    <n v="0"/>
    <n v="0"/>
    <n v="0"/>
  </r>
  <r>
    <x v="573"/>
    <m/>
    <m/>
    <m/>
    <m/>
    <m/>
    <m/>
    <n v="0"/>
    <n v="0"/>
    <n v="0"/>
    <n v="0"/>
    <n v="0"/>
    <n v="0"/>
  </r>
  <r>
    <x v="574"/>
    <m/>
    <m/>
    <m/>
    <m/>
    <m/>
    <m/>
    <n v="0"/>
    <n v="0"/>
    <n v="0"/>
    <n v="0"/>
    <n v="0"/>
    <n v="0"/>
  </r>
  <r>
    <x v="575"/>
    <m/>
    <m/>
    <m/>
    <m/>
    <m/>
    <m/>
    <n v="0"/>
    <n v="0"/>
    <n v="0"/>
    <n v="0"/>
    <n v="0"/>
    <n v="0"/>
  </r>
  <r>
    <x v="576"/>
    <m/>
    <m/>
    <m/>
    <m/>
    <m/>
    <m/>
    <n v="0"/>
    <n v="0"/>
    <n v="0"/>
    <n v="0"/>
    <n v="0"/>
    <n v="0"/>
  </r>
  <r>
    <x v="577"/>
    <m/>
    <m/>
    <m/>
    <m/>
    <m/>
    <m/>
    <n v="0"/>
    <n v="0"/>
    <n v="0"/>
    <n v="0"/>
    <n v="0"/>
    <n v="0"/>
  </r>
  <r>
    <x v="578"/>
    <m/>
    <m/>
    <m/>
    <m/>
    <m/>
    <m/>
    <n v="0"/>
    <n v="0"/>
    <n v="0"/>
    <n v="0"/>
    <n v="0"/>
    <n v="0"/>
  </r>
  <r>
    <x v="579"/>
    <m/>
    <m/>
    <m/>
    <m/>
    <m/>
    <m/>
    <n v="0"/>
    <n v="0"/>
    <n v="0"/>
    <n v="0"/>
    <n v="0"/>
    <n v="0"/>
  </r>
  <r>
    <x v="580"/>
    <m/>
    <m/>
    <m/>
    <m/>
    <m/>
    <m/>
    <n v="0"/>
    <n v="0"/>
    <n v="0"/>
    <n v="0"/>
    <n v="0"/>
    <n v="0"/>
  </r>
  <r>
    <x v="581"/>
    <m/>
    <m/>
    <m/>
    <m/>
    <m/>
    <m/>
    <n v="0"/>
    <n v="0"/>
    <n v="0"/>
    <n v="0"/>
    <n v="0"/>
    <n v="0"/>
  </r>
  <r>
    <x v="582"/>
    <m/>
    <m/>
    <m/>
    <m/>
    <m/>
    <m/>
    <n v="0"/>
    <n v="0"/>
    <n v="0"/>
    <n v="0"/>
    <n v="0"/>
    <n v="0"/>
  </r>
  <r>
    <x v="583"/>
    <m/>
    <m/>
    <m/>
    <m/>
    <m/>
    <m/>
    <n v="0"/>
    <n v="0"/>
    <n v="0"/>
    <n v="0"/>
    <n v="0"/>
    <n v="0"/>
  </r>
  <r>
    <x v="584"/>
    <m/>
    <m/>
    <m/>
    <m/>
    <m/>
    <m/>
    <n v="0"/>
    <n v="0"/>
    <n v="0"/>
    <n v="0"/>
    <n v="0"/>
    <n v="0"/>
  </r>
  <r>
    <x v="585"/>
    <m/>
    <m/>
    <m/>
    <m/>
    <m/>
    <m/>
    <n v="0"/>
    <n v="0"/>
    <n v="0"/>
    <n v="0"/>
    <n v="0"/>
    <n v="0"/>
  </r>
  <r>
    <x v="586"/>
    <m/>
    <m/>
    <m/>
    <m/>
    <m/>
    <m/>
    <n v="0"/>
    <n v="0"/>
    <n v="0"/>
    <n v="0"/>
    <n v="0"/>
    <n v="0"/>
  </r>
  <r>
    <x v="587"/>
    <m/>
    <m/>
    <m/>
    <m/>
    <m/>
    <m/>
    <n v="0"/>
    <n v="0"/>
    <n v="0"/>
    <n v="0"/>
    <n v="0"/>
    <n v="0"/>
  </r>
  <r>
    <x v="588"/>
    <m/>
    <m/>
    <m/>
    <m/>
    <m/>
    <m/>
    <n v="0"/>
    <n v="0"/>
    <n v="0"/>
    <n v="0"/>
    <n v="0"/>
    <n v="0"/>
  </r>
  <r>
    <x v="589"/>
    <m/>
    <m/>
    <m/>
    <m/>
    <m/>
    <m/>
    <n v="0"/>
    <n v="0"/>
    <n v="0"/>
    <n v="0"/>
    <n v="0"/>
    <n v="0"/>
  </r>
  <r>
    <x v="590"/>
    <m/>
    <m/>
    <m/>
    <m/>
    <m/>
    <m/>
    <n v="0"/>
    <n v="0"/>
    <n v="0"/>
    <n v="0"/>
    <n v="0"/>
    <n v="0"/>
  </r>
  <r>
    <x v="591"/>
    <m/>
    <m/>
    <m/>
    <m/>
    <m/>
    <m/>
    <n v="0"/>
    <n v="0"/>
    <n v="0"/>
    <n v="0"/>
    <n v="0"/>
    <n v="0"/>
  </r>
  <r>
    <x v="592"/>
    <m/>
    <m/>
    <m/>
    <m/>
    <m/>
    <m/>
    <n v="0"/>
    <n v="0"/>
    <n v="0"/>
    <n v="0"/>
    <n v="0"/>
    <n v="0"/>
  </r>
  <r>
    <x v="593"/>
    <m/>
    <m/>
    <m/>
    <m/>
    <m/>
    <m/>
    <n v="0"/>
    <n v="0"/>
    <n v="0"/>
    <n v="0"/>
    <n v="0"/>
    <n v="0"/>
  </r>
  <r>
    <x v="594"/>
    <m/>
    <m/>
    <m/>
    <m/>
    <m/>
    <m/>
    <n v="0"/>
    <n v="0"/>
    <n v="0"/>
    <n v="0"/>
    <n v="0"/>
    <n v="0"/>
  </r>
  <r>
    <x v="595"/>
    <m/>
    <m/>
    <m/>
    <m/>
    <m/>
    <m/>
    <n v="0"/>
    <n v="0"/>
    <n v="0"/>
    <n v="0"/>
    <n v="0"/>
    <n v="0"/>
  </r>
  <r>
    <x v="596"/>
    <m/>
    <m/>
    <m/>
    <m/>
    <m/>
    <m/>
    <n v="0"/>
    <n v="0"/>
    <n v="0"/>
    <n v="0"/>
    <n v="0"/>
    <n v="0"/>
  </r>
  <r>
    <x v="597"/>
    <m/>
    <m/>
    <m/>
    <m/>
    <m/>
    <m/>
    <n v="0"/>
    <n v="0"/>
    <n v="0"/>
    <n v="0"/>
    <n v="0"/>
    <n v="0"/>
  </r>
  <r>
    <x v="598"/>
    <m/>
    <m/>
    <m/>
    <m/>
    <m/>
    <m/>
    <n v="0"/>
    <n v="0"/>
    <n v="0"/>
    <n v="0"/>
    <n v="0"/>
    <n v="0"/>
  </r>
  <r>
    <x v="599"/>
    <m/>
    <m/>
    <m/>
    <m/>
    <m/>
    <m/>
    <n v="0"/>
    <n v="0"/>
    <n v="0"/>
    <n v="0"/>
    <n v="0"/>
    <n v="0"/>
  </r>
  <r>
    <x v="600"/>
    <m/>
    <m/>
    <m/>
    <m/>
    <m/>
    <m/>
    <n v="0"/>
    <n v="0"/>
    <n v="0"/>
    <n v="0"/>
    <n v="0"/>
    <n v="0"/>
  </r>
  <r>
    <x v="601"/>
    <m/>
    <m/>
    <m/>
    <m/>
    <m/>
    <m/>
    <n v="0"/>
    <n v="0"/>
    <n v="0"/>
    <n v="0"/>
    <n v="0"/>
    <n v="0"/>
  </r>
  <r>
    <x v="602"/>
    <m/>
    <m/>
    <m/>
    <m/>
    <m/>
    <m/>
    <n v="0"/>
    <n v="0"/>
    <n v="0"/>
    <n v="0"/>
    <n v="0"/>
    <n v="0"/>
  </r>
  <r>
    <x v="603"/>
    <m/>
    <m/>
    <m/>
    <m/>
    <m/>
    <m/>
    <n v="0"/>
    <n v="0"/>
    <n v="0"/>
    <n v="0"/>
    <n v="0"/>
    <n v="0"/>
  </r>
  <r>
    <x v="604"/>
    <m/>
    <m/>
    <m/>
    <m/>
    <m/>
    <m/>
    <n v="0"/>
    <n v="0"/>
    <n v="0"/>
    <n v="0"/>
    <n v="0"/>
    <n v="0"/>
  </r>
  <r>
    <x v="605"/>
    <m/>
    <m/>
    <m/>
    <m/>
    <m/>
    <m/>
    <n v="0"/>
    <n v="0"/>
    <n v="0"/>
    <n v="0"/>
    <n v="0"/>
    <n v="0"/>
  </r>
  <r>
    <x v="606"/>
    <m/>
    <m/>
    <m/>
    <m/>
    <m/>
    <m/>
    <n v="0"/>
    <n v="0"/>
    <n v="0"/>
    <n v="0"/>
    <n v="0"/>
    <n v="0"/>
  </r>
  <r>
    <x v="607"/>
    <m/>
    <m/>
    <m/>
    <m/>
    <m/>
    <m/>
    <n v="0"/>
    <n v="0"/>
    <n v="0"/>
    <n v="0"/>
    <n v="0"/>
    <n v="0"/>
  </r>
  <r>
    <x v="608"/>
    <m/>
    <m/>
    <m/>
    <m/>
    <m/>
    <m/>
    <n v="0"/>
    <n v="0"/>
    <n v="0"/>
    <n v="0"/>
    <n v="0"/>
    <n v="0"/>
  </r>
  <r>
    <x v="609"/>
    <m/>
    <m/>
    <m/>
    <m/>
    <m/>
    <m/>
    <n v="0"/>
    <n v="0"/>
    <n v="0"/>
    <n v="0"/>
    <n v="0"/>
    <n v="0"/>
  </r>
  <r>
    <x v="610"/>
    <m/>
    <m/>
    <m/>
    <m/>
    <m/>
    <m/>
    <n v="0"/>
    <n v="0"/>
    <n v="0"/>
    <n v="0"/>
    <n v="0"/>
    <n v="0"/>
  </r>
  <r>
    <x v="611"/>
    <m/>
    <m/>
    <m/>
    <m/>
    <m/>
    <m/>
    <n v="0"/>
    <n v="0"/>
    <n v="0"/>
    <n v="0"/>
    <n v="0"/>
    <n v="0"/>
  </r>
  <r>
    <x v="612"/>
    <m/>
    <m/>
    <m/>
    <m/>
    <m/>
    <m/>
    <n v="0"/>
    <n v="0"/>
    <n v="0"/>
    <n v="0"/>
    <n v="0"/>
    <n v="0"/>
  </r>
  <r>
    <x v="613"/>
    <m/>
    <m/>
    <m/>
    <m/>
    <m/>
    <m/>
    <n v="0"/>
    <n v="0"/>
    <n v="0"/>
    <n v="0"/>
    <n v="0"/>
    <n v="0"/>
  </r>
  <r>
    <x v="614"/>
    <m/>
    <m/>
    <m/>
    <m/>
    <m/>
    <m/>
    <n v="0"/>
    <n v="0"/>
    <n v="0"/>
    <n v="0"/>
    <n v="0"/>
    <n v="0"/>
  </r>
  <r>
    <x v="615"/>
    <m/>
    <m/>
    <m/>
    <m/>
    <m/>
    <m/>
    <n v="0"/>
    <n v="0"/>
    <n v="0"/>
    <n v="0"/>
    <n v="0"/>
    <n v="0"/>
  </r>
  <r>
    <x v="616"/>
    <m/>
    <m/>
    <m/>
    <m/>
    <m/>
    <m/>
    <n v="0"/>
    <n v="0"/>
    <n v="0"/>
    <n v="0"/>
    <n v="0"/>
    <n v="0"/>
  </r>
  <r>
    <x v="617"/>
    <m/>
    <m/>
    <m/>
    <m/>
    <m/>
    <m/>
    <n v="0"/>
    <n v="0"/>
    <n v="0"/>
    <n v="0"/>
    <n v="0"/>
    <n v="0"/>
  </r>
  <r>
    <x v="618"/>
    <m/>
    <m/>
    <m/>
    <m/>
    <m/>
    <m/>
    <n v="0"/>
    <n v="0"/>
    <n v="0"/>
    <n v="0"/>
    <n v="0"/>
    <n v="0"/>
  </r>
  <r>
    <x v="619"/>
    <m/>
    <m/>
    <m/>
    <m/>
    <m/>
    <m/>
    <n v="0"/>
    <n v="0"/>
    <n v="0"/>
    <n v="0"/>
    <n v="0"/>
    <n v="0"/>
  </r>
  <r>
    <x v="620"/>
    <m/>
    <m/>
    <m/>
    <m/>
    <m/>
    <m/>
    <n v="0"/>
    <n v="0"/>
    <n v="0"/>
    <n v="0"/>
    <n v="0"/>
    <n v="0"/>
  </r>
  <r>
    <x v="621"/>
    <m/>
    <m/>
    <m/>
    <m/>
    <m/>
    <m/>
    <n v="0"/>
    <n v="0"/>
    <n v="0"/>
    <n v="0"/>
    <n v="0"/>
    <n v="0"/>
  </r>
  <r>
    <x v="622"/>
    <m/>
    <m/>
    <m/>
    <m/>
    <m/>
    <m/>
    <n v="0"/>
    <n v="0"/>
    <n v="0"/>
    <n v="0"/>
    <n v="0"/>
    <n v="0"/>
  </r>
  <r>
    <x v="623"/>
    <m/>
    <m/>
    <m/>
    <m/>
    <m/>
    <m/>
    <n v="0"/>
    <n v="0"/>
    <n v="0"/>
    <n v="0"/>
    <n v="0"/>
    <n v="0"/>
  </r>
  <r>
    <x v="624"/>
    <m/>
    <m/>
    <m/>
    <m/>
    <m/>
    <m/>
    <n v="0"/>
    <n v="0"/>
    <n v="0"/>
    <n v="0"/>
    <n v="0"/>
    <n v="0"/>
  </r>
  <r>
    <x v="625"/>
    <m/>
    <m/>
    <m/>
    <m/>
    <m/>
    <m/>
    <n v="0"/>
    <n v="0"/>
    <n v="0"/>
    <n v="0"/>
    <n v="0"/>
    <n v="0"/>
  </r>
  <r>
    <x v="626"/>
    <m/>
    <m/>
    <m/>
    <m/>
    <m/>
    <m/>
    <n v="0"/>
    <n v="0"/>
    <n v="0"/>
    <n v="0"/>
    <n v="0"/>
    <n v="0"/>
  </r>
  <r>
    <x v="627"/>
    <m/>
    <m/>
    <m/>
    <m/>
    <m/>
    <m/>
    <n v="0"/>
    <n v="0"/>
    <n v="0"/>
    <n v="0"/>
    <n v="0"/>
    <n v="0"/>
  </r>
  <r>
    <x v="628"/>
    <m/>
    <m/>
    <m/>
    <m/>
    <m/>
    <m/>
    <n v="0"/>
    <n v="0"/>
    <n v="0"/>
    <n v="0"/>
    <n v="0"/>
    <n v="0"/>
  </r>
  <r>
    <x v="629"/>
    <m/>
    <m/>
    <m/>
    <m/>
    <m/>
    <m/>
    <n v="0"/>
    <n v="0"/>
    <n v="0"/>
    <n v="0"/>
    <n v="0"/>
    <n v="0"/>
  </r>
  <r>
    <x v="630"/>
    <m/>
    <m/>
    <m/>
    <m/>
    <m/>
    <m/>
    <n v="0"/>
    <n v="0"/>
    <n v="0"/>
    <n v="0"/>
    <n v="0"/>
    <n v="0"/>
  </r>
  <r>
    <x v="631"/>
    <m/>
    <m/>
    <m/>
    <m/>
    <m/>
    <m/>
    <n v="0"/>
    <n v="0"/>
    <n v="0"/>
    <n v="0"/>
    <n v="0"/>
    <n v="0"/>
  </r>
  <r>
    <x v="632"/>
    <m/>
    <m/>
    <m/>
    <m/>
    <m/>
    <m/>
    <n v="0"/>
    <n v="0"/>
    <n v="0"/>
    <n v="0"/>
    <n v="0"/>
    <n v="0"/>
  </r>
  <r>
    <x v="633"/>
    <m/>
    <m/>
    <m/>
    <m/>
    <m/>
    <m/>
    <n v="0"/>
    <n v="0"/>
    <n v="0"/>
    <n v="0"/>
    <n v="0"/>
    <n v="0"/>
  </r>
  <r>
    <x v="634"/>
    <m/>
    <m/>
    <m/>
    <m/>
    <m/>
    <m/>
    <n v="0"/>
    <n v="0"/>
    <n v="0"/>
    <n v="0"/>
    <n v="0"/>
    <n v="0"/>
  </r>
  <r>
    <x v="635"/>
    <m/>
    <m/>
    <m/>
    <m/>
    <m/>
    <m/>
    <n v="0"/>
    <n v="0"/>
    <n v="0"/>
    <n v="0"/>
    <n v="0"/>
    <n v="0"/>
  </r>
  <r>
    <x v="636"/>
    <m/>
    <m/>
    <m/>
    <m/>
    <m/>
    <m/>
    <n v="0"/>
    <n v="0"/>
    <n v="0"/>
    <n v="0"/>
    <n v="0"/>
    <n v="0"/>
  </r>
  <r>
    <x v="637"/>
    <m/>
    <m/>
    <m/>
    <m/>
    <m/>
    <m/>
    <n v="0"/>
    <n v="0"/>
    <n v="0"/>
    <n v="0"/>
    <n v="0"/>
    <n v="0"/>
  </r>
  <r>
    <x v="638"/>
    <m/>
    <m/>
    <m/>
    <m/>
    <m/>
    <m/>
    <n v="0"/>
    <n v="0"/>
    <n v="0"/>
    <n v="0"/>
    <n v="0"/>
    <n v="0"/>
  </r>
  <r>
    <x v="639"/>
    <m/>
    <m/>
    <m/>
    <m/>
    <m/>
    <m/>
    <n v="0"/>
    <n v="0"/>
    <n v="0"/>
    <n v="0"/>
    <n v="0"/>
    <n v="0"/>
  </r>
  <r>
    <x v="640"/>
    <m/>
    <m/>
    <m/>
    <m/>
    <m/>
    <m/>
    <n v="0"/>
    <n v="0"/>
    <n v="0"/>
    <n v="0"/>
    <n v="0"/>
    <n v="0"/>
  </r>
  <r>
    <x v="641"/>
    <m/>
    <m/>
    <m/>
    <m/>
    <m/>
    <m/>
    <n v="0"/>
    <n v="0"/>
    <n v="0"/>
    <n v="0"/>
    <n v="0"/>
    <n v="0"/>
  </r>
  <r>
    <x v="642"/>
    <m/>
    <m/>
    <m/>
    <m/>
    <m/>
    <m/>
    <n v="0"/>
    <n v="0"/>
    <n v="0"/>
    <n v="0"/>
    <n v="0"/>
    <n v="0"/>
  </r>
  <r>
    <x v="643"/>
    <m/>
    <m/>
    <m/>
    <m/>
    <m/>
    <m/>
    <n v="0"/>
    <n v="0"/>
    <n v="0"/>
    <n v="0"/>
    <n v="0"/>
    <n v="0"/>
  </r>
  <r>
    <x v="644"/>
    <m/>
    <m/>
    <m/>
    <m/>
    <m/>
    <m/>
    <n v="0"/>
    <n v="0"/>
    <n v="0"/>
    <n v="0"/>
    <n v="0"/>
    <n v="0"/>
  </r>
  <r>
    <x v="645"/>
    <m/>
    <m/>
    <m/>
    <m/>
    <m/>
    <m/>
    <n v="0"/>
    <n v="0"/>
    <n v="0"/>
    <n v="0"/>
    <n v="0"/>
    <n v="0"/>
  </r>
  <r>
    <x v="646"/>
    <m/>
    <m/>
    <m/>
    <m/>
    <m/>
    <m/>
    <n v="0"/>
    <n v="0"/>
    <n v="0"/>
    <n v="0"/>
    <n v="0"/>
    <n v="0"/>
  </r>
  <r>
    <x v="647"/>
    <m/>
    <m/>
    <m/>
    <m/>
    <m/>
    <m/>
    <n v="0"/>
    <n v="0"/>
    <n v="0"/>
    <n v="0"/>
    <n v="0"/>
    <n v="0"/>
  </r>
  <r>
    <x v="648"/>
    <m/>
    <m/>
    <m/>
    <m/>
    <m/>
    <m/>
    <n v="0"/>
    <n v="0"/>
    <n v="0"/>
    <n v="0"/>
    <n v="0"/>
    <n v="0"/>
  </r>
  <r>
    <x v="649"/>
    <m/>
    <m/>
    <m/>
    <m/>
    <m/>
    <m/>
    <n v="0"/>
    <n v="0"/>
    <n v="0"/>
    <n v="0"/>
    <n v="0"/>
    <n v="0"/>
  </r>
  <r>
    <x v="650"/>
    <m/>
    <m/>
    <m/>
    <m/>
    <m/>
    <m/>
    <n v="0"/>
    <n v="0"/>
    <n v="0"/>
    <n v="0"/>
    <n v="0"/>
    <n v="0"/>
  </r>
  <r>
    <x v="651"/>
    <m/>
    <m/>
    <m/>
    <m/>
    <m/>
    <m/>
    <n v="0"/>
    <n v="0"/>
    <n v="0"/>
    <n v="0"/>
    <n v="0"/>
    <n v="0"/>
  </r>
  <r>
    <x v="652"/>
    <m/>
    <m/>
    <m/>
    <m/>
    <m/>
    <m/>
    <n v="0"/>
    <n v="0"/>
    <n v="0"/>
    <n v="0"/>
    <n v="0"/>
    <n v="0"/>
  </r>
  <r>
    <x v="653"/>
    <m/>
    <m/>
    <m/>
    <m/>
    <m/>
    <m/>
    <n v="0"/>
    <n v="0"/>
    <n v="0"/>
    <n v="0"/>
    <n v="0"/>
    <n v="0"/>
  </r>
  <r>
    <x v="654"/>
    <m/>
    <m/>
    <m/>
    <m/>
    <m/>
    <m/>
    <n v="0"/>
    <n v="0"/>
    <n v="0"/>
    <n v="0"/>
    <n v="0"/>
    <n v="0"/>
  </r>
  <r>
    <x v="655"/>
    <m/>
    <m/>
    <m/>
    <m/>
    <m/>
    <m/>
    <n v="0"/>
    <n v="0"/>
    <n v="0"/>
    <n v="0"/>
    <n v="0"/>
    <n v="0"/>
  </r>
  <r>
    <x v="656"/>
    <m/>
    <m/>
    <m/>
    <m/>
    <m/>
    <m/>
    <n v="0"/>
    <n v="0"/>
    <n v="0"/>
    <n v="0"/>
    <n v="0"/>
    <n v="0"/>
  </r>
  <r>
    <x v="657"/>
    <m/>
    <m/>
    <m/>
    <m/>
    <m/>
    <m/>
    <n v="0"/>
    <n v="0"/>
    <n v="0"/>
    <n v="0"/>
    <n v="0"/>
    <n v="0"/>
  </r>
  <r>
    <x v="658"/>
    <m/>
    <m/>
    <m/>
    <m/>
    <m/>
    <m/>
    <n v="0"/>
    <n v="0"/>
    <n v="0"/>
    <n v="0"/>
    <n v="0"/>
    <n v="0"/>
  </r>
  <r>
    <x v="659"/>
    <m/>
    <m/>
    <m/>
    <m/>
    <m/>
    <m/>
    <n v="0"/>
    <n v="0"/>
    <n v="0"/>
    <n v="0"/>
    <n v="0"/>
    <n v="0"/>
  </r>
  <r>
    <x v="660"/>
    <m/>
    <m/>
    <m/>
    <m/>
    <m/>
    <m/>
    <n v="0"/>
    <n v="0"/>
    <n v="0"/>
    <n v="0"/>
    <n v="0"/>
    <n v="0"/>
  </r>
  <r>
    <x v="661"/>
    <m/>
    <m/>
    <m/>
    <m/>
    <m/>
    <m/>
    <n v="0"/>
    <n v="0"/>
    <n v="0"/>
    <n v="0"/>
    <n v="0"/>
    <n v="0"/>
  </r>
  <r>
    <x v="662"/>
    <m/>
    <m/>
    <m/>
    <m/>
    <m/>
    <m/>
    <n v="0"/>
    <n v="0"/>
    <n v="0"/>
    <n v="0"/>
    <n v="0"/>
    <n v="0"/>
  </r>
  <r>
    <x v="663"/>
    <m/>
    <m/>
    <m/>
    <m/>
    <m/>
    <m/>
    <n v="0"/>
    <n v="0"/>
    <n v="0"/>
    <n v="0"/>
    <n v="0"/>
    <n v="0"/>
  </r>
  <r>
    <x v="664"/>
    <m/>
    <m/>
    <m/>
    <m/>
    <m/>
    <m/>
    <n v="0"/>
    <n v="0"/>
    <n v="0"/>
    <n v="0"/>
    <n v="0"/>
    <n v="0"/>
  </r>
  <r>
    <x v="665"/>
    <m/>
    <m/>
    <m/>
    <m/>
    <m/>
    <m/>
    <n v="0"/>
    <n v="0"/>
    <n v="0"/>
    <n v="0"/>
    <n v="0"/>
    <n v="0"/>
  </r>
  <r>
    <x v="666"/>
    <m/>
    <m/>
    <m/>
    <m/>
    <m/>
    <m/>
    <n v="0"/>
    <n v="0"/>
    <n v="0"/>
    <n v="0"/>
    <n v="0"/>
    <n v="0"/>
  </r>
  <r>
    <x v="667"/>
    <m/>
    <m/>
    <m/>
    <m/>
    <m/>
    <m/>
    <n v="0"/>
    <n v="0"/>
    <n v="0"/>
    <n v="0"/>
    <n v="0"/>
    <n v="0"/>
  </r>
  <r>
    <x v="668"/>
    <m/>
    <m/>
    <m/>
    <m/>
    <m/>
    <m/>
    <n v="0"/>
    <n v="0"/>
    <n v="0"/>
    <n v="0"/>
    <n v="0"/>
    <n v="0"/>
  </r>
  <r>
    <x v="669"/>
    <m/>
    <m/>
    <m/>
    <m/>
    <m/>
    <m/>
    <n v="0"/>
    <n v="0"/>
    <n v="0"/>
    <n v="0"/>
    <n v="0"/>
    <n v="0"/>
  </r>
  <r>
    <x v="670"/>
    <m/>
    <m/>
    <m/>
    <m/>
    <m/>
    <m/>
    <n v="0"/>
    <n v="0"/>
    <n v="0"/>
    <n v="0"/>
    <n v="0"/>
    <n v="0"/>
  </r>
  <r>
    <x v="671"/>
    <m/>
    <m/>
    <m/>
    <m/>
    <m/>
    <m/>
    <n v="0"/>
    <n v="0"/>
    <n v="0"/>
    <n v="0"/>
    <n v="0"/>
    <n v="0"/>
  </r>
  <r>
    <x v="672"/>
    <m/>
    <m/>
    <m/>
    <m/>
    <m/>
    <m/>
    <n v="0"/>
    <n v="0"/>
    <n v="0"/>
    <n v="0"/>
    <n v="0"/>
    <n v="0"/>
  </r>
  <r>
    <x v="673"/>
    <m/>
    <m/>
    <m/>
    <m/>
    <m/>
    <m/>
    <n v="0"/>
    <n v="0"/>
    <n v="0"/>
    <n v="0"/>
    <n v="0"/>
    <n v="0"/>
  </r>
  <r>
    <x v="674"/>
    <m/>
    <m/>
    <m/>
    <m/>
    <m/>
    <m/>
    <n v="0"/>
    <n v="0"/>
    <n v="0"/>
    <n v="0"/>
    <n v="0"/>
    <n v="0"/>
  </r>
  <r>
    <x v="675"/>
    <m/>
    <m/>
    <m/>
    <m/>
    <m/>
    <m/>
    <n v="0"/>
    <n v="0"/>
    <n v="0"/>
    <n v="0"/>
    <n v="0"/>
    <n v="0"/>
  </r>
  <r>
    <x v="676"/>
    <m/>
    <m/>
    <m/>
    <m/>
    <m/>
    <m/>
    <n v="0"/>
    <n v="0"/>
    <n v="0"/>
    <n v="0"/>
    <n v="0"/>
    <n v="0"/>
  </r>
  <r>
    <x v="677"/>
    <m/>
    <m/>
    <m/>
    <m/>
    <m/>
    <m/>
    <n v="0"/>
    <n v="0"/>
    <n v="0"/>
    <n v="0"/>
    <n v="0"/>
    <n v="0"/>
  </r>
  <r>
    <x v="678"/>
    <m/>
    <m/>
    <m/>
    <m/>
    <m/>
    <m/>
    <n v="0"/>
    <n v="0"/>
    <n v="0"/>
    <n v="0"/>
    <n v="0"/>
    <n v="0"/>
  </r>
  <r>
    <x v="679"/>
    <m/>
    <m/>
    <m/>
    <m/>
    <m/>
    <m/>
    <n v="0"/>
    <n v="0"/>
    <n v="0"/>
    <n v="0"/>
    <n v="0"/>
    <n v="0"/>
  </r>
  <r>
    <x v="680"/>
    <m/>
    <m/>
    <m/>
    <m/>
    <m/>
    <m/>
    <n v="0"/>
    <n v="0"/>
    <n v="0"/>
    <n v="0"/>
    <n v="0"/>
    <n v="0"/>
  </r>
  <r>
    <x v="681"/>
    <m/>
    <m/>
    <m/>
    <m/>
    <m/>
    <m/>
    <n v="0"/>
    <n v="0"/>
    <n v="0"/>
    <n v="0"/>
    <n v="0"/>
    <n v="0"/>
  </r>
  <r>
    <x v="682"/>
    <m/>
    <m/>
    <m/>
    <m/>
    <m/>
    <m/>
    <n v="0"/>
    <n v="0"/>
    <n v="0"/>
    <n v="0"/>
    <n v="0"/>
    <n v="0"/>
  </r>
  <r>
    <x v="683"/>
    <m/>
    <m/>
    <m/>
    <m/>
    <m/>
    <m/>
    <n v="0"/>
    <n v="0"/>
    <n v="0"/>
    <n v="0"/>
    <n v="0"/>
    <n v="0"/>
  </r>
  <r>
    <x v="684"/>
    <m/>
    <m/>
    <m/>
    <m/>
    <m/>
    <m/>
    <n v="0"/>
    <n v="0"/>
    <n v="0"/>
    <n v="0"/>
    <n v="0"/>
    <n v="0"/>
  </r>
  <r>
    <x v="685"/>
    <m/>
    <m/>
    <m/>
    <m/>
    <m/>
    <m/>
    <n v="0"/>
    <n v="0"/>
    <n v="0"/>
    <n v="0"/>
    <n v="0"/>
    <n v="0"/>
  </r>
  <r>
    <x v="686"/>
    <m/>
    <m/>
    <m/>
    <m/>
    <m/>
    <m/>
    <n v="0"/>
    <n v="0"/>
    <n v="0"/>
    <n v="0"/>
    <n v="0"/>
    <n v="0"/>
  </r>
  <r>
    <x v="687"/>
    <m/>
    <m/>
    <m/>
    <m/>
    <m/>
    <m/>
    <n v="0"/>
    <n v="0"/>
    <n v="0"/>
    <n v="0"/>
    <n v="0"/>
    <n v="0"/>
  </r>
  <r>
    <x v="688"/>
    <m/>
    <m/>
    <m/>
    <m/>
    <m/>
    <m/>
    <n v="0"/>
    <n v="0"/>
    <n v="0"/>
    <n v="0"/>
    <n v="0"/>
    <n v="0"/>
  </r>
  <r>
    <x v="689"/>
    <m/>
    <m/>
    <m/>
    <m/>
    <m/>
    <m/>
    <n v="0"/>
    <n v="0"/>
    <n v="0"/>
    <n v="0"/>
    <n v="0"/>
    <n v="0"/>
  </r>
  <r>
    <x v="690"/>
    <m/>
    <m/>
    <m/>
    <m/>
    <m/>
    <m/>
    <n v="0"/>
    <n v="0"/>
    <n v="0"/>
    <n v="0"/>
    <n v="0"/>
    <n v="0"/>
  </r>
  <r>
    <x v="691"/>
    <m/>
    <m/>
    <m/>
    <m/>
    <m/>
    <m/>
    <n v="0"/>
    <n v="0"/>
    <n v="0"/>
    <n v="0"/>
    <n v="0"/>
    <n v="0"/>
  </r>
  <r>
    <x v="692"/>
    <m/>
    <m/>
    <m/>
    <m/>
    <m/>
    <m/>
    <n v="0"/>
    <n v="0"/>
    <n v="0"/>
    <n v="0"/>
    <n v="0"/>
    <n v="0"/>
  </r>
  <r>
    <x v="693"/>
    <m/>
    <m/>
    <m/>
    <m/>
    <m/>
    <m/>
    <n v="0"/>
    <n v="0"/>
    <n v="0"/>
    <n v="0"/>
    <n v="0"/>
    <n v="0"/>
  </r>
  <r>
    <x v="694"/>
    <m/>
    <m/>
    <m/>
    <m/>
    <m/>
    <m/>
    <n v="0"/>
    <n v="0"/>
    <n v="0"/>
    <n v="0"/>
    <n v="0"/>
    <n v="0"/>
  </r>
  <r>
    <x v="695"/>
    <m/>
    <m/>
    <m/>
    <m/>
    <m/>
    <m/>
    <n v="0"/>
    <n v="0"/>
    <n v="0"/>
    <n v="0"/>
    <n v="0"/>
    <n v="0"/>
  </r>
  <r>
    <x v="696"/>
    <m/>
    <m/>
    <m/>
    <m/>
    <m/>
    <m/>
    <n v="0"/>
    <n v="0"/>
    <n v="0"/>
    <n v="0"/>
    <n v="0"/>
    <n v="0"/>
  </r>
  <r>
    <x v="697"/>
    <m/>
    <m/>
    <m/>
    <m/>
    <m/>
    <m/>
    <n v="0"/>
    <n v="0"/>
    <n v="0"/>
    <n v="0"/>
    <n v="0"/>
    <n v="0"/>
  </r>
  <r>
    <x v="698"/>
    <m/>
    <m/>
    <m/>
    <m/>
    <m/>
    <m/>
    <n v="0"/>
    <n v="0"/>
    <n v="0"/>
    <n v="0"/>
    <n v="0"/>
    <n v="0"/>
  </r>
  <r>
    <x v="699"/>
    <m/>
    <m/>
    <m/>
    <m/>
    <m/>
    <m/>
    <n v="0"/>
    <n v="0"/>
    <n v="0"/>
    <n v="0"/>
    <n v="0"/>
    <n v="0"/>
  </r>
  <r>
    <x v="700"/>
    <m/>
    <m/>
    <m/>
    <m/>
    <m/>
    <m/>
    <n v="0"/>
    <n v="0"/>
    <n v="0"/>
    <n v="0"/>
    <n v="0"/>
    <n v="0"/>
  </r>
  <r>
    <x v="701"/>
    <m/>
    <m/>
    <m/>
    <m/>
    <m/>
    <m/>
    <n v="0"/>
    <n v="0"/>
    <n v="0"/>
    <n v="0"/>
    <n v="0"/>
    <n v="0"/>
  </r>
  <r>
    <x v="702"/>
    <m/>
    <m/>
    <m/>
    <m/>
    <m/>
    <m/>
    <n v="0"/>
    <n v="0"/>
    <n v="0"/>
    <n v="0"/>
    <n v="0"/>
    <n v="0"/>
  </r>
  <r>
    <x v="703"/>
    <m/>
    <m/>
    <m/>
    <m/>
    <m/>
    <m/>
    <n v="0"/>
    <n v="0"/>
    <n v="0"/>
    <n v="0"/>
    <n v="0"/>
    <n v="0"/>
  </r>
  <r>
    <x v="704"/>
    <m/>
    <m/>
    <m/>
    <m/>
    <m/>
    <m/>
    <n v="0"/>
    <n v="0"/>
    <n v="0"/>
    <n v="0"/>
    <n v="0"/>
    <n v="0"/>
  </r>
  <r>
    <x v="705"/>
    <m/>
    <m/>
    <m/>
    <m/>
    <m/>
    <m/>
    <n v="0"/>
    <n v="0"/>
    <n v="0"/>
    <n v="0"/>
    <n v="0"/>
    <n v="0"/>
  </r>
  <r>
    <x v="706"/>
    <m/>
    <m/>
    <m/>
    <m/>
    <m/>
    <m/>
    <n v="0"/>
    <n v="0"/>
    <n v="0"/>
    <n v="0"/>
    <n v="0"/>
    <n v="0"/>
  </r>
  <r>
    <x v="707"/>
    <m/>
    <m/>
    <m/>
    <m/>
    <m/>
    <m/>
    <n v="0"/>
    <n v="0"/>
    <n v="0"/>
    <n v="0"/>
    <n v="0"/>
    <n v="0"/>
  </r>
  <r>
    <x v="708"/>
    <m/>
    <m/>
    <m/>
    <m/>
    <m/>
    <m/>
    <n v="0"/>
    <n v="0"/>
    <n v="0"/>
    <n v="0"/>
    <n v="0"/>
    <n v="0"/>
  </r>
  <r>
    <x v="709"/>
    <m/>
    <m/>
    <m/>
    <m/>
    <m/>
    <m/>
    <n v="0"/>
    <n v="0"/>
    <n v="0"/>
    <n v="0"/>
    <n v="0"/>
    <n v="0"/>
  </r>
  <r>
    <x v="710"/>
    <m/>
    <m/>
    <m/>
    <m/>
    <m/>
    <m/>
    <n v="0"/>
    <n v="0"/>
    <n v="0"/>
    <n v="0"/>
    <n v="0"/>
    <n v="0"/>
  </r>
  <r>
    <x v="711"/>
    <m/>
    <m/>
    <m/>
    <m/>
    <m/>
    <m/>
    <n v="0"/>
    <n v="0"/>
    <n v="0"/>
    <n v="0"/>
    <n v="0"/>
    <n v="0"/>
  </r>
  <r>
    <x v="712"/>
    <m/>
    <m/>
    <m/>
    <m/>
    <m/>
    <m/>
    <n v="0"/>
    <n v="0"/>
    <n v="0"/>
    <n v="0"/>
    <n v="0"/>
    <n v="0"/>
  </r>
  <r>
    <x v="713"/>
    <m/>
    <m/>
    <m/>
    <m/>
    <m/>
    <m/>
    <n v="0"/>
    <n v="0"/>
    <n v="0"/>
    <n v="0"/>
    <n v="0"/>
    <n v="0"/>
  </r>
  <r>
    <x v="714"/>
    <m/>
    <m/>
    <m/>
    <m/>
    <m/>
    <m/>
    <n v="0"/>
    <n v="0"/>
    <n v="0"/>
    <n v="0"/>
    <n v="0"/>
    <n v="0"/>
  </r>
  <r>
    <x v="715"/>
    <m/>
    <m/>
    <m/>
    <m/>
    <m/>
    <m/>
    <n v="0"/>
    <n v="0"/>
    <n v="0"/>
    <n v="0"/>
    <n v="0"/>
    <n v="0"/>
  </r>
  <r>
    <x v="716"/>
    <m/>
    <m/>
    <m/>
    <m/>
    <m/>
    <m/>
    <n v="0"/>
    <n v="0"/>
    <n v="0"/>
    <n v="0"/>
    <n v="0"/>
    <n v="0"/>
  </r>
  <r>
    <x v="717"/>
    <m/>
    <m/>
    <m/>
    <m/>
    <m/>
    <m/>
    <n v="0"/>
    <n v="0"/>
    <n v="0"/>
    <n v="0"/>
    <n v="0"/>
    <n v="0"/>
  </r>
  <r>
    <x v="718"/>
    <m/>
    <m/>
    <m/>
    <m/>
    <m/>
    <m/>
    <n v="0"/>
    <n v="0"/>
    <n v="0"/>
    <n v="0"/>
    <n v="0"/>
    <n v="0"/>
  </r>
  <r>
    <x v="719"/>
    <m/>
    <m/>
    <m/>
    <m/>
    <m/>
    <m/>
    <n v="0"/>
    <n v="0"/>
    <n v="0"/>
    <n v="0"/>
    <n v="0"/>
    <n v="0"/>
  </r>
  <r>
    <x v="720"/>
    <m/>
    <m/>
    <m/>
    <m/>
    <m/>
    <m/>
    <n v="0"/>
    <n v="0"/>
    <n v="0"/>
    <n v="0"/>
    <n v="0"/>
    <n v="0"/>
  </r>
  <r>
    <x v="721"/>
    <m/>
    <m/>
    <m/>
    <m/>
    <m/>
    <m/>
    <n v="0"/>
    <n v="0"/>
    <n v="0"/>
    <n v="0"/>
    <n v="0"/>
    <n v="0"/>
  </r>
  <r>
    <x v="722"/>
    <m/>
    <m/>
    <m/>
    <m/>
    <m/>
    <m/>
    <n v="0"/>
    <n v="0"/>
    <n v="0"/>
    <n v="0"/>
    <n v="0"/>
    <n v="0"/>
  </r>
  <r>
    <x v="723"/>
    <m/>
    <m/>
    <m/>
    <m/>
    <m/>
    <m/>
    <n v="0"/>
    <n v="0"/>
    <n v="0"/>
    <n v="0"/>
    <n v="0"/>
    <n v="0"/>
  </r>
  <r>
    <x v="724"/>
    <m/>
    <m/>
    <m/>
    <m/>
    <m/>
    <m/>
    <n v="0"/>
    <n v="0"/>
    <n v="0"/>
    <n v="0"/>
    <n v="0"/>
    <n v="0"/>
  </r>
  <r>
    <x v="725"/>
    <m/>
    <m/>
    <m/>
    <m/>
    <m/>
    <m/>
    <n v="0"/>
    <n v="0"/>
    <n v="0"/>
    <n v="0"/>
    <n v="0"/>
    <n v="0"/>
  </r>
  <r>
    <x v="726"/>
    <m/>
    <m/>
    <m/>
    <m/>
    <m/>
    <m/>
    <n v="0"/>
    <n v="0"/>
    <n v="0"/>
    <n v="0"/>
    <n v="0"/>
    <n v="0"/>
  </r>
  <r>
    <x v="727"/>
    <m/>
    <m/>
    <m/>
    <m/>
    <m/>
    <m/>
    <n v="0"/>
    <n v="0"/>
    <n v="0"/>
    <n v="0"/>
    <n v="0"/>
    <n v="0"/>
  </r>
  <r>
    <x v="728"/>
    <m/>
    <m/>
    <m/>
    <m/>
    <m/>
    <m/>
    <n v="0"/>
    <n v="0"/>
    <n v="0"/>
    <n v="0"/>
    <n v="0"/>
    <n v="0"/>
  </r>
  <r>
    <x v="729"/>
    <m/>
    <m/>
    <m/>
    <m/>
    <m/>
    <m/>
    <n v="0"/>
    <n v="0"/>
    <n v="0"/>
    <n v="0"/>
    <n v="0"/>
    <n v="0"/>
  </r>
  <r>
    <x v="730"/>
    <m/>
    <m/>
    <m/>
    <m/>
    <m/>
    <m/>
    <n v="0"/>
    <n v="0"/>
    <n v="0"/>
    <n v="0"/>
    <n v="0"/>
    <n v="0"/>
  </r>
  <r>
    <x v="731"/>
    <m/>
    <m/>
    <m/>
    <m/>
    <m/>
    <m/>
    <n v="0"/>
    <n v="0"/>
    <n v="0"/>
    <n v="0"/>
    <n v="0"/>
    <n v="0"/>
  </r>
  <r>
    <x v="732"/>
    <m/>
    <m/>
    <m/>
    <m/>
    <m/>
    <m/>
    <n v="0"/>
    <n v="0"/>
    <n v="0"/>
    <n v="0"/>
    <n v="0"/>
    <n v="0"/>
  </r>
  <r>
    <x v="733"/>
    <m/>
    <m/>
    <m/>
    <m/>
    <m/>
    <m/>
    <n v="0"/>
    <n v="0"/>
    <n v="0"/>
    <n v="0"/>
    <n v="0"/>
    <n v="0"/>
  </r>
  <r>
    <x v="734"/>
    <m/>
    <m/>
    <m/>
    <m/>
    <m/>
    <m/>
    <n v="0"/>
    <n v="0"/>
    <n v="0"/>
    <n v="0"/>
    <n v="0"/>
    <n v="0"/>
  </r>
  <r>
    <x v="735"/>
    <m/>
    <m/>
    <m/>
    <m/>
    <m/>
    <m/>
    <n v="0"/>
    <n v="0"/>
    <n v="0"/>
    <n v="0"/>
    <n v="0"/>
    <n v="0"/>
  </r>
  <r>
    <x v="736"/>
    <m/>
    <m/>
    <m/>
    <m/>
    <m/>
    <m/>
    <n v="0"/>
    <n v="0"/>
    <n v="0"/>
    <n v="0"/>
    <n v="0"/>
    <n v="0"/>
  </r>
  <r>
    <x v="737"/>
    <m/>
    <m/>
    <m/>
    <m/>
    <m/>
    <m/>
    <n v="0"/>
    <n v="0"/>
    <n v="0"/>
    <n v="0"/>
    <n v="0"/>
    <n v="0"/>
  </r>
  <r>
    <x v="738"/>
    <m/>
    <m/>
    <m/>
    <m/>
    <m/>
    <m/>
    <n v="0"/>
    <n v="0"/>
    <n v="0"/>
    <n v="0"/>
    <n v="0"/>
    <n v="0"/>
  </r>
  <r>
    <x v="739"/>
    <m/>
    <m/>
    <m/>
    <m/>
    <m/>
    <m/>
    <n v="0"/>
    <n v="0"/>
    <n v="0"/>
    <n v="0"/>
    <n v="0"/>
    <n v="0"/>
  </r>
  <r>
    <x v="740"/>
    <m/>
    <m/>
    <m/>
    <m/>
    <m/>
    <m/>
    <n v="0"/>
    <n v="0"/>
    <n v="0"/>
    <n v="0"/>
    <n v="0"/>
    <n v="0"/>
  </r>
  <r>
    <x v="741"/>
    <m/>
    <m/>
    <m/>
    <m/>
    <m/>
    <m/>
    <n v="0"/>
    <n v="0"/>
    <n v="0"/>
    <n v="0"/>
    <n v="0"/>
    <n v="0"/>
  </r>
  <r>
    <x v="742"/>
    <m/>
    <m/>
    <m/>
    <m/>
    <m/>
    <m/>
    <n v="0"/>
    <n v="0"/>
    <n v="0"/>
    <n v="0"/>
    <n v="0"/>
    <n v="0"/>
  </r>
  <r>
    <x v="743"/>
    <m/>
    <m/>
    <m/>
    <m/>
    <m/>
    <m/>
    <n v="0"/>
    <n v="0"/>
    <n v="0"/>
    <n v="0"/>
    <n v="0"/>
    <n v="0"/>
  </r>
  <r>
    <x v="744"/>
    <m/>
    <m/>
    <m/>
    <m/>
    <m/>
    <m/>
    <n v="0"/>
    <n v="0"/>
    <n v="0"/>
    <n v="0"/>
    <n v="0"/>
    <n v="0"/>
  </r>
  <r>
    <x v="745"/>
    <m/>
    <m/>
    <m/>
    <m/>
    <m/>
    <m/>
    <n v="0"/>
    <n v="0"/>
    <n v="0"/>
    <n v="0"/>
    <n v="0"/>
    <n v="0"/>
  </r>
  <r>
    <x v="746"/>
    <m/>
    <m/>
    <m/>
    <m/>
    <m/>
    <m/>
    <n v="0"/>
    <n v="0"/>
    <n v="0"/>
    <n v="0"/>
    <n v="0"/>
    <n v="0"/>
  </r>
  <r>
    <x v="747"/>
    <m/>
    <m/>
    <m/>
    <m/>
    <m/>
    <m/>
    <n v="0"/>
    <n v="0"/>
    <n v="0"/>
    <n v="0"/>
    <n v="0"/>
    <n v="0"/>
  </r>
  <r>
    <x v="748"/>
    <m/>
    <m/>
    <m/>
    <m/>
    <m/>
    <m/>
    <n v="0"/>
    <n v="0"/>
    <n v="0"/>
    <n v="0"/>
    <n v="0"/>
    <n v="0"/>
  </r>
  <r>
    <x v="749"/>
    <m/>
    <m/>
    <m/>
    <m/>
    <m/>
    <m/>
    <n v="0"/>
    <n v="0"/>
    <n v="0"/>
    <n v="0"/>
    <n v="0"/>
    <n v="0"/>
  </r>
  <r>
    <x v="750"/>
    <m/>
    <m/>
    <m/>
    <m/>
    <m/>
    <m/>
    <n v="0"/>
    <n v="0"/>
    <n v="0"/>
    <n v="0"/>
    <n v="0"/>
    <n v="0"/>
  </r>
  <r>
    <x v="751"/>
    <m/>
    <m/>
    <m/>
    <m/>
    <m/>
    <m/>
    <n v="0"/>
    <n v="0"/>
    <n v="0"/>
    <n v="0"/>
    <n v="0"/>
    <n v="0"/>
  </r>
  <r>
    <x v="752"/>
    <m/>
    <m/>
    <m/>
    <m/>
    <m/>
    <m/>
    <n v="0"/>
    <n v="0"/>
    <n v="0"/>
    <n v="0"/>
    <n v="0"/>
    <n v="0"/>
  </r>
  <r>
    <x v="753"/>
    <m/>
    <m/>
    <m/>
    <m/>
    <m/>
    <m/>
    <n v="0"/>
    <n v="0"/>
    <n v="0"/>
    <n v="0"/>
    <n v="0"/>
    <n v="0"/>
  </r>
  <r>
    <x v="754"/>
    <m/>
    <m/>
    <m/>
    <m/>
    <m/>
    <m/>
    <n v="0"/>
    <n v="0"/>
    <n v="0"/>
    <n v="0"/>
    <n v="0"/>
    <n v="0"/>
  </r>
  <r>
    <x v="755"/>
    <m/>
    <m/>
    <m/>
    <m/>
    <m/>
    <m/>
    <n v="0"/>
    <n v="0"/>
    <n v="0"/>
    <n v="0"/>
    <n v="0"/>
    <n v="0"/>
  </r>
  <r>
    <x v="756"/>
    <m/>
    <m/>
    <m/>
    <m/>
    <m/>
    <m/>
    <n v="0"/>
    <n v="0"/>
    <n v="0"/>
    <n v="0"/>
    <n v="0"/>
    <n v="0"/>
  </r>
  <r>
    <x v="757"/>
    <m/>
    <m/>
    <m/>
    <m/>
    <m/>
    <m/>
    <n v="0"/>
    <n v="0"/>
    <n v="0"/>
    <n v="0"/>
    <n v="0"/>
    <n v="0"/>
  </r>
  <r>
    <x v="758"/>
    <m/>
    <m/>
    <m/>
    <m/>
    <m/>
    <m/>
    <n v="0"/>
    <n v="0"/>
    <n v="0"/>
    <n v="0"/>
    <n v="0"/>
    <n v="0"/>
  </r>
  <r>
    <x v="759"/>
    <m/>
    <m/>
    <m/>
    <m/>
    <m/>
    <m/>
    <n v="0"/>
    <n v="0"/>
    <n v="0"/>
    <n v="0"/>
    <n v="0"/>
    <n v="0"/>
  </r>
  <r>
    <x v="760"/>
    <m/>
    <m/>
    <m/>
    <m/>
    <m/>
    <m/>
    <n v="0"/>
    <n v="0"/>
    <n v="0"/>
    <n v="0"/>
    <n v="0"/>
    <n v="0"/>
  </r>
  <r>
    <x v="761"/>
    <m/>
    <m/>
    <m/>
    <m/>
    <m/>
    <m/>
    <n v="0"/>
    <n v="0"/>
    <n v="0"/>
    <n v="0"/>
    <n v="0"/>
    <n v="0"/>
  </r>
  <r>
    <x v="762"/>
    <m/>
    <m/>
    <m/>
    <m/>
    <m/>
    <m/>
    <n v="0"/>
    <n v="0"/>
    <n v="0"/>
    <n v="0"/>
    <n v="0"/>
    <n v="0"/>
  </r>
  <r>
    <x v="763"/>
    <m/>
    <m/>
    <m/>
    <m/>
    <m/>
    <m/>
    <n v="0"/>
    <n v="0"/>
    <n v="0"/>
    <n v="0"/>
    <n v="0"/>
    <n v="0"/>
  </r>
  <r>
    <x v="764"/>
    <m/>
    <m/>
    <m/>
    <m/>
    <m/>
    <m/>
    <n v="0"/>
    <n v="0"/>
    <n v="0"/>
    <n v="0"/>
    <n v="0"/>
    <n v="0"/>
  </r>
  <r>
    <x v="765"/>
    <m/>
    <m/>
    <m/>
    <m/>
    <m/>
    <m/>
    <n v="0"/>
    <n v="0"/>
    <n v="0"/>
    <n v="0"/>
    <n v="0"/>
    <n v="0"/>
  </r>
  <r>
    <x v="766"/>
    <m/>
    <m/>
    <m/>
    <m/>
    <m/>
    <m/>
    <n v="0"/>
    <n v="0"/>
    <n v="0"/>
    <n v="0"/>
    <n v="0"/>
    <n v="0"/>
  </r>
  <r>
    <x v="767"/>
    <m/>
    <m/>
    <m/>
    <m/>
    <m/>
    <m/>
    <n v="0"/>
    <n v="0"/>
    <n v="0"/>
    <n v="0"/>
    <n v="0"/>
    <n v="0"/>
  </r>
  <r>
    <x v="768"/>
    <m/>
    <m/>
    <m/>
    <m/>
    <m/>
    <m/>
    <n v="0"/>
    <n v="0"/>
    <n v="0"/>
    <n v="0"/>
    <n v="0"/>
    <n v="0"/>
  </r>
  <r>
    <x v="769"/>
    <m/>
    <m/>
    <m/>
    <m/>
    <m/>
    <m/>
    <n v="0"/>
    <n v="0"/>
    <n v="0"/>
    <n v="0"/>
    <n v="0"/>
    <n v="0"/>
  </r>
  <r>
    <x v="770"/>
    <m/>
    <m/>
    <m/>
    <m/>
    <m/>
    <m/>
    <n v="0"/>
    <n v="0"/>
    <n v="0"/>
    <n v="0"/>
    <n v="0"/>
    <n v="0"/>
  </r>
  <r>
    <x v="771"/>
    <m/>
    <m/>
    <m/>
    <m/>
    <m/>
    <m/>
    <n v="0"/>
    <n v="0"/>
    <n v="0"/>
    <n v="0"/>
    <n v="0"/>
    <n v="0"/>
  </r>
  <r>
    <x v="772"/>
    <m/>
    <m/>
    <m/>
    <m/>
    <m/>
    <m/>
    <n v="0"/>
    <n v="0"/>
    <n v="0"/>
    <n v="0"/>
    <n v="0"/>
    <n v="0"/>
  </r>
  <r>
    <x v="773"/>
    <m/>
    <m/>
    <m/>
    <m/>
    <m/>
    <m/>
    <n v="0"/>
    <n v="0"/>
    <n v="0"/>
    <n v="0"/>
    <n v="0"/>
    <n v="0"/>
  </r>
  <r>
    <x v="774"/>
    <m/>
    <m/>
    <m/>
    <m/>
    <m/>
    <m/>
    <n v="0"/>
    <n v="0"/>
    <n v="0"/>
    <n v="0"/>
    <n v="0"/>
    <n v="0"/>
  </r>
  <r>
    <x v="775"/>
    <m/>
    <m/>
    <m/>
    <m/>
    <m/>
    <m/>
    <n v="0"/>
    <n v="0"/>
    <n v="0"/>
    <n v="0"/>
    <n v="0"/>
    <n v="0"/>
  </r>
  <r>
    <x v="776"/>
    <m/>
    <m/>
    <m/>
    <m/>
    <m/>
    <m/>
    <n v="0"/>
    <n v="0"/>
    <n v="0"/>
    <n v="0"/>
    <n v="0"/>
    <n v="0"/>
  </r>
  <r>
    <x v="777"/>
    <m/>
    <m/>
    <m/>
    <m/>
    <m/>
    <m/>
    <n v="0"/>
    <n v="0"/>
    <n v="0"/>
    <n v="0"/>
    <n v="0"/>
    <n v="0"/>
  </r>
  <r>
    <x v="778"/>
    <m/>
    <m/>
    <m/>
    <m/>
    <m/>
    <m/>
    <n v="0"/>
    <n v="0"/>
    <n v="0"/>
    <n v="0"/>
    <n v="0"/>
    <n v="0"/>
  </r>
  <r>
    <x v="779"/>
    <m/>
    <m/>
    <m/>
    <m/>
    <m/>
    <m/>
    <n v="0"/>
    <n v="0"/>
    <n v="0"/>
    <n v="0"/>
    <n v="0"/>
    <n v="0"/>
  </r>
  <r>
    <x v="780"/>
    <m/>
    <m/>
    <m/>
    <m/>
    <m/>
    <m/>
    <n v="0"/>
    <n v="0"/>
    <n v="0"/>
    <n v="0"/>
    <n v="0"/>
    <n v="0"/>
  </r>
  <r>
    <x v="781"/>
    <m/>
    <m/>
    <m/>
    <m/>
    <m/>
    <m/>
    <n v="0"/>
    <n v="0"/>
    <n v="0"/>
    <n v="0"/>
    <n v="0"/>
    <n v="0"/>
  </r>
  <r>
    <x v="782"/>
    <m/>
    <m/>
    <m/>
    <m/>
    <m/>
    <m/>
    <n v="0"/>
    <n v="0"/>
    <n v="0"/>
    <n v="0"/>
    <n v="0"/>
    <n v="0"/>
  </r>
  <r>
    <x v="783"/>
    <m/>
    <m/>
    <m/>
    <m/>
    <m/>
    <m/>
    <n v="0"/>
    <n v="0"/>
    <n v="0"/>
    <n v="0"/>
    <n v="0"/>
    <n v="0"/>
  </r>
  <r>
    <x v="784"/>
    <m/>
    <m/>
    <m/>
    <m/>
    <m/>
    <m/>
    <n v="0"/>
    <n v="0"/>
    <n v="0"/>
    <n v="0"/>
    <n v="0"/>
    <n v="0"/>
  </r>
  <r>
    <x v="785"/>
    <m/>
    <m/>
    <m/>
    <m/>
    <m/>
    <m/>
    <n v="0"/>
    <n v="0"/>
    <n v="0"/>
    <n v="0"/>
    <n v="0"/>
    <n v="0"/>
  </r>
  <r>
    <x v="786"/>
    <m/>
    <m/>
    <m/>
    <m/>
    <m/>
    <m/>
    <n v="0"/>
    <n v="0"/>
    <n v="0"/>
    <n v="0"/>
    <n v="0"/>
    <n v="0"/>
  </r>
  <r>
    <x v="787"/>
    <m/>
    <m/>
    <m/>
    <m/>
    <m/>
    <m/>
    <n v="0"/>
    <n v="0"/>
    <n v="0"/>
    <n v="0"/>
    <n v="0"/>
    <n v="0"/>
  </r>
  <r>
    <x v="788"/>
    <m/>
    <m/>
    <m/>
    <m/>
    <m/>
    <m/>
    <n v="0"/>
    <n v="0"/>
    <n v="0"/>
    <n v="0"/>
    <n v="0"/>
    <n v="0"/>
  </r>
  <r>
    <x v="789"/>
    <m/>
    <m/>
    <m/>
    <m/>
    <m/>
    <m/>
    <n v="0"/>
    <n v="0"/>
    <n v="0"/>
    <n v="0"/>
    <n v="0"/>
    <n v="0"/>
  </r>
  <r>
    <x v="790"/>
    <m/>
    <m/>
    <m/>
    <m/>
    <m/>
    <m/>
    <n v="0"/>
    <n v="0"/>
    <n v="0"/>
    <n v="0"/>
    <n v="0"/>
    <n v="0"/>
  </r>
  <r>
    <x v="791"/>
    <m/>
    <m/>
    <m/>
    <m/>
    <m/>
    <m/>
    <n v="0"/>
    <n v="0"/>
    <n v="0"/>
    <n v="0"/>
    <n v="0"/>
    <n v="0"/>
  </r>
  <r>
    <x v="792"/>
    <m/>
    <m/>
    <m/>
    <m/>
    <m/>
    <m/>
    <n v="0"/>
    <n v="0"/>
    <n v="0"/>
    <n v="0"/>
    <n v="0"/>
    <n v="0"/>
  </r>
  <r>
    <x v="793"/>
    <m/>
    <m/>
    <m/>
    <m/>
    <m/>
    <m/>
    <n v="0"/>
    <n v="0"/>
    <n v="0"/>
    <n v="0"/>
    <n v="0"/>
    <n v="0"/>
  </r>
  <r>
    <x v="794"/>
    <m/>
    <m/>
    <m/>
    <m/>
    <m/>
    <m/>
    <n v="0"/>
    <n v="0"/>
    <n v="0"/>
    <n v="0"/>
    <n v="0"/>
    <n v="0"/>
  </r>
  <r>
    <x v="795"/>
    <m/>
    <m/>
    <m/>
    <m/>
    <m/>
    <m/>
    <n v="0"/>
    <n v="0"/>
    <n v="0"/>
    <n v="0"/>
    <n v="0"/>
    <n v="0"/>
  </r>
  <r>
    <x v="796"/>
    <m/>
    <m/>
    <m/>
    <m/>
    <m/>
    <m/>
    <n v="0"/>
    <n v="0"/>
    <n v="0"/>
    <n v="0"/>
    <n v="0"/>
    <n v="0"/>
  </r>
  <r>
    <x v="797"/>
    <m/>
    <m/>
    <m/>
    <m/>
    <m/>
    <m/>
    <n v="0"/>
    <n v="0"/>
    <n v="0"/>
    <n v="0"/>
    <n v="0"/>
    <n v="0"/>
  </r>
  <r>
    <x v="798"/>
    <m/>
    <m/>
    <m/>
    <m/>
    <m/>
    <m/>
    <n v="0"/>
    <n v="0"/>
    <n v="0"/>
    <n v="0"/>
    <n v="0"/>
    <n v="0"/>
  </r>
  <r>
    <x v="799"/>
    <m/>
    <m/>
    <m/>
    <m/>
    <m/>
    <m/>
    <n v="0"/>
    <n v="0"/>
    <n v="0"/>
    <n v="0"/>
    <n v="0"/>
    <n v="0"/>
  </r>
  <r>
    <x v="800"/>
    <m/>
    <m/>
    <m/>
    <m/>
    <m/>
    <m/>
    <n v="0"/>
    <n v="0"/>
    <n v="0"/>
    <n v="0"/>
    <n v="0"/>
    <n v="0"/>
  </r>
  <r>
    <x v="801"/>
    <m/>
    <m/>
    <m/>
    <m/>
    <m/>
    <m/>
    <n v="0"/>
    <n v="0"/>
    <n v="0"/>
    <n v="0"/>
    <n v="0"/>
    <n v="0"/>
  </r>
  <r>
    <x v="802"/>
    <m/>
    <m/>
    <m/>
    <m/>
    <m/>
    <m/>
    <n v="0"/>
    <n v="0"/>
    <n v="0"/>
    <n v="0"/>
    <n v="0"/>
    <n v="0"/>
  </r>
  <r>
    <x v="803"/>
    <m/>
    <m/>
    <m/>
    <m/>
    <m/>
    <m/>
    <n v="0"/>
    <n v="0"/>
    <n v="0"/>
    <n v="0"/>
    <n v="0"/>
    <n v="0"/>
  </r>
  <r>
    <x v="804"/>
    <m/>
    <m/>
    <m/>
    <m/>
    <m/>
    <m/>
    <n v="0"/>
    <n v="0"/>
    <n v="0"/>
    <n v="0"/>
    <n v="0"/>
    <n v="0"/>
  </r>
  <r>
    <x v="805"/>
    <m/>
    <m/>
    <m/>
    <m/>
    <m/>
    <m/>
    <n v="0"/>
    <n v="0"/>
    <n v="0"/>
    <n v="0"/>
    <n v="0"/>
    <n v="0"/>
  </r>
  <r>
    <x v="806"/>
    <m/>
    <m/>
    <m/>
    <m/>
    <m/>
    <m/>
    <n v="0"/>
    <n v="0"/>
    <n v="0"/>
    <n v="0"/>
    <n v="0"/>
    <n v="0"/>
  </r>
  <r>
    <x v="807"/>
    <m/>
    <m/>
    <m/>
    <m/>
    <m/>
    <m/>
    <n v="0"/>
    <n v="0"/>
    <n v="0"/>
    <n v="0"/>
    <n v="0"/>
    <n v="0"/>
  </r>
  <r>
    <x v="808"/>
    <m/>
    <m/>
    <m/>
    <m/>
    <m/>
    <m/>
    <n v="0"/>
    <n v="0"/>
    <n v="0"/>
    <n v="0"/>
    <n v="0"/>
    <n v="0"/>
  </r>
  <r>
    <x v="809"/>
    <m/>
    <m/>
    <m/>
    <m/>
    <m/>
    <m/>
    <n v="0"/>
    <n v="0"/>
    <n v="0"/>
    <n v="0"/>
    <n v="0"/>
    <n v="0"/>
  </r>
  <r>
    <x v="810"/>
    <m/>
    <m/>
    <m/>
    <m/>
    <m/>
    <m/>
    <n v="0"/>
    <n v="0"/>
    <n v="0"/>
    <n v="0"/>
    <n v="0"/>
    <n v="0"/>
  </r>
  <r>
    <x v="811"/>
    <m/>
    <m/>
    <m/>
    <m/>
    <m/>
    <m/>
    <n v="0"/>
    <n v="0"/>
    <n v="0"/>
    <n v="0"/>
    <n v="0"/>
    <n v="0"/>
  </r>
  <r>
    <x v="812"/>
    <m/>
    <m/>
    <m/>
    <m/>
    <m/>
    <m/>
    <n v="0"/>
    <n v="0"/>
    <n v="0"/>
    <n v="0"/>
    <n v="0"/>
    <n v="0"/>
  </r>
  <r>
    <x v="813"/>
    <m/>
    <m/>
    <m/>
    <m/>
    <m/>
    <m/>
    <n v="0"/>
    <n v="0"/>
    <n v="0"/>
    <n v="0"/>
    <n v="0"/>
    <n v="0"/>
  </r>
  <r>
    <x v="814"/>
    <m/>
    <m/>
    <m/>
    <m/>
    <m/>
    <m/>
    <n v="0"/>
    <n v="0"/>
    <n v="0"/>
    <n v="0"/>
    <n v="0"/>
    <n v="0"/>
  </r>
  <r>
    <x v="815"/>
    <m/>
    <m/>
    <m/>
    <m/>
    <m/>
    <m/>
    <n v="0"/>
    <n v="0"/>
    <n v="0"/>
    <n v="0"/>
    <n v="0"/>
    <n v="0"/>
  </r>
  <r>
    <x v="816"/>
    <m/>
    <m/>
    <m/>
    <m/>
    <m/>
    <m/>
    <n v="0"/>
    <n v="0"/>
    <n v="0"/>
    <n v="0"/>
    <n v="0"/>
    <n v="0"/>
  </r>
  <r>
    <x v="817"/>
    <m/>
    <m/>
    <m/>
    <m/>
    <m/>
    <m/>
    <n v="0"/>
    <n v="0"/>
    <n v="0"/>
    <n v="0"/>
    <n v="0"/>
    <n v="0"/>
  </r>
  <r>
    <x v="818"/>
    <m/>
    <m/>
    <m/>
    <m/>
    <m/>
    <m/>
    <n v="0"/>
    <n v="0"/>
    <n v="0"/>
    <n v="0"/>
    <n v="0"/>
    <n v="0"/>
  </r>
  <r>
    <x v="819"/>
    <m/>
    <m/>
    <m/>
    <m/>
    <m/>
    <m/>
    <n v="0"/>
    <n v="0"/>
    <n v="0"/>
    <n v="0"/>
    <n v="0"/>
    <n v="0"/>
  </r>
  <r>
    <x v="820"/>
    <m/>
    <m/>
    <m/>
    <m/>
    <m/>
    <m/>
    <n v="0"/>
    <n v="0"/>
    <n v="0"/>
    <n v="0"/>
    <n v="0"/>
    <n v="0"/>
  </r>
  <r>
    <x v="821"/>
    <m/>
    <m/>
    <m/>
    <m/>
    <m/>
    <m/>
    <n v="0"/>
    <n v="0"/>
    <n v="0"/>
    <n v="0"/>
    <n v="0"/>
    <n v="0"/>
  </r>
  <r>
    <x v="822"/>
    <m/>
    <m/>
    <m/>
    <m/>
    <m/>
    <m/>
    <n v="0"/>
    <n v="0"/>
    <n v="0"/>
    <n v="0"/>
    <n v="0"/>
    <n v="0"/>
  </r>
  <r>
    <x v="823"/>
    <m/>
    <m/>
    <m/>
    <m/>
    <m/>
    <m/>
    <n v="0"/>
    <n v="0"/>
    <n v="0"/>
    <n v="0"/>
    <n v="0"/>
    <n v="0"/>
  </r>
  <r>
    <x v="824"/>
    <m/>
    <m/>
    <m/>
    <m/>
    <m/>
    <m/>
    <n v="0"/>
    <n v="0"/>
    <n v="0"/>
    <n v="0"/>
    <n v="0"/>
    <n v="0"/>
  </r>
  <r>
    <x v="825"/>
    <m/>
    <m/>
    <m/>
    <m/>
    <m/>
    <m/>
    <n v="0"/>
    <n v="0"/>
    <n v="0"/>
    <n v="0"/>
    <n v="0"/>
    <n v="0"/>
  </r>
  <r>
    <x v="826"/>
    <m/>
    <m/>
    <m/>
    <m/>
    <m/>
    <m/>
    <n v="0"/>
    <n v="0"/>
    <n v="0"/>
    <n v="0"/>
    <n v="0"/>
    <n v="0"/>
  </r>
  <r>
    <x v="827"/>
    <m/>
    <m/>
    <m/>
    <m/>
    <m/>
    <m/>
    <n v="0"/>
    <n v="0"/>
    <n v="0"/>
    <n v="0"/>
    <n v="0"/>
    <n v="0"/>
  </r>
  <r>
    <x v="828"/>
    <m/>
    <m/>
    <m/>
    <m/>
    <m/>
    <m/>
    <n v="0"/>
    <n v="0"/>
    <n v="0"/>
    <n v="0"/>
    <n v="0"/>
    <n v="0"/>
  </r>
  <r>
    <x v="829"/>
    <m/>
    <m/>
    <m/>
    <m/>
    <m/>
    <m/>
    <n v="0"/>
    <n v="0"/>
    <n v="0"/>
    <n v="0"/>
    <n v="0"/>
    <n v="0"/>
  </r>
  <r>
    <x v="830"/>
    <m/>
    <m/>
    <m/>
    <m/>
    <m/>
    <m/>
    <n v="0"/>
    <n v="0"/>
    <n v="0"/>
    <n v="0"/>
    <n v="0"/>
    <n v="0"/>
  </r>
  <r>
    <x v="831"/>
    <m/>
    <m/>
    <m/>
    <m/>
    <m/>
    <m/>
    <n v="0"/>
    <n v="0"/>
    <n v="0"/>
    <n v="0"/>
    <n v="0"/>
    <n v="0"/>
  </r>
  <r>
    <x v="832"/>
    <m/>
    <m/>
    <m/>
    <m/>
    <m/>
    <m/>
    <n v="0"/>
    <n v="0"/>
    <n v="0"/>
    <n v="0"/>
    <n v="0"/>
    <n v="0"/>
  </r>
  <r>
    <x v="833"/>
    <m/>
    <m/>
    <m/>
    <m/>
    <m/>
    <m/>
    <n v="0"/>
    <n v="0"/>
    <n v="0"/>
    <n v="0"/>
    <n v="0"/>
    <n v="0"/>
  </r>
  <r>
    <x v="834"/>
    <m/>
    <m/>
    <m/>
    <m/>
    <m/>
    <m/>
    <n v="0"/>
    <n v="0"/>
    <n v="0"/>
    <n v="0"/>
    <n v="0"/>
    <n v="0"/>
  </r>
  <r>
    <x v="835"/>
    <m/>
    <m/>
    <m/>
    <m/>
    <m/>
    <m/>
    <n v="0"/>
    <n v="0"/>
    <n v="0"/>
    <n v="0"/>
    <n v="0"/>
    <n v="0"/>
  </r>
  <r>
    <x v="836"/>
    <m/>
    <m/>
    <m/>
    <m/>
    <m/>
    <m/>
    <n v="0"/>
    <n v="0"/>
    <n v="0"/>
    <n v="0"/>
    <n v="0"/>
    <n v="0"/>
  </r>
  <r>
    <x v="837"/>
    <m/>
    <m/>
    <m/>
    <m/>
    <m/>
    <m/>
    <n v="0"/>
    <n v="0"/>
    <n v="0"/>
    <n v="0"/>
    <n v="0"/>
    <n v="0"/>
  </r>
  <r>
    <x v="838"/>
    <m/>
    <m/>
    <m/>
    <m/>
    <m/>
    <m/>
    <n v="0"/>
    <n v="0"/>
    <n v="0"/>
    <n v="0"/>
    <n v="0"/>
    <n v="0"/>
  </r>
  <r>
    <x v="839"/>
    <m/>
    <m/>
    <m/>
    <m/>
    <m/>
    <m/>
    <n v="0"/>
    <n v="0"/>
    <n v="0"/>
    <n v="0"/>
    <n v="0"/>
    <n v="0"/>
  </r>
  <r>
    <x v="840"/>
    <m/>
    <m/>
    <m/>
    <m/>
    <m/>
    <m/>
    <n v="0"/>
    <n v="0"/>
    <n v="0"/>
    <n v="0"/>
    <n v="0"/>
    <n v="0"/>
  </r>
  <r>
    <x v="841"/>
    <m/>
    <m/>
    <m/>
    <m/>
    <m/>
    <m/>
    <n v="0"/>
    <n v="0"/>
    <n v="0"/>
    <n v="0"/>
    <n v="0"/>
    <n v="0"/>
  </r>
  <r>
    <x v="842"/>
    <m/>
    <m/>
    <m/>
    <m/>
    <m/>
    <m/>
    <n v="0"/>
    <n v="0"/>
    <n v="0"/>
    <n v="0"/>
    <n v="0"/>
    <n v="0"/>
  </r>
  <r>
    <x v="843"/>
    <m/>
    <m/>
    <m/>
    <m/>
    <m/>
    <m/>
    <n v="0"/>
    <n v="0"/>
    <n v="0"/>
    <n v="0"/>
    <n v="0"/>
    <n v="0"/>
  </r>
  <r>
    <x v="844"/>
    <m/>
    <m/>
    <m/>
    <m/>
    <m/>
    <m/>
    <n v="0"/>
    <n v="0"/>
    <n v="0"/>
    <n v="0"/>
    <n v="0"/>
    <n v="0"/>
  </r>
  <r>
    <x v="845"/>
    <m/>
    <m/>
    <m/>
    <m/>
    <m/>
    <m/>
    <n v="0"/>
    <n v="0"/>
    <n v="0"/>
    <n v="0"/>
    <n v="0"/>
    <n v="0"/>
  </r>
  <r>
    <x v="846"/>
    <m/>
    <m/>
    <m/>
    <m/>
    <m/>
    <m/>
    <n v="0"/>
    <n v="0"/>
    <n v="0"/>
    <n v="0"/>
    <n v="0"/>
    <n v="0"/>
  </r>
  <r>
    <x v="847"/>
    <m/>
    <m/>
    <m/>
    <m/>
    <m/>
    <m/>
    <n v="0"/>
    <n v="0"/>
    <n v="0"/>
    <n v="0"/>
    <n v="0"/>
    <n v="0"/>
  </r>
  <r>
    <x v="848"/>
    <m/>
    <m/>
    <m/>
    <m/>
    <m/>
    <m/>
    <n v="0"/>
    <n v="0"/>
    <n v="0"/>
    <n v="0"/>
    <n v="0"/>
    <n v="0"/>
  </r>
  <r>
    <x v="849"/>
    <m/>
    <m/>
    <m/>
    <m/>
    <m/>
    <m/>
    <n v="0"/>
    <n v="0"/>
    <n v="0"/>
    <n v="0"/>
    <n v="0"/>
    <n v="0"/>
  </r>
  <r>
    <x v="850"/>
    <m/>
    <m/>
    <m/>
    <m/>
    <m/>
    <m/>
    <n v="0"/>
    <n v="0"/>
    <n v="0"/>
    <n v="0"/>
    <n v="0"/>
    <n v="0"/>
  </r>
  <r>
    <x v="851"/>
    <m/>
    <m/>
    <m/>
    <m/>
    <m/>
    <m/>
    <n v="0"/>
    <n v="0"/>
    <n v="0"/>
    <n v="0"/>
    <n v="0"/>
    <n v="0"/>
  </r>
  <r>
    <x v="852"/>
    <m/>
    <m/>
    <m/>
    <m/>
    <m/>
    <m/>
    <n v="0"/>
    <n v="0"/>
    <n v="0"/>
    <n v="0"/>
    <n v="0"/>
    <n v="0"/>
  </r>
  <r>
    <x v="853"/>
    <m/>
    <m/>
    <m/>
    <m/>
    <m/>
    <m/>
    <n v="0"/>
    <n v="0"/>
    <n v="0"/>
    <n v="0"/>
    <n v="0"/>
    <n v="0"/>
  </r>
  <r>
    <x v="854"/>
    <m/>
    <m/>
    <m/>
    <m/>
    <m/>
    <m/>
    <n v="0"/>
    <n v="0"/>
    <n v="0"/>
    <n v="0"/>
    <n v="0"/>
    <n v="0"/>
  </r>
  <r>
    <x v="855"/>
    <m/>
    <m/>
    <m/>
    <m/>
    <m/>
    <m/>
    <n v="0"/>
    <n v="0"/>
    <n v="0"/>
    <n v="0"/>
    <n v="0"/>
    <n v="0"/>
  </r>
  <r>
    <x v="856"/>
    <m/>
    <m/>
    <m/>
    <m/>
    <m/>
    <m/>
    <n v="0"/>
    <n v="0"/>
    <n v="0"/>
    <n v="0"/>
    <n v="0"/>
    <n v="0"/>
  </r>
  <r>
    <x v="857"/>
    <m/>
    <m/>
    <m/>
    <m/>
    <m/>
    <m/>
    <n v="0"/>
    <n v="0"/>
    <n v="0"/>
    <n v="0"/>
    <n v="0"/>
    <n v="0"/>
  </r>
  <r>
    <x v="858"/>
    <m/>
    <m/>
    <m/>
    <m/>
    <m/>
    <m/>
    <n v="0"/>
    <n v="0"/>
    <n v="0"/>
    <n v="0"/>
    <n v="0"/>
    <n v="0"/>
  </r>
  <r>
    <x v="859"/>
    <m/>
    <m/>
    <m/>
    <m/>
    <m/>
    <m/>
    <n v="0"/>
    <n v="0"/>
    <n v="0"/>
    <n v="0"/>
    <n v="0"/>
    <n v="0"/>
  </r>
  <r>
    <x v="860"/>
    <m/>
    <m/>
    <m/>
    <m/>
    <m/>
    <m/>
    <n v="0"/>
    <n v="0"/>
    <n v="0"/>
    <n v="0"/>
    <n v="0"/>
    <n v="0"/>
  </r>
  <r>
    <x v="861"/>
    <m/>
    <m/>
    <m/>
    <m/>
    <m/>
    <m/>
    <n v="0"/>
    <n v="0"/>
    <n v="0"/>
    <n v="0"/>
    <n v="0"/>
    <n v="0"/>
  </r>
  <r>
    <x v="862"/>
    <m/>
    <m/>
    <m/>
    <m/>
    <m/>
    <m/>
    <n v="0"/>
    <n v="0"/>
    <n v="0"/>
    <n v="0"/>
    <n v="0"/>
    <n v="0"/>
  </r>
  <r>
    <x v="863"/>
    <m/>
    <m/>
    <m/>
    <m/>
    <m/>
    <m/>
    <n v="0"/>
    <n v="0"/>
    <n v="0"/>
    <n v="0"/>
    <n v="0"/>
    <n v="0"/>
  </r>
  <r>
    <x v="864"/>
    <m/>
    <m/>
    <m/>
    <m/>
    <m/>
    <m/>
    <n v="0"/>
    <n v="0"/>
    <n v="0"/>
    <n v="0"/>
    <n v="0"/>
    <n v="0"/>
  </r>
  <r>
    <x v="865"/>
    <m/>
    <m/>
    <m/>
    <m/>
    <m/>
    <m/>
    <n v="0"/>
    <n v="0"/>
    <n v="0"/>
    <n v="0"/>
    <n v="0"/>
    <n v="0"/>
  </r>
  <r>
    <x v="866"/>
    <m/>
    <m/>
    <m/>
    <m/>
    <m/>
    <m/>
    <n v="0"/>
    <n v="0"/>
    <n v="0"/>
    <n v="0"/>
    <n v="0"/>
    <n v="0"/>
  </r>
  <r>
    <x v="867"/>
    <m/>
    <m/>
    <m/>
    <m/>
    <m/>
    <m/>
    <n v="0"/>
    <n v="0"/>
    <n v="0"/>
    <n v="0"/>
    <n v="0"/>
    <n v="0"/>
  </r>
  <r>
    <x v="868"/>
    <m/>
    <m/>
    <m/>
    <m/>
    <m/>
    <m/>
    <n v="0"/>
    <n v="0"/>
    <n v="0"/>
    <n v="0"/>
    <n v="0"/>
    <n v="0"/>
  </r>
  <r>
    <x v="869"/>
    <m/>
    <m/>
    <m/>
    <m/>
    <m/>
    <m/>
    <n v="0"/>
    <n v="0"/>
    <n v="0"/>
    <n v="0"/>
    <n v="0"/>
    <n v="0"/>
  </r>
  <r>
    <x v="870"/>
    <m/>
    <m/>
    <m/>
    <m/>
    <m/>
    <m/>
    <n v="0"/>
    <n v="0"/>
    <n v="0"/>
    <n v="0"/>
    <n v="0"/>
    <n v="0"/>
  </r>
  <r>
    <x v="871"/>
    <m/>
    <m/>
    <m/>
    <m/>
    <m/>
    <m/>
    <n v="0"/>
    <n v="0"/>
    <n v="0"/>
    <n v="0"/>
    <n v="0"/>
    <n v="0"/>
  </r>
  <r>
    <x v="872"/>
    <m/>
    <m/>
    <m/>
    <m/>
    <m/>
    <m/>
    <n v="0"/>
    <n v="0"/>
    <n v="0"/>
    <n v="0"/>
    <n v="0"/>
    <n v="0"/>
  </r>
  <r>
    <x v="873"/>
    <m/>
    <m/>
    <m/>
    <m/>
    <m/>
    <m/>
    <n v="0"/>
    <n v="0"/>
    <n v="0"/>
    <n v="0"/>
    <n v="0"/>
    <n v="0"/>
  </r>
  <r>
    <x v="874"/>
    <m/>
    <m/>
    <m/>
    <m/>
    <m/>
    <m/>
    <n v="0"/>
    <n v="0"/>
    <n v="0"/>
    <n v="0"/>
    <n v="0"/>
    <n v="0"/>
  </r>
  <r>
    <x v="875"/>
    <m/>
    <m/>
    <m/>
    <m/>
    <m/>
    <m/>
    <n v="0"/>
    <n v="0"/>
    <n v="0"/>
    <n v="0"/>
    <n v="0"/>
    <n v="0"/>
  </r>
  <r>
    <x v="876"/>
    <m/>
    <m/>
    <m/>
    <m/>
    <m/>
    <m/>
    <n v="0"/>
    <n v="0"/>
    <n v="0"/>
    <n v="0"/>
    <n v="0"/>
    <n v="0"/>
  </r>
  <r>
    <x v="877"/>
    <m/>
    <m/>
    <m/>
    <m/>
    <m/>
    <m/>
    <n v="0"/>
    <n v="0"/>
    <n v="0"/>
    <n v="0"/>
    <n v="0"/>
    <n v="0"/>
  </r>
  <r>
    <x v="878"/>
    <m/>
    <m/>
    <m/>
    <m/>
    <m/>
    <m/>
    <n v="0"/>
    <n v="0"/>
    <n v="0"/>
    <n v="0"/>
    <n v="0"/>
    <n v="0"/>
  </r>
  <r>
    <x v="879"/>
    <m/>
    <m/>
    <m/>
    <m/>
    <m/>
    <m/>
    <n v="0"/>
    <n v="0"/>
    <n v="0"/>
    <n v="0"/>
    <n v="0"/>
    <n v="0"/>
  </r>
  <r>
    <x v="880"/>
    <m/>
    <m/>
    <m/>
    <m/>
    <m/>
    <m/>
    <n v="0"/>
    <n v="0"/>
    <n v="0"/>
    <n v="0"/>
    <n v="0"/>
    <n v="0"/>
  </r>
  <r>
    <x v="881"/>
    <m/>
    <m/>
    <m/>
    <m/>
    <m/>
    <m/>
    <n v="0"/>
    <n v="0"/>
    <n v="0"/>
    <n v="0"/>
    <n v="0"/>
    <n v="0"/>
  </r>
  <r>
    <x v="882"/>
    <m/>
    <m/>
    <m/>
    <m/>
    <m/>
    <m/>
    <n v="0"/>
    <n v="0"/>
    <n v="0"/>
    <n v="0"/>
    <n v="0"/>
    <n v="0"/>
  </r>
  <r>
    <x v="883"/>
    <m/>
    <m/>
    <m/>
    <m/>
    <m/>
    <m/>
    <n v="0"/>
    <n v="0"/>
    <n v="0"/>
    <n v="0"/>
    <n v="0"/>
    <n v="0"/>
  </r>
  <r>
    <x v="884"/>
    <m/>
    <m/>
    <m/>
    <m/>
    <m/>
    <m/>
    <n v="0"/>
    <n v="0"/>
    <n v="0"/>
    <n v="0"/>
    <n v="0"/>
    <n v="0"/>
  </r>
  <r>
    <x v="885"/>
    <m/>
    <m/>
    <m/>
    <m/>
    <m/>
    <m/>
    <n v="0"/>
    <n v="0"/>
    <n v="0"/>
    <n v="0"/>
    <n v="0"/>
    <n v="0"/>
  </r>
  <r>
    <x v="886"/>
    <m/>
    <m/>
    <m/>
    <m/>
    <m/>
    <m/>
    <n v="0"/>
    <n v="0"/>
    <n v="0"/>
    <n v="0"/>
    <n v="0"/>
    <n v="0"/>
  </r>
  <r>
    <x v="887"/>
    <m/>
    <m/>
    <m/>
    <m/>
    <m/>
    <m/>
    <n v="0"/>
    <n v="0"/>
    <n v="0"/>
    <n v="0"/>
    <n v="0"/>
    <n v="0"/>
  </r>
  <r>
    <x v="888"/>
    <m/>
    <m/>
    <m/>
    <m/>
    <m/>
    <m/>
    <n v="0"/>
    <n v="0"/>
    <n v="0"/>
    <n v="0"/>
    <n v="0"/>
    <n v="0"/>
  </r>
  <r>
    <x v="889"/>
    <m/>
    <m/>
    <m/>
    <m/>
    <m/>
    <m/>
    <n v="0"/>
    <n v="0"/>
    <n v="0"/>
    <n v="0"/>
    <n v="0"/>
    <n v="0"/>
  </r>
  <r>
    <x v="890"/>
    <m/>
    <m/>
    <m/>
    <m/>
    <m/>
    <m/>
    <n v="0"/>
    <n v="0"/>
    <n v="0"/>
    <n v="0"/>
    <n v="0"/>
    <n v="0"/>
  </r>
  <r>
    <x v="891"/>
    <m/>
    <m/>
    <m/>
    <m/>
    <m/>
    <m/>
    <n v="0"/>
    <n v="0"/>
    <n v="0"/>
    <n v="0"/>
    <n v="0"/>
    <n v="0"/>
  </r>
  <r>
    <x v="892"/>
    <m/>
    <m/>
    <m/>
    <m/>
    <m/>
    <m/>
    <n v="0"/>
    <n v="0"/>
    <n v="0"/>
    <n v="0"/>
    <n v="0"/>
    <n v="0"/>
  </r>
  <r>
    <x v="893"/>
    <m/>
    <m/>
    <m/>
    <m/>
    <m/>
    <m/>
    <n v="0"/>
    <n v="0"/>
    <n v="0"/>
    <n v="0"/>
    <n v="0"/>
    <n v="0"/>
  </r>
  <r>
    <x v="894"/>
    <m/>
    <m/>
    <m/>
    <m/>
    <m/>
    <m/>
    <n v="0"/>
    <n v="0"/>
    <n v="0"/>
    <n v="0"/>
    <n v="0"/>
    <n v="0"/>
  </r>
  <r>
    <x v="895"/>
    <m/>
    <m/>
    <m/>
    <m/>
    <m/>
    <m/>
    <n v="0"/>
    <n v="0"/>
    <n v="0"/>
    <n v="0"/>
    <n v="0"/>
    <n v="0"/>
  </r>
  <r>
    <x v="896"/>
    <m/>
    <m/>
    <m/>
    <m/>
    <m/>
    <m/>
    <n v="0"/>
    <n v="0"/>
    <n v="0"/>
    <n v="0"/>
    <n v="0"/>
    <n v="0"/>
  </r>
  <r>
    <x v="897"/>
    <m/>
    <m/>
    <m/>
    <m/>
    <m/>
    <m/>
    <n v="0"/>
    <n v="0"/>
    <n v="0"/>
    <n v="0"/>
    <n v="0"/>
    <n v="0"/>
  </r>
  <r>
    <x v="898"/>
    <m/>
    <m/>
    <m/>
    <m/>
    <m/>
    <m/>
    <n v="0"/>
    <n v="0"/>
    <n v="0"/>
    <n v="0"/>
    <n v="0"/>
    <n v="0"/>
  </r>
  <r>
    <x v="899"/>
    <m/>
    <m/>
    <m/>
    <m/>
    <m/>
    <m/>
    <n v="0"/>
    <n v="0"/>
    <n v="0"/>
    <n v="0"/>
    <n v="0"/>
    <n v="0"/>
  </r>
  <r>
    <x v="900"/>
    <m/>
    <m/>
    <m/>
    <m/>
    <m/>
    <m/>
    <n v="0"/>
    <n v="0"/>
    <n v="0"/>
    <n v="0"/>
    <n v="0"/>
    <n v="0"/>
  </r>
  <r>
    <x v="901"/>
    <m/>
    <m/>
    <m/>
    <m/>
    <m/>
    <m/>
    <n v="0"/>
    <n v="0"/>
    <n v="0"/>
    <n v="0"/>
    <n v="0"/>
    <n v="0"/>
  </r>
  <r>
    <x v="902"/>
    <m/>
    <m/>
    <m/>
    <m/>
    <m/>
    <m/>
    <n v="0"/>
    <n v="0"/>
    <n v="0"/>
    <n v="0"/>
    <n v="0"/>
    <n v="0"/>
  </r>
  <r>
    <x v="903"/>
    <m/>
    <m/>
    <m/>
    <m/>
    <m/>
    <m/>
    <n v="0"/>
    <n v="0"/>
    <n v="0"/>
    <n v="0"/>
    <n v="0"/>
    <n v="0"/>
  </r>
  <r>
    <x v="904"/>
    <m/>
    <m/>
    <m/>
    <m/>
    <m/>
    <m/>
    <n v="0"/>
    <n v="0"/>
    <n v="0"/>
    <n v="0"/>
    <n v="0"/>
    <n v="0"/>
  </r>
  <r>
    <x v="905"/>
    <m/>
    <m/>
    <m/>
    <m/>
    <m/>
    <m/>
    <n v="0"/>
    <n v="0"/>
    <n v="0"/>
    <n v="0"/>
    <n v="0"/>
    <n v="0"/>
  </r>
  <r>
    <x v="906"/>
    <m/>
    <m/>
    <m/>
    <m/>
    <m/>
    <m/>
    <n v="0"/>
    <n v="0"/>
    <n v="0"/>
    <n v="0"/>
    <n v="0"/>
    <n v="0"/>
  </r>
  <r>
    <x v="907"/>
    <m/>
    <m/>
    <m/>
    <m/>
    <m/>
    <m/>
    <n v="0"/>
    <n v="0"/>
    <n v="0"/>
    <n v="0"/>
    <n v="0"/>
    <n v="0"/>
  </r>
  <r>
    <x v="908"/>
    <m/>
    <m/>
    <m/>
    <m/>
    <m/>
    <m/>
    <n v="0"/>
    <n v="0"/>
    <n v="0"/>
    <n v="0"/>
    <n v="0"/>
    <n v="0"/>
  </r>
  <r>
    <x v="909"/>
    <m/>
    <m/>
    <m/>
    <m/>
    <m/>
    <m/>
    <n v="0"/>
    <n v="0"/>
    <n v="0"/>
    <n v="0"/>
    <n v="0"/>
    <n v="0"/>
  </r>
  <r>
    <x v="910"/>
    <m/>
    <m/>
    <m/>
    <m/>
    <m/>
    <m/>
    <n v="0"/>
    <n v="0"/>
    <n v="0"/>
    <n v="0"/>
    <n v="0"/>
    <n v="0"/>
  </r>
  <r>
    <x v="911"/>
    <m/>
    <m/>
    <m/>
    <m/>
    <m/>
    <m/>
    <n v="0"/>
    <n v="0"/>
    <n v="0"/>
    <n v="0"/>
    <n v="0"/>
    <n v="0"/>
  </r>
  <r>
    <x v="912"/>
    <m/>
    <m/>
    <m/>
    <m/>
    <m/>
    <m/>
    <n v="0"/>
    <n v="0"/>
    <n v="0"/>
    <n v="0"/>
    <n v="0"/>
    <n v="0"/>
  </r>
  <r>
    <x v="913"/>
    <m/>
    <m/>
    <m/>
    <m/>
    <m/>
    <m/>
    <n v="0"/>
    <n v="0"/>
    <n v="0"/>
    <n v="0"/>
    <n v="0"/>
    <n v="0"/>
  </r>
  <r>
    <x v="914"/>
    <m/>
    <m/>
    <m/>
    <m/>
    <m/>
    <m/>
    <n v="0"/>
    <n v="0"/>
    <n v="0"/>
    <n v="0"/>
    <n v="0"/>
    <n v="0"/>
  </r>
  <r>
    <x v="915"/>
    <m/>
    <m/>
    <m/>
    <m/>
    <m/>
    <m/>
    <n v="0"/>
    <n v="0"/>
    <n v="0"/>
    <n v="0"/>
    <n v="0"/>
    <n v="0"/>
  </r>
  <r>
    <x v="916"/>
    <m/>
    <m/>
    <m/>
    <m/>
    <m/>
    <m/>
    <n v="0"/>
    <n v="0"/>
    <n v="0"/>
    <n v="0"/>
    <n v="0"/>
    <n v="0"/>
  </r>
  <r>
    <x v="917"/>
    <m/>
    <m/>
    <m/>
    <m/>
    <m/>
    <m/>
    <n v="0"/>
    <n v="0"/>
    <n v="0"/>
    <n v="0"/>
    <n v="0"/>
    <n v="0"/>
  </r>
  <r>
    <x v="918"/>
    <m/>
    <m/>
    <m/>
    <m/>
    <m/>
    <m/>
    <n v="0"/>
    <n v="0"/>
    <n v="0"/>
    <n v="0"/>
    <n v="0"/>
    <n v="0"/>
  </r>
  <r>
    <x v="919"/>
    <m/>
    <m/>
    <m/>
    <m/>
    <m/>
    <m/>
    <n v="0"/>
    <n v="0"/>
    <n v="0"/>
    <n v="0"/>
    <n v="0"/>
    <n v="0"/>
  </r>
  <r>
    <x v="920"/>
    <m/>
    <m/>
    <m/>
    <m/>
    <m/>
    <m/>
    <n v="0"/>
    <n v="0"/>
    <n v="0"/>
    <n v="0"/>
    <n v="0"/>
    <n v="0"/>
  </r>
  <r>
    <x v="921"/>
    <m/>
    <m/>
    <m/>
    <m/>
    <m/>
    <m/>
    <n v="0"/>
    <n v="0"/>
    <n v="0"/>
    <n v="0"/>
    <n v="0"/>
    <n v="0"/>
  </r>
  <r>
    <x v="922"/>
    <m/>
    <m/>
    <m/>
    <m/>
    <m/>
    <m/>
    <n v="0"/>
    <n v="0"/>
    <n v="0"/>
    <n v="0"/>
    <n v="0"/>
    <n v="0"/>
  </r>
  <r>
    <x v="923"/>
    <m/>
    <m/>
    <m/>
    <m/>
    <m/>
    <m/>
    <n v="0"/>
    <n v="0"/>
    <n v="0"/>
    <n v="0"/>
    <n v="0"/>
    <n v="0"/>
  </r>
  <r>
    <x v="924"/>
    <m/>
    <m/>
    <m/>
    <m/>
    <m/>
    <m/>
    <n v="0"/>
    <n v="0"/>
    <n v="0"/>
    <n v="0"/>
    <n v="0"/>
    <n v="0"/>
  </r>
  <r>
    <x v="925"/>
    <m/>
    <m/>
    <m/>
    <m/>
    <m/>
    <m/>
    <n v="0"/>
    <n v="0"/>
    <n v="0"/>
    <n v="0"/>
    <n v="0"/>
    <n v="0"/>
  </r>
  <r>
    <x v="926"/>
    <m/>
    <m/>
    <m/>
    <m/>
    <m/>
    <m/>
    <n v="0"/>
    <n v="0"/>
    <n v="0"/>
    <n v="0"/>
    <n v="0"/>
    <n v="0"/>
  </r>
  <r>
    <x v="927"/>
    <m/>
    <m/>
    <m/>
    <m/>
    <m/>
    <m/>
    <n v="0"/>
    <n v="0"/>
    <n v="0"/>
    <n v="0"/>
    <n v="0"/>
    <n v="0"/>
  </r>
  <r>
    <x v="928"/>
    <m/>
    <m/>
    <m/>
    <m/>
    <m/>
    <m/>
    <n v="0"/>
    <n v="0"/>
    <n v="0"/>
    <n v="0"/>
    <n v="0"/>
    <n v="0"/>
  </r>
  <r>
    <x v="929"/>
    <m/>
    <m/>
    <m/>
    <m/>
    <m/>
    <m/>
    <n v="0"/>
    <n v="0"/>
    <n v="0"/>
    <n v="0"/>
    <n v="0"/>
    <n v="0"/>
  </r>
  <r>
    <x v="930"/>
    <m/>
    <m/>
    <m/>
    <m/>
    <m/>
    <m/>
    <n v="0"/>
    <n v="0"/>
    <n v="0"/>
    <n v="0"/>
    <n v="0"/>
    <n v="0"/>
  </r>
  <r>
    <x v="931"/>
    <m/>
    <m/>
    <m/>
    <m/>
    <m/>
    <m/>
    <n v="0"/>
    <n v="0"/>
    <n v="0"/>
    <n v="0"/>
    <n v="0"/>
    <n v="0"/>
  </r>
  <r>
    <x v="932"/>
    <m/>
    <m/>
    <m/>
    <m/>
    <m/>
    <m/>
    <n v="0"/>
    <n v="0"/>
    <n v="0"/>
    <n v="0"/>
    <n v="0"/>
    <n v="0"/>
  </r>
  <r>
    <x v="933"/>
    <m/>
    <m/>
    <m/>
    <m/>
    <m/>
    <m/>
    <n v="0"/>
    <n v="0"/>
    <n v="0"/>
    <n v="0"/>
    <n v="0"/>
    <n v="0"/>
  </r>
  <r>
    <x v="934"/>
    <m/>
    <m/>
    <m/>
    <m/>
    <m/>
    <m/>
    <n v="0"/>
    <n v="0"/>
    <n v="0"/>
    <n v="0"/>
    <n v="0"/>
    <n v="0"/>
  </r>
  <r>
    <x v="935"/>
    <m/>
    <m/>
    <m/>
    <m/>
    <m/>
    <m/>
    <n v="0"/>
    <n v="0"/>
    <n v="0"/>
    <n v="0"/>
    <n v="0"/>
    <n v="0"/>
  </r>
  <r>
    <x v="936"/>
    <m/>
    <m/>
    <m/>
    <m/>
    <m/>
    <m/>
    <n v="0"/>
    <n v="0"/>
    <n v="0"/>
    <n v="0"/>
    <n v="0"/>
    <n v="0"/>
  </r>
  <r>
    <x v="937"/>
    <m/>
    <m/>
    <m/>
    <m/>
    <m/>
    <m/>
    <n v="0"/>
    <n v="0"/>
    <n v="0"/>
    <n v="0"/>
    <n v="0"/>
    <n v="0"/>
  </r>
  <r>
    <x v="938"/>
    <m/>
    <m/>
    <m/>
    <m/>
    <m/>
    <m/>
    <n v="0"/>
    <n v="0"/>
    <n v="0"/>
    <n v="0"/>
    <n v="0"/>
    <n v="0"/>
  </r>
  <r>
    <x v="939"/>
    <m/>
    <m/>
    <m/>
    <m/>
    <m/>
    <m/>
    <n v="0"/>
    <n v="0"/>
    <n v="0"/>
    <n v="0"/>
    <n v="0"/>
    <n v="0"/>
  </r>
  <r>
    <x v="940"/>
    <m/>
    <m/>
    <m/>
    <m/>
    <m/>
    <m/>
    <n v="0"/>
    <n v="0"/>
    <n v="0"/>
    <n v="0"/>
    <n v="0"/>
    <n v="0"/>
  </r>
  <r>
    <x v="941"/>
    <m/>
    <m/>
    <m/>
    <m/>
    <m/>
    <m/>
    <n v="0"/>
    <n v="0"/>
    <n v="0"/>
    <n v="0"/>
    <n v="0"/>
    <n v="0"/>
  </r>
  <r>
    <x v="942"/>
    <m/>
    <m/>
    <m/>
    <m/>
    <m/>
    <m/>
    <n v="0"/>
    <n v="0"/>
    <n v="0"/>
    <n v="0"/>
    <n v="0"/>
    <n v="0"/>
  </r>
  <r>
    <x v="943"/>
    <m/>
    <m/>
    <m/>
    <m/>
    <m/>
    <m/>
    <n v="0"/>
    <n v="0"/>
    <n v="0"/>
    <n v="0"/>
    <n v="0"/>
    <n v="0"/>
  </r>
  <r>
    <x v="944"/>
    <m/>
    <m/>
    <m/>
    <m/>
    <m/>
    <m/>
    <n v="0"/>
    <n v="0"/>
    <n v="0"/>
    <n v="0"/>
    <n v="0"/>
    <n v="0"/>
  </r>
  <r>
    <x v="945"/>
    <m/>
    <m/>
    <m/>
    <m/>
    <m/>
    <m/>
    <n v="0"/>
    <n v="0"/>
    <n v="0"/>
    <n v="0"/>
    <n v="0"/>
    <n v="0"/>
  </r>
  <r>
    <x v="946"/>
    <m/>
    <m/>
    <m/>
    <m/>
    <m/>
    <m/>
    <n v="0"/>
    <n v="0"/>
    <n v="0"/>
    <n v="0"/>
    <n v="0"/>
    <n v="0"/>
  </r>
  <r>
    <x v="947"/>
    <m/>
    <m/>
    <m/>
    <m/>
    <m/>
    <m/>
    <n v="0"/>
    <n v="0"/>
    <n v="0"/>
    <n v="0"/>
    <n v="0"/>
    <n v="0"/>
  </r>
  <r>
    <x v="948"/>
    <m/>
    <m/>
    <m/>
    <m/>
    <m/>
    <m/>
    <n v="0"/>
    <n v="0"/>
    <n v="0"/>
    <n v="0"/>
    <n v="0"/>
    <n v="0"/>
  </r>
  <r>
    <x v="949"/>
    <m/>
    <m/>
    <m/>
    <m/>
    <m/>
    <m/>
    <n v="0"/>
    <n v="0"/>
    <n v="0"/>
    <n v="0"/>
    <n v="0"/>
    <n v="0"/>
  </r>
  <r>
    <x v="950"/>
    <m/>
    <m/>
    <m/>
    <m/>
    <m/>
    <m/>
    <n v="0"/>
    <n v="0"/>
    <n v="0"/>
    <n v="0"/>
    <n v="0"/>
    <n v="0"/>
  </r>
  <r>
    <x v="951"/>
    <m/>
    <m/>
    <m/>
    <m/>
    <m/>
    <m/>
    <n v="0"/>
    <n v="0"/>
    <n v="0"/>
    <n v="0"/>
    <n v="0"/>
    <n v="0"/>
  </r>
  <r>
    <x v="952"/>
    <m/>
    <m/>
    <m/>
    <m/>
    <m/>
    <m/>
    <n v="0"/>
    <n v="0"/>
    <n v="0"/>
    <n v="0"/>
    <n v="0"/>
    <n v="0"/>
  </r>
  <r>
    <x v="953"/>
    <m/>
    <m/>
    <m/>
    <m/>
    <m/>
    <m/>
    <n v="0"/>
    <n v="0"/>
    <n v="0"/>
    <n v="0"/>
    <n v="0"/>
    <n v="0"/>
  </r>
  <r>
    <x v="954"/>
    <m/>
    <m/>
    <m/>
    <m/>
    <m/>
    <m/>
    <n v="0"/>
    <n v="0"/>
    <n v="0"/>
    <n v="0"/>
    <n v="0"/>
    <n v="0"/>
  </r>
  <r>
    <x v="955"/>
    <m/>
    <m/>
    <m/>
    <m/>
    <m/>
    <m/>
    <n v="0"/>
    <n v="0"/>
    <n v="0"/>
    <n v="0"/>
    <n v="0"/>
    <n v="0"/>
  </r>
  <r>
    <x v="956"/>
    <m/>
    <m/>
    <m/>
    <m/>
    <m/>
    <m/>
    <n v="0"/>
    <n v="0"/>
    <n v="0"/>
    <n v="0"/>
    <n v="0"/>
    <n v="0"/>
  </r>
  <r>
    <x v="957"/>
    <m/>
    <m/>
    <m/>
    <m/>
    <m/>
    <m/>
    <n v="0"/>
    <n v="0"/>
    <n v="0"/>
    <n v="0"/>
    <n v="0"/>
    <n v="0"/>
  </r>
  <r>
    <x v="958"/>
    <m/>
    <m/>
    <m/>
    <m/>
    <m/>
    <m/>
    <n v="0"/>
    <n v="0"/>
    <n v="0"/>
    <n v="0"/>
    <n v="0"/>
    <n v="0"/>
  </r>
  <r>
    <x v="959"/>
    <m/>
    <m/>
    <m/>
    <m/>
    <m/>
    <m/>
    <n v="0"/>
    <n v="0"/>
    <n v="0"/>
    <n v="0"/>
    <n v="0"/>
    <n v="0"/>
  </r>
  <r>
    <x v="960"/>
    <m/>
    <m/>
    <m/>
    <m/>
    <m/>
    <m/>
    <n v="0"/>
    <n v="0"/>
    <n v="0"/>
    <n v="0"/>
    <n v="0"/>
    <n v="0"/>
  </r>
  <r>
    <x v="961"/>
    <m/>
    <m/>
    <m/>
    <m/>
    <m/>
    <m/>
    <n v="0"/>
    <n v="0"/>
    <n v="0"/>
    <n v="0"/>
    <n v="0"/>
    <n v="0"/>
  </r>
  <r>
    <x v="962"/>
    <m/>
    <m/>
    <m/>
    <m/>
    <m/>
    <m/>
    <n v="0"/>
    <n v="0"/>
    <n v="0"/>
    <n v="0"/>
    <n v="0"/>
    <n v="0"/>
  </r>
  <r>
    <x v="963"/>
    <m/>
    <m/>
    <m/>
    <m/>
    <m/>
    <m/>
    <n v="0"/>
    <n v="0"/>
    <n v="0"/>
    <n v="0"/>
    <n v="0"/>
    <n v="0"/>
  </r>
  <r>
    <x v="964"/>
    <m/>
    <m/>
    <m/>
    <m/>
    <m/>
    <m/>
    <n v="0"/>
    <n v="0"/>
    <n v="0"/>
    <n v="0"/>
    <n v="0"/>
    <n v="0"/>
  </r>
  <r>
    <x v="965"/>
    <m/>
    <m/>
    <m/>
    <m/>
    <m/>
    <m/>
    <n v="0"/>
    <n v="0"/>
    <n v="0"/>
    <n v="0"/>
    <n v="0"/>
    <n v="0"/>
  </r>
  <r>
    <x v="966"/>
    <m/>
    <m/>
    <m/>
    <m/>
    <m/>
    <m/>
    <n v="0"/>
    <n v="0"/>
    <n v="0"/>
    <n v="0"/>
    <n v="0"/>
    <n v="0"/>
  </r>
  <r>
    <x v="967"/>
    <m/>
    <m/>
    <m/>
    <m/>
    <m/>
    <m/>
    <n v="0"/>
    <n v="0"/>
    <n v="0"/>
    <n v="0"/>
    <n v="0"/>
    <n v="0"/>
  </r>
  <r>
    <x v="968"/>
    <m/>
    <m/>
    <m/>
    <m/>
    <m/>
    <m/>
    <n v="0"/>
    <n v="0"/>
    <n v="0"/>
    <n v="0"/>
    <n v="0"/>
    <n v="0"/>
  </r>
  <r>
    <x v="969"/>
    <m/>
    <m/>
    <m/>
    <m/>
    <m/>
    <m/>
    <n v="0"/>
    <n v="0"/>
    <n v="0"/>
    <n v="0"/>
    <n v="0"/>
    <n v="0"/>
  </r>
  <r>
    <x v="970"/>
    <m/>
    <m/>
    <m/>
    <m/>
    <m/>
    <m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atrimônio" cacheId="6" applyNumberFormats="0" applyBorderFormats="0" applyFontFormats="0" applyPatternFormats="0" applyAlignmentFormats="0" applyWidthHeightFormats="0" dataCaption="" updatedVersion="7" compact="0" compactData="0">
  <location ref="Q22:S1075" firstHeaderRow="1" firstDataRow="1" firstDataCol="2"/>
  <pivotFields count="14">
    <pivotField name="Data" axis="axisRow" compact="0" numFmtId="14" outline="0" multipleItemSelectionAllowed="1" showAll="0" sortType="ascending">
      <items count="15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0"/>
        <item x="13"/>
        <item t="default"/>
      </items>
    </pivotField>
    <pivotField name="P ações" compact="0" outline="0" multipleItemSelectionAllowed="1" showAll="0"/>
    <pivotField name="PA Ações" compact="0" outline="0" multipleItemSelectionAllowed="1" showAll="0"/>
    <pivotField name="P BDRs" compact="0" outline="0" multipleItemSelectionAllowed="1" showAll="0"/>
    <pivotField name="PA BDRs" compact="0" outline="0" multipleItemSelectionAllowed="1" showAll="0"/>
    <pivotField name="P FIIs" compact="0" outline="0" multipleItemSelectionAllowed="1" showAll="0"/>
    <pivotField name="PA FIIs" compact="0" outline="0" multipleItemSelectionAllowed="1" showAll="0"/>
    <pivotField name="P Investido" compact="0" numFmtId="164" outline="0" multipleItemSelectionAllowed="1" showAll="0"/>
    <pivotField name="P Atual" compact="0" numFmtId="164" outline="0" multipleItemSelectionAllowed="1" showAll="0"/>
    <pivotField name="R Ações" compact="0" numFmtId="164" outline="0" multipleItemSelectionAllowed="1" showAll="0"/>
    <pivotField name="R BDRs" compact="0" numFmtId="164" outline="0" multipleItemSelectionAllowed="1" showAll="0"/>
    <pivotField name="R FIIs" compact="0" numFmtId="164" outline="0" multipleItemSelectionAllowed="1" showAll="0"/>
    <pivotField name="R Total" dataField="1" compact="0" numFmtId="164" outline="0" multipleItemSelectionAllowed="1" showAll="0"/>
    <pivotField name="data2" axis="axisRow" compact="0" outline="0" multipleItemSelectionAllowed="1" showAll="0" sortType="ascending">
      <items count="84">
        <item x="0"/>
        <item x="8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t="default"/>
      </items>
    </pivotField>
  </pivotFields>
  <rowFields count="2">
    <field x="13"/>
    <field x="0"/>
  </rowFields>
  <rowItems count="1053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8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3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4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5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7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8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0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1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2"/>
    </i>
    <i>
      <x v="2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3"/>
    </i>
    <i>
      <x v="2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4"/>
    </i>
    <i>
      <x v="2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5"/>
    </i>
    <i>
      <x v="2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6"/>
    </i>
    <i>
      <x v="2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7"/>
    </i>
    <i>
      <x v="2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8"/>
    </i>
    <i>
      <x v="2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9"/>
    </i>
    <i>
      <x v="3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0"/>
    </i>
    <i>
      <x v="3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1"/>
    </i>
    <i>
      <x v="3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2"/>
    </i>
    <i>
      <x v="3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3"/>
    </i>
    <i>
      <x v="3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4"/>
    </i>
    <i>
      <x v="3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5"/>
    </i>
    <i>
      <x v="3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6"/>
    </i>
    <i>
      <x v="3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7"/>
    </i>
    <i>
      <x v="3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8"/>
    </i>
    <i>
      <x v="3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9"/>
    </i>
    <i>
      <x v="4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0"/>
    </i>
    <i>
      <x v="4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1"/>
    </i>
    <i>
      <x v="4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2"/>
    </i>
    <i>
      <x v="4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3"/>
    </i>
    <i>
      <x v="4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4"/>
    </i>
    <i>
      <x v="4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5"/>
    </i>
    <i>
      <x v="4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6"/>
    </i>
    <i>
      <x v="4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7"/>
    </i>
    <i>
      <x v="4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8"/>
    </i>
    <i>
      <x v="4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49"/>
    </i>
    <i>
      <x v="5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0"/>
    </i>
    <i>
      <x v="5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1"/>
    </i>
    <i>
      <x v="5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2"/>
    </i>
    <i>
      <x v="5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3"/>
    </i>
    <i>
      <x v="5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4"/>
    </i>
    <i>
      <x v="5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5"/>
    </i>
    <i>
      <x v="5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6"/>
    </i>
    <i>
      <x v="5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7"/>
    </i>
    <i>
      <x v="5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8"/>
    </i>
    <i>
      <x v="5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59"/>
    </i>
    <i>
      <x v="6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0"/>
    </i>
    <i>
      <x v="6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1"/>
    </i>
    <i>
      <x v="6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2"/>
    </i>
    <i>
      <x v="6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3"/>
    </i>
    <i>
      <x v="6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4"/>
    </i>
    <i>
      <x v="6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5"/>
    </i>
    <i>
      <x v="6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6"/>
    </i>
    <i>
      <x v="6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7"/>
    </i>
    <i>
      <x v="6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8"/>
    </i>
    <i>
      <x v="6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69"/>
    </i>
    <i>
      <x v="7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0"/>
    </i>
    <i>
      <x v="7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1"/>
    </i>
    <i>
      <x v="7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2"/>
    </i>
    <i>
      <x v="7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3"/>
    </i>
    <i>
      <x v="7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4"/>
    </i>
    <i>
      <x v="7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5"/>
    </i>
    <i>
      <x v="7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6"/>
    </i>
    <i>
      <x v="7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7"/>
    </i>
    <i>
      <x v="7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8"/>
    </i>
    <i>
      <x v="7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79"/>
    </i>
    <i>
      <x v="8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80"/>
    </i>
    <i>
      <x v="8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81"/>
    </i>
    <i>
      <x v="8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default">
      <x v="82"/>
    </i>
    <i t="grand">
      <x/>
    </i>
  </rowItems>
  <colItems count="1">
    <i/>
  </colItems>
  <dataFields count="1">
    <dataField name="Soma de R Total" fld="12" baseField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D11:L14">
  <tableColumns count="9">
    <tableColumn id="1" xr3:uid="{00000000-0010-0000-0000-000001000000}" name="Tipo"/>
    <tableColumn id="2" xr3:uid="{00000000-0010-0000-0000-000002000000}" name="Investido"/>
    <tableColumn id="3" xr3:uid="{00000000-0010-0000-0000-000003000000}" name="L/P"/>
    <tableColumn id="4" xr3:uid="{00000000-0010-0000-0000-000004000000}" name="%L/P"/>
    <tableColumn id="5" xr3:uid="{00000000-0010-0000-0000-000005000000}" name="Patrimônio Atual"/>
    <tableColumn id="6" xr3:uid="{00000000-0010-0000-0000-000006000000}" name="Peso ideal"/>
    <tableColumn id="7" xr3:uid="{00000000-0010-0000-0000-000007000000}" name="Peso atual "/>
    <tableColumn id="8" xr3:uid="{00000000-0010-0000-0000-000008000000}" name="Status">
      <calculatedColumnFormula array="1">_xlfn.IFS(J12&lt;I12,"Abaixo",J12 = I12,"Ideal",J12&gt;I12,"Acima")</calculatedColumnFormula>
    </tableColumn>
    <tableColumn id="9" xr3:uid="{00000000-0010-0000-0000-000009000000}" name="Aporte equílibrio"/>
  </tableColumns>
  <tableStyleInfo name="Visão Ger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D18:Q19">
  <tableColumns count="14">
    <tableColumn id="1" xr3:uid="{00000000-0010-0000-0100-000001000000}" name="Título"/>
    <tableColumn id="2" xr3:uid="{00000000-0010-0000-0100-000002000000}" name="Setor"/>
    <tableColumn id="3" xr3:uid="{00000000-0010-0000-0100-000003000000}" name="Qtd."/>
    <tableColumn id="4" xr3:uid="{00000000-0010-0000-0100-000004000000}" name="Nota"/>
    <tableColumn id="5" xr3:uid="{00000000-0010-0000-0100-000005000000}" name="%Div"/>
    <tableColumn id="6" xr3:uid="{00000000-0010-0000-0100-000006000000}" name="%Cres"/>
    <tableColumn id="7" xr3:uid="{00000000-0010-0000-0100-000007000000}" name="Patri. Invest."/>
    <tableColumn id="8" xr3:uid="{00000000-0010-0000-0100-000008000000}" name="Preço M."/>
    <tableColumn id="9" xr3:uid="{00000000-0010-0000-0100-000009000000}" name="Preço A."/>
    <tableColumn id="10" xr3:uid="{00000000-0010-0000-0100-00000A000000}" name="Patri. Atual"/>
    <tableColumn id="11" xr3:uid="{00000000-0010-0000-0100-00000B000000}" name="%ideal"/>
    <tableColumn id="12" xr3:uid="{00000000-0010-0000-0100-00000C000000}" name="%Atual"/>
    <tableColumn id="13" xr3:uid="{00000000-0010-0000-0100-00000D000000}" name="Status"/>
    <tableColumn id="14" xr3:uid="{00000000-0010-0000-0100-00000E000000}" name="Aporte eq."/>
  </tableColumns>
  <tableStyleInfo name="Açõ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D65:N66">
  <tableColumns count="11">
    <tableColumn id="1" xr3:uid="{00000000-0010-0000-0200-000001000000}" name="Título"/>
    <tableColumn id="2" xr3:uid="{00000000-0010-0000-0200-000002000000}" name="Operação"/>
    <tableColumn id="3" xr3:uid="{00000000-0010-0000-0200-000003000000}" name="Data"/>
    <tableColumn id="4" xr3:uid="{00000000-0010-0000-0200-000004000000}" name="Setor"/>
    <tableColumn id="5" xr3:uid="{00000000-0010-0000-0200-000005000000}" name="Qtd."/>
    <tableColumn id="6" xr3:uid="{00000000-0010-0000-0200-000006000000}" name="Preço"/>
    <tableColumn id="7" xr3:uid="{00000000-0010-0000-0200-000007000000}" name="Total"/>
    <tableColumn id="8" xr3:uid="{00000000-0010-0000-0200-000008000000}" name="Qtd acum."/>
    <tableColumn id="9" xr3:uid="{00000000-0010-0000-0200-000009000000}" name="PM"/>
    <tableColumn id="10" xr3:uid="{00000000-0010-0000-0200-00000A000000}" name="Saldo Acum.">
      <calculatedColumnFormula array="1">_xlfn.IFS(Ações!$E66 = "Compra", IFERROR(VLOOKUP(Ações!$D66,D67:M$1048576,10,FALSE),0) + Ações!$J66,
Ações!$E66 = "Venda",Ações!$K66 * IFERROR(VLOOKUP(Ações!$D66,D67:M$1048576,9,FALSE),0),
Ações!$E66 = "Provento",VLOOKUP(Ações!$D66,D67:M$1048576,10,FALSE))</calculatedColumnFormula>
    </tableColumn>
    <tableColumn id="11" xr3:uid="{00000000-0010-0000-0200-00000B000000}" name="Fimmes"/>
  </tableColumns>
  <tableStyleInfo name="Ações-style 2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D65:N66">
  <tableColumns count="11">
    <tableColumn id="1" xr3:uid="{00000000-0010-0000-0300-000001000000}" name="Título"/>
    <tableColumn id="2" xr3:uid="{00000000-0010-0000-0300-000002000000}" name="Operação"/>
    <tableColumn id="3" xr3:uid="{00000000-0010-0000-0300-000003000000}" name="Data"/>
    <tableColumn id="4" xr3:uid="{00000000-0010-0000-0300-000004000000}" name="Setor"/>
    <tableColumn id="5" xr3:uid="{00000000-0010-0000-0300-000005000000}" name="Qtd."/>
    <tableColumn id="6" xr3:uid="{00000000-0010-0000-0300-000006000000}" name="Preço"/>
    <tableColumn id="7" xr3:uid="{00000000-0010-0000-0300-000007000000}" name="Total"/>
    <tableColumn id="8" xr3:uid="{00000000-0010-0000-0300-000008000000}" name="Qtd Acum"/>
    <tableColumn id="9" xr3:uid="{00000000-0010-0000-0300-000009000000}" name="PM"/>
    <tableColumn id="10" xr3:uid="{00000000-0010-0000-0300-00000A000000}" name="Saldo Acum.">
      <calculatedColumnFormula array="1">_xlfn.IFS(BDRs!$E66 = "Compra", IFERROR(VLOOKUP(BDRs!$D66,D67:M$1048576,10,FALSE),0) + BDRs!$J66,
BDRs!$E66 = "Venda",BDRs!$K66 * IFERROR(VLOOKUP(BDRs!$D66,D67:M$1048576,9,FALSE),0),
BDRs!$E66 = "Provento",VLOOKUP(BDRs!$D66,D67:M$1048576,10,FALSE))</calculatedColumnFormula>
    </tableColumn>
    <tableColumn id="11" xr3:uid="{00000000-0010-0000-0300-00000B000000}" name="fimmês"/>
  </tableColumns>
  <tableStyleInfo name="BDR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D18:Q19">
  <tableColumns count="14">
    <tableColumn id="1" xr3:uid="{00000000-0010-0000-0400-000001000000}" name="Título"/>
    <tableColumn id="2" xr3:uid="{00000000-0010-0000-0400-000002000000}" name="Setor"/>
    <tableColumn id="3" xr3:uid="{00000000-0010-0000-0400-000003000000}" name="Qtd."/>
    <tableColumn id="4" xr3:uid="{00000000-0010-0000-0400-000004000000}" name="Nota"/>
    <tableColumn id="5" xr3:uid="{00000000-0010-0000-0400-000005000000}" name="%Div"/>
    <tableColumn id="6" xr3:uid="{00000000-0010-0000-0400-000006000000}" name="%Cres"/>
    <tableColumn id="7" xr3:uid="{00000000-0010-0000-0400-000007000000}" name="Patri. Invest."/>
    <tableColumn id="8" xr3:uid="{00000000-0010-0000-0400-000008000000}" name="Preço M."/>
    <tableColumn id="9" xr3:uid="{00000000-0010-0000-0400-000009000000}" name="Preço A."/>
    <tableColumn id="10" xr3:uid="{00000000-0010-0000-0400-00000A000000}" name="Patri. Atual"/>
    <tableColumn id="11" xr3:uid="{00000000-0010-0000-0400-00000B000000}" name="%ideal"/>
    <tableColumn id="12" xr3:uid="{00000000-0010-0000-0400-00000C000000}" name="%Atual"/>
    <tableColumn id="13" xr3:uid="{00000000-0010-0000-0400-00000D000000}" name="Status"/>
    <tableColumn id="14" xr3:uid="{00000000-0010-0000-0400-00000E000000}" name="Aporte eq."/>
  </tableColumns>
  <tableStyleInfo name="BDRs-style 2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D18:Q19">
  <tableColumns count="14">
    <tableColumn id="1" xr3:uid="{00000000-0010-0000-0500-000001000000}" name="Título"/>
    <tableColumn id="2" xr3:uid="{00000000-0010-0000-0500-000002000000}" name="Tipo"/>
    <tableColumn id="3" xr3:uid="{00000000-0010-0000-0500-000003000000}" name="Qtd."/>
    <tableColumn id="4" xr3:uid="{00000000-0010-0000-0500-000004000000}" name="Nota"/>
    <tableColumn id="5" xr3:uid="{00000000-0010-0000-0500-000005000000}" name="%Div"/>
    <tableColumn id="6" xr3:uid="{00000000-0010-0000-0500-000006000000}" name="%Cres"/>
    <tableColumn id="7" xr3:uid="{00000000-0010-0000-0500-000007000000}" name="Patri. Invest."/>
    <tableColumn id="8" xr3:uid="{00000000-0010-0000-0500-000008000000}" name="Preço M."/>
    <tableColumn id="9" xr3:uid="{00000000-0010-0000-0500-000009000000}" name="Preço A."/>
    <tableColumn id="10" xr3:uid="{00000000-0010-0000-0500-00000A000000}" name="Patri. Atual"/>
    <tableColumn id="11" xr3:uid="{00000000-0010-0000-0500-00000B000000}" name="%ideal"/>
    <tableColumn id="12" xr3:uid="{00000000-0010-0000-0500-00000C000000}" name="%Atual"/>
    <tableColumn id="13" xr3:uid="{00000000-0010-0000-0500-00000D000000}" name="Status"/>
    <tableColumn id="14" xr3:uid="{00000000-0010-0000-0500-00000E000000}" name="Aporte eq."/>
  </tableColumns>
  <tableStyleInfo name="FIIs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D65:N66">
  <tableColumns count="11">
    <tableColumn id="1" xr3:uid="{00000000-0010-0000-0600-000001000000}" name="Título"/>
    <tableColumn id="2" xr3:uid="{00000000-0010-0000-0600-000002000000}" name="Operação"/>
    <tableColumn id="3" xr3:uid="{00000000-0010-0000-0600-000003000000}" name="Data"/>
    <tableColumn id="4" xr3:uid="{00000000-0010-0000-0600-000004000000}" name="Tipo"/>
    <tableColumn id="5" xr3:uid="{00000000-0010-0000-0600-000005000000}" name="Qtd."/>
    <tableColumn id="6" xr3:uid="{00000000-0010-0000-0600-000006000000}" name="Preço"/>
    <tableColumn id="7" xr3:uid="{00000000-0010-0000-0600-000007000000}" name="Total"/>
    <tableColumn id="8" xr3:uid="{00000000-0010-0000-0600-000008000000}" name="Qtd Acum"/>
    <tableColumn id="9" xr3:uid="{00000000-0010-0000-0600-000009000000}" name="PM"/>
    <tableColumn id="10" xr3:uid="{00000000-0010-0000-0600-00000A000000}" name="Saldo Acum.">
      <calculatedColumnFormula array="1">_xlfn.IFS(FIIs!$E66 = "Compra", IFERROR(VLOOKUP(FIIs!$D66,D67:M$1048576,10,FALSE),0) + FIIs!$J66,
FIIs!$E66 = "Venda",FIIs!$K66 * IFERROR(VLOOKUP(FIIs!$D66,D67:M$1048576,9,FALSE),0),
FIIs!$E66 = "Provento",VLOOKUP(FIIs!$D66,D67:M$1048576,10,FALSE))</calculatedColumnFormula>
    </tableColumn>
    <tableColumn id="11" xr3:uid="{00000000-0010-0000-0600-00000B000000}" name="fimmês"/>
  </tableColumns>
  <tableStyleInfo name="FIIs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0066FF"/>
      </a:folHlink>
    </a:clrScheme>
    <a:fontScheme name="Sheets">
      <a:majorFont>
        <a:latin typeface="Gill Sans"/>
        <a:ea typeface="Gill Sans"/>
        <a:cs typeface="Gill Sans"/>
      </a:majorFont>
      <a:minorFont>
        <a:latin typeface="Gill Sans"/>
        <a:ea typeface="Gill Sans"/>
        <a:cs typeface="Gill San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Z1000"/>
  <sheetViews>
    <sheetView showGridLines="0" tabSelected="1" zoomScale="80" zoomScaleNormal="80" workbookViewId="0">
      <selection activeCell="M11" sqref="M11"/>
    </sheetView>
  </sheetViews>
  <sheetFormatPr defaultColWidth="12.625" defaultRowHeight="15" customHeight="1"/>
  <cols>
    <col min="1" max="2" width="11.375" customWidth="1"/>
    <col min="3" max="3" width="2.75" customWidth="1"/>
    <col min="4" max="4" width="11.375" customWidth="1"/>
    <col min="5" max="5" width="23.75" customWidth="1"/>
    <col min="6" max="6" width="17" customWidth="1"/>
    <col min="7" max="7" width="12.5" customWidth="1"/>
    <col min="8" max="8" width="18.125" customWidth="1"/>
    <col min="9" max="9" width="12.875" customWidth="1"/>
    <col min="10" max="10" width="11" customWidth="1"/>
    <col min="11" max="11" width="7.875" customWidth="1"/>
    <col min="12" max="12" width="18.375" customWidth="1"/>
    <col min="13" max="13" width="15.875" customWidth="1"/>
    <col min="14" max="14" width="10.875" customWidth="1"/>
    <col min="15" max="15" width="5.25" customWidth="1"/>
    <col min="16" max="16" width="3.125" customWidth="1"/>
    <col min="17" max="17" width="3.875" customWidth="1"/>
    <col min="18" max="18" width="8.5" customWidth="1"/>
    <col min="19" max="19" width="8" customWidth="1"/>
    <col min="20" max="20" width="8.5" customWidth="1"/>
    <col min="21" max="25" width="9" customWidth="1"/>
    <col min="26" max="26" width="8.625" customWidth="1"/>
  </cols>
  <sheetData>
    <row r="1" spans="1:26" ht="17.25" customHeight="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7.25" customHeight="1">
      <c r="A2" s="1"/>
      <c r="B2" s="1"/>
      <c r="C2" s="2"/>
      <c r="D2" s="120" t="s">
        <v>0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2"/>
      <c r="S2" s="3"/>
      <c r="T2" s="3"/>
      <c r="U2" s="3"/>
      <c r="V2" s="3"/>
      <c r="W2" s="3"/>
      <c r="X2" s="3"/>
      <c r="Y2" s="3"/>
      <c r="Z2" s="3"/>
    </row>
    <row r="3" spans="1:26" ht="17.25" customHeight="1">
      <c r="A3" s="1"/>
      <c r="B3" s="1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7.25" customHeight="1">
      <c r="A4" s="1"/>
      <c r="B4" s="1"/>
      <c r="C4" s="2"/>
      <c r="D4" s="123" t="s">
        <v>1</v>
      </c>
      <c r="E4" s="124"/>
      <c r="F4" s="4"/>
      <c r="G4" s="5"/>
      <c r="H4" s="123" t="s">
        <v>2</v>
      </c>
      <c r="I4" s="124"/>
      <c r="J4" s="6"/>
      <c r="K4" s="5"/>
      <c r="L4" s="123" t="s">
        <v>3</v>
      </c>
      <c r="M4" s="125"/>
      <c r="N4" s="124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9.25" customHeight="1">
      <c r="A5" s="1"/>
      <c r="B5" s="1"/>
      <c r="C5" s="2"/>
      <c r="D5" s="126">
        <f>SUM(L5,H12:H14)</f>
        <v>0</v>
      </c>
      <c r="E5" s="122"/>
      <c r="F5" s="4"/>
      <c r="G5" s="5"/>
      <c r="H5" s="126">
        <f>SUM('Visão Geral'!$E$12:$E$14,$L$5)</f>
        <v>0</v>
      </c>
      <c r="I5" s="122"/>
      <c r="J5" s="7"/>
      <c r="K5" s="5"/>
      <c r="L5" s="117">
        <v>0</v>
      </c>
      <c r="M5" s="118"/>
      <c r="N5" s="119"/>
      <c r="O5" s="3"/>
      <c r="P5" s="3"/>
      <c r="Q5" s="3"/>
      <c r="R5" s="3"/>
      <c r="S5" s="127"/>
      <c r="T5" s="122"/>
      <c r="U5" s="3"/>
      <c r="V5" s="3"/>
      <c r="W5" s="3"/>
      <c r="X5" s="3"/>
      <c r="Y5" s="3"/>
      <c r="Z5" s="3"/>
    </row>
    <row r="6" spans="1:26" ht="17.25" customHeight="1">
      <c r="A6" s="1"/>
      <c r="B6" s="1"/>
      <c r="C6" s="2"/>
      <c r="D6" s="7"/>
      <c r="E6" s="5"/>
      <c r="F6" s="8" t="s">
        <v>4</v>
      </c>
      <c r="G6" s="9">
        <f>IFERROR(D5/H5 - 1,0)</f>
        <v>0</v>
      </c>
      <c r="H6" s="7"/>
      <c r="I6" s="7"/>
      <c r="J6" s="10"/>
      <c r="K6" s="5"/>
      <c r="L6" s="5"/>
      <c r="M6" s="5"/>
      <c r="N6" s="5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7.25" customHeight="1">
      <c r="A7" s="1"/>
      <c r="B7" s="1"/>
      <c r="C7" s="2"/>
      <c r="D7" s="8" t="s">
        <v>5</v>
      </c>
      <c r="E7" s="11">
        <f>SUM('Visão Geral'!$F$12:$F$14)</f>
        <v>0</v>
      </c>
      <c r="F7" s="8" t="s">
        <v>6</v>
      </c>
      <c r="G7" s="9">
        <f>IFERROR(E7/H5,0)</f>
        <v>0</v>
      </c>
      <c r="H7" s="7"/>
      <c r="I7" s="7"/>
      <c r="J7" s="5"/>
      <c r="K7" s="5"/>
      <c r="L7" s="5"/>
      <c r="M7" s="5"/>
      <c r="N7" s="5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7.25" customHeight="1">
      <c r="A8" s="1"/>
      <c r="B8" s="1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7.25" customHeight="1">
      <c r="A9" s="1"/>
      <c r="B9" s="1"/>
      <c r="C9" s="2"/>
      <c r="D9" s="120" t="s">
        <v>7</v>
      </c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1"/>
      <c r="R9" s="122"/>
      <c r="S9" s="3"/>
      <c r="T9" s="3"/>
      <c r="U9" s="3"/>
      <c r="V9" s="12"/>
      <c r="W9" s="12"/>
      <c r="X9" s="12"/>
      <c r="Y9" s="12"/>
      <c r="Z9" s="3"/>
    </row>
    <row r="10" spans="1:26" ht="17.25" customHeight="1">
      <c r="A10" s="1"/>
      <c r="B10" s="1"/>
      <c r="C10" s="2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59.25" customHeight="1">
      <c r="A11" s="1"/>
      <c r="B11" s="1"/>
      <c r="C11" s="2"/>
      <c r="D11" s="13" t="s">
        <v>8</v>
      </c>
      <c r="E11" s="13" t="s">
        <v>2</v>
      </c>
      <c r="F11" s="13" t="s">
        <v>9</v>
      </c>
      <c r="G11" s="14" t="s">
        <v>10</v>
      </c>
      <c r="H11" s="13" t="s">
        <v>11</v>
      </c>
      <c r="I11" s="14" t="s">
        <v>12</v>
      </c>
      <c r="J11" s="14" t="s">
        <v>13</v>
      </c>
      <c r="K11" s="13" t="s">
        <v>14</v>
      </c>
      <c r="L11" s="15" t="s">
        <v>15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1.75" customHeight="1" thickBot="1">
      <c r="A12" s="1"/>
      <c r="B12" s="1"/>
      <c r="C12" s="2"/>
      <c r="D12" s="16" t="s">
        <v>16</v>
      </c>
      <c r="E12" s="17">
        <f>Ações!I5</f>
        <v>0</v>
      </c>
      <c r="F12" s="18">
        <f>Ações!G4 + 'Visão Geral'!$H12 - 'Visão Geral'!$E12</f>
        <v>0</v>
      </c>
      <c r="G12" s="19">
        <f>IFERROR('Visão Geral'!$F12/'Visão Geral'!$E12,0)</f>
        <v>0</v>
      </c>
      <c r="H12" s="18">
        <f>Ações!D5</f>
        <v>0</v>
      </c>
      <c r="I12" s="20">
        <v>0</v>
      </c>
      <c r="J12" s="21">
        <f t="shared" ref="J12:J14" si="0">IFERROR(H12/$D$5,0)</f>
        <v>0</v>
      </c>
      <c r="K12" s="22" t="str" cm="1">
        <f t="array" ref="K12">_xlfn.IFS(J12&lt;I12,"Abaixo",J12 = I12,"Ideal",J12&gt;I12,"Acima")</f>
        <v>Ideal</v>
      </c>
      <c r="L12" s="23">
        <f t="shared" ref="L12:L14" si="1">I12*$D$5 - H12</f>
        <v>0</v>
      </c>
      <c r="M12" s="3"/>
      <c r="N12" s="24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1.75" customHeight="1" thickBot="1">
      <c r="A13" s="1"/>
      <c r="B13" s="1"/>
      <c r="C13" s="2"/>
      <c r="D13" s="25" t="s">
        <v>17</v>
      </c>
      <c r="E13" s="26">
        <f>BDRs!I5</f>
        <v>0</v>
      </c>
      <c r="F13" s="27">
        <f>BDRs!G4 + 'Visão Geral'!$H13 - 'Visão Geral'!$E13</f>
        <v>0</v>
      </c>
      <c r="G13" s="19">
        <f>IFERROR('Visão Geral'!$F13/'Visão Geral'!$E13,0)</f>
        <v>0</v>
      </c>
      <c r="H13" s="27">
        <f>BDRs!D5</f>
        <v>0</v>
      </c>
      <c r="I13" s="28">
        <v>0</v>
      </c>
      <c r="J13" s="29">
        <f t="shared" si="0"/>
        <v>0</v>
      </c>
      <c r="K13" s="22" t="str" cm="1">
        <f t="array" ref="K13">_xlfn.IFS(J13&lt;I13,"Abaixo",J13 = I13,"Ideal",J13&gt;I13,"Acima")</f>
        <v>Ideal</v>
      </c>
      <c r="L13" s="30">
        <f t="shared" si="1"/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1.75" customHeight="1" thickBot="1">
      <c r="A14" s="1"/>
      <c r="B14" s="1"/>
      <c r="C14" s="2"/>
      <c r="D14" s="25" t="s">
        <v>18</v>
      </c>
      <c r="E14" s="26">
        <f>FIIs!I5</f>
        <v>0</v>
      </c>
      <c r="F14" s="27">
        <f>FIIs!G4 +'Visão Geral'!$H14-'Visão Geral'!$E14</f>
        <v>0</v>
      </c>
      <c r="G14" s="19">
        <f>IFERROR('Visão Geral'!$F14/'Visão Geral'!$E14,0)</f>
        <v>0</v>
      </c>
      <c r="H14" s="27">
        <f>FIIs!D5</f>
        <v>0</v>
      </c>
      <c r="I14" s="28">
        <v>0</v>
      </c>
      <c r="J14" s="29">
        <f t="shared" si="0"/>
        <v>0</v>
      </c>
      <c r="K14" s="22" t="str" cm="1">
        <f t="array" ref="K14">_xlfn.IFS(J14&lt;I14,"Abaixo",J14 = I14,"Ideal",J14&gt;I14,"Acima")</f>
        <v>Ideal</v>
      </c>
      <c r="L14" s="30">
        <f t="shared" si="1"/>
        <v>0</v>
      </c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7.25" customHeight="1">
      <c r="A15" s="1"/>
      <c r="B15" s="1"/>
      <c r="C15" s="2"/>
      <c r="D15" s="3"/>
      <c r="E15" s="3"/>
      <c r="F15" s="3"/>
      <c r="G15" s="3"/>
      <c r="H15" s="3"/>
      <c r="I15" s="3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7.25" customHeight="1">
      <c r="A16" s="32" t="s">
        <v>19</v>
      </c>
      <c r="B16" s="1"/>
      <c r="C16" s="2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7.25" customHeight="1">
      <c r="A17" s="33" t="s">
        <v>20</v>
      </c>
      <c r="B17" s="1"/>
      <c r="C17" s="2"/>
      <c r="D17" s="120" t="s">
        <v>21</v>
      </c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2"/>
      <c r="S17" s="3"/>
      <c r="T17" s="3"/>
      <c r="U17" s="3"/>
      <c r="V17" s="3"/>
      <c r="W17" s="3"/>
      <c r="X17" s="3"/>
      <c r="Y17" s="3"/>
      <c r="Z17" s="3"/>
    </row>
    <row r="18" spans="1:26" ht="17.25" customHeight="1">
      <c r="A18" s="32" t="s">
        <v>22</v>
      </c>
      <c r="B18" s="1"/>
      <c r="C18" s="2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7.25" customHeight="1">
      <c r="A19" s="33" t="s">
        <v>23</v>
      </c>
      <c r="B19" s="1"/>
      <c r="C19" s="2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7.25" customHeight="1">
      <c r="A20" s="32" t="s">
        <v>24</v>
      </c>
      <c r="B20" s="1"/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7.25" customHeight="1">
      <c r="A21" s="1"/>
      <c r="B21" s="1"/>
      <c r="C21" s="2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7.25" customHeight="1">
      <c r="A22" s="1"/>
      <c r="B22" s="1"/>
      <c r="C22" s="2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7.25" customHeight="1">
      <c r="A23" s="1"/>
      <c r="B23" s="1"/>
      <c r="C23" s="2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7.25" customHeight="1">
      <c r="A24" s="1"/>
      <c r="B24" s="1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7.25" customHeight="1">
      <c r="A25" s="1"/>
      <c r="B25" s="1"/>
      <c r="C25" s="2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7.25" customHeight="1">
      <c r="A26" s="1"/>
      <c r="B26" s="1"/>
      <c r="C26" s="2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7.25" customHeight="1">
      <c r="A27" s="1"/>
      <c r="B27" s="1"/>
      <c r="C27" s="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7.25" customHeight="1">
      <c r="A28" s="1"/>
      <c r="B28" s="1"/>
      <c r="C28" s="2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7.25" customHeight="1">
      <c r="A29" s="1"/>
      <c r="B29" s="1"/>
      <c r="C29" s="2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7.25" customHeight="1">
      <c r="A30" s="1"/>
      <c r="B30" s="1"/>
      <c r="C30" s="2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7.25" customHeight="1">
      <c r="A31" s="1"/>
      <c r="B31" s="1"/>
      <c r="C31" s="2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7.25" customHeight="1">
      <c r="A32" s="1"/>
      <c r="B32" s="1"/>
      <c r="C32" s="2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7.25" customHeight="1">
      <c r="A33" s="1"/>
      <c r="B33" s="1"/>
      <c r="C33" s="2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7.25" customHeight="1">
      <c r="A34" s="1"/>
      <c r="B34" s="1"/>
      <c r="C34" s="2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7.25" customHeight="1">
      <c r="A35" s="1"/>
      <c r="B35" s="1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7.25" customHeight="1">
      <c r="A36" s="1"/>
      <c r="B36" s="1"/>
      <c r="C36" s="2"/>
      <c r="D36" s="120" t="s">
        <v>25</v>
      </c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2"/>
      <c r="S36" s="3"/>
      <c r="T36" s="3"/>
      <c r="U36" s="3"/>
      <c r="V36" s="3"/>
      <c r="W36" s="3"/>
      <c r="X36" s="3"/>
      <c r="Y36" s="3"/>
      <c r="Z36" s="3"/>
    </row>
    <row r="37" spans="1:26" ht="17.25" customHeight="1">
      <c r="A37" s="1"/>
      <c r="B37" s="1"/>
      <c r="C37" s="2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7.25" customHeight="1">
      <c r="A38" s="1"/>
      <c r="B38" s="1"/>
      <c r="C38" s="2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7.25" customHeight="1">
      <c r="A39" s="1"/>
      <c r="B39" s="1"/>
      <c r="C39" s="2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7.25" customHeight="1">
      <c r="A40" s="1"/>
      <c r="B40" s="1"/>
      <c r="C40" s="2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7.25" customHeight="1">
      <c r="A41" s="1"/>
      <c r="B41" s="1"/>
      <c r="C41" s="2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7.25" customHeight="1">
      <c r="A42" s="1"/>
      <c r="B42" s="1"/>
      <c r="C42" s="2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7.25" customHeight="1">
      <c r="A43" s="1"/>
      <c r="B43" s="1"/>
      <c r="C43" s="2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7.25" customHeight="1">
      <c r="A44" s="1"/>
      <c r="B44" s="1"/>
      <c r="C44" s="2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7.25" customHeight="1">
      <c r="A45" s="1"/>
      <c r="B45" s="1"/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7.25" customHeight="1">
      <c r="A46" s="1"/>
      <c r="B46" s="1"/>
      <c r="C46" s="2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7.25" customHeight="1">
      <c r="A47" s="1"/>
      <c r="B47" s="1"/>
      <c r="C47" s="2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7.25" customHeight="1">
      <c r="A48" s="1"/>
      <c r="B48" s="1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7.25" customHeight="1">
      <c r="A49" s="1"/>
      <c r="B49" s="1"/>
      <c r="C49" s="2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7.25" customHeight="1">
      <c r="A50" s="1"/>
      <c r="B50" s="1"/>
      <c r="C50" s="2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7.25" customHeight="1">
      <c r="A51" s="1"/>
      <c r="B51" s="1"/>
      <c r="C51" s="2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7.25" customHeight="1">
      <c r="A52" s="1"/>
      <c r="B52" s="1"/>
      <c r="C52" s="2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7.25" customHeight="1">
      <c r="A53" s="1"/>
      <c r="B53" s="1"/>
      <c r="C53" s="2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7.25" customHeight="1">
      <c r="A54" s="1"/>
      <c r="B54" s="1"/>
      <c r="C54" s="2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7.25" customHeight="1">
      <c r="A55" s="1"/>
      <c r="B55" s="1"/>
      <c r="C55" s="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7.25" customHeight="1">
      <c r="A56" s="1"/>
      <c r="B56" s="1"/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7.25" customHeight="1">
      <c r="A57" s="1"/>
      <c r="B57" s="1"/>
      <c r="C57" s="2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7.25" customHeight="1">
      <c r="A58" s="1"/>
      <c r="B58" s="1"/>
      <c r="C58" s="2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7.25" customHeight="1">
      <c r="A59" s="1"/>
      <c r="B59" s="1"/>
      <c r="C59" s="2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7.25" customHeight="1">
      <c r="A60" s="1"/>
      <c r="B60" s="1"/>
      <c r="C60" s="2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7.25" customHeight="1">
      <c r="A61" s="1"/>
      <c r="B61" s="1"/>
      <c r="C61" s="2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7.25" customHeight="1">
      <c r="A62" s="1"/>
      <c r="B62" s="1"/>
      <c r="C62" s="2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7.25" customHeight="1">
      <c r="A63" s="1"/>
      <c r="B63" s="1"/>
      <c r="C63" s="2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7.25" customHeight="1">
      <c r="A64" s="1"/>
      <c r="B64" s="1"/>
      <c r="C64" s="2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7.25" customHeight="1">
      <c r="A65" s="1"/>
      <c r="B65" s="1"/>
      <c r="C65" s="2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7.25" customHeight="1">
      <c r="A66" s="1"/>
      <c r="B66" s="1"/>
      <c r="C66" s="2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7.25" customHeight="1">
      <c r="A67" s="1"/>
      <c r="B67" s="1"/>
      <c r="C67" s="2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7.25" customHeight="1">
      <c r="A68" s="1"/>
      <c r="B68" s="1"/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7.25" customHeight="1">
      <c r="A69" s="1"/>
      <c r="B69" s="1"/>
      <c r="C69" s="2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7.25" customHeight="1">
      <c r="A70" s="1"/>
      <c r="B70" s="1"/>
      <c r="C70" s="2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7.25" customHeight="1">
      <c r="A71" s="1"/>
      <c r="B71" s="1"/>
      <c r="C71" s="2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7.25" customHeight="1">
      <c r="A72" s="1"/>
      <c r="B72" s="1"/>
      <c r="C72" s="2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7.25" customHeight="1">
      <c r="A73" s="1"/>
      <c r="B73" s="1"/>
      <c r="C73" s="2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7.25" customHeight="1">
      <c r="A74" s="1"/>
      <c r="B74" s="1"/>
      <c r="C74" s="2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7.25" customHeight="1">
      <c r="A75" s="1"/>
      <c r="B75" s="1"/>
      <c r="C75" s="2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7.25" customHeight="1">
      <c r="A76" s="1"/>
      <c r="B76" s="1"/>
      <c r="C76" s="2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7.25" customHeight="1">
      <c r="A77" s="1"/>
      <c r="B77" s="1"/>
      <c r="C77" s="2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7.25" customHeight="1">
      <c r="A78" s="1"/>
      <c r="B78" s="1"/>
      <c r="C78" s="2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7.25" customHeight="1">
      <c r="A79" s="1"/>
      <c r="B79" s="1"/>
      <c r="C79" s="2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7.25" customHeight="1">
      <c r="A80" s="1"/>
      <c r="B80" s="1"/>
      <c r="C80" s="2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7.25" customHeight="1">
      <c r="A81" s="1"/>
      <c r="B81" s="1"/>
      <c r="C81" s="2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7.25" customHeight="1">
      <c r="A82" s="1"/>
      <c r="B82" s="1"/>
      <c r="C82" s="2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7.25" customHeight="1">
      <c r="A83" s="1"/>
      <c r="B83" s="1"/>
      <c r="C83" s="2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7.25" customHeight="1">
      <c r="A84" s="1"/>
      <c r="B84" s="1"/>
      <c r="C84" s="2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7.25" customHeight="1">
      <c r="A85" s="1"/>
      <c r="B85" s="1"/>
      <c r="C85" s="2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7.25" customHeight="1">
      <c r="A86" s="1"/>
      <c r="B86" s="1"/>
      <c r="C86" s="2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7.25" customHeight="1">
      <c r="A87" s="1"/>
      <c r="B87" s="1"/>
      <c r="C87" s="2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7.25" customHeight="1">
      <c r="A88" s="1"/>
      <c r="B88" s="1"/>
      <c r="C88" s="2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7.25" customHeight="1">
      <c r="A89" s="1"/>
      <c r="B89" s="1"/>
      <c r="C89" s="2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7.25" customHeight="1">
      <c r="A90" s="1"/>
      <c r="B90" s="1"/>
      <c r="C90" s="2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7.25" customHeight="1">
      <c r="A91" s="1"/>
      <c r="B91" s="1"/>
      <c r="C91" s="2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7.25" customHeight="1">
      <c r="A92" s="1"/>
      <c r="B92" s="1"/>
      <c r="C92" s="2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7.25" customHeight="1">
      <c r="A93" s="1"/>
      <c r="B93" s="1"/>
      <c r="C93" s="2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7.25" customHeight="1">
      <c r="A94" s="1"/>
      <c r="B94" s="1"/>
      <c r="C94" s="2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7.25" customHeight="1">
      <c r="A95" s="1"/>
      <c r="B95" s="1"/>
      <c r="C95" s="2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7.25" customHeight="1">
      <c r="A96" s="1"/>
      <c r="B96" s="1"/>
      <c r="C96" s="2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7.25" customHeight="1">
      <c r="A97" s="1"/>
      <c r="B97" s="1"/>
      <c r="C97" s="2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7.25" customHeight="1">
      <c r="A98" s="1"/>
      <c r="B98" s="1"/>
      <c r="C98" s="2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7.25" customHeight="1">
      <c r="A99" s="1"/>
      <c r="B99" s="1"/>
      <c r="C99" s="2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7.25" customHeight="1">
      <c r="A100" s="1"/>
      <c r="B100" s="1"/>
      <c r="C100" s="2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7.25" customHeight="1">
      <c r="A101" s="1"/>
      <c r="B101" s="1"/>
      <c r="C101" s="2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7.25" customHeight="1">
      <c r="A102" s="1"/>
      <c r="B102" s="1"/>
      <c r="C102" s="2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7.25" customHeight="1">
      <c r="A103" s="1"/>
      <c r="B103" s="1"/>
      <c r="C103" s="2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7.25" customHeight="1">
      <c r="A104" s="1"/>
      <c r="B104" s="1"/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7.25" customHeight="1">
      <c r="A105" s="1"/>
      <c r="B105" s="1"/>
      <c r="C105" s="2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7.25" customHeight="1">
      <c r="A106" s="1"/>
      <c r="B106" s="1"/>
      <c r="C106" s="2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7.25" customHeight="1">
      <c r="A107" s="1"/>
      <c r="B107" s="1"/>
      <c r="C107" s="2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7.25" customHeight="1">
      <c r="A108" s="1"/>
      <c r="B108" s="1"/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7.25" customHeight="1">
      <c r="A109" s="1"/>
      <c r="B109" s="1"/>
      <c r="C109" s="2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7.25" customHeight="1">
      <c r="A110" s="1"/>
      <c r="B110" s="1"/>
      <c r="C110" s="2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7.25" customHeight="1">
      <c r="A111" s="1"/>
      <c r="B111" s="1"/>
      <c r="C111" s="2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7.25" customHeight="1">
      <c r="A112" s="1"/>
      <c r="B112" s="1"/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7.25" customHeight="1">
      <c r="A113" s="1"/>
      <c r="B113" s="1"/>
      <c r="C113" s="2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7.25" customHeight="1">
      <c r="A114" s="1"/>
      <c r="B114" s="1"/>
      <c r="C114" s="2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7.25" customHeight="1">
      <c r="A115" s="1"/>
      <c r="B115" s="1"/>
      <c r="C115" s="2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7.25" customHeight="1">
      <c r="A116" s="1"/>
      <c r="B116" s="1"/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7.25" customHeight="1">
      <c r="A117" s="1"/>
      <c r="B117" s="1"/>
      <c r="C117" s="2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7.25" customHeight="1">
      <c r="A118" s="1"/>
      <c r="B118" s="1"/>
      <c r="C118" s="2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7.25" customHeight="1">
      <c r="A119" s="1"/>
      <c r="B119" s="1"/>
      <c r="C119" s="2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7.25" customHeight="1">
      <c r="A120" s="1"/>
      <c r="B120" s="1"/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7.25" customHeight="1">
      <c r="A121" s="1"/>
      <c r="B121" s="1"/>
      <c r="C121" s="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7.25" customHeight="1">
      <c r="A122" s="1"/>
      <c r="B122" s="1"/>
      <c r="C122" s="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7.25" customHeight="1">
      <c r="A123" s="1"/>
      <c r="B123" s="1"/>
      <c r="C123" s="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7.25" customHeight="1">
      <c r="A124" s="1"/>
      <c r="B124" s="1"/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7.25" customHeight="1">
      <c r="A125" s="1"/>
      <c r="B125" s="1"/>
      <c r="C125" s="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7.25" customHeight="1">
      <c r="A126" s="1"/>
      <c r="B126" s="1"/>
      <c r="C126" s="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7.25" customHeight="1">
      <c r="A127" s="1"/>
      <c r="B127" s="1"/>
      <c r="C127" s="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7.25" customHeight="1">
      <c r="A128" s="1"/>
      <c r="B128" s="1"/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7.25" customHeight="1">
      <c r="A129" s="1"/>
      <c r="B129" s="1"/>
      <c r="C129" s="2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7.25" customHeight="1">
      <c r="A130" s="1"/>
      <c r="B130" s="1"/>
      <c r="C130" s="2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7.25" customHeight="1">
      <c r="A131" s="1"/>
      <c r="B131" s="1"/>
      <c r="C131" s="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7.25" customHeight="1">
      <c r="A132" s="1"/>
      <c r="B132" s="1"/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7.25" customHeight="1">
      <c r="A133" s="1"/>
      <c r="B133" s="1"/>
      <c r="C133" s="2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7.25" customHeight="1">
      <c r="A134" s="1"/>
      <c r="B134" s="1"/>
      <c r="C134" s="2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7.25" customHeight="1">
      <c r="A135" s="1"/>
      <c r="B135" s="1"/>
      <c r="C135" s="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7.25" customHeight="1">
      <c r="A136" s="1"/>
      <c r="B136" s="1"/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7.25" customHeight="1">
      <c r="A137" s="1"/>
      <c r="B137" s="1"/>
      <c r="C137" s="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7.25" customHeight="1">
      <c r="A138" s="1"/>
      <c r="B138" s="1"/>
      <c r="C138" s="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7.25" customHeight="1">
      <c r="A139" s="1"/>
      <c r="B139" s="1"/>
      <c r="C139" s="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7.25" customHeight="1">
      <c r="A140" s="1"/>
      <c r="B140" s="1"/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7.25" customHeight="1">
      <c r="A141" s="1"/>
      <c r="B141" s="1"/>
      <c r="C141" s="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7.25" customHeight="1">
      <c r="A142" s="1"/>
      <c r="B142" s="1"/>
      <c r="C142" s="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7.25" customHeight="1">
      <c r="A143" s="1"/>
      <c r="B143" s="1"/>
      <c r="C143" s="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7.25" customHeight="1">
      <c r="A144" s="1"/>
      <c r="B144" s="1"/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7.25" customHeight="1">
      <c r="A145" s="1"/>
      <c r="B145" s="1"/>
      <c r="C145" s="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7.25" customHeight="1">
      <c r="A146" s="1"/>
      <c r="B146" s="1"/>
      <c r="C146" s="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7.25" customHeight="1">
      <c r="A147" s="1"/>
      <c r="B147" s="1"/>
      <c r="C147" s="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7.25" customHeight="1">
      <c r="A148" s="1"/>
      <c r="B148" s="1"/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7.25" customHeight="1">
      <c r="A149" s="1"/>
      <c r="B149" s="1"/>
      <c r="C149" s="2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7.25" customHeight="1">
      <c r="A150" s="1"/>
      <c r="B150" s="1"/>
      <c r="C150" s="2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7.25" customHeight="1">
      <c r="A151" s="1"/>
      <c r="B151" s="1"/>
      <c r="C151" s="2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7.25" customHeight="1">
      <c r="A152" s="1"/>
      <c r="B152" s="1"/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7.25" customHeight="1">
      <c r="A153" s="1"/>
      <c r="B153" s="1"/>
      <c r="C153" s="2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7.25" customHeight="1">
      <c r="A154" s="1"/>
      <c r="B154" s="1"/>
      <c r="C154" s="2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7.25" customHeight="1">
      <c r="A155" s="1"/>
      <c r="B155" s="1"/>
      <c r="C155" s="2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7.25" customHeight="1">
      <c r="A156" s="1"/>
      <c r="B156" s="1"/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7.25" customHeight="1">
      <c r="A157" s="1"/>
      <c r="B157" s="1"/>
      <c r="C157" s="2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7.25" customHeight="1">
      <c r="A158" s="1"/>
      <c r="B158" s="1"/>
      <c r="C158" s="2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7.25" customHeight="1">
      <c r="A159" s="1"/>
      <c r="B159" s="1"/>
      <c r="C159" s="2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7.25" customHeight="1">
      <c r="A160" s="1"/>
      <c r="B160" s="1"/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7.25" customHeight="1">
      <c r="A161" s="1"/>
      <c r="B161" s="1"/>
      <c r="C161" s="2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7.25" customHeight="1">
      <c r="A162" s="1"/>
      <c r="B162" s="1"/>
      <c r="C162" s="2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7.25" customHeight="1">
      <c r="A163" s="1"/>
      <c r="B163" s="1"/>
      <c r="C163" s="2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7.25" customHeight="1">
      <c r="A164" s="1"/>
      <c r="B164" s="1"/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7.25" customHeight="1">
      <c r="A165" s="1"/>
      <c r="B165" s="1"/>
      <c r="C165" s="2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7.25" customHeight="1">
      <c r="A166" s="1"/>
      <c r="B166" s="1"/>
      <c r="C166" s="2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7.25" customHeight="1">
      <c r="A167" s="1"/>
      <c r="B167" s="1"/>
      <c r="C167" s="2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7.25" customHeight="1">
      <c r="A168" s="1"/>
      <c r="B168" s="1"/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7.25" customHeight="1">
      <c r="A169" s="1"/>
      <c r="B169" s="1"/>
      <c r="C169" s="2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7.25" customHeight="1">
      <c r="A170" s="1"/>
      <c r="B170" s="1"/>
      <c r="C170" s="2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7.25" customHeight="1">
      <c r="A171" s="1"/>
      <c r="B171" s="1"/>
      <c r="C171" s="2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7.25" customHeight="1">
      <c r="A172" s="1"/>
      <c r="B172" s="1"/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7.25" customHeight="1">
      <c r="A173" s="1"/>
      <c r="B173" s="1"/>
      <c r="C173" s="2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7.25" customHeight="1">
      <c r="A174" s="1"/>
      <c r="B174" s="1"/>
      <c r="C174" s="2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7.25" customHeight="1">
      <c r="A175" s="1"/>
      <c r="B175" s="1"/>
      <c r="C175" s="2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7.25" customHeight="1">
      <c r="A176" s="1"/>
      <c r="B176" s="1"/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7.25" customHeight="1">
      <c r="A177" s="1"/>
      <c r="B177" s="1"/>
      <c r="C177" s="2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7.25" customHeight="1">
      <c r="A178" s="1"/>
      <c r="B178" s="1"/>
      <c r="C178" s="2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7.25" customHeight="1">
      <c r="A179" s="1"/>
      <c r="B179" s="1"/>
      <c r="C179" s="2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7.25" customHeight="1">
      <c r="A180" s="1"/>
      <c r="B180" s="1"/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7.25" customHeight="1">
      <c r="A181" s="1"/>
      <c r="B181" s="1"/>
      <c r="C181" s="2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7.25" customHeight="1">
      <c r="A182" s="1"/>
      <c r="B182" s="1"/>
      <c r="C182" s="2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7.25" customHeight="1">
      <c r="A183" s="1"/>
      <c r="B183" s="1"/>
      <c r="C183" s="2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7.25" customHeight="1">
      <c r="A184" s="1"/>
      <c r="B184" s="1"/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7.25" customHeight="1">
      <c r="A185" s="1"/>
      <c r="B185" s="1"/>
      <c r="C185" s="2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7.25" customHeight="1">
      <c r="A186" s="1"/>
      <c r="B186" s="1"/>
      <c r="C186" s="2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7.25" customHeight="1">
      <c r="A187" s="1"/>
      <c r="B187" s="1"/>
      <c r="C187" s="2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7.25" customHeight="1">
      <c r="A188" s="1"/>
      <c r="B188" s="1"/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7.25" customHeight="1">
      <c r="A189" s="1"/>
      <c r="B189" s="1"/>
      <c r="C189" s="2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7.25" customHeight="1">
      <c r="A190" s="1"/>
      <c r="B190" s="1"/>
      <c r="C190" s="2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7.25" customHeight="1">
      <c r="A191" s="1"/>
      <c r="B191" s="1"/>
      <c r="C191" s="2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7.25" customHeight="1">
      <c r="A192" s="1"/>
      <c r="B192" s="1"/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7.25" customHeight="1">
      <c r="A193" s="1"/>
      <c r="B193" s="1"/>
      <c r="C193" s="2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7.25" customHeight="1">
      <c r="A194" s="1"/>
      <c r="B194" s="1"/>
      <c r="C194" s="2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7.25" customHeight="1">
      <c r="A195" s="1"/>
      <c r="B195" s="1"/>
      <c r="C195" s="2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7.25" customHeight="1">
      <c r="A196" s="1"/>
      <c r="B196" s="1"/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7.25" customHeight="1">
      <c r="A197" s="1"/>
      <c r="B197" s="1"/>
      <c r="C197" s="2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7.25" customHeight="1">
      <c r="A198" s="1"/>
      <c r="B198" s="1"/>
      <c r="C198" s="2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7.25" customHeight="1">
      <c r="A199" s="1"/>
      <c r="B199" s="1"/>
      <c r="C199" s="2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7.25" customHeight="1">
      <c r="A200" s="1"/>
      <c r="B200" s="1"/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7.25" customHeight="1">
      <c r="A201" s="1"/>
      <c r="B201" s="1"/>
      <c r="C201" s="2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7.25" customHeight="1">
      <c r="A202" s="1"/>
      <c r="B202" s="1"/>
      <c r="C202" s="2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7.25" customHeight="1">
      <c r="A203" s="1"/>
      <c r="B203" s="1"/>
      <c r="C203" s="2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7.25" customHeight="1">
      <c r="A204" s="1"/>
      <c r="B204" s="1"/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7.25" customHeight="1">
      <c r="A205" s="1"/>
      <c r="B205" s="1"/>
      <c r="C205" s="2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7.25" customHeight="1">
      <c r="A206" s="1"/>
      <c r="B206" s="1"/>
      <c r="C206" s="2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7.25" customHeight="1">
      <c r="A207" s="1"/>
      <c r="B207" s="1"/>
      <c r="C207" s="2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7.25" customHeight="1">
      <c r="A208" s="1"/>
      <c r="B208" s="1"/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7.25" customHeight="1">
      <c r="A209" s="1"/>
      <c r="B209" s="1"/>
      <c r="C209" s="2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7.25" customHeight="1">
      <c r="A210" s="1"/>
      <c r="B210" s="1"/>
      <c r="C210" s="2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7.25" customHeight="1">
      <c r="A211" s="1"/>
      <c r="B211" s="1"/>
      <c r="C211" s="2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7.25" customHeight="1">
      <c r="A212" s="1"/>
      <c r="B212" s="1"/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7.25" customHeight="1">
      <c r="A213" s="1"/>
      <c r="B213" s="1"/>
      <c r="C213" s="2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7.25" customHeight="1">
      <c r="A214" s="1"/>
      <c r="B214" s="1"/>
      <c r="C214" s="2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7.25" customHeight="1">
      <c r="A215" s="1"/>
      <c r="B215" s="1"/>
      <c r="C215" s="2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7.25" customHeight="1">
      <c r="A216" s="1"/>
      <c r="B216" s="1"/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7.25" customHeight="1">
      <c r="A217" s="1"/>
      <c r="B217" s="1"/>
      <c r="C217" s="2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7.25" customHeight="1">
      <c r="A218" s="1"/>
      <c r="B218" s="1"/>
      <c r="C218" s="2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7.25" customHeight="1">
      <c r="A219" s="1"/>
      <c r="B219" s="1"/>
      <c r="C219" s="2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7.25" customHeight="1">
      <c r="A220" s="1"/>
      <c r="B220" s="1"/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7.25" customHeight="1">
      <c r="A221" s="1"/>
      <c r="B221" s="1"/>
      <c r="C221" s="2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7.25" customHeight="1">
      <c r="A222" s="1"/>
      <c r="B222" s="1"/>
      <c r="C222" s="2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7.25" customHeight="1">
      <c r="A223" s="1"/>
      <c r="B223" s="1"/>
      <c r="C223" s="2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7.25" customHeight="1">
      <c r="A224" s="1"/>
      <c r="B224" s="1"/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7.25" customHeight="1">
      <c r="A225" s="1"/>
      <c r="B225" s="1"/>
      <c r="C225" s="2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7.25" customHeight="1">
      <c r="A226" s="1"/>
      <c r="B226" s="1"/>
      <c r="C226" s="2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7.25" customHeight="1">
      <c r="A227" s="1"/>
      <c r="B227" s="1"/>
      <c r="C227" s="2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7.25" customHeight="1">
      <c r="A228" s="1"/>
      <c r="B228" s="1"/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7.25" customHeight="1">
      <c r="A229" s="1"/>
      <c r="B229" s="1"/>
      <c r="C229" s="2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7.25" customHeight="1">
      <c r="A230" s="1"/>
      <c r="B230" s="1"/>
      <c r="C230" s="2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7.25" customHeight="1">
      <c r="A231" s="1"/>
      <c r="B231" s="1"/>
      <c r="C231" s="2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7.25" customHeight="1">
      <c r="A232" s="1"/>
      <c r="B232" s="1"/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7.25" customHeight="1">
      <c r="A233" s="1"/>
      <c r="B233" s="1"/>
      <c r="C233" s="2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7.25" customHeight="1">
      <c r="A234" s="1"/>
      <c r="B234" s="1"/>
      <c r="C234" s="2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7.25" customHeight="1">
      <c r="A235" s="1"/>
      <c r="B235" s="1"/>
      <c r="C235" s="2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7.25" customHeight="1">
      <c r="A236" s="1"/>
      <c r="B236" s="1"/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7.25" customHeight="1">
      <c r="A237" s="1"/>
      <c r="B237" s="1"/>
      <c r="C237" s="2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7.25" customHeight="1">
      <c r="A238" s="1"/>
      <c r="B238" s="1"/>
      <c r="C238" s="2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7.25" customHeight="1">
      <c r="A239" s="1"/>
      <c r="B239" s="1"/>
      <c r="C239" s="2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7.25" customHeight="1">
      <c r="A240" s="1"/>
      <c r="B240" s="1"/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7.25" customHeight="1">
      <c r="A241" s="1"/>
      <c r="B241" s="1"/>
      <c r="C241" s="2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7.25" customHeight="1">
      <c r="A242" s="1"/>
      <c r="B242" s="1"/>
      <c r="C242" s="2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7.25" customHeight="1">
      <c r="A243" s="1"/>
      <c r="B243" s="1"/>
      <c r="C243" s="2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7.25" customHeight="1">
      <c r="A244" s="1"/>
      <c r="B244" s="1"/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7.25" customHeight="1">
      <c r="A245" s="1"/>
      <c r="B245" s="1"/>
      <c r="C245" s="2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7.25" customHeight="1">
      <c r="A246" s="1"/>
      <c r="B246" s="1"/>
      <c r="C246" s="2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7.25" customHeight="1">
      <c r="A247" s="1"/>
      <c r="B247" s="1"/>
      <c r="C247" s="2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7.25" customHeight="1">
      <c r="A248" s="1"/>
      <c r="B248" s="1"/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7.25" customHeight="1">
      <c r="A249" s="1"/>
      <c r="B249" s="1"/>
      <c r="C249" s="2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7.25" customHeight="1">
      <c r="A250" s="1"/>
      <c r="B250" s="1"/>
      <c r="C250" s="2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7.25" customHeight="1">
      <c r="A251" s="1"/>
      <c r="B251" s="1"/>
      <c r="C251" s="2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7.25" customHeight="1">
      <c r="A252" s="1"/>
      <c r="B252" s="1"/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7.25" customHeight="1">
      <c r="A253" s="1"/>
      <c r="B253" s="1"/>
      <c r="C253" s="2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7.25" customHeight="1">
      <c r="A254" s="1"/>
      <c r="B254" s="1"/>
      <c r="C254" s="2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7.25" customHeight="1">
      <c r="A255" s="1"/>
      <c r="B255" s="1"/>
      <c r="C255" s="2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7.25" customHeight="1">
      <c r="A256" s="1"/>
      <c r="B256" s="1"/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7.25" customHeight="1">
      <c r="A257" s="1"/>
      <c r="B257" s="1"/>
      <c r="C257" s="2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7.25" customHeight="1">
      <c r="A258" s="1"/>
      <c r="B258" s="1"/>
      <c r="C258" s="2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7.25" customHeight="1">
      <c r="A259" s="1"/>
      <c r="B259" s="1"/>
      <c r="C259" s="2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7.25" customHeight="1">
      <c r="A260" s="1"/>
      <c r="B260" s="1"/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7.25" customHeight="1">
      <c r="A261" s="1"/>
      <c r="B261" s="1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7.25" customHeight="1">
      <c r="A262" s="1"/>
      <c r="B262" s="1"/>
      <c r="C262" s="2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7.25" customHeight="1">
      <c r="A263" s="1"/>
      <c r="B263" s="1"/>
      <c r="C263" s="2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7.25" customHeight="1">
      <c r="A264" s="1"/>
      <c r="B264" s="1"/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7.25" customHeight="1">
      <c r="A265" s="1"/>
      <c r="B265" s="1"/>
      <c r="C265" s="2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7.25" customHeight="1">
      <c r="A266" s="1"/>
      <c r="B266" s="1"/>
      <c r="C266" s="2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7.25" customHeight="1">
      <c r="A267" s="1"/>
      <c r="B267" s="1"/>
      <c r="C267" s="2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7.25" customHeight="1">
      <c r="A268" s="1"/>
      <c r="B268" s="1"/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7.25" customHeight="1">
      <c r="A269" s="1"/>
      <c r="B269" s="1"/>
      <c r="C269" s="2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7.25" customHeight="1">
      <c r="A270" s="1"/>
      <c r="B270" s="1"/>
      <c r="C270" s="2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7.25" customHeight="1">
      <c r="A271" s="1"/>
      <c r="B271" s="1"/>
      <c r="C271" s="2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7.25" customHeight="1">
      <c r="A272" s="1"/>
      <c r="B272" s="1"/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7.25" customHeight="1">
      <c r="A273" s="1"/>
      <c r="B273" s="1"/>
      <c r="C273" s="2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7.25" customHeight="1">
      <c r="A274" s="1"/>
      <c r="B274" s="1"/>
      <c r="C274" s="2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7.25" customHeight="1">
      <c r="A275" s="1"/>
      <c r="B275" s="1"/>
      <c r="C275" s="2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7.25" customHeight="1">
      <c r="A276" s="1"/>
      <c r="B276" s="1"/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7.25" customHeight="1">
      <c r="A277" s="1"/>
      <c r="B277" s="1"/>
      <c r="C277" s="2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7.25" customHeight="1">
      <c r="A278" s="1"/>
      <c r="B278" s="1"/>
      <c r="C278" s="2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7.25" customHeight="1">
      <c r="A279" s="1"/>
      <c r="B279" s="1"/>
      <c r="C279" s="2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7.25" customHeight="1">
      <c r="A280" s="1"/>
      <c r="B280" s="1"/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7.25" customHeight="1">
      <c r="A281" s="1"/>
      <c r="B281" s="1"/>
      <c r="C281" s="2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7.25" customHeight="1">
      <c r="A282" s="1"/>
      <c r="B282" s="1"/>
      <c r="C282" s="2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7.25" customHeight="1">
      <c r="A283" s="1"/>
      <c r="B283" s="1"/>
      <c r="C283" s="2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7.25" customHeight="1">
      <c r="A284" s="1"/>
      <c r="B284" s="1"/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7.25" customHeight="1">
      <c r="A285" s="1"/>
      <c r="B285" s="1"/>
      <c r="C285" s="2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7.25" customHeight="1">
      <c r="A286" s="1"/>
      <c r="B286" s="1"/>
      <c r="C286" s="2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7.25" customHeight="1">
      <c r="A287" s="1"/>
      <c r="B287" s="1"/>
      <c r="C287" s="2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7.25" customHeight="1">
      <c r="A288" s="1"/>
      <c r="B288" s="1"/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7.25" customHeight="1">
      <c r="A289" s="1"/>
      <c r="B289" s="1"/>
      <c r="C289" s="2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7.25" customHeight="1">
      <c r="A290" s="1"/>
      <c r="B290" s="1"/>
      <c r="C290" s="2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7.25" customHeight="1">
      <c r="A291" s="1"/>
      <c r="B291" s="1"/>
      <c r="C291" s="2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7.25" customHeight="1">
      <c r="A292" s="1"/>
      <c r="B292" s="1"/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7.25" customHeight="1">
      <c r="A293" s="1"/>
      <c r="B293" s="1"/>
      <c r="C293" s="2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7.25" customHeight="1">
      <c r="A294" s="1"/>
      <c r="B294" s="1"/>
      <c r="C294" s="2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7.25" customHeight="1">
      <c r="A295" s="1"/>
      <c r="B295" s="1"/>
      <c r="C295" s="2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7.25" customHeight="1">
      <c r="A296" s="1"/>
      <c r="B296" s="1"/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7.25" customHeight="1">
      <c r="A297" s="1"/>
      <c r="B297" s="1"/>
      <c r="C297" s="2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7.25" customHeight="1">
      <c r="A298" s="1"/>
      <c r="B298" s="1"/>
      <c r="C298" s="2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7.25" customHeight="1">
      <c r="A299" s="1"/>
      <c r="B299" s="1"/>
      <c r="C299" s="2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7.25" customHeight="1">
      <c r="A300" s="1"/>
      <c r="B300" s="1"/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7.25" customHeight="1">
      <c r="A301" s="1"/>
      <c r="B301" s="1"/>
      <c r="C301" s="2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7.25" customHeight="1">
      <c r="A302" s="1"/>
      <c r="B302" s="1"/>
      <c r="C302" s="2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7.25" customHeight="1">
      <c r="A303" s="1"/>
      <c r="B303" s="1"/>
      <c r="C303" s="2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7.25" customHeight="1">
      <c r="A304" s="1"/>
      <c r="B304" s="1"/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7.25" customHeight="1">
      <c r="A305" s="1"/>
      <c r="B305" s="1"/>
      <c r="C305" s="2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7.25" customHeight="1">
      <c r="A306" s="1"/>
      <c r="B306" s="1"/>
      <c r="C306" s="2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7.25" customHeight="1">
      <c r="A307" s="1"/>
      <c r="B307" s="1"/>
      <c r="C307" s="2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7.25" customHeight="1">
      <c r="A308" s="1"/>
      <c r="B308" s="1"/>
      <c r="C308" s="2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7.25" customHeight="1">
      <c r="A309" s="1"/>
      <c r="B309" s="1"/>
      <c r="C309" s="2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7.25" customHeight="1">
      <c r="A310" s="1"/>
      <c r="B310" s="1"/>
      <c r="C310" s="2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7.25" customHeight="1">
      <c r="A311" s="1"/>
      <c r="B311" s="1"/>
      <c r="C311" s="2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7.25" customHeight="1">
      <c r="A312" s="1"/>
      <c r="B312" s="1"/>
      <c r="C312" s="2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7.25" customHeight="1">
      <c r="A313" s="1"/>
      <c r="B313" s="1"/>
      <c r="C313" s="2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7.25" customHeight="1">
      <c r="A314" s="1"/>
      <c r="B314" s="1"/>
      <c r="C314" s="2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7.25" customHeight="1">
      <c r="A315" s="1"/>
      <c r="B315" s="1"/>
      <c r="C315" s="2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7.25" customHeight="1">
      <c r="A316" s="1"/>
      <c r="B316" s="1"/>
      <c r="C316" s="2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7.25" customHeight="1">
      <c r="A317" s="1"/>
      <c r="B317" s="1"/>
      <c r="C317" s="2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7.25" customHeight="1">
      <c r="A318" s="1"/>
      <c r="B318" s="1"/>
      <c r="C318" s="2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7.25" customHeight="1">
      <c r="A319" s="1"/>
      <c r="B319" s="1"/>
      <c r="C319" s="2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7.25" customHeight="1">
      <c r="A320" s="1"/>
      <c r="B320" s="1"/>
      <c r="C320" s="2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7.25" customHeight="1">
      <c r="A321" s="1"/>
      <c r="B321" s="1"/>
      <c r="C321" s="2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7.25" customHeight="1">
      <c r="A322" s="1"/>
      <c r="B322" s="1"/>
      <c r="C322" s="2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7.25" customHeight="1">
      <c r="A323" s="1"/>
      <c r="B323" s="1"/>
      <c r="C323" s="2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7.25" customHeight="1">
      <c r="A324" s="1"/>
      <c r="B324" s="1"/>
      <c r="C324" s="2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7.25" customHeight="1">
      <c r="A325" s="1"/>
      <c r="B325" s="1"/>
      <c r="C325" s="2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7.25" customHeight="1">
      <c r="A326" s="1"/>
      <c r="B326" s="1"/>
      <c r="C326" s="2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7.25" customHeight="1">
      <c r="A327" s="1"/>
      <c r="B327" s="1"/>
      <c r="C327" s="2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7.25" customHeight="1">
      <c r="A328" s="1"/>
      <c r="B328" s="1"/>
      <c r="C328" s="2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7.25" customHeight="1">
      <c r="A329" s="1"/>
      <c r="B329" s="1"/>
      <c r="C329" s="2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7.25" customHeight="1">
      <c r="A330" s="1"/>
      <c r="B330" s="1"/>
      <c r="C330" s="2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7.25" customHeight="1">
      <c r="A331" s="1"/>
      <c r="B331" s="1"/>
      <c r="C331" s="2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7.25" customHeight="1">
      <c r="A332" s="1"/>
      <c r="B332" s="1"/>
      <c r="C332" s="2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7.25" customHeight="1">
      <c r="A333" s="1"/>
      <c r="B333" s="1"/>
      <c r="C333" s="2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7.25" customHeight="1">
      <c r="A334" s="1"/>
      <c r="B334" s="1"/>
      <c r="C334" s="2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7.25" customHeight="1">
      <c r="A335" s="1"/>
      <c r="B335" s="1"/>
      <c r="C335" s="2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7.25" customHeight="1">
      <c r="A336" s="1"/>
      <c r="B336" s="1"/>
      <c r="C336" s="2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7.25" customHeight="1">
      <c r="A337" s="1"/>
      <c r="B337" s="1"/>
      <c r="C337" s="2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7.25" customHeight="1">
      <c r="A338" s="1"/>
      <c r="B338" s="1"/>
      <c r="C338" s="2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7.25" customHeight="1">
      <c r="A339" s="1"/>
      <c r="B339" s="1"/>
      <c r="C339" s="2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7.25" customHeight="1">
      <c r="A340" s="1"/>
      <c r="B340" s="1"/>
      <c r="C340" s="2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7.25" customHeight="1">
      <c r="A341" s="1"/>
      <c r="B341" s="1"/>
      <c r="C341" s="2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7.25" customHeight="1">
      <c r="A342" s="1"/>
      <c r="B342" s="1"/>
      <c r="C342" s="2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7.25" customHeight="1">
      <c r="A343" s="1"/>
      <c r="B343" s="1"/>
      <c r="C343" s="2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7.25" customHeight="1">
      <c r="A344" s="1"/>
      <c r="B344" s="1"/>
      <c r="C344" s="2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7.25" customHeight="1">
      <c r="A345" s="1"/>
      <c r="B345" s="1"/>
      <c r="C345" s="2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7.25" customHeight="1">
      <c r="A346" s="1"/>
      <c r="B346" s="1"/>
      <c r="C346" s="2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7.25" customHeight="1">
      <c r="A347" s="1"/>
      <c r="B347" s="1"/>
      <c r="C347" s="2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7.25" customHeight="1">
      <c r="A348" s="1"/>
      <c r="B348" s="1"/>
      <c r="C348" s="2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7.25" customHeight="1">
      <c r="A349" s="1"/>
      <c r="B349" s="1"/>
      <c r="C349" s="2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7.25" customHeight="1">
      <c r="A350" s="1"/>
      <c r="B350" s="1"/>
      <c r="C350" s="2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7.25" customHeight="1">
      <c r="A351" s="1"/>
      <c r="B351" s="1"/>
      <c r="C351" s="2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7.25" customHeight="1">
      <c r="A352" s="1"/>
      <c r="B352" s="1"/>
      <c r="C352" s="2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7.25" customHeight="1">
      <c r="A353" s="1"/>
      <c r="B353" s="1"/>
      <c r="C353" s="2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7.25" customHeight="1">
      <c r="A354" s="1"/>
      <c r="B354" s="1"/>
      <c r="C354" s="2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7.25" customHeight="1">
      <c r="A355" s="1"/>
      <c r="B355" s="1"/>
      <c r="C355" s="2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7.25" customHeight="1">
      <c r="A356" s="1"/>
      <c r="B356" s="1"/>
      <c r="C356" s="2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7.25" customHeight="1">
      <c r="A357" s="1"/>
      <c r="B357" s="1"/>
      <c r="C357" s="2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7.25" customHeight="1">
      <c r="A358" s="1"/>
      <c r="B358" s="1"/>
      <c r="C358" s="2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7.25" customHeight="1">
      <c r="A359" s="1"/>
      <c r="B359" s="1"/>
      <c r="C359" s="2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7.25" customHeight="1">
      <c r="A360" s="1"/>
      <c r="B360" s="1"/>
      <c r="C360" s="2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7.25" customHeight="1">
      <c r="A361" s="1"/>
      <c r="B361" s="1"/>
      <c r="C361" s="2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7.25" customHeight="1">
      <c r="A362" s="1"/>
      <c r="B362" s="1"/>
      <c r="C362" s="2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7.25" customHeight="1">
      <c r="A363" s="1"/>
      <c r="B363" s="1"/>
      <c r="C363" s="2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7.25" customHeight="1">
      <c r="A364" s="1"/>
      <c r="B364" s="1"/>
      <c r="C364" s="2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7.25" customHeight="1">
      <c r="A365" s="1"/>
      <c r="B365" s="1"/>
      <c r="C365" s="2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7.25" customHeight="1">
      <c r="A366" s="1"/>
      <c r="B366" s="1"/>
      <c r="C366" s="2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7.25" customHeight="1">
      <c r="A367" s="1"/>
      <c r="B367" s="1"/>
      <c r="C367" s="2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7.25" customHeight="1">
      <c r="A368" s="1"/>
      <c r="B368" s="1"/>
      <c r="C368" s="2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7.25" customHeight="1">
      <c r="A369" s="1"/>
      <c r="B369" s="1"/>
      <c r="C369" s="2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7.25" customHeight="1">
      <c r="A370" s="1"/>
      <c r="B370" s="1"/>
      <c r="C370" s="2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7.25" customHeight="1">
      <c r="A371" s="1"/>
      <c r="B371" s="1"/>
      <c r="C371" s="2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7.25" customHeight="1">
      <c r="A372" s="1"/>
      <c r="B372" s="1"/>
      <c r="C372" s="2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7.25" customHeight="1">
      <c r="A373" s="1"/>
      <c r="B373" s="1"/>
      <c r="C373" s="2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7.25" customHeight="1">
      <c r="A374" s="1"/>
      <c r="B374" s="1"/>
      <c r="C374" s="2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7.25" customHeight="1">
      <c r="A375" s="1"/>
      <c r="B375" s="1"/>
      <c r="C375" s="2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7.25" customHeight="1">
      <c r="A376" s="1"/>
      <c r="B376" s="1"/>
      <c r="C376" s="2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7.25" customHeight="1">
      <c r="A377" s="1"/>
      <c r="B377" s="1"/>
      <c r="C377" s="2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7.25" customHeight="1">
      <c r="A378" s="1"/>
      <c r="B378" s="1"/>
      <c r="C378" s="2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7.25" customHeight="1">
      <c r="A379" s="1"/>
      <c r="B379" s="1"/>
      <c r="C379" s="2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7.25" customHeight="1">
      <c r="A380" s="1"/>
      <c r="B380" s="1"/>
      <c r="C380" s="2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7.25" customHeight="1">
      <c r="A381" s="1"/>
      <c r="B381" s="1"/>
      <c r="C381" s="2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7.25" customHeight="1">
      <c r="A382" s="1"/>
      <c r="B382" s="1"/>
      <c r="C382" s="2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7.25" customHeight="1">
      <c r="A383" s="1"/>
      <c r="B383" s="1"/>
      <c r="C383" s="2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7.25" customHeight="1">
      <c r="A384" s="1"/>
      <c r="B384" s="1"/>
      <c r="C384" s="2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7.25" customHeight="1">
      <c r="A385" s="1"/>
      <c r="B385" s="1"/>
      <c r="C385" s="2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7.25" customHeight="1">
      <c r="A386" s="1"/>
      <c r="B386" s="1"/>
      <c r="C386" s="2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7.25" customHeight="1">
      <c r="A387" s="1"/>
      <c r="B387" s="1"/>
      <c r="C387" s="2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7.25" customHeight="1">
      <c r="A388" s="1"/>
      <c r="B388" s="1"/>
      <c r="C388" s="2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7.25" customHeight="1">
      <c r="A389" s="1"/>
      <c r="B389" s="1"/>
      <c r="C389" s="2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7.25" customHeight="1">
      <c r="A390" s="1"/>
      <c r="B390" s="1"/>
      <c r="C390" s="2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7.25" customHeight="1">
      <c r="A391" s="1"/>
      <c r="B391" s="1"/>
      <c r="C391" s="2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7.25" customHeight="1">
      <c r="A392" s="1"/>
      <c r="B392" s="1"/>
      <c r="C392" s="2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7.25" customHeight="1">
      <c r="A393" s="1"/>
      <c r="B393" s="1"/>
      <c r="C393" s="2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7.25" customHeight="1">
      <c r="A394" s="1"/>
      <c r="B394" s="1"/>
      <c r="C394" s="2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7.25" customHeight="1">
      <c r="A395" s="1"/>
      <c r="B395" s="1"/>
      <c r="C395" s="2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7.25" customHeight="1">
      <c r="A396" s="1"/>
      <c r="B396" s="1"/>
      <c r="C396" s="2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7.25" customHeight="1">
      <c r="A397" s="1"/>
      <c r="B397" s="1"/>
      <c r="C397" s="2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7.25" customHeight="1">
      <c r="A398" s="1"/>
      <c r="B398" s="1"/>
      <c r="C398" s="2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7.25" customHeight="1">
      <c r="A399" s="1"/>
      <c r="B399" s="1"/>
      <c r="C399" s="2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7.25" customHeight="1">
      <c r="A400" s="1"/>
      <c r="B400" s="1"/>
      <c r="C400" s="2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7.25" customHeight="1">
      <c r="A401" s="1"/>
      <c r="B401" s="1"/>
      <c r="C401" s="2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7.25" customHeight="1">
      <c r="A402" s="1"/>
      <c r="B402" s="1"/>
      <c r="C402" s="2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7.25" customHeight="1">
      <c r="A403" s="1"/>
      <c r="B403" s="1"/>
      <c r="C403" s="2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7.25" customHeight="1">
      <c r="A404" s="1"/>
      <c r="B404" s="1"/>
      <c r="C404" s="2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7.25" customHeight="1">
      <c r="A405" s="1"/>
      <c r="B405" s="1"/>
      <c r="C405" s="2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7.25" customHeight="1">
      <c r="A406" s="1"/>
      <c r="B406" s="1"/>
      <c r="C406" s="2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7.25" customHeight="1">
      <c r="A407" s="1"/>
      <c r="B407" s="1"/>
      <c r="C407" s="2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7.25" customHeight="1">
      <c r="A408" s="1"/>
      <c r="B408" s="1"/>
      <c r="C408" s="2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7.25" customHeight="1">
      <c r="A409" s="1"/>
      <c r="B409" s="1"/>
      <c r="C409" s="2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7.25" customHeight="1">
      <c r="A410" s="1"/>
      <c r="B410" s="1"/>
      <c r="C410" s="2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7.25" customHeight="1">
      <c r="A411" s="1"/>
      <c r="B411" s="1"/>
      <c r="C411" s="2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7.25" customHeight="1">
      <c r="A412" s="1"/>
      <c r="B412" s="1"/>
      <c r="C412" s="2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7.25" customHeight="1">
      <c r="A413" s="1"/>
      <c r="B413" s="1"/>
      <c r="C413" s="2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7.25" customHeight="1">
      <c r="A414" s="1"/>
      <c r="B414" s="1"/>
      <c r="C414" s="2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7.25" customHeight="1">
      <c r="A415" s="1"/>
      <c r="B415" s="1"/>
      <c r="C415" s="2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7.25" customHeight="1">
      <c r="A416" s="1"/>
      <c r="B416" s="1"/>
      <c r="C416" s="2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7.25" customHeight="1">
      <c r="A417" s="1"/>
      <c r="B417" s="1"/>
      <c r="C417" s="2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7.25" customHeight="1">
      <c r="A418" s="1"/>
      <c r="B418" s="1"/>
      <c r="C418" s="2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7.25" customHeight="1">
      <c r="A419" s="1"/>
      <c r="B419" s="1"/>
      <c r="C419" s="2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7.25" customHeight="1">
      <c r="A420" s="1"/>
      <c r="B420" s="1"/>
      <c r="C420" s="2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7.25" customHeight="1">
      <c r="A421" s="1"/>
      <c r="B421" s="1"/>
      <c r="C421" s="2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7.25" customHeight="1">
      <c r="A422" s="1"/>
      <c r="B422" s="1"/>
      <c r="C422" s="2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7.25" customHeight="1">
      <c r="A423" s="1"/>
      <c r="B423" s="1"/>
      <c r="C423" s="2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7.25" customHeight="1">
      <c r="A424" s="1"/>
      <c r="B424" s="1"/>
      <c r="C424" s="2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7.25" customHeight="1">
      <c r="A425" s="1"/>
      <c r="B425" s="1"/>
      <c r="C425" s="2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7.25" customHeight="1">
      <c r="A426" s="1"/>
      <c r="B426" s="1"/>
      <c r="C426" s="2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7.25" customHeight="1">
      <c r="A427" s="1"/>
      <c r="B427" s="1"/>
      <c r="C427" s="2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7.25" customHeight="1">
      <c r="A428" s="1"/>
      <c r="B428" s="1"/>
      <c r="C428" s="2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7.25" customHeight="1">
      <c r="A429" s="1"/>
      <c r="B429" s="1"/>
      <c r="C429" s="2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7.25" customHeight="1">
      <c r="A430" s="1"/>
      <c r="B430" s="1"/>
      <c r="C430" s="2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7.25" customHeight="1">
      <c r="A431" s="1"/>
      <c r="B431" s="1"/>
      <c r="C431" s="2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7.25" customHeight="1">
      <c r="A432" s="1"/>
      <c r="B432" s="1"/>
      <c r="C432" s="2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7.25" customHeight="1">
      <c r="A433" s="1"/>
      <c r="B433" s="1"/>
      <c r="C433" s="2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7.25" customHeight="1">
      <c r="A434" s="1"/>
      <c r="B434" s="1"/>
      <c r="C434" s="2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7.25" customHeight="1">
      <c r="A435" s="1"/>
      <c r="B435" s="1"/>
      <c r="C435" s="2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7.25" customHeight="1">
      <c r="A436" s="1"/>
      <c r="B436" s="1"/>
      <c r="C436" s="2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7.25" customHeight="1">
      <c r="A437" s="1"/>
      <c r="B437" s="1"/>
      <c r="C437" s="2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7.25" customHeight="1">
      <c r="A438" s="1"/>
      <c r="B438" s="1"/>
      <c r="C438" s="2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7.25" customHeight="1">
      <c r="A439" s="1"/>
      <c r="B439" s="1"/>
      <c r="C439" s="2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7.25" customHeight="1">
      <c r="A440" s="1"/>
      <c r="B440" s="1"/>
      <c r="C440" s="2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7.25" customHeight="1">
      <c r="A441" s="1"/>
      <c r="B441" s="1"/>
      <c r="C441" s="2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7.25" customHeight="1">
      <c r="A442" s="1"/>
      <c r="B442" s="1"/>
      <c r="C442" s="2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7.25" customHeight="1">
      <c r="A443" s="1"/>
      <c r="B443" s="1"/>
      <c r="C443" s="2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7.25" customHeight="1">
      <c r="A444" s="1"/>
      <c r="B444" s="1"/>
      <c r="C444" s="2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7.25" customHeight="1">
      <c r="A445" s="1"/>
      <c r="B445" s="1"/>
      <c r="C445" s="2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7.25" customHeight="1">
      <c r="A446" s="1"/>
      <c r="B446" s="1"/>
      <c r="C446" s="2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7.25" customHeight="1">
      <c r="A447" s="1"/>
      <c r="B447" s="1"/>
      <c r="C447" s="2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7.25" customHeight="1">
      <c r="A448" s="1"/>
      <c r="B448" s="1"/>
      <c r="C448" s="2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7.25" customHeight="1">
      <c r="A449" s="1"/>
      <c r="B449" s="1"/>
      <c r="C449" s="2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7.25" customHeight="1">
      <c r="A450" s="1"/>
      <c r="B450" s="1"/>
      <c r="C450" s="2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7.25" customHeight="1">
      <c r="A451" s="1"/>
      <c r="B451" s="1"/>
      <c r="C451" s="2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7.25" customHeight="1">
      <c r="A452" s="1"/>
      <c r="B452" s="1"/>
      <c r="C452" s="2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7.25" customHeight="1">
      <c r="A453" s="1"/>
      <c r="B453" s="1"/>
      <c r="C453" s="2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7.25" customHeight="1">
      <c r="A454" s="1"/>
      <c r="B454" s="1"/>
      <c r="C454" s="2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7.25" customHeight="1">
      <c r="A455" s="1"/>
      <c r="B455" s="1"/>
      <c r="C455" s="2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7.25" customHeight="1">
      <c r="A456" s="1"/>
      <c r="B456" s="1"/>
      <c r="C456" s="2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7.25" customHeight="1">
      <c r="A457" s="1"/>
      <c r="B457" s="1"/>
      <c r="C457" s="2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7.25" customHeight="1">
      <c r="A458" s="1"/>
      <c r="B458" s="1"/>
      <c r="C458" s="2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7.25" customHeight="1">
      <c r="A459" s="1"/>
      <c r="B459" s="1"/>
      <c r="C459" s="2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7.25" customHeight="1">
      <c r="A460" s="1"/>
      <c r="B460" s="1"/>
      <c r="C460" s="2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7.25" customHeight="1">
      <c r="A461" s="1"/>
      <c r="B461" s="1"/>
      <c r="C461" s="2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7.25" customHeight="1">
      <c r="A462" s="1"/>
      <c r="B462" s="1"/>
      <c r="C462" s="2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7.25" customHeight="1">
      <c r="A463" s="1"/>
      <c r="B463" s="1"/>
      <c r="C463" s="2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7.25" customHeight="1">
      <c r="A464" s="1"/>
      <c r="B464" s="1"/>
      <c r="C464" s="2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7.25" customHeight="1">
      <c r="A465" s="1"/>
      <c r="B465" s="1"/>
      <c r="C465" s="2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7.25" customHeight="1">
      <c r="A466" s="1"/>
      <c r="B466" s="1"/>
      <c r="C466" s="2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7.25" customHeight="1">
      <c r="A467" s="1"/>
      <c r="B467" s="1"/>
      <c r="C467" s="2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7.25" customHeight="1">
      <c r="A468" s="1"/>
      <c r="B468" s="1"/>
      <c r="C468" s="2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7.25" customHeight="1">
      <c r="A469" s="1"/>
      <c r="B469" s="1"/>
      <c r="C469" s="2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7.25" customHeight="1">
      <c r="A470" s="1"/>
      <c r="B470" s="1"/>
      <c r="C470" s="2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7.25" customHeight="1">
      <c r="A471" s="1"/>
      <c r="B471" s="1"/>
      <c r="C471" s="2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7.25" customHeight="1">
      <c r="A472" s="1"/>
      <c r="B472" s="1"/>
      <c r="C472" s="2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7.25" customHeight="1">
      <c r="A473" s="1"/>
      <c r="B473" s="1"/>
      <c r="C473" s="2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7.25" customHeight="1">
      <c r="A474" s="1"/>
      <c r="B474" s="1"/>
      <c r="C474" s="2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7.25" customHeight="1">
      <c r="A475" s="1"/>
      <c r="B475" s="1"/>
      <c r="C475" s="2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7.25" customHeight="1">
      <c r="A476" s="1"/>
      <c r="B476" s="1"/>
      <c r="C476" s="2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7.25" customHeight="1">
      <c r="A477" s="1"/>
      <c r="B477" s="1"/>
      <c r="C477" s="2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7.25" customHeight="1">
      <c r="A478" s="1"/>
      <c r="B478" s="1"/>
      <c r="C478" s="2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7.25" customHeight="1">
      <c r="A479" s="1"/>
      <c r="B479" s="1"/>
      <c r="C479" s="2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7.25" customHeight="1">
      <c r="A480" s="1"/>
      <c r="B480" s="1"/>
      <c r="C480" s="2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7.25" customHeight="1">
      <c r="A481" s="1"/>
      <c r="B481" s="1"/>
      <c r="C481" s="2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7.25" customHeight="1">
      <c r="A482" s="1"/>
      <c r="B482" s="1"/>
      <c r="C482" s="2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7.25" customHeight="1">
      <c r="A483" s="1"/>
      <c r="B483" s="1"/>
      <c r="C483" s="2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7.25" customHeight="1">
      <c r="A484" s="1"/>
      <c r="B484" s="1"/>
      <c r="C484" s="2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7.25" customHeight="1">
      <c r="A485" s="1"/>
      <c r="B485" s="1"/>
      <c r="C485" s="2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7.25" customHeight="1">
      <c r="A486" s="1"/>
      <c r="B486" s="1"/>
      <c r="C486" s="2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7.25" customHeight="1">
      <c r="A487" s="1"/>
      <c r="B487" s="1"/>
      <c r="C487" s="2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7.25" customHeight="1">
      <c r="A488" s="1"/>
      <c r="B488" s="1"/>
      <c r="C488" s="2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7.25" customHeight="1">
      <c r="A489" s="1"/>
      <c r="B489" s="1"/>
      <c r="C489" s="2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7.25" customHeight="1">
      <c r="A490" s="1"/>
      <c r="B490" s="1"/>
      <c r="C490" s="2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7.25" customHeight="1">
      <c r="A491" s="1"/>
      <c r="B491" s="1"/>
      <c r="C491" s="2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7.25" customHeight="1">
      <c r="A492" s="1"/>
      <c r="B492" s="1"/>
      <c r="C492" s="2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7.25" customHeight="1">
      <c r="A493" s="1"/>
      <c r="B493" s="1"/>
      <c r="C493" s="2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7.25" customHeight="1">
      <c r="A494" s="1"/>
      <c r="B494" s="1"/>
      <c r="C494" s="2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7.25" customHeight="1">
      <c r="A495" s="1"/>
      <c r="B495" s="1"/>
      <c r="C495" s="2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7.25" customHeight="1">
      <c r="A496" s="1"/>
      <c r="B496" s="1"/>
      <c r="C496" s="2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7.25" customHeight="1">
      <c r="A497" s="1"/>
      <c r="B497" s="1"/>
      <c r="C497" s="2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7.25" customHeight="1">
      <c r="A498" s="1"/>
      <c r="B498" s="1"/>
      <c r="C498" s="2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7.25" customHeight="1">
      <c r="A499" s="1"/>
      <c r="B499" s="1"/>
      <c r="C499" s="2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7.25" customHeight="1">
      <c r="A500" s="1"/>
      <c r="B500" s="1"/>
      <c r="C500" s="2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7.25" customHeight="1">
      <c r="A501" s="1"/>
      <c r="B501" s="1"/>
      <c r="C501" s="2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7.25" customHeight="1">
      <c r="A502" s="1"/>
      <c r="B502" s="1"/>
      <c r="C502" s="2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7.25" customHeight="1">
      <c r="A503" s="1"/>
      <c r="B503" s="1"/>
      <c r="C503" s="2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7.25" customHeight="1">
      <c r="A504" s="1"/>
      <c r="B504" s="1"/>
      <c r="C504" s="2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7.25" customHeight="1">
      <c r="A505" s="1"/>
      <c r="B505" s="1"/>
      <c r="C505" s="2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7.25" customHeight="1">
      <c r="A506" s="1"/>
      <c r="B506" s="1"/>
      <c r="C506" s="2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7.25" customHeight="1">
      <c r="A507" s="1"/>
      <c r="B507" s="1"/>
      <c r="C507" s="2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7.25" customHeight="1">
      <c r="A508" s="1"/>
      <c r="B508" s="1"/>
      <c r="C508" s="2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7.25" customHeight="1">
      <c r="A509" s="1"/>
      <c r="B509" s="1"/>
      <c r="C509" s="2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7.25" customHeight="1">
      <c r="A510" s="1"/>
      <c r="B510" s="1"/>
      <c r="C510" s="2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7.25" customHeight="1">
      <c r="A511" s="1"/>
      <c r="B511" s="1"/>
      <c r="C511" s="2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7.25" customHeight="1">
      <c r="A512" s="1"/>
      <c r="B512" s="1"/>
      <c r="C512" s="2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7.25" customHeight="1">
      <c r="A513" s="1"/>
      <c r="B513" s="1"/>
      <c r="C513" s="2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7.25" customHeight="1">
      <c r="A514" s="1"/>
      <c r="B514" s="1"/>
      <c r="C514" s="2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7.25" customHeight="1">
      <c r="A515" s="1"/>
      <c r="B515" s="1"/>
      <c r="C515" s="2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7.25" customHeight="1">
      <c r="A516" s="1"/>
      <c r="B516" s="1"/>
      <c r="C516" s="2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7.25" customHeight="1">
      <c r="A517" s="1"/>
      <c r="B517" s="1"/>
      <c r="C517" s="2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7.25" customHeight="1">
      <c r="A518" s="1"/>
      <c r="B518" s="1"/>
      <c r="C518" s="2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7.25" customHeight="1">
      <c r="A519" s="1"/>
      <c r="B519" s="1"/>
      <c r="C519" s="2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7.25" customHeight="1">
      <c r="A520" s="1"/>
      <c r="B520" s="1"/>
      <c r="C520" s="2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7.25" customHeight="1">
      <c r="A521" s="1"/>
      <c r="B521" s="1"/>
      <c r="C521" s="2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7.25" customHeight="1">
      <c r="A522" s="1"/>
      <c r="B522" s="1"/>
      <c r="C522" s="2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7.25" customHeight="1">
      <c r="A523" s="1"/>
      <c r="B523" s="1"/>
      <c r="C523" s="2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7.25" customHeight="1">
      <c r="A524" s="1"/>
      <c r="B524" s="1"/>
      <c r="C524" s="2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7.25" customHeight="1">
      <c r="A525" s="1"/>
      <c r="B525" s="1"/>
      <c r="C525" s="2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7.25" customHeight="1">
      <c r="A526" s="1"/>
      <c r="B526" s="1"/>
      <c r="C526" s="2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7.25" customHeight="1">
      <c r="A527" s="1"/>
      <c r="B527" s="1"/>
      <c r="C527" s="2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7.25" customHeight="1">
      <c r="A528" s="1"/>
      <c r="B528" s="1"/>
      <c r="C528" s="2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7.25" customHeight="1">
      <c r="A529" s="1"/>
      <c r="B529" s="1"/>
      <c r="C529" s="2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7.25" customHeight="1">
      <c r="A530" s="1"/>
      <c r="B530" s="1"/>
      <c r="C530" s="2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7.25" customHeight="1">
      <c r="A531" s="1"/>
      <c r="B531" s="1"/>
      <c r="C531" s="2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7.25" customHeight="1">
      <c r="A532" s="1"/>
      <c r="B532" s="1"/>
      <c r="C532" s="2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7.25" customHeight="1">
      <c r="A533" s="1"/>
      <c r="B533" s="1"/>
      <c r="C533" s="2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7.25" customHeight="1">
      <c r="A534" s="1"/>
      <c r="B534" s="1"/>
      <c r="C534" s="2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7.25" customHeight="1">
      <c r="A535" s="1"/>
      <c r="B535" s="1"/>
      <c r="C535" s="2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7.25" customHeight="1">
      <c r="A536" s="1"/>
      <c r="B536" s="1"/>
      <c r="C536" s="2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7.25" customHeight="1">
      <c r="A537" s="1"/>
      <c r="B537" s="1"/>
      <c r="C537" s="2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7.25" customHeight="1">
      <c r="A538" s="1"/>
      <c r="B538" s="1"/>
      <c r="C538" s="2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7.25" customHeight="1">
      <c r="A539" s="1"/>
      <c r="B539" s="1"/>
      <c r="C539" s="2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7.25" customHeight="1">
      <c r="A540" s="1"/>
      <c r="B540" s="1"/>
      <c r="C540" s="2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7.25" customHeight="1">
      <c r="A541" s="1"/>
      <c r="B541" s="1"/>
      <c r="C541" s="2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7.25" customHeight="1">
      <c r="A542" s="1"/>
      <c r="B542" s="1"/>
      <c r="C542" s="2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7.25" customHeight="1">
      <c r="A543" s="1"/>
      <c r="B543" s="1"/>
      <c r="C543" s="2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7.25" customHeight="1">
      <c r="A544" s="1"/>
      <c r="B544" s="1"/>
      <c r="C544" s="2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7.25" customHeight="1">
      <c r="A545" s="1"/>
      <c r="B545" s="1"/>
      <c r="C545" s="2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7.25" customHeight="1">
      <c r="A546" s="1"/>
      <c r="B546" s="1"/>
      <c r="C546" s="2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7.25" customHeight="1">
      <c r="A547" s="1"/>
      <c r="B547" s="1"/>
      <c r="C547" s="2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7.25" customHeight="1">
      <c r="A548" s="1"/>
      <c r="B548" s="1"/>
      <c r="C548" s="2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7.25" customHeight="1">
      <c r="A549" s="1"/>
      <c r="B549" s="1"/>
      <c r="C549" s="2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7.25" customHeight="1">
      <c r="A550" s="1"/>
      <c r="B550" s="1"/>
      <c r="C550" s="2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7.25" customHeight="1">
      <c r="A551" s="1"/>
      <c r="B551" s="1"/>
      <c r="C551" s="2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7.25" customHeight="1">
      <c r="A552" s="1"/>
      <c r="B552" s="1"/>
      <c r="C552" s="2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7.25" customHeight="1">
      <c r="A553" s="1"/>
      <c r="B553" s="1"/>
      <c r="C553" s="2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7.25" customHeight="1">
      <c r="A554" s="1"/>
      <c r="B554" s="1"/>
      <c r="C554" s="2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7.25" customHeight="1">
      <c r="A555" s="1"/>
      <c r="B555" s="1"/>
      <c r="C555" s="2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7.25" customHeight="1">
      <c r="A556" s="1"/>
      <c r="B556" s="1"/>
      <c r="C556" s="2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7.25" customHeight="1">
      <c r="A557" s="1"/>
      <c r="B557" s="1"/>
      <c r="C557" s="2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7.25" customHeight="1">
      <c r="A558" s="1"/>
      <c r="B558" s="1"/>
      <c r="C558" s="2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7.25" customHeight="1">
      <c r="A559" s="1"/>
      <c r="B559" s="1"/>
      <c r="C559" s="2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7.25" customHeight="1">
      <c r="A560" s="1"/>
      <c r="B560" s="1"/>
      <c r="C560" s="2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7.25" customHeight="1">
      <c r="A561" s="1"/>
      <c r="B561" s="1"/>
      <c r="C561" s="2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7.25" customHeight="1">
      <c r="A562" s="1"/>
      <c r="B562" s="1"/>
      <c r="C562" s="2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7.25" customHeight="1">
      <c r="A563" s="1"/>
      <c r="B563" s="1"/>
      <c r="C563" s="2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7.25" customHeight="1">
      <c r="A564" s="1"/>
      <c r="B564" s="1"/>
      <c r="C564" s="2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7.25" customHeight="1">
      <c r="A565" s="1"/>
      <c r="B565" s="1"/>
      <c r="C565" s="2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7.25" customHeight="1">
      <c r="A566" s="1"/>
      <c r="B566" s="1"/>
      <c r="C566" s="2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7.25" customHeight="1">
      <c r="A567" s="1"/>
      <c r="B567" s="1"/>
      <c r="C567" s="2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7.25" customHeight="1">
      <c r="A568" s="1"/>
      <c r="B568" s="1"/>
      <c r="C568" s="2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7.25" customHeight="1">
      <c r="A569" s="1"/>
      <c r="B569" s="1"/>
      <c r="C569" s="2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7.25" customHeight="1">
      <c r="A570" s="1"/>
      <c r="B570" s="1"/>
      <c r="C570" s="2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7.25" customHeight="1">
      <c r="A571" s="1"/>
      <c r="B571" s="1"/>
      <c r="C571" s="2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7.25" customHeight="1">
      <c r="A572" s="1"/>
      <c r="B572" s="1"/>
      <c r="C572" s="2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7.25" customHeight="1">
      <c r="A573" s="1"/>
      <c r="B573" s="1"/>
      <c r="C573" s="2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7.25" customHeight="1">
      <c r="A574" s="1"/>
      <c r="B574" s="1"/>
      <c r="C574" s="2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7.25" customHeight="1">
      <c r="A575" s="1"/>
      <c r="B575" s="1"/>
      <c r="C575" s="2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7.25" customHeight="1">
      <c r="A576" s="1"/>
      <c r="B576" s="1"/>
      <c r="C576" s="2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7.25" customHeight="1">
      <c r="A577" s="1"/>
      <c r="B577" s="1"/>
      <c r="C577" s="2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7.25" customHeight="1">
      <c r="A578" s="1"/>
      <c r="B578" s="1"/>
      <c r="C578" s="2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7.25" customHeight="1">
      <c r="A579" s="1"/>
      <c r="B579" s="1"/>
      <c r="C579" s="2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7.25" customHeight="1">
      <c r="A580" s="1"/>
      <c r="B580" s="1"/>
      <c r="C580" s="2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7.25" customHeight="1">
      <c r="A581" s="1"/>
      <c r="B581" s="1"/>
      <c r="C581" s="2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7.25" customHeight="1">
      <c r="A582" s="1"/>
      <c r="B582" s="1"/>
      <c r="C582" s="2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7.25" customHeight="1">
      <c r="A583" s="1"/>
      <c r="B583" s="1"/>
      <c r="C583" s="2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7.25" customHeight="1">
      <c r="A584" s="1"/>
      <c r="B584" s="1"/>
      <c r="C584" s="2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7.25" customHeight="1">
      <c r="A585" s="1"/>
      <c r="B585" s="1"/>
      <c r="C585" s="2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7.25" customHeight="1">
      <c r="A586" s="1"/>
      <c r="B586" s="1"/>
      <c r="C586" s="2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7.25" customHeight="1">
      <c r="A587" s="1"/>
      <c r="B587" s="1"/>
      <c r="C587" s="2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7.25" customHeight="1">
      <c r="A588" s="1"/>
      <c r="B588" s="1"/>
      <c r="C588" s="2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7.25" customHeight="1">
      <c r="A589" s="1"/>
      <c r="B589" s="1"/>
      <c r="C589" s="2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7.25" customHeight="1">
      <c r="A590" s="1"/>
      <c r="B590" s="1"/>
      <c r="C590" s="2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7.25" customHeight="1">
      <c r="A591" s="1"/>
      <c r="B591" s="1"/>
      <c r="C591" s="2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7.25" customHeight="1">
      <c r="A592" s="1"/>
      <c r="B592" s="1"/>
      <c r="C592" s="2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7.25" customHeight="1">
      <c r="A593" s="1"/>
      <c r="B593" s="1"/>
      <c r="C593" s="2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7.25" customHeight="1">
      <c r="A594" s="1"/>
      <c r="B594" s="1"/>
      <c r="C594" s="2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7.25" customHeight="1">
      <c r="A595" s="1"/>
      <c r="B595" s="1"/>
      <c r="C595" s="2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7.25" customHeight="1">
      <c r="A596" s="1"/>
      <c r="B596" s="1"/>
      <c r="C596" s="2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7.25" customHeight="1">
      <c r="A597" s="1"/>
      <c r="B597" s="1"/>
      <c r="C597" s="2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7.25" customHeight="1">
      <c r="A598" s="1"/>
      <c r="B598" s="1"/>
      <c r="C598" s="2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7.25" customHeight="1">
      <c r="A599" s="1"/>
      <c r="B599" s="1"/>
      <c r="C599" s="2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7.25" customHeight="1">
      <c r="A600" s="1"/>
      <c r="B600" s="1"/>
      <c r="C600" s="2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7.25" customHeight="1">
      <c r="A601" s="1"/>
      <c r="B601" s="1"/>
      <c r="C601" s="2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7.25" customHeight="1">
      <c r="A602" s="1"/>
      <c r="B602" s="1"/>
      <c r="C602" s="2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7.25" customHeight="1">
      <c r="A603" s="1"/>
      <c r="B603" s="1"/>
      <c r="C603" s="2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7.25" customHeight="1">
      <c r="A604" s="1"/>
      <c r="B604" s="1"/>
      <c r="C604" s="2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7.25" customHeight="1">
      <c r="A605" s="1"/>
      <c r="B605" s="1"/>
      <c r="C605" s="2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7.25" customHeight="1">
      <c r="A606" s="1"/>
      <c r="B606" s="1"/>
      <c r="C606" s="2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7.25" customHeight="1">
      <c r="A607" s="1"/>
      <c r="B607" s="1"/>
      <c r="C607" s="2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7.25" customHeight="1">
      <c r="A608" s="1"/>
      <c r="B608" s="1"/>
      <c r="C608" s="2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7.25" customHeight="1">
      <c r="A609" s="1"/>
      <c r="B609" s="1"/>
      <c r="C609" s="2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7.25" customHeight="1">
      <c r="A610" s="1"/>
      <c r="B610" s="1"/>
      <c r="C610" s="2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7.25" customHeight="1">
      <c r="A611" s="1"/>
      <c r="B611" s="1"/>
      <c r="C611" s="2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7.25" customHeight="1">
      <c r="A612" s="1"/>
      <c r="B612" s="1"/>
      <c r="C612" s="2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7.25" customHeight="1">
      <c r="A613" s="1"/>
      <c r="B613" s="1"/>
      <c r="C613" s="2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7.25" customHeight="1">
      <c r="A614" s="1"/>
      <c r="B614" s="1"/>
      <c r="C614" s="2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7.25" customHeight="1">
      <c r="A615" s="1"/>
      <c r="B615" s="1"/>
      <c r="C615" s="2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7.25" customHeight="1">
      <c r="A616" s="1"/>
      <c r="B616" s="1"/>
      <c r="C616" s="2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7.25" customHeight="1">
      <c r="A617" s="1"/>
      <c r="B617" s="1"/>
      <c r="C617" s="2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7.25" customHeight="1">
      <c r="A618" s="1"/>
      <c r="B618" s="1"/>
      <c r="C618" s="2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7.25" customHeight="1">
      <c r="A619" s="1"/>
      <c r="B619" s="1"/>
      <c r="C619" s="2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7.25" customHeight="1">
      <c r="A620" s="1"/>
      <c r="B620" s="1"/>
      <c r="C620" s="2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7.25" customHeight="1">
      <c r="A621" s="1"/>
      <c r="B621" s="1"/>
      <c r="C621" s="2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7.25" customHeight="1">
      <c r="A622" s="1"/>
      <c r="B622" s="1"/>
      <c r="C622" s="2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7.25" customHeight="1">
      <c r="A623" s="1"/>
      <c r="B623" s="1"/>
      <c r="C623" s="2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7.25" customHeight="1">
      <c r="A624" s="1"/>
      <c r="B624" s="1"/>
      <c r="C624" s="2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7.25" customHeight="1">
      <c r="A625" s="1"/>
      <c r="B625" s="1"/>
      <c r="C625" s="2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7.25" customHeight="1">
      <c r="A626" s="1"/>
      <c r="B626" s="1"/>
      <c r="C626" s="2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7.25" customHeight="1">
      <c r="A627" s="1"/>
      <c r="B627" s="1"/>
      <c r="C627" s="2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7.25" customHeight="1">
      <c r="A628" s="1"/>
      <c r="B628" s="1"/>
      <c r="C628" s="2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7.25" customHeight="1">
      <c r="A629" s="1"/>
      <c r="B629" s="1"/>
      <c r="C629" s="2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7.25" customHeight="1">
      <c r="A630" s="1"/>
      <c r="B630" s="1"/>
      <c r="C630" s="2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7.25" customHeight="1">
      <c r="A631" s="1"/>
      <c r="B631" s="1"/>
      <c r="C631" s="2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7.25" customHeight="1">
      <c r="A632" s="1"/>
      <c r="B632" s="1"/>
      <c r="C632" s="2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7.25" customHeight="1">
      <c r="A633" s="1"/>
      <c r="B633" s="1"/>
      <c r="C633" s="2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7.25" customHeight="1">
      <c r="A634" s="1"/>
      <c r="B634" s="1"/>
      <c r="C634" s="2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7.25" customHeight="1">
      <c r="A635" s="1"/>
      <c r="B635" s="1"/>
      <c r="C635" s="2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7.25" customHeight="1">
      <c r="A636" s="1"/>
      <c r="B636" s="1"/>
      <c r="C636" s="2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7.25" customHeight="1">
      <c r="A637" s="1"/>
      <c r="B637" s="1"/>
      <c r="C637" s="2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7.25" customHeight="1">
      <c r="A638" s="1"/>
      <c r="B638" s="1"/>
      <c r="C638" s="2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7.25" customHeight="1">
      <c r="A639" s="1"/>
      <c r="B639" s="1"/>
      <c r="C639" s="2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7.25" customHeight="1">
      <c r="A640" s="1"/>
      <c r="B640" s="1"/>
      <c r="C640" s="2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7.25" customHeight="1">
      <c r="A641" s="1"/>
      <c r="B641" s="1"/>
      <c r="C641" s="2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7.25" customHeight="1">
      <c r="A642" s="1"/>
      <c r="B642" s="1"/>
      <c r="C642" s="2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7.25" customHeight="1">
      <c r="A643" s="1"/>
      <c r="B643" s="1"/>
      <c r="C643" s="2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7.25" customHeight="1">
      <c r="A644" s="1"/>
      <c r="B644" s="1"/>
      <c r="C644" s="2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7.25" customHeight="1">
      <c r="A645" s="1"/>
      <c r="B645" s="1"/>
      <c r="C645" s="2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7.25" customHeight="1">
      <c r="A646" s="1"/>
      <c r="B646" s="1"/>
      <c r="C646" s="2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7.25" customHeight="1">
      <c r="A647" s="1"/>
      <c r="B647" s="1"/>
      <c r="C647" s="2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7.25" customHeight="1">
      <c r="A648" s="1"/>
      <c r="B648" s="1"/>
      <c r="C648" s="2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7.25" customHeight="1">
      <c r="A649" s="1"/>
      <c r="B649" s="1"/>
      <c r="C649" s="2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7.25" customHeight="1">
      <c r="A650" s="1"/>
      <c r="B650" s="1"/>
      <c r="C650" s="2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7.25" customHeight="1">
      <c r="A651" s="1"/>
      <c r="B651" s="1"/>
      <c r="C651" s="2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7.25" customHeight="1">
      <c r="A652" s="1"/>
      <c r="B652" s="1"/>
      <c r="C652" s="2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7.25" customHeight="1">
      <c r="A653" s="1"/>
      <c r="B653" s="1"/>
      <c r="C653" s="2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7.25" customHeight="1">
      <c r="A654" s="1"/>
      <c r="B654" s="1"/>
      <c r="C654" s="2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7.25" customHeight="1">
      <c r="A655" s="1"/>
      <c r="B655" s="1"/>
      <c r="C655" s="2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7.25" customHeight="1">
      <c r="A656" s="1"/>
      <c r="B656" s="1"/>
      <c r="C656" s="2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7.25" customHeight="1">
      <c r="A657" s="1"/>
      <c r="B657" s="1"/>
      <c r="C657" s="2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7.25" customHeight="1">
      <c r="A658" s="1"/>
      <c r="B658" s="1"/>
      <c r="C658" s="2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7.25" customHeight="1">
      <c r="A659" s="1"/>
      <c r="B659" s="1"/>
      <c r="C659" s="2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7.25" customHeight="1">
      <c r="A660" s="1"/>
      <c r="B660" s="1"/>
      <c r="C660" s="2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7.25" customHeight="1">
      <c r="A661" s="1"/>
      <c r="B661" s="1"/>
      <c r="C661" s="2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7.25" customHeight="1">
      <c r="A662" s="1"/>
      <c r="B662" s="1"/>
      <c r="C662" s="2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7.25" customHeight="1">
      <c r="A663" s="1"/>
      <c r="B663" s="1"/>
      <c r="C663" s="2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7.25" customHeight="1">
      <c r="A664" s="1"/>
      <c r="B664" s="1"/>
      <c r="C664" s="2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7.25" customHeight="1">
      <c r="A665" s="1"/>
      <c r="B665" s="1"/>
      <c r="C665" s="2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7.25" customHeight="1">
      <c r="A666" s="1"/>
      <c r="B666" s="1"/>
      <c r="C666" s="2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7.25" customHeight="1">
      <c r="A667" s="1"/>
      <c r="B667" s="1"/>
      <c r="C667" s="2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7.25" customHeight="1">
      <c r="A668" s="1"/>
      <c r="B668" s="1"/>
      <c r="C668" s="2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7.25" customHeight="1">
      <c r="A669" s="1"/>
      <c r="B669" s="1"/>
      <c r="C669" s="2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7.25" customHeight="1">
      <c r="A670" s="1"/>
      <c r="B670" s="1"/>
      <c r="C670" s="2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7.25" customHeight="1">
      <c r="A671" s="1"/>
      <c r="B671" s="1"/>
      <c r="C671" s="2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7.25" customHeight="1">
      <c r="A672" s="1"/>
      <c r="B672" s="1"/>
      <c r="C672" s="2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7.25" customHeight="1">
      <c r="A673" s="1"/>
      <c r="B673" s="1"/>
      <c r="C673" s="2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7.25" customHeight="1">
      <c r="A674" s="1"/>
      <c r="B674" s="1"/>
      <c r="C674" s="2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7.25" customHeight="1">
      <c r="A675" s="1"/>
      <c r="B675" s="1"/>
      <c r="C675" s="2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7.25" customHeight="1">
      <c r="A676" s="1"/>
      <c r="B676" s="1"/>
      <c r="C676" s="2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7.25" customHeight="1">
      <c r="A677" s="1"/>
      <c r="B677" s="1"/>
      <c r="C677" s="2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7.25" customHeight="1">
      <c r="A678" s="1"/>
      <c r="B678" s="1"/>
      <c r="C678" s="2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7.25" customHeight="1">
      <c r="A679" s="1"/>
      <c r="B679" s="1"/>
      <c r="C679" s="2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7.25" customHeight="1">
      <c r="A680" s="1"/>
      <c r="B680" s="1"/>
      <c r="C680" s="2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7.25" customHeight="1">
      <c r="A681" s="1"/>
      <c r="B681" s="1"/>
      <c r="C681" s="2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7.25" customHeight="1">
      <c r="A682" s="1"/>
      <c r="B682" s="1"/>
      <c r="C682" s="2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7.25" customHeight="1">
      <c r="A683" s="1"/>
      <c r="B683" s="1"/>
      <c r="C683" s="2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7.25" customHeight="1">
      <c r="A684" s="1"/>
      <c r="B684" s="1"/>
      <c r="C684" s="2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7.25" customHeight="1">
      <c r="A685" s="1"/>
      <c r="B685" s="1"/>
      <c r="C685" s="2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7.25" customHeight="1">
      <c r="A686" s="1"/>
      <c r="B686" s="1"/>
      <c r="C686" s="2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7.25" customHeight="1">
      <c r="A687" s="1"/>
      <c r="B687" s="1"/>
      <c r="C687" s="2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7.25" customHeight="1">
      <c r="A688" s="1"/>
      <c r="B688" s="1"/>
      <c r="C688" s="2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7.25" customHeight="1">
      <c r="A689" s="1"/>
      <c r="B689" s="1"/>
      <c r="C689" s="2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7.25" customHeight="1">
      <c r="A690" s="1"/>
      <c r="B690" s="1"/>
      <c r="C690" s="2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7.25" customHeight="1">
      <c r="A691" s="1"/>
      <c r="B691" s="1"/>
      <c r="C691" s="2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7.25" customHeight="1">
      <c r="A692" s="1"/>
      <c r="B692" s="1"/>
      <c r="C692" s="2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7.25" customHeight="1">
      <c r="A693" s="1"/>
      <c r="B693" s="1"/>
      <c r="C693" s="2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7.25" customHeight="1">
      <c r="A694" s="1"/>
      <c r="B694" s="1"/>
      <c r="C694" s="2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7.25" customHeight="1">
      <c r="A695" s="1"/>
      <c r="B695" s="1"/>
      <c r="C695" s="2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7.25" customHeight="1">
      <c r="A696" s="1"/>
      <c r="B696" s="1"/>
      <c r="C696" s="2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7.25" customHeight="1">
      <c r="A697" s="1"/>
      <c r="B697" s="1"/>
      <c r="C697" s="2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7.25" customHeight="1">
      <c r="A698" s="1"/>
      <c r="B698" s="1"/>
      <c r="C698" s="2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7.25" customHeight="1">
      <c r="A699" s="1"/>
      <c r="B699" s="1"/>
      <c r="C699" s="2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7.25" customHeight="1">
      <c r="A700" s="1"/>
      <c r="B700" s="1"/>
      <c r="C700" s="2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7.25" customHeight="1">
      <c r="A701" s="1"/>
      <c r="B701" s="1"/>
      <c r="C701" s="2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7.25" customHeight="1">
      <c r="A702" s="1"/>
      <c r="B702" s="1"/>
      <c r="C702" s="2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7.25" customHeight="1">
      <c r="A703" s="1"/>
      <c r="B703" s="1"/>
      <c r="C703" s="2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7.25" customHeight="1">
      <c r="A704" s="1"/>
      <c r="B704" s="1"/>
      <c r="C704" s="2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7.25" customHeight="1">
      <c r="A705" s="1"/>
      <c r="B705" s="1"/>
      <c r="C705" s="2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7.25" customHeight="1">
      <c r="A706" s="1"/>
      <c r="B706" s="1"/>
      <c r="C706" s="2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7.25" customHeight="1">
      <c r="A707" s="1"/>
      <c r="B707" s="1"/>
      <c r="C707" s="2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7.25" customHeight="1">
      <c r="A708" s="1"/>
      <c r="B708" s="1"/>
      <c r="C708" s="2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7.25" customHeight="1">
      <c r="A709" s="1"/>
      <c r="B709" s="1"/>
      <c r="C709" s="2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7.25" customHeight="1">
      <c r="A710" s="1"/>
      <c r="B710" s="1"/>
      <c r="C710" s="2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7.25" customHeight="1">
      <c r="A711" s="1"/>
      <c r="B711" s="1"/>
      <c r="C711" s="2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7.25" customHeight="1">
      <c r="A712" s="1"/>
      <c r="B712" s="1"/>
      <c r="C712" s="2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7.25" customHeight="1">
      <c r="A713" s="1"/>
      <c r="B713" s="1"/>
      <c r="C713" s="2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7.25" customHeight="1">
      <c r="A714" s="1"/>
      <c r="B714" s="1"/>
      <c r="C714" s="2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7.25" customHeight="1">
      <c r="A715" s="1"/>
      <c r="B715" s="1"/>
      <c r="C715" s="2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7.25" customHeight="1">
      <c r="A716" s="1"/>
      <c r="B716" s="1"/>
      <c r="C716" s="2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7.25" customHeight="1">
      <c r="A717" s="1"/>
      <c r="B717" s="1"/>
      <c r="C717" s="2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7.25" customHeight="1">
      <c r="A718" s="1"/>
      <c r="B718" s="1"/>
      <c r="C718" s="2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7.25" customHeight="1">
      <c r="A719" s="1"/>
      <c r="B719" s="1"/>
      <c r="C719" s="2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7.25" customHeight="1">
      <c r="A720" s="1"/>
      <c r="B720" s="1"/>
      <c r="C720" s="2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7.25" customHeight="1">
      <c r="A721" s="1"/>
      <c r="B721" s="1"/>
      <c r="C721" s="2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7.25" customHeight="1">
      <c r="A722" s="1"/>
      <c r="B722" s="1"/>
      <c r="C722" s="2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7.25" customHeight="1">
      <c r="A723" s="1"/>
      <c r="B723" s="1"/>
      <c r="C723" s="2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7.25" customHeight="1">
      <c r="A724" s="1"/>
      <c r="B724" s="1"/>
      <c r="C724" s="2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7.25" customHeight="1">
      <c r="A725" s="1"/>
      <c r="B725" s="1"/>
      <c r="C725" s="2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7.25" customHeight="1">
      <c r="A726" s="1"/>
      <c r="B726" s="1"/>
      <c r="C726" s="2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7.25" customHeight="1">
      <c r="A727" s="1"/>
      <c r="B727" s="1"/>
      <c r="C727" s="2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7.25" customHeight="1">
      <c r="A728" s="1"/>
      <c r="B728" s="1"/>
      <c r="C728" s="2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7.25" customHeight="1">
      <c r="A729" s="1"/>
      <c r="B729" s="1"/>
      <c r="C729" s="2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7.25" customHeight="1">
      <c r="A730" s="1"/>
      <c r="B730" s="1"/>
      <c r="C730" s="2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7.25" customHeight="1">
      <c r="A731" s="1"/>
      <c r="B731" s="1"/>
      <c r="C731" s="2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7.25" customHeight="1">
      <c r="A732" s="1"/>
      <c r="B732" s="1"/>
      <c r="C732" s="2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7.25" customHeight="1">
      <c r="A733" s="1"/>
      <c r="B733" s="1"/>
      <c r="C733" s="2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7.25" customHeight="1">
      <c r="A734" s="1"/>
      <c r="B734" s="1"/>
      <c r="C734" s="2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7.25" customHeight="1">
      <c r="A735" s="1"/>
      <c r="B735" s="1"/>
      <c r="C735" s="2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7.25" customHeight="1">
      <c r="A736" s="1"/>
      <c r="B736" s="1"/>
      <c r="C736" s="2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7.25" customHeight="1">
      <c r="A737" s="1"/>
      <c r="B737" s="1"/>
      <c r="C737" s="2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7.25" customHeight="1">
      <c r="A738" s="1"/>
      <c r="B738" s="1"/>
      <c r="C738" s="2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7.25" customHeight="1">
      <c r="A739" s="1"/>
      <c r="B739" s="1"/>
      <c r="C739" s="2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7.25" customHeight="1">
      <c r="A740" s="1"/>
      <c r="B740" s="1"/>
      <c r="C740" s="2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7.25" customHeight="1">
      <c r="A741" s="1"/>
      <c r="B741" s="1"/>
      <c r="C741" s="2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7.25" customHeight="1">
      <c r="A742" s="1"/>
      <c r="B742" s="1"/>
      <c r="C742" s="2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7.25" customHeight="1">
      <c r="A743" s="1"/>
      <c r="B743" s="1"/>
      <c r="C743" s="2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7.25" customHeight="1">
      <c r="A744" s="1"/>
      <c r="B744" s="1"/>
      <c r="C744" s="2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7.25" customHeight="1">
      <c r="A745" s="1"/>
      <c r="B745" s="1"/>
      <c r="C745" s="2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7.25" customHeight="1">
      <c r="A746" s="1"/>
      <c r="B746" s="1"/>
      <c r="C746" s="2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7.25" customHeight="1">
      <c r="A747" s="1"/>
      <c r="B747" s="1"/>
      <c r="C747" s="2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7.25" customHeight="1">
      <c r="A748" s="1"/>
      <c r="B748" s="1"/>
      <c r="C748" s="2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7.25" customHeight="1">
      <c r="A749" s="1"/>
      <c r="B749" s="1"/>
      <c r="C749" s="2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7.25" customHeight="1">
      <c r="A750" s="1"/>
      <c r="B750" s="1"/>
      <c r="C750" s="2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7.25" customHeight="1">
      <c r="A751" s="1"/>
      <c r="B751" s="1"/>
      <c r="C751" s="2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7.25" customHeight="1">
      <c r="A752" s="1"/>
      <c r="B752" s="1"/>
      <c r="C752" s="2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7.25" customHeight="1">
      <c r="A753" s="1"/>
      <c r="B753" s="1"/>
      <c r="C753" s="2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7.25" customHeight="1">
      <c r="A754" s="1"/>
      <c r="B754" s="1"/>
      <c r="C754" s="2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7.25" customHeight="1">
      <c r="A755" s="1"/>
      <c r="B755" s="1"/>
      <c r="C755" s="2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7.25" customHeight="1">
      <c r="A756" s="1"/>
      <c r="B756" s="1"/>
      <c r="C756" s="2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7.25" customHeight="1">
      <c r="A757" s="1"/>
      <c r="B757" s="1"/>
      <c r="C757" s="2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7.25" customHeight="1">
      <c r="A758" s="1"/>
      <c r="B758" s="1"/>
      <c r="C758" s="2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7.25" customHeight="1">
      <c r="A759" s="1"/>
      <c r="B759" s="1"/>
      <c r="C759" s="2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7.25" customHeight="1">
      <c r="A760" s="1"/>
      <c r="B760" s="1"/>
      <c r="C760" s="2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7.25" customHeight="1">
      <c r="A761" s="1"/>
      <c r="B761" s="1"/>
      <c r="C761" s="2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7.25" customHeight="1">
      <c r="A762" s="1"/>
      <c r="B762" s="1"/>
      <c r="C762" s="2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7.25" customHeight="1">
      <c r="A763" s="1"/>
      <c r="B763" s="1"/>
      <c r="C763" s="2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7.25" customHeight="1">
      <c r="A764" s="1"/>
      <c r="B764" s="1"/>
      <c r="C764" s="2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7.25" customHeight="1">
      <c r="A765" s="1"/>
      <c r="B765" s="1"/>
      <c r="C765" s="2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7.25" customHeight="1">
      <c r="A766" s="1"/>
      <c r="B766" s="1"/>
      <c r="C766" s="2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7.25" customHeight="1">
      <c r="A767" s="1"/>
      <c r="B767" s="1"/>
      <c r="C767" s="2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7.25" customHeight="1">
      <c r="A768" s="1"/>
      <c r="B768" s="1"/>
      <c r="C768" s="2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7.25" customHeight="1">
      <c r="A769" s="1"/>
      <c r="B769" s="1"/>
      <c r="C769" s="2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7.25" customHeight="1">
      <c r="A770" s="1"/>
      <c r="B770" s="1"/>
      <c r="C770" s="2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7.25" customHeight="1">
      <c r="A771" s="1"/>
      <c r="B771" s="1"/>
      <c r="C771" s="2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7.25" customHeight="1">
      <c r="A772" s="1"/>
      <c r="B772" s="1"/>
      <c r="C772" s="2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7.25" customHeight="1">
      <c r="A773" s="1"/>
      <c r="B773" s="1"/>
      <c r="C773" s="2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7.25" customHeight="1">
      <c r="A774" s="1"/>
      <c r="B774" s="1"/>
      <c r="C774" s="2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7.25" customHeight="1">
      <c r="A775" s="1"/>
      <c r="B775" s="1"/>
      <c r="C775" s="2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7.25" customHeight="1">
      <c r="A776" s="1"/>
      <c r="B776" s="1"/>
      <c r="C776" s="2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7.25" customHeight="1">
      <c r="A777" s="1"/>
      <c r="B777" s="1"/>
      <c r="C777" s="2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7.25" customHeight="1">
      <c r="A778" s="1"/>
      <c r="B778" s="1"/>
      <c r="C778" s="2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7.25" customHeight="1">
      <c r="A779" s="1"/>
      <c r="B779" s="1"/>
      <c r="C779" s="2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7.25" customHeight="1">
      <c r="A780" s="1"/>
      <c r="B780" s="1"/>
      <c r="C780" s="2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7.25" customHeight="1">
      <c r="A781" s="1"/>
      <c r="B781" s="1"/>
      <c r="C781" s="2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7.25" customHeight="1">
      <c r="A782" s="1"/>
      <c r="B782" s="1"/>
      <c r="C782" s="2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7.25" customHeight="1">
      <c r="A783" s="1"/>
      <c r="B783" s="1"/>
      <c r="C783" s="2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7.25" customHeight="1">
      <c r="A784" s="1"/>
      <c r="B784" s="1"/>
      <c r="C784" s="2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7.25" customHeight="1">
      <c r="A785" s="1"/>
      <c r="B785" s="1"/>
      <c r="C785" s="2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7.25" customHeight="1">
      <c r="A786" s="1"/>
      <c r="B786" s="1"/>
      <c r="C786" s="2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7.25" customHeight="1">
      <c r="A787" s="1"/>
      <c r="B787" s="1"/>
      <c r="C787" s="2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7.25" customHeight="1">
      <c r="A788" s="1"/>
      <c r="B788" s="1"/>
      <c r="C788" s="2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7.25" customHeight="1">
      <c r="A789" s="1"/>
      <c r="B789" s="1"/>
      <c r="C789" s="2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7.25" customHeight="1">
      <c r="A790" s="1"/>
      <c r="B790" s="1"/>
      <c r="C790" s="2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7.25" customHeight="1">
      <c r="A791" s="1"/>
      <c r="B791" s="1"/>
      <c r="C791" s="2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7.25" customHeight="1">
      <c r="A792" s="1"/>
      <c r="B792" s="1"/>
      <c r="C792" s="2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7.25" customHeight="1">
      <c r="A793" s="1"/>
      <c r="B793" s="1"/>
      <c r="C793" s="2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7.25" customHeight="1">
      <c r="A794" s="1"/>
      <c r="B794" s="1"/>
      <c r="C794" s="2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7.25" customHeight="1">
      <c r="A795" s="1"/>
      <c r="B795" s="1"/>
      <c r="C795" s="2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7.25" customHeight="1">
      <c r="A796" s="1"/>
      <c r="B796" s="1"/>
      <c r="C796" s="2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7.25" customHeight="1">
      <c r="A797" s="1"/>
      <c r="B797" s="1"/>
      <c r="C797" s="2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7.25" customHeight="1">
      <c r="A798" s="1"/>
      <c r="B798" s="1"/>
      <c r="C798" s="2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7.25" customHeight="1">
      <c r="A799" s="1"/>
      <c r="B799" s="1"/>
      <c r="C799" s="2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7.25" customHeight="1">
      <c r="A800" s="1"/>
      <c r="B800" s="1"/>
      <c r="C800" s="2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7.25" customHeight="1">
      <c r="A801" s="1"/>
      <c r="B801" s="1"/>
      <c r="C801" s="2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7.25" customHeight="1">
      <c r="A802" s="1"/>
      <c r="B802" s="1"/>
      <c r="C802" s="2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7.25" customHeight="1">
      <c r="A803" s="1"/>
      <c r="B803" s="1"/>
      <c r="C803" s="2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7.25" customHeight="1">
      <c r="A804" s="1"/>
      <c r="B804" s="1"/>
      <c r="C804" s="2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7.25" customHeight="1">
      <c r="A805" s="1"/>
      <c r="B805" s="1"/>
      <c r="C805" s="2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7.25" customHeight="1">
      <c r="A806" s="1"/>
      <c r="B806" s="1"/>
      <c r="C806" s="2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7.25" customHeight="1">
      <c r="A807" s="1"/>
      <c r="B807" s="1"/>
      <c r="C807" s="2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7.25" customHeight="1">
      <c r="A808" s="1"/>
      <c r="B808" s="1"/>
      <c r="C808" s="2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7.25" customHeight="1">
      <c r="A809" s="1"/>
      <c r="B809" s="1"/>
      <c r="C809" s="2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7.25" customHeight="1">
      <c r="A810" s="1"/>
      <c r="B810" s="1"/>
      <c r="C810" s="2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7.25" customHeight="1">
      <c r="A811" s="1"/>
      <c r="B811" s="1"/>
      <c r="C811" s="2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7.25" customHeight="1">
      <c r="A812" s="1"/>
      <c r="B812" s="1"/>
      <c r="C812" s="2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7.25" customHeight="1">
      <c r="A813" s="1"/>
      <c r="B813" s="1"/>
      <c r="C813" s="2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7.25" customHeight="1">
      <c r="A814" s="1"/>
      <c r="B814" s="1"/>
      <c r="C814" s="2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7.25" customHeight="1">
      <c r="A815" s="1"/>
      <c r="B815" s="1"/>
      <c r="C815" s="2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7.25" customHeight="1">
      <c r="A816" s="1"/>
      <c r="B816" s="1"/>
      <c r="C816" s="2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7.25" customHeight="1">
      <c r="A817" s="1"/>
      <c r="B817" s="1"/>
      <c r="C817" s="2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7.25" customHeight="1">
      <c r="A818" s="1"/>
      <c r="B818" s="1"/>
      <c r="C818" s="2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7.25" customHeight="1">
      <c r="A819" s="1"/>
      <c r="B819" s="1"/>
      <c r="C819" s="2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7.25" customHeight="1">
      <c r="A820" s="1"/>
      <c r="B820" s="1"/>
      <c r="C820" s="2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7.25" customHeight="1">
      <c r="A821" s="1"/>
      <c r="B821" s="1"/>
      <c r="C821" s="2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7.25" customHeight="1">
      <c r="A822" s="1"/>
      <c r="B822" s="1"/>
      <c r="C822" s="2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7.25" customHeight="1">
      <c r="A823" s="1"/>
      <c r="B823" s="1"/>
      <c r="C823" s="2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7.25" customHeight="1">
      <c r="A824" s="1"/>
      <c r="B824" s="1"/>
      <c r="C824" s="2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7.25" customHeight="1">
      <c r="A825" s="1"/>
      <c r="B825" s="1"/>
      <c r="C825" s="2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7.25" customHeight="1">
      <c r="A826" s="1"/>
      <c r="B826" s="1"/>
      <c r="C826" s="2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7.25" customHeight="1">
      <c r="A827" s="1"/>
      <c r="B827" s="1"/>
      <c r="C827" s="2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7.25" customHeight="1">
      <c r="A828" s="1"/>
      <c r="B828" s="1"/>
      <c r="C828" s="2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7.25" customHeight="1">
      <c r="A829" s="1"/>
      <c r="B829" s="1"/>
      <c r="C829" s="2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7.25" customHeight="1">
      <c r="A830" s="1"/>
      <c r="B830" s="1"/>
      <c r="C830" s="2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7.25" customHeight="1">
      <c r="A831" s="1"/>
      <c r="B831" s="1"/>
      <c r="C831" s="2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7.25" customHeight="1">
      <c r="A832" s="1"/>
      <c r="B832" s="1"/>
      <c r="C832" s="2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7.25" customHeight="1">
      <c r="A833" s="1"/>
      <c r="B833" s="1"/>
      <c r="C833" s="2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7.25" customHeight="1">
      <c r="A834" s="1"/>
      <c r="B834" s="1"/>
      <c r="C834" s="2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7.25" customHeight="1">
      <c r="A835" s="1"/>
      <c r="B835" s="1"/>
      <c r="C835" s="2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7.25" customHeight="1">
      <c r="A836" s="1"/>
      <c r="B836" s="1"/>
      <c r="C836" s="2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7.25" customHeight="1">
      <c r="A837" s="1"/>
      <c r="B837" s="1"/>
      <c r="C837" s="2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7.25" customHeight="1">
      <c r="A838" s="1"/>
      <c r="B838" s="1"/>
      <c r="C838" s="2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7.25" customHeight="1">
      <c r="A839" s="1"/>
      <c r="B839" s="1"/>
      <c r="C839" s="2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7.25" customHeight="1">
      <c r="A840" s="1"/>
      <c r="B840" s="1"/>
      <c r="C840" s="2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7.25" customHeight="1">
      <c r="A841" s="1"/>
      <c r="B841" s="1"/>
      <c r="C841" s="2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7.25" customHeight="1">
      <c r="A842" s="1"/>
      <c r="B842" s="1"/>
      <c r="C842" s="2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7.25" customHeight="1">
      <c r="A843" s="1"/>
      <c r="B843" s="1"/>
      <c r="C843" s="2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7.25" customHeight="1">
      <c r="A844" s="1"/>
      <c r="B844" s="1"/>
      <c r="C844" s="2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7.25" customHeight="1">
      <c r="A845" s="1"/>
      <c r="B845" s="1"/>
      <c r="C845" s="2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7.25" customHeight="1">
      <c r="A846" s="1"/>
      <c r="B846" s="1"/>
      <c r="C846" s="2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7.25" customHeight="1">
      <c r="A847" s="1"/>
      <c r="B847" s="1"/>
      <c r="C847" s="2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7.25" customHeight="1">
      <c r="A848" s="1"/>
      <c r="B848" s="1"/>
      <c r="C848" s="2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7.25" customHeight="1">
      <c r="A849" s="1"/>
      <c r="B849" s="1"/>
      <c r="C849" s="2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7.25" customHeight="1">
      <c r="A850" s="1"/>
      <c r="B850" s="1"/>
      <c r="C850" s="2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7.25" customHeight="1">
      <c r="A851" s="1"/>
      <c r="B851" s="1"/>
      <c r="C851" s="2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7.25" customHeight="1">
      <c r="A852" s="1"/>
      <c r="B852" s="1"/>
      <c r="C852" s="2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7.25" customHeight="1">
      <c r="A853" s="1"/>
      <c r="B853" s="1"/>
      <c r="C853" s="2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7.25" customHeight="1">
      <c r="A854" s="1"/>
      <c r="B854" s="1"/>
      <c r="C854" s="2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7.25" customHeight="1">
      <c r="A855" s="1"/>
      <c r="B855" s="1"/>
      <c r="C855" s="2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7.25" customHeight="1">
      <c r="A856" s="1"/>
      <c r="B856" s="1"/>
      <c r="C856" s="2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7.25" customHeight="1">
      <c r="A857" s="1"/>
      <c r="B857" s="1"/>
      <c r="C857" s="2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7.25" customHeight="1">
      <c r="A858" s="1"/>
      <c r="B858" s="1"/>
      <c r="C858" s="2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7.25" customHeight="1">
      <c r="A859" s="1"/>
      <c r="B859" s="1"/>
      <c r="C859" s="2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7.25" customHeight="1">
      <c r="A860" s="1"/>
      <c r="B860" s="1"/>
      <c r="C860" s="2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7.25" customHeight="1">
      <c r="A861" s="1"/>
      <c r="B861" s="1"/>
      <c r="C861" s="2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7.25" customHeight="1">
      <c r="A862" s="1"/>
      <c r="B862" s="1"/>
      <c r="C862" s="2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7.25" customHeight="1">
      <c r="A863" s="1"/>
      <c r="B863" s="1"/>
      <c r="C863" s="2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7.25" customHeight="1">
      <c r="A864" s="1"/>
      <c r="B864" s="1"/>
      <c r="C864" s="2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7.25" customHeight="1">
      <c r="A865" s="1"/>
      <c r="B865" s="1"/>
      <c r="C865" s="2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7.25" customHeight="1">
      <c r="A866" s="1"/>
      <c r="B866" s="1"/>
      <c r="C866" s="2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7.25" customHeight="1">
      <c r="A867" s="1"/>
      <c r="B867" s="1"/>
      <c r="C867" s="2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7.25" customHeight="1">
      <c r="A868" s="1"/>
      <c r="B868" s="1"/>
      <c r="C868" s="2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7.25" customHeight="1">
      <c r="A869" s="1"/>
      <c r="B869" s="1"/>
      <c r="C869" s="2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7.25" customHeight="1">
      <c r="A870" s="1"/>
      <c r="B870" s="1"/>
      <c r="C870" s="2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7.25" customHeight="1">
      <c r="A871" s="1"/>
      <c r="B871" s="1"/>
      <c r="C871" s="2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7.25" customHeight="1">
      <c r="A872" s="1"/>
      <c r="B872" s="1"/>
      <c r="C872" s="2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7.25" customHeight="1">
      <c r="A873" s="1"/>
      <c r="B873" s="1"/>
      <c r="C873" s="2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7.25" customHeight="1">
      <c r="A874" s="1"/>
      <c r="B874" s="1"/>
      <c r="C874" s="2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7.25" customHeight="1">
      <c r="A875" s="1"/>
      <c r="B875" s="1"/>
      <c r="C875" s="2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7.25" customHeight="1">
      <c r="A876" s="1"/>
      <c r="B876" s="1"/>
      <c r="C876" s="2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7.25" customHeight="1">
      <c r="A877" s="1"/>
      <c r="B877" s="1"/>
      <c r="C877" s="2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7.25" customHeight="1">
      <c r="A878" s="1"/>
      <c r="B878" s="1"/>
      <c r="C878" s="2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7.25" customHeight="1">
      <c r="A879" s="1"/>
      <c r="B879" s="1"/>
      <c r="C879" s="2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7.25" customHeight="1">
      <c r="A880" s="1"/>
      <c r="B880" s="1"/>
      <c r="C880" s="2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7.25" customHeight="1">
      <c r="A881" s="1"/>
      <c r="B881" s="1"/>
      <c r="C881" s="2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7.25" customHeight="1">
      <c r="A882" s="1"/>
      <c r="B882" s="1"/>
      <c r="C882" s="2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7.25" customHeight="1">
      <c r="A883" s="1"/>
      <c r="B883" s="1"/>
      <c r="C883" s="2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7.25" customHeight="1">
      <c r="A884" s="1"/>
      <c r="B884" s="1"/>
      <c r="C884" s="2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7.25" customHeight="1">
      <c r="A885" s="1"/>
      <c r="B885" s="1"/>
      <c r="C885" s="2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7.25" customHeight="1">
      <c r="A886" s="1"/>
      <c r="B886" s="1"/>
      <c r="C886" s="2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7.25" customHeight="1">
      <c r="A887" s="1"/>
      <c r="B887" s="1"/>
      <c r="C887" s="2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7.25" customHeight="1">
      <c r="A888" s="1"/>
      <c r="B888" s="1"/>
      <c r="C888" s="2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7.25" customHeight="1">
      <c r="A889" s="1"/>
      <c r="B889" s="1"/>
      <c r="C889" s="2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7.25" customHeight="1">
      <c r="A890" s="1"/>
      <c r="B890" s="1"/>
      <c r="C890" s="2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7.25" customHeight="1">
      <c r="A891" s="1"/>
      <c r="B891" s="1"/>
      <c r="C891" s="2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7.25" customHeight="1">
      <c r="A892" s="1"/>
      <c r="B892" s="1"/>
      <c r="C892" s="2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7.25" customHeight="1">
      <c r="A893" s="1"/>
      <c r="B893" s="1"/>
      <c r="C893" s="2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7.25" customHeight="1">
      <c r="A894" s="1"/>
      <c r="B894" s="1"/>
      <c r="C894" s="2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7.25" customHeight="1">
      <c r="A895" s="1"/>
      <c r="B895" s="1"/>
      <c r="C895" s="2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7.25" customHeight="1">
      <c r="A896" s="1"/>
      <c r="B896" s="1"/>
      <c r="C896" s="2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7.25" customHeight="1">
      <c r="A897" s="1"/>
      <c r="B897" s="1"/>
      <c r="C897" s="2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7.25" customHeight="1">
      <c r="A898" s="1"/>
      <c r="B898" s="1"/>
      <c r="C898" s="2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7.25" customHeight="1">
      <c r="A899" s="1"/>
      <c r="B899" s="1"/>
      <c r="C899" s="2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7.25" customHeight="1">
      <c r="A900" s="1"/>
      <c r="B900" s="1"/>
      <c r="C900" s="2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7.25" customHeight="1">
      <c r="A901" s="1"/>
      <c r="B901" s="1"/>
      <c r="C901" s="2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7.25" customHeight="1">
      <c r="A902" s="1"/>
      <c r="B902" s="1"/>
      <c r="C902" s="2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7.25" customHeight="1">
      <c r="A903" s="1"/>
      <c r="B903" s="1"/>
      <c r="C903" s="2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7.25" customHeight="1">
      <c r="A904" s="1"/>
      <c r="B904" s="1"/>
      <c r="C904" s="2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7.25" customHeight="1">
      <c r="A905" s="1"/>
      <c r="B905" s="1"/>
      <c r="C905" s="2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7.25" customHeight="1">
      <c r="A906" s="1"/>
      <c r="B906" s="1"/>
      <c r="C906" s="2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7.25" customHeight="1">
      <c r="A907" s="1"/>
      <c r="B907" s="1"/>
      <c r="C907" s="2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7.25" customHeight="1">
      <c r="A908" s="1"/>
      <c r="B908" s="1"/>
      <c r="C908" s="2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7.25" customHeight="1">
      <c r="A909" s="1"/>
      <c r="B909" s="1"/>
      <c r="C909" s="2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7.25" customHeight="1">
      <c r="A910" s="1"/>
      <c r="B910" s="1"/>
      <c r="C910" s="2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7.25" customHeight="1">
      <c r="A911" s="1"/>
      <c r="B911" s="1"/>
      <c r="C911" s="2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7.25" customHeight="1">
      <c r="A912" s="1"/>
      <c r="B912" s="1"/>
      <c r="C912" s="2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7.25" customHeight="1">
      <c r="A913" s="1"/>
      <c r="B913" s="1"/>
      <c r="C913" s="2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7.25" customHeight="1">
      <c r="A914" s="1"/>
      <c r="B914" s="1"/>
      <c r="C914" s="2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7.25" customHeight="1">
      <c r="A915" s="1"/>
      <c r="B915" s="1"/>
      <c r="C915" s="2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7.25" customHeight="1">
      <c r="A916" s="1"/>
      <c r="B916" s="1"/>
      <c r="C916" s="2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7.25" customHeight="1">
      <c r="A917" s="1"/>
      <c r="B917" s="1"/>
      <c r="C917" s="2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7.25" customHeight="1">
      <c r="A918" s="1"/>
      <c r="B918" s="1"/>
      <c r="C918" s="2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7.25" customHeight="1">
      <c r="A919" s="1"/>
      <c r="B919" s="1"/>
      <c r="C919" s="2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7.25" customHeight="1">
      <c r="A920" s="1"/>
      <c r="B920" s="1"/>
      <c r="C920" s="2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7.25" customHeight="1">
      <c r="A921" s="1"/>
      <c r="B921" s="1"/>
      <c r="C921" s="2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7.25" customHeight="1">
      <c r="A922" s="1"/>
      <c r="B922" s="1"/>
      <c r="C922" s="2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7.25" customHeight="1">
      <c r="A923" s="1"/>
      <c r="B923" s="1"/>
      <c r="C923" s="2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7.25" customHeight="1">
      <c r="A924" s="1"/>
      <c r="B924" s="1"/>
      <c r="C924" s="2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7.25" customHeight="1">
      <c r="A925" s="1"/>
      <c r="B925" s="1"/>
      <c r="C925" s="2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7.25" customHeight="1">
      <c r="A926" s="1"/>
      <c r="B926" s="1"/>
      <c r="C926" s="2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7.25" customHeight="1">
      <c r="A927" s="1"/>
      <c r="B927" s="1"/>
      <c r="C927" s="2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7.25" customHeight="1">
      <c r="A928" s="1"/>
      <c r="B928" s="1"/>
      <c r="C928" s="2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7.25" customHeight="1">
      <c r="A929" s="1"/>
      <c r="B929" s="1"/>
      <c r="C929" s="2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7.25" customHeight="1">
      <c r="A930" s="1"/>
      <c r="B930" s="1"/>
      <c r="C930" s="2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7.25" customHeight="1">
      <c r="A931" s="1"/>
      <c r="B931" s="1"/>
      <c r="C931" s="2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7.25" customHeight="1">
      <c r="A932" s="1"/>
      <c r="B932" s="1"/>
      <c r="C932" s="2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7.25" customHeight="1">
      <c r="A933" s="1"/>
      <c r="B933" s="1"/>
      <c r="C933" s="2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7.25" customHeight="1">
      <c r="A934" s="1"/>
      <c r="B934" s="1"/>
      <c r="C934" s="2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7.25" customHeight="1">
      <c r="A935" s="1"/>
      <c r="B935" s="1"/>
      <c r="C935" s="2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7.25" customHeight="1">
      <c r="A936" s="1"/>
      <c r="B936" s="1"/>
      <c r="C936" s="2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7.25" customHeight="1">
      <c r="A937" s="1"/>
      <c r="B937" s="1"/>
      <c r="C937" s="2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7.25" customHeight="1">
      <c r="A938" s="1"/>
      <c r="B938" s="1"/>
      <c r="C938" s="2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7.25" customHeight="1">
      <c r="A939" s="1"/>
      <c r="B939" s="1"/>
      <c r="C939" s="2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7.25" customHeight="1">
      <c r="A940" s="1"/>
      <c r="B940" s="1"/>
      <c r="C940" s="2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7.25" customHeight="1">
      <c r="A941" s="1"/>
      <c r="B941" s="1"/>
      <c r="C941" s="2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7.25" customHeight="1">
      <c r="A942" s="1"/>
      <c r="B942" s="1"/>
      <c r="C942" s="2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7.25" customHeight="1">
      <c r="A943" s="1"/>
      <c r="B943" s="1"/>
      <c r="C943" s="2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7.25" customHeight="1">
      <c r="A944" s="1"/>
      <c r="B944" s="1"/>
      <c r="C944" s="2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7.25" customHeight="1">
      <c r="A945" s="1"/>
      <c r="B945" s="1"/>
      <c r="C945" s="2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7.25" customHeight="1">
      <c r="A946" s="1"/>
      <c r="B946" s="1"/>
      <c r="C946" s="2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7.25" customHeight="1">
      <c r="A947" s="1"/>
      <c r="B947" s="1"/>
      <c r="C947" s="2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7.25" customHeight="1">
      <c r="A948" s="1"/>
      <c r="B948" s="1"/>
      <c r="C948" s="2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7.25" customHeight="1">
      <c r="A949" s="1"/>
      <c r="B949" s="1"/>
      <c r="C949" s="2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7.25" customHeight="1">
      <c r="A950" s="1"/>
      <c r="B950" s="1"/>
      <c r="C950" s="2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7.25" customHeight="1">
      <c r="A951" s="1"/>
      <c r="B951" s="1"/>
      <c r="C951" s="2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7.25" customHeight="1">
      <c r="A952" s="1"/>
      <c r="B952" s="1"/>
      <c r="C952" s="2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7.25" customHeight="1">
      <c r="A953" s="1"/>
      <c r="B953" s="1"/>
      <c r="C953" s="2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7.25" customHeight="1">
      <c r="A954" s="1"/>
      <c r="B954" s="1"/>
      <c r="C954" s="2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7.25" customHeight="1">
      <c r="A955" s="1"/>
      <c r="B955" s="1"/>
      <c r="C955" s="2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7.25" customHeight="1">
      <c r="A956" s="1"/>
      <c r="B956" s="1"/>
      <c r="C956" s="2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7.25" customHeight="1">
      <c r="A957" s="1"/>
      <c r="B957" s="1"/>
      <c r="C957" s="2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7.25" customHeight="1">
      <c r="A958" s="1"/>
      <c r="B958" s="1"/>
      <c r="C958" s="2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7.25" customHeight="1">
      <c r="A959" s="1"/>
      <c r="B959" s="1"/>
      <c r="C959" s="2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7.25" customHeight="1">
      <c r="A960" s="1"/>
      <c r="B960" s="1"/>
      <c r="C960" s="2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7.25" customHeight="1">
      <c r="A961" s="1"/>
      <c r="B961" s="1"/>
      <c r="C961" s="2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7.25" customHeight="1">
      <c r="A962" s="1"/>
      <c r="B962" s="1"/>
      <c r="C962" s="2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7.25" customHeight="1">
      <c r="A963" s="1"/>
      <c r="B963" s="1"/>
      <c r="C963" s="2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7.25" customHeight="1">
      <c r="A964" s="1"/>
      <c r="B964" s="1"/>
      <c r="C964" s="2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7.25" customHeight="1">
      <c r="A965" s="1"/>
      <c r="B965" s="1"/>
      <c r="C965" s="2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7.25" customHeight="1">
      <c r="A966" s="1"/>
      <c r="B966" s="1"/>
      <c r="C966" s="2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7.25" customHeight="1">
      <c r="A967" s="1"/>
      <c r="B967" s="1"/>
      <c r="C967" s="2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7.25" customHeight="1">
      <c r="A968" s="1"/>
      <c r="B968" s="1"/>
      <c r="C968" s="2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7.25" customHeight="1">
      <c r="A969" s="1"/>
      <c r="B969" s="1"/>
      <c r="C969" s="2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7.25" customHeight="1">
      <c r="A970" s="1"/>
      <c r="B970" s="1"/>
      <c r="C970" s="2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7.25" customHeight="1">
      <c r="A971" s="1"/>
      <c r="B971" s="1"/>
      <c r="C971" s="2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7.25" customHeight="1">
      <c r="A972" s="1"/>
      <c r="B972" s="1"/>
      <c r="C972" s="2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7.25" customHeight="1">
      <c r="A973" s="1"/>
      <c r="B973" s="1"/>
      <c r="C973" s="2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7.25" customHeight="1">
      <c r="A974" s="1"/>
      <c r="B974" s="1"/>
      <c r="C974" s="2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7.25" customHeight="1">
      <c r="A975" s="1"/>
      <c r="B975" s="1"/>
      <c r="C975" s="2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7.25" customHeight="1">
      <c r="A976" s="1"/>
      <c r="B976" s="1"/>
      <c r="C976" s="2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7.25" customHeight="1">
      <c r="A977" s="1"/>
      <c r="B977" s="1"/>
      <c r="C977" s="2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7.25" customHeight="1">
      <c r="A978" s="1"/>
      <c r="B978" s="1"/>
      <c r="C978" s="2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7.25" customHeight="1">
      <c r="A979" s="1"/>
      <c r="B979" s="1"/>
      <c r="C979" s="2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7.25" customHeight="1">
      <c r="A980" s="1"/>
      <c r="B980" s="1"/>
      <c r="C980" s="2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7.25" customHeight="1">
      <c r="A981" s="1"/>
      <c r="B981" s="1"/>
      <c r="C981" s="2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7.25" customHeight="1">
      <c r="A982" s="1"/>
      <c r="B982" s="1"/>
      <c r="C982" s="2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7.25" customHeight="1">
      <c r="A983" s="1"/>
      <c r="B983" s="1"/>
      <c r="C983" s="2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7.25" customHeight="1">
      <c r="A984" s="1"/>
      <c r="B984" s="1"/>
      <c r="C984" s="2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7.25" customHeight="1">
      <c r="A985" s="1"/>
      <c r="B985" s="1"/>
      <c r="C985" s="2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7.25" customHeight="1">
      <c r="A986" s="1"/>
      <c r="B986" s="1"/>
      <c r="C986" s="2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7.25" customHeight="1">
      <c r="A987" s="1"/>
      <c r="B987" s="1"/>
      <c r="C987" s="2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7.25" customHeight="1">
      <c r="A988" s="1"/>
      <c r="B988" s="1"/>
      <c r="C988" s="2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7.25" customHeight="1">
      <c r="A989" s="1"/>
      <c r="B989" s="1"/>
      <c r="C989" s="2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7.25" customHeight="1">
      <c r="A990" s="1"/>
      <c r="B990" s="1"/>
      <c r="C990" s="2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7.25" customHeight="1">
      <c r="A991" s="1"/>
      <c r="B991" s="1"/>
      <c r="C991" s="2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7.25" customHeight="1">
      <c r="A992" s="1"/>
      <c r="B992" s="1"/>
      <c r="C992" s="2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7.25" customHeight="1">
      <c r="A993" s="1"/>
      <c r="B993" s="1"/>
      <c r="C993" s="2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7.25" customHeight="1">
      <c r="A994" s="1"/>
      <c r="B994" s="1"/>
      <c r="C994" s="2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7.25" customHeight="1">
      <c r="A995" s="1"/>
      <c r="B995" s="1"/>
      <c r="C995" s="2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7.25" customHeight="1">
      <c r="A996" s="1"/>
      <c r="B996" s="1"/>
      <c r="C996" s="2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7.25" customHeight="1">
      <c r="A997" s="1"/>
      <c r="B997" s="1"/>
      <c r="C997" s="2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7.25" customHeight="1">
      <c r="A998" s="1"/>
      <c r="B998" s="1"/>
      <c r="C998" s="2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7.25" customHeight="1">
      <c r="A999" s="1"/>
      <c r="B999" s="1"/>
      <c r="C999" s="2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7.25" customHeight="1">
      <c r="A1000" s="1"/>
      <c r="B1000" s="1"/>
      <c r="C1000" s="2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11">
    <mergeCell ref="S5:T5"/>
    <mergeCell ref="L5:N5"/>
    <mergeCell ref="D9:R9"/>
    <mergeCell ref="D17:R17"/>
    <mergeCell ref="D36:R36"/>
    <mergeCell ref="D2:R2"/>
    <mergeCell ref="D4:E4"/>
    <mergeCell ref="H4:I4"/>
    <mergeCell ref="L4:N4"/>
    <mergeCell ref="D5:E5"/>
    <mergeCell ref="H5:I5"/>
  </mergeCells>
  <dataValidations count="1">
    <dataValidation type="custom" allowBlank="1" showInputMessage="1" showErrorMessage="1" prompt="Pesos acima de 100% - Reajuste os pesos para que somados fiquem em 100%." sqref="I12:I14" xr:uid="{00000000-0002-0000-0000-000000000000}">
      <formula1>SUM($I$12:$I$14) &lt;= 100%</formula1>
    </dataValidation>
  </dataValidations>
  <pageMargins left="0.511811024" right="0.511811024" top="0.78740157499999996" bottom="0.78740157499999996" header="0" footer="0"/>
  <pageSetup paperSize="9" orientation="portrait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Z1000"/>
  <sheetViews>
    <sheetView showGridLines="0" topLeftCell="A46" zoomScale="80" zoomScaleNormal="80" workbookViewId="0">
      <selection activeCell="M67" sqref="M67"/>
    </sheetView>
  </sheetViews>
  <sheetFormatPr defaultColWidth="12.625" defaultRowHeight="15" customHeight="1"/>
  <cols>
    <col min="1" max="2" width="11.375" customWidth="1"/>
    <col min="3" max="3" width="4.375" customWidth="1"/>
    <col min="4" max="4" width="12.375" customWidth="1"/>
    <col min="5" max="5" width="13.125" customWidth="1"/>
    <col min="6" max="6" width="12.125" customWidth="1"/>
    <col min="7" max="7" width="11.875" customWidth="1"/>
    <col min="8" max="8" width="9.375" customWidth="1"/>
    <col min="9" max="9" width="12.625" customWidth="1"/>
    <col min="10" max="10" width="15.375" customWidth="1"/>
    <col min="11" max="11" width="12.375" customWidth="1"/>
    <col min="12" max="12" width="13.125" customWidth="1"/>
    <col min="13" max="13" width="16.25" customWidth="1"/>
    <col min="14" max="14" width="11.25" customWidth="1"/>
    <col min="15" max="16" width="10.875" customWidth="1"/>
    <col min="17" max="17" width="16.625" customWidth="1"/>
    <col min="18" max="24" width="9" customWidth="1"/>
    <col min="25" max="26" width="8.625" customWidth="1"/>
  </cols>
  <sheetData>
    <row r="1" spans="1:26" ht="17.25" customHeight="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7.25" customHeight="1">
      <c r="A2" s="1"/>
      <c r="B2" s="1"/>
      <c r="C2" s="2"/>
      <c r="D2" s="120" t="s">
        <v>26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2"/>
      <c r="R2" s="3"/>
      <c r="S2" s="3"/>
      <c r="T2" s="3"/>
      <c r="U2" s="3"/>
      <c r="V2" s="3"/>
      <c r="W2" s="3"/>
      <c r="X2" s="3"/>
      <c r="Y2" s="3"/>
      <c r="Z2" s="3"/>
    </row>
    <row r="3" spans="1:26" ht="17.25" customHeight="1">
      <c r="A3" s="1"/>
      <c r="B3" s="1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7.25" customHeight="1">
      <c r="A4" s="1"/>
      <c r="B4" s="1"/>
      <c r="C4" s="2"/>
      <c r="D4" s="128" t="s">
        <v>27</v>
      </c>
      <c r="E4" s="124"/>
      <c r="F4" s="4" t="s">
        <v>28</v>
      </c>
      <c r="G4" s="11">
        <f>SUMIF(Ações!$E$66,"Provento",Ações!$J$66)</f>
        <v>0</v>
      </c>
      <c r="H4" s="34"/>
      <c r="I4" s="128" t="s">
        <v>2</v>
      </c>
      <c r="J4" s="124"/>
      <c r="K4" s="5"/>
      <c r="L4" s="128" t="s">
        <v>29</v>
      </c>
      <c r="M4" s="124"/>
      <c r="N4" s="5"/>
      <c r="O4" s="35" t="s">
        <v>3</v>
      </c>
      <c r="P4" s="35"/>
      <c r="Q4" s="35"/>
      <c r="R4" s="3"/>
      <c r="S4" s="3"/>
      <c r="T4" s="3"/>
      <c r="U4" s="3"/>
      <c r="V4" s="3"/>
      <c r="W4" s="3"/>
      <c r="X4" s="3"/>
      <c r="Y4" s="3"/>
      <c r="Z4" s="3"/>
    </row>
    <row r="5" spans="1:26" ht="17.25" customHeight="1">
      <c r="A5" s="1"/>
      <c r="B5" s="1"/>
      <c r="C5" s="2"/>
      <c r="D5" s="129">
        <f>SUM(Ações!$M$18:$M$19)</f>
        <v>0</v>
      </c>
      <c r="E5" s="122"/>
      <c r="F5" s="4" t="s">
        <v>30</v>
      </c>
      <c r="G5" s="36">
        <f>'Visão Geral'!J12</f>
        <v>0</v>
      </c>
      <c r="H5" s="34"/>
      <c r="I5" s="130">
        <f>SUM(Ações!$J$19)</f>
        <v>0</v>
      </c>
      <c r="J5" s="122"/>
      <c r="K5" s="5"/>
      <c r="L5" s="129">
        <f>'Visão Geral'!L12</f>
        <v>0</v>
      </c>
      <c r="M5" s="122"/>
      <c r="N5" s="5"/>
      <c r="O5" s="133">
        <f>'Visão Geral'!L5</f>
        <v>0</v>
      </c>
      <c r="P5" s="118"/>
      <c r="Q5" s="119"/>
      <c r="R5" s="3"/>
      <c r="S5" s="3"/>
      <c r="T5" s="3"/>
      <c r="U5" s="3"/>
      <c r="V5" s="3"/>
      <c r="W5" s="3"/>
      <c r="X5" s="3"/>
      <c r="Y5" s="3"/>
      <c r="Z5" s="3"/>
    </row>
    <row r="6" spans="1:26" ht="18" customHeight="1">
      <c r="A6" s="1"/>
      <c r="B6" s="1"/>
      <c r="C6" s="2"/>
      <c r="D6" s="4" t="s">
        <v>4</v>
      </c>
      <c r="E6" s="9">
        <f>IFERROR((D5 - SUM(Ações!$J$19))/SUM(Ações!$J$19),0)</f>
        <v>0</v>
      </c>
      <c r="F6" s="4" t="s">
        <v>31</v>
      </c>
      <c r="G6" s="36">
        <f>'Visão Geral'!I12</f>
        <v>0</v>
      </c>
      <c r="H6" s="34"/>
      <c r="I6" s="37"/>
      <c r="J6" s="5"/>
      <c r="K6" s="5"/>
      <c r="L6" s="5"/>
      <c r="M6" s="5"/>
      <c r="N6" s="5"/>
      <c r="O6" s="5"/>
      <c r="P6" s="10"/>
      <c r="Q6" s="10"/>
      <c r="R6" s="3"/>
      <c r="S6" s="3"/>
      <c r="T6" s="3"/>
      <c r="U6" s="3"/>
      <c r="V6" s="3"/>
      <c r="W6" s="3"/>
      <c r="X6" s="3"/>
      <c r="Y6" s="3"/>
      <c r="Z6" s="3"/>
    </row>
    <row r="7" spans="1:26" ht="17.25" customHeight="1">
      <c r="A7" s="1"/>
      <c r="B7" s="1"/>
      <c r="C7" s="2"/>
      <c r="D7" s="4" t="s">
        <v>32</v>
      </c>
      <c r="E7" s="9">
        <f>IFERROR(G4/I5,0)</f>
        <v>0</v>
      </c>
      <c r="F7" s="4" t="s">
        <v>33</v>
      </c>
      <c r="G7" s="38" t="str">
        <f>'Visão Geral'!K12</f>
        <v>Ideal</v>
      </c>
      <c r="H7" s="34"/>
      <c r="I7" s="37"/>
      <c r="J7" s="5"/>
      <c r="K7" s="5"/>
      <c r="L7" s="5"/>
      <c r="M7" s="5"/>
      <c r="N7" s="5"/>
      <c r="O7" s="5"/>
      <c r="P7" s="5"/>
      <c r="Q7" s="5"/>
      <c r="R7" s="3"/>
      <c r="S7" s="3"/>
      <c r="T7" s="3"/>
      <c r="U7" s="3"/>
      <c r="V7" s="3"/>
      <c r="W7" s="3"/>
      <c r="X7" s="3"/>
      <c r="Y7" s="3"/>
      <c r="Z7" s="3"/>
    </row>
    <row r="8" spans="1:26" ht="17.25" customHeight="1">
      <c r="A8" s="1"/>
      <c r="B8" s="1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7.25" customHeight="1">
      <c r="A9" s="1"/>
      <c r="B9" s="1"/>
      <c r="C9" s="2"/>
      <c r="D9" s="120" t="s">
        <v>34</v>
      </c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2"/>
      <c r="R9" s="3"/>
      <c r="S9" s="3"/>
      <c r="T9" s="3"/>
      <c r="U9" s="3"/>
      <c r="V9" s="3"/>
      <c r="W9" s="3"/>
      <c r="X9" s="3"/>
      <c r="Y9" s="3"/>
      <c r="Z9" s="3"/>
    </row>
    <row r="10" spans="1:26" ht="17.25" customHeight="1">
      <c r="A10" s="1"/>
      <c r="B10" s="1"/>
      <c r="C10" s="2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12"/>
      <c r="V10" s="12"/>
      <c r="W10" s="12"/>
      <c r="X10" s="12"/>
      <c r="Y10" s="3"/>
      <c r="Z10" s="3"/>
    </row>
    <row r="11" spans="1:26" ht="17.25" customHeight="1">
      <c r="A11" s="1"/>
      <c r="B11" s="1"/>
      <c r="C11" s="2"/>
      <c r="D11" s="34" t="s">
        <v>35</v>
      </c>
      <c r="E11" s="39" t="s">
        <v>36</v>
      </c>
      <c r="F11" s="4" t="s">
        <v>37</v>
      </c>
      <c r="G11" s="39"/>
      <c r="H11" s="4" t="str">
        <f>IF(E11 = "Registro","","Data:")</f>
        <v/>
      </c>
      <c r="I11" s="40"/>
      <c r="J11" s="6"/>
      <c r="K11" s="6"/>
      <c r="L11" s="41"/>
      <c r="M11" s="134" t="s">
        <v>38</v>
      </c>
      <c r="N11" s="125"/>
      <c r="O11" s="124"/>
      <c r="P11" s="6"/>
      <c r="Q11" s="6"/>
      <c r="R11" s="3"/>
      <c r="S11" s="3"/>
      <c r="T11" s="3"/>
      <c r="U11" s="3"/>
      <c r="V11" s="3"/>
      <c r="W11" s="3"/>
      <c r="X11" s="3"/>
      <c r="Y11" s="3"/>
      <c r="Z11" s="3"/>
    </row>
    <row r="12" spans="1:26" ht="17.25" customHeight="1">
      <c r="A12" s="1"/>
      <c r="B12" s="1"/>
      <c r="C12" s="2"/>
      <c r="D12" s="6"/>
      <c r="E12" s="6" t="s">
        <v>39</v>
      </c>
      <c r="F12" s="4" t="str" cm="1">
        <f t="array" ref="F12">_xlfn.IFS(E11 =  "Provento","",
OR(E11 = "Compra",E11 = "Venda"),"Qtd.:",
E11 =  "Registro", "Nota:")</f>
        <v>Nota:</v>
      </c>
      <c r="G12" s="39"/>
      <c r="H12" s="6"/>
      <c r="I12" s="6"/>
      <c r="J12" s="6"/>
      <c r="K12" s="6"/>
      <c r="L12" s="6"/>
      <c r="M12" s="6" t="s">
        <v>40</v>
      </c>
      <c r="N12" s="135"/>
      <c r="O12" s="119"/>
      <c r="P12" s="6"/>
      <c r="Q12" s="6"/>
      <c r="R12" s="127"/>
      <c r="S12" s="122"/>
      <c r="T12" s="3"/>
      <c r="U12" s="3"/>
      <c r="V12" s="3"/>
      <c r="W12" s="3"/>
      <c r="X12" s="3"/>
      <c r="Y12" s="3"/>
      <c r="Z12" s="3"/>
    </row>
    <row r="13" spans="1:26" ht="17.25" customHeight="1">
      <c r="A13" s="1"/>
      <c r="B13" s="1"/>
      <c r="C13" s="2"/>
      <c r="D13" s="6"/>
      <c r="E13" s="6"/>
      <c r="F13" s="4" t="str" cm="1">
        <f t="array" ref="F13">_xlfn.IFS(E11 =  "Provento","Valor total: ",
OR(E11 = "Compra",E11 = "Venda"),"Cotação: ",
E11 = "Registro", "")</f>
        <v/>
      </c>
      <c r="G13" s="42"/>
      <c r="H13" s="6"/>
      <c r="I13" s="6"/>
      <c r="J13" s="6"/>
      <c r="K13" s="6"/>
      <c r="L13" s="6"/>
      <c r="M13" s="6" t="s">
        <v>41</v>
      </c>
      <c r="N13" s="136"/>
      <c r="O13" s="122"/>
      <c r="P13" s="6"/>
      <c r="Q13" s="6"/>
      <c r="R13" s="3"/>
      <c r="S13" s="3"/>
      <c r="T13" s="3"/>
      <c r="U13" s="3"/>
      <c r="V13" s="3"/>
      <c r="W13" s="3"/>
      <c r="X13" s="3"/>
      <c r="Y13" s="3"/>
      <c r="Z13" s="3"/>
    </row>
    <row r="14" spans="1:26" ht="17.25" customHeight="1">
      <c r="A14" s="1"/>
      <c r="B14" s="1"/>
      <c r="C14" s="2"/>
      <c r="D14" s="6"/>
      <c r="E14" s="6"/>
      <c r="F14" s="4" t="str">
        <f>IF(E11 = "Registro","Setor:","")</f>
        <v>Setor:</v>
      </c>
      <c r="G14" s="39"/>
      <c r="H14" s="6"/>
      <c r="I14" s="6"/>
      <c r="J14" s="6"/>
      <c r="K14" s="6"/>
      <c r="L14" s="6"/>
      <c r="M14" s="6" t="s">
        <v>42</v>
      </c>
      <c r="N14" s="137">
        <f>IFERROR(N12/N13,0)</f>
        <v>0</v>
      </c>
      <c r="O14" s="122"/>
      <c r="P14" s="6"/>
      <c r="Q14" s="6"/>
      <c r="R14" s="3"/>
      <c r="S14" s="3"/>
      <c r="T14" s="3"/>
      <c r="U14" s="3"/>
      <c r="V14" s="3"/>
      <c r="W14" s="3"/>
      <c r="X14" s="3"/>
      <c r="Y14" s="3"/>
      <c r="Z14" s="3"/>
    </row>
    <row r="15" spans="1:26" ht="21.75" customHeight="1">
      <c r="A15" s="1"/>
      <c r="B15" s="1"/>
      <c r="C15" s="2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1.75" customHeight="1">
      <c r="A16" s="1"/>
      <c r="B16" s="1"/>
      <c r="C16" s="2"/>
      <c r="D16" s="120" t="s">
        <v>43</v>
      </c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2"/>
      <c r="R16" s="3"/>
      <c r="S16" s="3"/>
      <c r="T16" s="3"/>
      <c r="U16" s="3"/>
      <c r="V16" s="3"/>
      <c r="W16" s="3"/>
      <c r="X16" s="3"/>
      <c r="Y16" s="3"/>
      <c r="Z16" s="3"/>
    </row>
    <row r="17" spans="1:26" ht="21.75" customHeight="1">
      <c r="A17" s="32"/>
      <c r="B17" s="1"/>
      <c r="C17" s="2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25" customHeight="1">
      <c r="A18" s="33"/>
      <c r="B18" s="1"/>
      <c r="C18" s="2"/>
      <c r="D18" s="43" t="s">
        <v>44</v>
      </c>
      <c r="E18" s="43" t="s">
        <v>45</v>
      </c>
      <c r="F18" s="44" t="s">
        <v>46</v>
      </c>
      <c r="G18" s="44" t="s">
        <v>47</v>
      </c>
      <c r="H18" s="44" t="s">
        <v>48</v>
      </c>
      <c r="I18" s="44" t="s">
        <v>49</v>
      </c>
      <c r="J18" s="44" t="s">
        <v>50</v>
      </c>
      <c r="K18" s="45" t="s">
        <v>51</v>
      </c>
      <c r="L18" s="44" t="s">
        <v>52</v>
      </c>
      <c r="M18" s="44" t="s">
        <v>53</v>
      </c>
      <c r="N18" s="44" t="s">
        <v>54</v>
      </c>
      <c r="O18" s="44" t="s">
        <v>55</v>
      </c>
      <c r="P18" s="45" t="s">
        <v>14</v>
      </c>
      <c r="Q18" s="44" t="s">
        <v>56</v>
      </c>
      <c r="R18" s="3"/>
      <c r="S18" s="3"/>
      <c r="T18" s="3"/>
      <c r="U18" s="3"/>
      <c r="V18" s="3"/>
      <c r="W18" s="3"/>
      <c r="X18" s="3"/>
      <c r="Y18" s="3"/>
      <c r="Z18" s="3"/>
    </row>
    <row r="19" spans="1:26" ht="17.25" customHeight="1">
      <c r="A19" s="32"/>
      <c r="B19" s="1"/>
      <c r="C19" s="2"/>
      <c r="D19" s="46"/>
      <c r="E19" s="47"/>
      <c r="F19" s="48">
        <f>SUMIFS(Ações!$H$65:$H$66,Ações!$D$65:$D$66,Ações!$D19,Ações!$E$65:$E$66,"Compra")
- SUMIFS(Ações!$H$65:$H$66,Ações!$D$65:$D$66,Ações!$D19,Ações!$E$65:$E$66,"Venda")</f>
        <v>0</v>
      </c>
      <c r="G19" s="47"/>
      <c r="H19" s="49">
        <f>IFERROR(SUMIFS(Ações!$J$65:$J$66,Ações!$E$65:$E$66,"Provento",Ações!$D$65:$D$66,Ações!$D19) / Ações!$J19,0)</f>
        <v>0</v>
      </c>
      <c r="I19" s="50">
        <f>IFERROR((Ações!$M19-Ações!$J19)/Ações!$J19,0)</f>
        <v>0</v>
      </c>
      <c r="J19" s="51">
        <f>IFERROR(VLOOKUP(Ações!$D19,Ações!$D$66:$N$66,10,0),0)</f>
        <v>0</v>
      </c>
      <c r="K19" s="51">
        <f>IFERROR(Ações!$J19/Ações!$F19,0)</f>
        <v>0</v>
      </c>
      <c r="L19" s="51">
        <f>COTAÇÃO(Ações!$D19)</f>
        <v>0</v>
      </c>
      <c r="M19" s="51">
        <f>Ações!$L19*Ações!$F19</f>
        <v>0</v>
      </c>
      <c r="N19" s="52">
        <f>IFERROR(Ações!$G19/SUM(Ações!$G$18:$G$19),0)</f>
        <v>0</v>
      </c>
      <c r="O19" s="52">
        <f>IFERROR(Ações!$M19/($D$5 + $L$5),0)</f>
        <v>0</v>
      </c>
      <c r="P19" s="48" t="e">
        <f ca="1">_xludf.IFS(OR(AND(Ações!$Q19&lt;Ações!$L19,Ações!$Q19&gt;0),AND(Ações!$Q19&lt;0,-Ações!$Q19&lt;Ações!$L19)),"Ideal",
Ações!$O19&gt;Ações!$N19,"Acima",
Ações!$O19&lt;Ações!$N19,"Abaixo")</f>
        <v>#NAME?</v>
      </c>
      <c r="Q19" s="51">
        <f>($D$5+$L$5)*Ações!$N19 - Ações!$M19</f>
        <v>0</v>
      </c>
      <c r="R19" s="3"/>
      <c r="S19" s="3"/>
      <c r="T19" s="3"/>
      <c r="U19" s="3"/>
      <c r="V19" s="3"/>
      <c r="W19" s="3"/>
      <c r="X19" s="3"/>
      <c r="Y19" s="3"/>
      <c r="Z19" s="3"/>
    </row>
    <row r="20" spans="1:26" ht="17.25" customHeight="1">
      <c r="A20" s="33"/>
      <c r="B20" s="1"/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7.25" customHeight="1">
      <c r="A21" s="32"/>
      <c r="B21" s="1"/>
      <c r="C21" s="2"/>
      <c r="D21" s="120" t="s">
        <v>57</v>
      </c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3"/>
      <c r="S21" s="3"/>
      <c r="T21" s="3"/>
      <c r="U21" s="3"/>
      <c r="V21" s="3"/>
      <c r="W21" s="3"/>
      <c r="X21" s="3"/>
      <c r="Y21" s="3"/>
      <c r="Z21" s="3"/>
    </row>
    <row r="22" spans="1:26" ht="17.25" customHeight="1">
      <c r="A22" s="1"/>
      <c r="B22" s="1"/>
      <c r="C22" s="2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7.25" customHeight="1">
      <c r="A23" s="1"/>
      <c r="B23" s="1"/>
      <c r="C23" s="2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7.25" customHeight="1">
      <c r="A24" s="1"/>
      <c r="B24" s="1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7.25" customHeight="1">
      <c r="A25" s="1"/>
      <c r="B25" s="1"/>
      <c r="C25" s="2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7.25" customHeight="1">
      <c r="A26" s="1"/>
      <c r="B26" s="1"/>
      <c r="C26" s="2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7.25" customHeight="1">
      <c r="A27" s="1"/>
      <c r="B27" s="1"/>
      <c r="C27" s="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7.25" customHeight="1">
      <c r="A28" s="1"/>
      <c r="B28" s="1"/>
      <c r="C28" s="2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7.25" customHeight="1">
      <c r="A29" s="1"/>
      <c r="B29" s="1"/>
      <c r="C29" s="2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7.25" customHeight="1">
      <c r="A30" s="1"/>
      <c r="B30" s="1"/>
      <c r="C30" s="2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7.25" customHeight="1">
      <c r="A31" s="1"/>
      <c r="B31" s="1"/>
      <c r="C31" s="2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7.25" customHeight="1">
      <c r="A32" s="1"/>
      <c r="B32" s="1"/>
      <c r="C32" s="2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7.25" customHeight="1">
      <c r="A33" s="1"/>
      <c r="B33" s="1"/>
      <c r="C33" s="2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7.25" customHeight="1">
      <c r="A34" s="1"/>
      <c r="B34" s="1"/>
      <c r="C34" s="2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7.25" customHeight="1">
      <c r="A35" s="1"/>
      <c r="B35" s="1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7.25" customHeight="1">
      <c r="A36" s="1"/>
      <c r="B36" s="1"/>
      <c r="C36" s="2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7.25" customHeight="1">
      <c r="A37" s="1"/>
      <c r="B37" s="1"/>
      <c r="C37" s="2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7.25" customHeight="1">
      <c r="A38" s="1"/>
      <c r="B38" s="1"/>
      <c r="C38" s="2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7.25" customHeight="1">
      <c r="A39" s="1"/>
      <c r="B39" s="1"/>
      <c r="C39" s="2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7.25" customHeight="1">
      <c r="A40" s="1"/>
      <c r="B40" s="1"/>
      <c r="C40" s="2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7.25" customHeight="1">
      <c r="A41" s="1"/>
      <c r="B41" s="1"/>
      <c r="C41" s="2"/>
      <c r="D41" s="120" t="s">
        <v>25</v>
      </c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2"/>
      <c r="R41" s="3"/>
      <c r="S41" s="3"/>
      <c r="T41" s="3"/>
      <c r="U41" s="3"/>
      <c r="V41" s="3"/>
      <c r="W41" s="3"/>
      <c r="X41" s="3"/>
      <c r="Y41" s="3"/>
      <c r="Z41" s="3"/>
    </row>
    <row r="42" spans="1:26" ht="17.25" customHeight="1">
      <c r="A42" s="1"/>
      <c r="B42" s="1"/>
      <c r="C42" s="2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7.25" customHeight="1">
      <c r="A43" s="1"/>
      <c r="B43" s="1"/>
      <c r="C43" s="2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7.25" customHeight="1">
      <c r="A44" s="1"/>
      <c r="B44" s="1"/>
      <c r="C44" s="2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7.25" customHeight="1">
      <c r="A45" s="1"/>
      <c r="B45" s="1"/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7.25" customHeight="1">
      <c r="A46" s="1"/>
      <c r="B46" s="1"/>
      <c r="C46" s="2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7.25" customHeight="1">
      <c r="A47" s="1"/>
      <c r="B47" s="1"/>
      <c r="C47" s="2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7.25" customHeight="1">
      <c r="A48" s="1"/>
      <c r="B48" s="1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7.25" customHeight="1">
      <c r="A49" s="1"/>
      <c r="B49" s="1"/>
      <c r="C49" s="2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7.25" customHeight="1">
      <c r="A50" s="1"/>
      <c r="B50" s="1"/>
      <c r="C50" s="2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7.25" customHeight="1">
      <c r="A51" s="1"/>
      <c r="B51" s="1"/>
      <c r="C51" s="2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7.25" customHeight="1">
      <c r="A52" s="1"/>
      <c r="B52" s="1"/>
      <c r="C52" s="2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7.25" customHeight="1">
      <c r="A53" s="1"/>
      <c r="B53" s="1"/>
      <c r="C53" s="2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7.25" customHeight="1">
      <c r="A54" s="1"/>
      <c r="B54" s="1"/>
      <c r="C54" s="2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7.25" customHeight="1">
      <c r="A55" s="1"/>
      <c r="B55" s="1"/>
      <c r="C55" s="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7.25" customHeight="1">
      <c r="A56" s="1"/>
      <c r="B56" s="1"/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7.25" customHeight="1">
      <c r="A57" s="1"/>
      <c r="B57" s="1"/>
      <c r="C57" s="2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7.25" customHeight="1">
      <c r="A58" s="1"/>
      <c r="B58" s="1"/>
      <c r="C58" s="2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7.25" customHeight="1">
      <c r="A59" s="1"/>
      <c r="B59" s="1"/>
      <c r="C59" s="2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7.25" customHeight="1">
      <c r="A60" s="1"/>
      <c r="B60" s="1"/>
      <c r="C60" s="2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7.25" customHeight="1">
      <c r="A61" s="1"/>
      <c r="B61" s="1"/>
      <c r="C61" s="2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7.25" customHeight="1">
      <c r="A62" s="1"/>
      <c r="B62" s="1"/>
      <c r="C62" s="2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7.25" customHeight="1">
      <c r="A63" s="1"/>
      <c r="B63" s="1"/>
      <c r="C63" s="2"/>
      <c r="D63" s="120" t="s">
        <v>58</v>
      </c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2"/>
      <c r="R63" s="3"/>
      <c r="S63" s="3"/>
      <c r="T63" s="3"/>
      <c r="U63" s="3"/>
      <c r="V63" s="3"/>
      <c r="W63" s="3"/>
      <c r="X63" s="3"/>
      <c r="Y63" s="3"/>
      <c r="Z63" s="3"/>
    </row>
    <row r="64" spans="1:26" ht="17.25" customHeight="1">
      <c r="A64" s="1"/>
      <c r="B64" s="1"/>
      <c r="C64" s="2"/>
      <c r="D64" s="3"/>
      <c r="E64" s="3"/>
      <c r="F64" s="3"/>
      <c r="G64" s="3"/>
      <c r="H64" s="3"/>
      <c r="I64" s="3"/>
      <c r="J64" s="3"/>
      <c r="K64" s="131" t="s">
        <v>59</v>
      </c>
      <c r="L64" s="121"/>
      <c r="M64" s="121"/>
      <c r="N64" s="132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7.25" customHeight="1">
      <c r="A65" s="1"/>
      <c r="B65" s="1"/>
      <c r="C65" s="2"/>
      <c r="D65" s="53" t="s">
        <v>44</v>
      </c>
      <c r="E65" s="54" t="s">
        <v>60</v>
      </c>
      <c r="F65" s="55" t="s">
        <v>61</v>
      </c>
      <c r="G65" s="54" t="s">
        <v>45</v>
      </c>
      <c r="H65" s="54" t="s">
        <v>46</v>
      </c>
      <c r="I65" s="54" t="s">
        <v>62</v>
      </c>
      <c r="J65" s="54" t="s">
        <v>63</v>
      </c>
      <c r="K65" s="56" t="s">
        <v>64</v>
      </c>
      <c r="L65" s="56" t="s">
        <v>65</v>
      </c>
      <c r="M65" s="56" t="s">
        <v>66</v>
      </c>
      <c r="N65" s="57" t="s">
        <v>67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7.25" customHeight="1">
      <c r="A66" s="1"/>
      <c r="B66" s="1"/>
      <c r="C66" s="2"/>
      <c r="D66" s="58"/>
      <c r="E66" s="58"/>
      <c r="F66" s="58"/>
      <c r="G66" s="59" t="str">
        <f>IFERROR(VLOOKUP(Ações!$D66,Ações!$D$19:$Q$19,2,0),"")</f>
        <v/>
      </c>
      <c r="H66" s="58"/>
      <c r="I66" s="60"/>
      <c r="J66" s="57">
        <f>Ações!$H66*Ações!$I66</f>
        <v>0</v>
      </c>
      <c r="K66" s="61">
        <f>SUMIFS(H66:H$1048576,D66:D$1048576,Ações!$D66,E66:E$1048576,"Compra") -
SUMIFS(H66:H$1048576,D66:D$1048576,Ações!$D66,E66:E$1048576,"Venda")</f>
        <v>0</v>
      </c>
      <c r="L66" s="57">
        <f>IF(Ações!$E66 = "Compra",
Ações!$M66/Ações!$K66,
IFERROR(VLOOKUP(Ações!$D66,D67:M$1048576,9,FALSE),0))</f>
        <v>0</v>
      </c>
      <c r="M66" s="57" t="e" cm="1">
        <f t="array" ref="M66">_xlfn.IFS(Ações!$E66 = "Compra", IFERROR(VLOOKUP(Ações!$D66,D67:M$1048576,10,FALSE),0) + Ações!$J66,
Ações!$E66 = "Venda",Ações!$K66 * IFERROR(VLOOKUP(Ações!$D66,D67:M$1048576,9,FALSE),0),
Ações!$E66 = "Provento",VLOOKUP(Ações!$D66,D67:M$1048576,10,FALSE))</f>
        <v>#N/A</v>
      </c>
      <c r="N66" s="62">
        <f>EOMONTH(Ações!$F66,0)</f>
        <v>31</v>
      </c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7.25" customHeight="1">
      <c r="A67" s="1"/>
      <c r="B67" s="1"/>
      <c r="C67" s="2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7.25" customHeight="1">
      <c r="A68" s="1"/>
      <c r="B68" s="1"/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7.25" customHeight="1">
      <c r="A69" s="1"/>
      <c r="B69" s="1"/>
      <c r="C69" s="2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7.25" customHeight="1">
      <c r="A70" s="1"/>
      <c r="B70" s="1"/>
      <c r="C70" s="2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7.25" customHeight="1">
      <c r="A71" s="1"/>
      <c r="B71" s="1"/>
      <c r="C71" s="2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7.25" customHeight="1">
      <c r="A72" s="1"/>
      <c r="B72" s="1"/>
      <c r="C72" s="2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7.25" customHeight="1">
      <c r="A73" s="1"/>
      <c r="B73" s="1"/>
      <c r="C73" s="2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7.25" customHeight="1">
      <c r="A74" s="1"/>
      <c r="B74" s="1"/>
      <c r="C74" s="2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7.25" customHeight="1">
      <c r="A75" s="1"/>
      <c r="B75" s="1"/>
      <c r="C75" s="2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7.25" customHeight="1">
      <c r="A76" s="1"/>
      <c r="B76" s="1"/>
      <c r="C76" s="2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7.25" customHeight="1">
      <c r="A77" s="1"/>
      <c r="B77" s="1"/>
      <c r="C77" s="2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7.25" customHeight="1">
      <c r="A78" s="1"/>
      <c r="B78" s="1"/>
      <c r="C78" s="2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7.25" customHeight="1">
      <c r="A79" s="1"/>
      <c r="B79" s="1"/>
      <c r="C79" s="2"/>
      <c r="D79" s="3"/>
      <c r="E79" s="3"/>
      <c r="F79" s="63"/>
      <c r="G79" s="3"/>
      <c r="H79" s="3"/>
      <c r="I79" s="64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7.25" customHeight="1">
      <c r="A80" s="1"/>
      <c r="B80" s="1"/>
      <c r="C80" s="2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7.25" customHeight="1">
      <c r="A81" s="1"/>
      <c r="B81" s="1"/>
      <c r="C81" s="2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7.25" customHeight="1">
      <c r="A82" s="1"/>
      <c r="B82" s="1"/>
      <c r="C82" s="2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7.25" customHeight="1">
      <c r="A83" s="1"/>
      <c r="B83" s="1"/>
      <c r="C83" s="2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7.25" customHeight="1">
      <c r="A84" s="1"/>
      <c r="B84" s="1"/>
      <c r="C84" s="2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7.25" customHeight="1">
      <c r="A85" s="1"/>
      <c r="B85" s="1"/>
      <c r="C85" s="2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7.25" customHeight="1">
      <c r="A86" s="1"/>
      <c r="B86" s="1"/>
      <c r="C86" s="2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7.25" customHeight="1">
      <c r="A87" s="1"/>
      <c r="B87" s="1"/>
      <c r="C87" s="2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7.25" customHeight="1">
      <c r="A88" s="1"/>
      <c r="B88" s="1"/>
      <c r="C88" s="2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7.25" customHeight="1">
      <c r="A89" s="1"/>
      <c r="B89" s="1"/>
      <c r="C89" s="2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7.25" customHeight="1">
      <c r="A90" s="1"/>
      <c r="B90" s="1"/>
      <c r="C90" s="2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7.25" customHeight="1">
      <c r="A91" s="1"/>
      <c r="B91" s="1"/>
      <c r="C91" s="2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7.25" customHeight="1">
      <c r="A92" s="1"/>
      <c r="B92" s="1"/>
      <c r="C92" s="2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7.25" customHeight="1">
      <c r="A93" s="1"/>
      <c r="B93" s="1"/>
      <c r="C93" s="2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7.25" customHeight="1">
      <c r="A94" s="1"/>
      <c r="B94" s="1"/>
      <c r="C94" s="2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7.25" customHeight="1">
      <c r="A95" s="1"/>
      <c r="B95" s="1"/>
      <c r="C95" s="2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7.25" customHeight="1">
      <c r="A96" s="1"/>
      <c r="B96" s="1"/>
      <c r="C96" s="2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7.25" customHeight="1">
      <c r="A97" s="1"/>
      <c r="B97" s="1"/>
      <c r="C97" s="2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7.25" customHeight="1">
      <c r="A98" s="1"/>
      <c r="B98" s="1"/>
      <c r="C98" s="2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7.25" customHeight="1">
      <c r="A99" s="1"/>
      <c r="B99" s="1"/>
      <c r="C99" s="2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7.25" customHeight="1">
      <c r="A100" s="1"/>
      <c r="B100" s="1"/>
      <c r="C100" s="2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7.25" customHeight="1">
      <c r="A101" s="1"/>
      <c r="B101" s="1"/>
      <c r="C101" s="2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7.25" customHeight="1">
      <c r="A102" s="1"/>
      <c r="B102" s="1"/>
      <c r="C102" s="2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7.25" customHeight="1">
      <c r="A103" s="1"/>
      <c r="B103" s="1"/>
      <c r="C103" s="2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7.25" customHeight="1">
      <c r="A104" s="1"/>
      <c r="B104" s="1"/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7.25" customHeight="1">
      <c r="A105" s="1"/>
      <c r="B105" s="1"/>
      <c r="C105" s="2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7.25" customHeight="1">
      <c r="A106" s="1"/>
      <c r="B106" s="1"/>
      <c r="C106" s="2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7.25" customHeight="1">
      <c r="A107" s="1"/>
      <c r="B107" s="1"/>
      <c r="C107" s="2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7.25" customHeight="1">
      <c r="A108" s="1"/>
      <c r="B108" s="1"/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7.25" customHeight="1">
      <c r="A109" s="1"/>
      <c r="B109" s="1"/>
      <c r="C109" s="2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7.25" customHeight="1">
      <c r="A110" s="1"/>
      <c r="B110" s="1"/>
      <c r="C110" s="2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7.25" customHeight="1">
      <c r="A111" s="1"/>
      <c r="B111" s="1"/>
      <c r="C111" s="2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7.25" customHeight="1">
      <c r="A112" s="1"/>
      <c r="B112" s="1"/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7.25" customHeight="1">
      <c r="A113" s="1"/>
      <c r="B113" s="1"/>
      <c r="C113" s="2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7.25" customHeight="1">
      <c r="A114" s="1"/>
      <c r="B114" s="1"/>
      <c r="C114" s="2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7.25" customHeight="1">
      <c r="A115" s="1"/>
      <c r="B115" s="1"/>
      <c r="C115" s="2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7.25" customHeight="1">
      <c r="A116" s="1"/>
      <c r="B116" s="1"/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7.25" customHeight="1">
      <c r="A117" s="1"/>
      <c r="B117" s="1"/>
      <c r="C117" s="2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7.25" customHeight="1">
      <c r="A118" s="1"/>
      <c r="B118" s="1"/>
      <c r="C118" s="2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7.25" customHeight="1">
      <c r="A119" s="1"/>
      <c r="B119" s="1"/>
      <c r="C119" s="2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7.25" customHeight="1">
      <c r="A120" s="1"/>
      <c r="B120" s="1"/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7.25" customHeight="1">
      <c r="A121" s="1"/>
      <c r="B121" s="1"/>
      <c r="C121" s="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7.25" customHeight="1">
      <c r="A122" s="1"/>
      <c r="B122" s="1"/>
      <c r="C122" s="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7.25" customHeight="1">
      <c r="A123" s="1"/>
      <c r="B123" s="1"/>
      <c r="C123" s="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7.25" customHeight="1">
      <c r="A124" s="1"/>
      <c r="B124" s="1"/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7.25" customHeight="1">
      <c r="A125" s="1"/>
      <c r="B125" s="1"/>
      <c r="C125" s="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7.25" customHeight="1">
      <c r="A126" s="1"/>
      <c r="B126" s="1"/>
      <c r="C126" s="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7.25" customHeight="1">
      <c r="A127" s="1"/>
      <c r="B127" s="1"/>
      <c r="C127" s="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7.25" customHeight="1">
      <c r="A128" s="1"/>
      <c r="B128" s="1"/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7.25" customHeight="1">
      <c r="A129" s="1"/>
      <c r="B129" s="1"/>
      <c r="C129" s="2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7.25" customHeight="1">
      <c r="A130" s="1"/>
      <c r="B130" s="1"/>
      <c r="C130" s="2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7.25" customHeight="1">
      <c r="A131" s="1"/>
      <c r="B131" s="1"/>
      <c r="C131" s="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7.25" customHeight="1">
      <c r="A132" s="1"/>
      <c r="B132" s="1"/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7.25" customHeight="1">
      <c r="A133" s="1"/>
      <c r="B133" s="1"/>
      <c r="C133" s="2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7.25" customHeight="1">
      <c r="A134" s="1"/>
      <c r="B134" s="1"/>
      <c r="C134" s="2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7.25" customHeight="1">
      <c r="A135" s="1"/>
      <c r="B135" s="1"/>
      <c r="C135" s="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7.25" customHeight="1">
      <c r="A136" s="1"/>
      <c r="B136" s="1"/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7.25" customHeight="1">
      <c r="A137" s="1"/>
      <c r="B137" s="1"/>
      <c r="C137" s="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7.25" customHeight="1">
      <c r="A138" s="1"/>
      <c r="B138" s="1"/>
      <c r="C138" s="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7.25" customHeight="1">
      <c r="A139" s="1"/>
      <c r="B139" s="1"/>
      <c r="C139" s="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7.25" customHeight="1">
      <c r="A140" s="1"/>
      <c r="B140" s="1"/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7.25" customHeight="1">
      <c r="A141" s="1"/>
      <c r="B141" s="1"/>
      <c r="C141" s="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7.25" customHeight="1">
      <c r="A142" s="1"/>
      <c r="B142" s="1"/>
      <c r="C142" s="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7.25" customHeight="1">
      <c r="A143" s="1"/>
      <c r="B143" s="1"/>
      <c r="C143" s="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7.25" customHeight="1">
      <c r="A144" s="1"/>
      <c r="B144" s="1"/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7.25" customHeight="1">
      <c r="A145" s="1"/>
      <c r="B145" s="1"/>
      <c r="C145" s="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7.25" customHeight="1">
      <c r="A146" s="1"/>
      <c r="B146" s="1"/>
      <c r="C146" s="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7.25" customHeight="1">
      <c r="A147" s="1"/>
      <c r="B147" s="1"/>
      <c r="C147" s="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7.25" customHeight="1">
      <c r="A148" s="1"/>
      <c r="B148" s="1"/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7.25" customHeight="1">
      <c r="A149" s="1"/>
      <c r="B149" s="1"/>
      <c r="C149" s="2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7.25" customHeight="1">
      <c r="A150" s="1"/>
      <c r="B150" s="1"/>
      <c r="C150" s="2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7.25" customHeight="1">
      <c r="A151" s="1"/>
      <c r="B151" s="1"/>
      <c r="C151" s="2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7.25" customHeight="1">
      <c r="A152" s="1"/>
      <c r="B152" s="1"/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7.25" customHeight="1">
      <c r="A153" s="1"/>
      <c r="B153" s="1"/>
      <c r="C153" s="2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7.25" customHeight="1">
      <c r="A154" s="1"/>
      <c r="B154" s="1"/>
      <c r="C154" s="2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7.25" customHeight="1">
      <c r="A155" s="1"/>
      <c r="B155" s="1"/>
      <c r="C155" s="2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7.25" customHeight="1">
      <c r="A156" s="1"/>
      <c r="B156" s="1"/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7.25" customHeight="1">
      <c r="A157" s="1"/>
      <c r="B157" s="1"/>
      <c r="C157" s="2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7.25" customHeight="1">
      <c r="A158" s="1"/>
      <c r="B158" s="1"/>
      <c r="C158" s="2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7.25" customHeight="1">
      <c r="A159" s="1"/>
      <c r="B159" s="1"/>
      <c r="C159" s="2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7.25" customHeight="1">
      <c r="A160" s="1"/>
      <c r="B160" s="1"/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7.25" customHeight="1">
      <c r="A161" s="1"/>
      <c r="B161" s="1"/>
      <c r="C161" s="2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7.25" customHeight="1">
      <c r="A162" s="1"/>
      <c r="B162" s="1"/>
      <c r="C162" s="2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7.25" customHeight="1">
      <c r="A163" s="1"/>
      <c r="B163" s="1"/>
      <c r="C163" s="2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7.25" customHeight="1">
      <c r="A164" s="1"/>
      <c r="B164" s="1"/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7.25" customHeight="1">
      <c r="A165" s="1"/>
      <c r="B165" s="1"/>
      <c r="C165" s="2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7.25" customHeight="1">
      <c r="A166" s="1"/>
      <c r="B166" s="1"/>
      <c r="C166" s="2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7.25" customHeight="1">
      <c r="A167" s="1"/>
      <c r="B167" s="1"/>
      <c r="C167" s="2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7.25" customHeight="1">
      <c r="A168" s="1"/>
      <c r="B168" s="1"/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7.25" customHeight="1">
      <c r="A169" s="1"/>
      <c r="B169" s="1"/>
      <c r="C169" s="2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7.25" customHeight="1">
      <c r="A170" s="1"/>
      <c r="B170" s="1"/>
      <c r="C170" s="2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7.25" customHeight="1">
      <c r="A171" s="1"/>
      <c r="B171" s="1"/>
      <c r="C171" s="2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7.25" customHeight="1">
      <c r="A172" s="1"/>
      <c r="B172" s="1"/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7.25" customHeight="1">
      <c r="A173" s="1"/>
      <c r="B173" s="1"/>
      <c r="C173" s="2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7.25" customHeight="1">
      <c r="A174" s="1"/>
      <c r="B174" s="1"/>
      <c r="C174" s="2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7.25" customHeight="1">
      <c r="A175" s="1"/>
      <c r="B175" s="1"/>
      <c r="C175" s="2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7.25" customHeight="1">
      <c r="A176" s="1"/>
      <c r="B176" s="1"/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7.25" customHeight="1">
      <c r="A177" s="1"/>
      <c r="B177" s="1"/>
      <c r="C177" s="2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7.25" customHeight="1">
      <c r="A178" s="1"/>
      <c r="B178" s="1"/>
      <c r="C178" s="2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7.25" customHeight="1">
      <c r="A179" s="1"/>
      <c r="B179" s="1"/>
      <c r="C179" s="2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7.25" customHeight="1">
      <c r="A180" s="1"/>
      <c r="B180" s="1"/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7.25" customHeight="1">
      <c r="A181" s="1"/>
      <c r="B181" s="1"/>
      <c r="C181" s="2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7.25" customHeight="1">
      <c r="A182" s="1"/>
      <c r="B182" s="1"/>
      <c r="C182" s="2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7.25" customHeight="1">
      <c r="A183" s="1"/>
      <c r="B183" s="1"/>
      <c r="C183" s="2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7.25" customHeight="1">
      <c r="A184" s="1"/>
      <c r="B184" s="1"/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7.25" customHeight="1">
      <c r="A185" s="1"/>
      <c r="B185" s="1"/>
      <c r="C185" s="2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7.25" customHeight="1">
      <c r="A186" s="1"/>
      <c r="B186" s="1"/>
      <c r="C186" s="2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7.25" customHeight="1">
      <c r="A187" s="1"/>
      <c r="B187" s="1"/>
      <c r="C187" s="2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7.25" customHeight="1">
      <c r="A188" s="1"/>
      <c r="B188" s="1"/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7.25" customHeight="1">
      <c r="A189" s="1"/>
      <c r="B189" s="1"/>
      <c r="C189" s="2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7.25" customHeight="1">
      <c r="A190" s="1"/>
      <c r="B190" s="1"/>
      <c r="C190" s="2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7.25" customHeight="1">
      <c r="A191" s="1"/>
      <c r="B191" s="1"/>
      <c r="C191" s="2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7.25" customHeight="1">
      <c r="A192" s="1"/>
      <c r="B192" s="1"/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7.25" customHeight="1">
      <c r="A193" s="1"/>
      <c r="B193" s="1"/>
      <c r="C193" s="2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7.25" customHeight="1">
      <c r="A194" s="1"/>
      <c r="B194" s="1"/>
      <c r="C194" s="2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7.25" customHeight="1">
      <c r="A195" s="1"/>
      <c r="B195" s="1"/>
      <c r="C195" s="2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7.25" customHeight="1">
      <c r="A196" s="1"/>
      <c r="B196" s="1"/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7.25" customHeight="1">
      <c r="A197" s="1"/>
      <c r="B197" s="1"/>
      <c r="C197" s="2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7.25" customHeight="1">
      <c r="A198" s="1"/>
      <c r="B198" s="1"/>
      <c r="C198" s="2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7.25" customHeight="1">
      <c r="A199" s="1"/>
      <c r="B199" s="1"/>
      <c r="C199" s="2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7.25" customHeight="1">
      <c r="A200" s="1"/>
      <c r="B200" s="1"/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7.25" customHeight="1">
      <c r="A201" s="1"/>
      <c r="B201" s="1"/>
      <c r="C201" s="2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7.25" customHeight="1">
      <c r="A202" s="1"/>
      <c r="B202" s="1"/>
      <c r="C202" s="2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7.25" customHeight="1">
      <c r="A203" s="1"/>
      <c r="B203" s="1"/>
      <c r="C203" s="2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7.25" customHeight="1">
      <c r="A204" s="1"/>
      <c r="B204" s="1"/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7.25" customHeight="1">
      <c r="A205" s="1"/>
      <c r="B205" s="1"/>
      <c r="C205" s="2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7.25" customHeight="1">
      <c r="A206" s="1"/>
      <c r="B206" s="1"/>
      <c r="C206" s="2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7.25" customHeight="1">
      <c r="A207" s="1"/>
      <c r="B207" s="1"/>
      <c r="C207" s="2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7.25" customHeight="1">
      <c r="A208" s="1"/>
      <c r="B208" s="1"/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7.25" customHeight="1">
      <c r="A209" s="1"/>
      <c r="B209" s="1"/>
      <c r="C209" s="2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7.25" customHeight="1">
      <c r="A210" s="1"/>
      <c r="B210" s="1"/>
      <c r="C210" s="2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7.25" customHeight="1">
      <c r="A211" s="1"/>
      <c r="B211" s="1"/>
      <c r="C211" s="2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7.25" customHeight="1">
      <c r="A212" s="1"/>
      <c r="B212" s="1"/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7.25" customHeight="1">
      <c r="A213" s="1"/>
      <c r="B213" s="1"/>
      <c r="C213" s="2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7.25" customHeight="1">
      <c r="A214" s="1"/>
      <c r="B214" s="1"/>
      <c r="C214" s="2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7.25" customHeight="1">
      <c r="A215" s="1"/>
      <c r="B215" s="1"/>
      <c r="C215" s="2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7.25" customHeight="1">
      <c r="A216" s="1"/>
      <c r="B216" s="1"/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7.25" customHeight="1">
      <c r="A217" s="1"/>
      <c r="B217" s="1"/>
      <c r="C217" s="2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7.25" customHeight="1">
      <c r="A218" s="1"/>
      <c r="B218" s="1"/>
      <c r="C218" s="2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7.25" customHeight="1">
      <c r="A219" s="1"/>
      <c r="B219" s="1"/>
      <c r="C219" s="2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7.25" customHeight="1">
      <c r="A220" s="1"/>
      <c r="B220" s="1"/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7.25" customHeight="1">
      <c r="A221" s="1"/>
      <c r="B221" s="1"/>
      <c r="C221" s="2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7.25" customHeight="1">
      <c r="A222" s="1"/>
      <c r="B222" s="1"/>
      <c r="C222" s="2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7.25" customHeight="1">
      <c r="A223" s="1"/>
      <c r="B223" s="1"/>
      <c r="C223" s="2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7.25" customHeight="1">
      <c r="A224" s="1"/>
      <c r="B224" s="1"/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7.25" customHeight="1">
      <c r="A225" s="1"/>
      <c r="B225" s="1"/>
      <c r="C225" s="2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7.25" customHeight="1">
      <c r="A226" s="1"/>
      <c r="B226" s="1"/>
      <c r="C226" s="2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7.25" customHeight="1">
      <c r="A227" s="1"/>
      <c r="B227" s="1"/>
      <c r="C227" s="2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7.25" customHeight="1">
      <c r="A228" s="1"/>
      <c r="B228" s="1"/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7.25" customHeight="1">
      <c r="A229" s="1"/>
      <c r="B229" s="1"/>
      <c r="C229" s="2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7.25" customHeight="1">
      <c r="A230" s="1"/>
      <c r="B230" s="1"/>
      <c r="C230" s="2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7.25" customHeight="1">
      <c r="A231" s="1"/>
      <c r="B231" s="1"/>
      <c r="C231" s="2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7.25" customHeight="1">
      <c r="A232" s="1"/>
      <c r="B232" s="1"/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7.25" customHeight="1">
      <c r="A233" s="1"/>
      <c r="B233" s="1"/>
      <c r="C233" s="2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7.25" customHeight="1">
      <c r="A234" s="1"/>
      <c r="B234" s="1"/>
      <c r="C234" s="2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7.25" customHeight="1">
      <c r="A235" s="1"/>
      <c r="B235" s="1"/>
      <c r="C235" s="2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7.25" customHeight="1">
      <c r="A236" s="1"/>
      <c r="B236" s="1"/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7.25" customHeight="1">
      <c r="A237" s="1"/>
      <c r="B237" s="1"/>
      <c r="C237" s="2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7.25" customHeight="1">
      <c r="A238" s="1"/>
      <c r="B238" s="1"/>
      <c r="C238" s="2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7.25" customHeight="1">
      <c r="A239" s="1"/>
      <c r="B239" s="1"/>
      <c r="C239" s="2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7.25" customHeight="1">
      <c r="A240" s="1"/>
      <c r="B240" s="1"/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7.25" customHeight="1">
      <c r="A241" s="1"/>
      <c r="B241" s="1"/>
      <c r="C241" s="2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7.25" customHeight="1">
      <c r="A242" s="1"/>
      <c r="B242" s="1"/>
      <c r="C242" s="2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7.25" customHeight="1">
      <c r="A243" s="1"/>
      <c r="B243" s="1"/>
      <c r="C243" s="2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7.25" customHeight="1">
      <c r="A244" s="1"/>
      <c r="B244" s="1"/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7.25" customHeight="1">
      <c r="A245" s="1"/>
      <c r="B245" s="1"/>
      <c r="C245" s="2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7.25" customHeight="1">
      <c r="A246" s="1"/>
      <c r="B246" s="1"/>
      <c r="C246" s="2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7.25" customHeight="1">
      <c r="A247" s="1"/>
      <c r="B247" s="1"/>
      <c r="C247" s="2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7.25" customHeight="1">
      <c r="A248" s="1"/>
      <c r="B248" s="1"/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7.25" customHeight="1">
      <c r="A249" s="1"/>
      <c r="B249" s="1"/>
      <c r="C249" s="2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7.25" customHeight="1">
      <c r="A250" s="1"/>
      <c r="B250" s="1"/>
      <c r="C250" s="2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7.25" customHeight="1">
      <c r="A251" s="1"/>
      <c r="B251" s="1"/>
      <c r="C251" s="2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7.25" customHeight="1">
      <c r="A252" s="1"/>
      <c r="B252" s="1"/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7.25" customHeight="1">
      <c r="A253" s="1"/>
      <c r="B253" s="1"/>
      <c r="C253" s="2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7.25" customHeight="1">
      <c r="A254" s="1"/>
      <c r="B254" s="1"/>
      <c r="C254" s="2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7.25" customHeight="1">
      <c r="A255" s="1"/>
      <c r="B255" s="1"/>
      <c r="C255" s="2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7.25" customHeight="1">
      <c r="A256" s="1"/>
      <c r="B256" s="1"/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7.25" customHeight="1">
      <c r="A257" s="1"/>
      <c r="B257" s="1"/>
      <c r="C257" s="2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7.25" customHeight="1">
      <c r="A258" s="1"/>
      <c r="B258" s="1"/>
      <c r="C258" s="2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7.25" customHeight="1">
      <c r="A259" s="1"/>
      <c r="B259" s="1"/>
      <c r="C259" s="2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7.25" customHeight="1">
      <c r="A260" s="1"/>
      <c r="B260" s="1"/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7.25" customHeight="1">
      <c r="A261" s="1"/>
      <c r="B261" s="1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7.25" customHeight="1">
      <c r="A262" s="1"/>
      <c r="B262" s="1"/>
      <c r="C262" s="2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7.25" customHeight="1">
      <c r="A263" s="1"/>
      <c r="B263" s="1"/>
      <c r="C263" s="2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7.25" customHeight="1">
      <c r="A264" s="1"/>
      <c r="B264" s="1"/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7.25" customHeight="1">
      <c r="A265" s="1"/>
      <c r="B265" s="1"/>
      <c r="C265" s="2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7.25" customHeight="1">
      <c r="A266" s="1"/>
      <c r="B266" s="1"/>
      <c r="C266" s="2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7.25" customHeight="1">
      <c r="A267" s="1"/>
      <c r="B267" s="1"/>
      <c r="C267" s="2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7.25" customHeight="1">
      <c r="A268" s="1"/>
      <c r="B268" s="1"/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7.25" customHeight="1">
      <c r="A269" s="1"/>
      <c r="B269" s="1"/>
      <c r="C269" s="2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7.25" customHeight="1">
      <c r="A270" s="1"/>
      <c r="B270" s="1"/>
      <c r="C270" s="2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7.25" customHeight="1">
      <c r="A271" s="1"/>
      <c r="B271" s="1"/>
      <c r="C271" s="2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7.25" customHeight="1">
      <c r="A272" s="1"/>
      <c r="B272" s="1"/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7.25" customHeight="1">
      <c r="A273" s="1"/>
      <c r="B273" s="1"/>
      <c r="C273" s="2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7.25" customHeight="1">
      <c r="A274" s="1"/>
      <c r="B274" s="1"/>
      <c r="C274" s="2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7.25" customHeight="1">
      <c r="A275" s="1"/>
      <c r="B275" s="1"/>
      <c r="C275" s="2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7.25" customHeight="1">
      <c r="A276" s="1"/>
      <c r="B276" s="1"/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7.25" customHeight="1">
      <c r="A277" s="1"/>
      <c r="B277" s="1"/>
      <c r="C277" s="2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7.25" customHeight="1">
      <c r="A278" s="1"/>
      <c r="B278" s="1"/>
      <c r="C278" s="2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7.25" customHeight="1">
      <c r="A279" s="1"/>
      <c r="B279" s="1"/>
      <c r="C279" s="2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7.25" customHeight="1">
      <c r="A280" s="1"/>
      <c r="B280" s="1"/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7.25" customHeight="1">
      <c r="A281" s="1"/>
      <c r="B281" s="1"/>
      <c r="C281" s="2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7.25" customHeight="1">
      <c r="A282" s="1"/>
      <c r="B282" s="1"/>
      <c r="C282" s="2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7.25" customHeight="1">
      <c r="A283" s="1"/>
      <c r="B283" s="1"/>
      <c r="C283" s="2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7.25" customHeight="1">
      <c r="A284" s="1"/>
      <c r="B284" s="1"/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7.25" customHeight="1">
      <c r="A285" s="1"/>
      <c r="B285" s="1"/>
      <c r="C285" s="2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7.25" customHeight="1">
      <c r="A286" s="1"/>
      <c r="B286" s="1"/>
      <c r="C286" s="2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7.25" customHeight="1">
      <c r="A287" s="1"/>
      <c r="B287" s="1"/>
      <c r="C287" s="2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7.25" customHeight="1">
      <c r="A288" s="1"/>
      <c r="B288" s="1"/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7.25" customHeight="1">
      <c r="A289" s="1"/>
      <c r="B289" s="1"/>
      <c r="C289" s="2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7.25" customHeight="1">
      <c r="A290" s="1"/>
      <c r="B290" s="1"/>
      <c r="C290" s="2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7.25" customHeight="1">
      <c r="A291" s="1"/>
      <c r="B291" s="1"/>
      <c r="C291" s="2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7.25" customHeight="1">
      <c r="A292" s="1"/>
      <c r="B292" s="1"/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7.25" customHeight="1">
      <c r="A293" s="1"/>
      <c r="B293" s="1"/>
      <c r="C293" s="2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7.25" customHeight="1">
      <c r="A294" s="1"/>
      <c r="B294" s="1"/>
      <c r="C294" s="2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7.25" customHeight="1">
      <c r="A295" s="1"/>
      <c r="B295" s="1"/>
      <c r="C295" s="2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7.25" customHeight="1">
      <c r="A296" s="1"/>
      <c r="B296" s="1"/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7.25" customHeight="1">
      <c r="A297" s="1"/>
      <c r="B297" s="1"/>
      <c r="C297" s="2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7.25" customHeight="1">
      <c r="A298" s="1"/>
      <c r="B298" s="1"/>
      <c r="C298" s="2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7.25" customHeight="1">
      <c r="A299" s="1"/>
      <c r="B299" s="1"/>
      <c r="C299" s="2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7.25" customHeight="1">
      <c r="A300" s="1"/>
      <c r="B300" s="1"/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7.25" customHeight="1">
      <c r="A301" s="1"/>
      <c r="B301" s="1"/>
      <c r="C301" s="2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7.25" customHeight="1">
      <c r="A302" s="1"/>
      <c r="B302" s="1"/>
      <c r="C302" s="2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7.25" customHeight="1">
      <c r="A303" s="1"/>
      <c r="B303" s="1"/>
      <c r="C303" s="2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7.25" customHeight="1">
      <c r="A304" s="1"/>
      <c r="B304" s="1"/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7.25" customHeight="1">
      <c r="A305" s="1"/>
      <c r="B305" s="1"/>
      <c r="C305" s="2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7.25" customHeight="1">
      <c r="A306" s="1"/>
      <c r="B306" s="1"/>
      <c r="C306" s="2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7.25" customHeight="1">
      <c r="A307" s="1"/>
      <c r="B307" s="1"/>
      <c r="C307" s="2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7.25" customHeight="1">
      <c r="A308" s="1"/>
      <c r="B308" s="1"/>
      <c r="C308" s="2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7.25" customHeight="1">
      <c r="A309" s="1"/>
      <c r="B309" s="1"/>
      <c r="C309" s="2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7.25" customHeight="1">
      <c r="A310" s="1"/>
      <c r="B310" s="1"/>
      <c r="C310" s="2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7.25" customHeight="1">
      <c r="A311" s="1"/>
      <c r="B311" s="1"/>
      <c r="C311" s="2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7.25" customHeight="1">
      <c r="A312" s="1"/>
      <c r="B312" s="1"/>
      <c r="C312" s="2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7.25" customHeight="1">
      <c r="A313" s="1"/>
      <c r="B313" s="1"/>
      <c r="C313" s="2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7.25" customHeight="1">
      <c r="A314" s="1"/>
      <c r="B314" s="1"/>
      <c r="C314" s="2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7.25" customHeight="1">
      <c r="A315" s="1"/>
      <c r="B315" s="1"/>
      <c r="C315" s="2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7.25" customHeight="1">
      <c r="A316" s="1"/>
      <c r="B316" s="1"/>
      <c r="C316" s="2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7.25" customHeight="1">
      <c r="A317" s="1"/>
      <c r="B317" s="1"/>
      <c r="C317" s="2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7.25" customHeight="1">
      <c r="A318" s="1"/>
      <c r="B318" s="1"/>
      <c r="C318" s="2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7.25" customHeight="1">
      <c r="A319" s="1"/>
      <c r="B319" s="1"/>
      <c r="C319" s="2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7.25" customHeight="1">
      <c r="A320" s="1"/>
      <c r="B320" s="1"/>
      <c r="C320" s="2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7.25" customHeight="1">
      <c r="A321" s="1"/>
      <c r="B321" s="1"/>
      <c r="C321" s="2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7.25" customHeight="1">
      <c r="A322" s="1"/>
      <c r="B322" s="1"/>
      <c r="C322" s="2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7.25" customHeight="1">
      <c r="A323" s="1"/>
      <c r="B323" s="1"/>
      <c r="C323" s="2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7.25" customHeight="1">
      <c r="A324" s="1"/>
      <c r="B324" s="1"/>
      <c r="C324" s="2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7.25" customHeight="1">
      <c r="A325" s="1"/>
      <c r="B325" s="1"/>
      <c r="C325" s="2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7.25" customHeight="1">
      <c r="A326" s="1"/>
      <c r="B326" s="1"/>
      <c r="C326" s="2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7.25" customHeight="1">
      <c r="A327" s="1"/>
      <c r="B327" s="1"/>
      <c r="C327" s="2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7.25" customHeight="1">
      <c r="A328" s="1"/>
      <c r="B328" s="1"/>
      <c r="C328" s="2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7.25" customHeight="1">
      <c r="A329" s="1"/>
      <c r="B329" s="1"/>
      <c r="C329" s="2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7.25" customHeight="1">
      <c r="A330" s="1"/>
      <c r="B330" s="1"/>
      <c r="C330" s="2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7.25" customHeight="1">
      <c r="A331" s="1"/>
      <c r="B331" s="1"/>
      <c r="C331" s="2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7.25" customHeight="1">
      <c r="A332" s="1"/>
      <c r="B332" s="1"/>
      <c r="C332" s="2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7.25" customHeight="1">
      <c r="A333" s="1"/>
      <c r="B333" s="1"/>
      <c r="C333" s="2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7.25" customHeight="1">
      <c r="A334" s="1"/>
      <c r="B334" s="1"/>
      <c r="C334" s="2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7.25" customHeight="1">
      <c r="A335" s="1"/>
      <c r="B335" s="1"/>
      <c r="C335" s="2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7.25" customHeight="1">
      <c r="A336" s="1"/>
      <c r="B336" s="1"/>
      <c r="C336" s="2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7.25" customHeight="1">
      <c r="A337" s="1"/>
      <c r="B337" s="1"/>
      <c r="C337" s="2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7.25" customHeight="1">
      <c r="A338" s="1"/>
      <c r="B338" s="1"/>
      <c r="C338" s="2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7.25" customHeight="1">
      <c r="A339" s="1"/>
      <c r="B339" s="1"/>
      <c r="C339" s="2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7.25" customHeight="1">
      <c r="A340" s="1"/>
      <c r="B340" s="1"/>
      <c r="C340" s="2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7.25" customHeight="1">
      <c r="A341" s="1"/>
      <c r="B341" s="1"/>
      <c r="C341" s="2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7.25" customHeight="1">
      <c r="A342" s="1"/>
      <c r="B342" s="1"/>
      <c r="C342" s="2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7.25" customHeight="1">
      <c r="A343" s="1"/>
      <c r="B343" s="1"/>
      <c r="C343" s="2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7.25" customHeight="1">
      <c r="A344" s="1"/>
      <c r="B344" s="1"/>
      <c r="C344" s="2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7.25" customHeight="1">
      <c r="A345" s="1"/>
      <c r="B345" s="1"/>
      <c r="C345" s="2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7.25" customHeight="1">
      <c r="A346" s="1"/>
      <c r="B346" s="1"/>
      <c r="C346" s="2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7.25" customHeight="1">
      <c r="A347" s="1"/>
      <c r="B347" s="1"/>
      <c r="C347" s="2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7.25" customHeight="1">
      <c r="A348" s="1"/>
      <c r="B348" s="1"/>
      <c r="C348" s="2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7.25" customHeight="1">
      <c r="A349" s="1"/>
      <c r="B349" s="1"/>
      <c r="C349" s="2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7.25" customHeight="1">
      <c r="A350" s="1"/>
      <c r="B350" s="1"/>
      <c r="C350" s="2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7.25" customHeight="1">
      <c r="A351" s="1"/>
      <c r="B351" s="1"/>
      <c r="C351" s="2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7.25" customHeight="1">
      <c r="A352" s="1"/>
      <c r="B352" s="1"/>
      <c r="C352" s="2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7.25" customHeight="1">
      <c r="A353" s="1"/>
      <c r="B353" s="1"/>
      <c r="C353" s="2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7.25" customHeight="1">
      <c r="A354" s="1"/>
      <c r="B354" s="1"/>
      <c r="C354" s="2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7.25" customHeight="1">
      <c r="A355" s="1"/>
      <c r="B355" s="1"/>
      <c r="C355" s="2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7.25" customHeight="1">
      <c r="A356" s="1"/>
      <c r="B356" s="1"/>
      <c r="C356" s="2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7.25" customHeight="1">
      <c r="A357" s="1"/>
      <c r="B357" s="1"/>
      <c r="C357" s="2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7.25" customHeight="1">
      <c r="A358" s="1"/>
      <c r="B358" s="1"/>
      <c r="C358" s="2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7.25" customHeight="1">
      <c r="A359" s="1"/>
      <c r="B359" s="1"/>
      <c r="C359" s="2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7.25" customHeight="1">
      <c r="A360" s="1"/>
      <c r="B360" s="1"/>
      <c r="C360" s="2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7.25" customHeight="1">
      <c r="A361" s="1"/>
      <c r="B361" s="1"/>
      <c r="C361" s="2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7.25" customHeight="1">
      <c r="A362" s="1"/>
      <c r="B362" s="1"/>
      <c r="C362" s="2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7.25" customHeight="1">
      <c r="A363" s="1"/>
      <c r="B363" s="1"/>
      <c r="C363" s="2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7.25" customHeight="1">
      <c r="A364" s="1"/>
      <c r="B364" s="1"/>
      <c r="C364" s="2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7.25" customHeight="1">
      <c r="A365" s="1"/>
      <c r="B365" s="1"/>
      <c r="C365" s="2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7.25" customHeight="1">
      <c r="A366" s="1"/>
      <c r="B366" s="1"/>
      <c r="C366" s="2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7.25" customHeight="1">
      <c r="A367" s="1"/>
      <c r="B367" s="1"/>
      <c r="C367" s="2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7.25" customHeight="1">
      <c r="A368" s="1"/>
      <c r="B368" s="1"/>
      <c r="C368" s="2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7.25" customHeight="1">
      <c r="A369" s="1"/>
      <c r="B369" s="1"/>
      <c r="C369" s="2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7.25" customHeight="1">
      <c r="A370" s="1"/>
      <c r="B370" s="1"/>
      <c r="C370" s="2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7.25" customHeight="1">
      <c r="A371" s="1"/>
      <c r="B371" s="1"/>
      <c r="C371" s="2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7.25" customHeight="1">
      <c r="A372" s="1"/>
      <c r="B372" s="1"/>
      <c r="C372" s="2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7.25" customHeight="1">
      <c r="A373" s="1"/>
      <c r="B373" s="1"/>
      <c r="C373" s="2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7.25" customHeight="1">
      <c r="A374" s="1"/>
      <c r="B374" s="1"/>
      <c r="C374" s="2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7.25" customHeight="1">
      <c r="A375" s="1"/>
      <c r="B375" s="1"/>
      <c r="C375" s="2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7.25" customHeight="1">
      <c r="A376" s="1"/>
      <c r="B376" s="1"/>
      <c r="C376" s="2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7.25" customHeight="1">
      <c r="A377" s="1"/>
      <c r="B377" s="1"/>
      <c r="C377" s="2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7.25" customHeight="1">
      <c r="A378" s="1"/>
      <c r="B378" s="1"/>
      <c r="C378" s="2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7.25" customHeight="1">
      <c r="A379" s="1"/>
      <c r="B379" s="1"/>
      <c r="C379" s="2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7.25" customHeight="1">
      <c r="A380" s="1"/>
      <c r="B380" s="1"/>
      <c r="C380" s="2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7.25" customHeight="1">
      <c r="A381" s="1"/>
      <c r="B381" s="1"/>
      <c r="C381" s="2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7.25" customHeight="1">
      <c r="A382" s="1"/>
      <c r="B382" s="1"/>
      <c r="C382" s="2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7.25" customHeight="1">
      <c r="A383" s="1"/>
      <c r="B383" s="1"/>
      <c r="C383" s="2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7.25" customHeight="1">
      <c r="A384" s="1"/>
      <c r="B384" s="1"/>
      <c r="C384" s="2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7.25" customHeight="1">
      <c r="A385" s="1"/>
      <c r="B385" s="1"/>
      <c r="C385" s="2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7.25" customHeight="1">
      <c r="A386" s="1"/>
      <c r="B386" s="1"/>
      <c r="C386" s="2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7.25" customHeight="1">
      <c r="A387" s="1"/>
      <c r="B387" s="1"/>
      <c r="C387" s="2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7.25" customHeight="1">
      <c r="A388" s="1"/>
      <c r="B388" s="1"/>
      <c r="C388" s="2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7.25" customHeight="1">
      <c r="A389" s="1"/>
      <c r="B389" s="1"/>
      <c r="C389" s="2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7.25" customHeight="1">
      <c r="A390" s="1"/>
      <c r="B390" s="1"/>
      <c r="C390" s="2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7.25" customHeight="1">
      <c r="A391" s="1"/>
      <c r="B391" s="1"/>
      <c r="C391" s="2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7.25" customHeight="1">
      <c r="A392" s="1"/>
      <c r="B392" s="1"/>
      <c r="C392" s="2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7.25" customHeight="1">
      <c r="A393" s="1"/>
      <c r="B393" s="1"/>
      <c r="C393" s="2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7.25" customHeight="1">
      <c r="A394" s="1"/>
      <c r="B394" s="1"/>
      <c r="C394" s="2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7.25" customHeight="1">
      <c r="A395" s="1"/>
      <c r="B395" s="1"/>
      <c r="C395" s="2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7.25" customHeight="1">
      <c r="A396" s="1"/>
      <c r="B396" s="1"/>
      <c r="C396" s="2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7.25" customHeight="1">
      <c r="A397" s="1"/>
      <c r="B397" s="1"/>
      <c r="C397" s="2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7.25" customHeight="1">
      <c r="A398" s="1"/>
      <c r="B398" s="1"/>
      <c r="C398" s="2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7.25" customHeight="1">
      <c r="A399" s="1"/>
      <c r="B399" s="1"/>
      <c r="C399" s="2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7.25" customHeight="1">
      <c r="A400" s="1"/>
      <c r="B400" s="1"/>
      <c r="C400" s="2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7.25" customHeight="1">
      <c r="A401" s="1"/>
      <c r="B401" s="1"/>
      <c r="C401" s="2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7.25" customHeight="1">
      <c r="A402" s="1"/>
      <c r="B402" s="1"/>
      <c r="C402" s="2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7.25" customHeight="1">
      <c r="A403" s="1"/>
      <c r="B403" s="1"/>
      <c r="C403" s="2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7.25" customHeight="1">
      <c r="A404" s="1"/>
      <c r="B404" s="1"/>
      <c r="C404" s="2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7.25" customHeight="1">
      <c r="A405" s="1"/>
      <c r="B405" s="1"/>
      <c r="C405" s="2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7.25" customHeight="1">
      <c r="A406" s="1"/>
      <c r="B406" s="1"/>
      <c r="C406" s="2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7.25" customHeight="1">
      <c r="A407" s="1"/>
      <c r="B407" s="1"/>
      <c r="C407" s="2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7.25" customHeight="1">
      <c r="A408" s="1"/>
      <c r="B408" s="1"/>
      <c r="C408" s="2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7.25" customHeight="1">
      <c r="A409" s="1"/>
      <c r="B409" s="1"/>
      <c r="C409" s="2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7.25" customHeight="1">
      <c r="A410" s="1"/>
      <c r="B410" s="1"/>
      <c r="C410" s="2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7.25" customHeight="1">
      <c r="A411" s="1"/>
      <c r="B411" s="1"/>
      <c r="C411" s="2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7.25" customHeight="1">
      <c r="A412" s="1"/>
      <c r="B412" s="1"/>
      <c r="C412" s="2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7.25" customHeight="1">
      <c r="A413" s="1"/>
      <c r="B413" s="1"/>
      <c r="C413" s="2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7.25" customHeight="1">
      <c r="A414" s="1"/>
      <c r="B414" s="1"/>
      <c r="C414" s="2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7.25" customHeight="1">
      <c r="A415" s="1"/>
      <c r="B415" s="1"/>
      <c r="C415" s="2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7.25" customHeight="1">
      <c r="A416" s="1"/>
      <c r="B416" s="1"/>
      <c r="C416" s="2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7.25" customHeight="1">
      <c r="A417" s="1"/>
      <c r="B417" s="1"/>
      <c r="C417" s="2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7.25" customHeight="1">
      <c r="A418" s="1"/>
      <c r="B418" s="1"/>
      <c r="C418" s="2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7.25" customHeight="1">
      <c r="A419" s="1"/>
      <c r="B419" s="1"/>
      <c r="C419" s="2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7.25" customHeight="1">
      <c r="A420" s="1"/>
      <c r="B420" s="1"/>
      <c r="C420" s="2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7.25" customHeight="1">
      <c r="A421" s="1"/>
      <c r="B421" s="1"/>
      <c r="C421" s="2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7.25" customHeight="1">
      <c r="A422" s="1"/>
      <c r="B422" s="1"/>
      <c r="C422" s="2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7.25" customHeight="1">
      <c r="A423" s="1"/>
      <c r="B423" s="1"/>
      <c r="C423" s="2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7.25" customHeight="1">
      <c r="A424" s="1"/>
      <c r="B424" s="1"/>
      <c r="C424" s="2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7.25" customHeight="1">
      <c r="A425" s="1"/>
      <c r="B425" s="1"/>
      <c r="C425" s="2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7.25" customHeight="1">
      <c r="A426" s="1"/>
      <c r="B426" s="1"/>
      <c r="C426" s="2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7.25" customHeight="1">
      <c r="A427" s="1"/>
      <c r="B427" s="1"/>
      <c r="C427" s="2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7.25" customHeight="1">
      <c r="A428" s="1"/>
      <c r="B428" s="1"/>
      <c r="C428" s="2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7.25" customHeight="1">
      <c r="A429" s="1"/>
      <c r="B429" s="1"/>
      <c r="C429" s="2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7.25" customHeight="1">
      <c r="A430" s="1"/>
      <c r="B430" s="1"/>
      <c r="C430" s="2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7.25" customHeight="1">
      <c r="A431" s="1"/>
      <c r="B431" s="1"/>
      <c r="C431" s="2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7.25" customHeight="1">
      <c r="A432" s="1"/>
      <c r="B432" s="1"/>
      <c r="C432" s="2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7.25" customHeight="1">
      <c r="A433" s="1"/>
      <c r="B433" s="1"/>
      <c r="C433" s="2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7.25" customHeight="1">
      <c r="A434" s="1"/>
      <c r="B434" s="1"/>
      <c r="C434" s="2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7.25" customHeight="1">
      <c r="A435" s="1"/>
      <c r="B435" s="1"/>
      <c r="C435" s="2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7.25" customHeight="1">
      <c r="A436" s="1"/>
      <c r="B436" s="1"/>
      <c r="C436" s="2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7.25" customHeight="1">
      <c r="A437" s="1"/>
      <c r="B437" s="1"/>
      <c r="C437" s="2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7.25" customHeight="1">
      <c r="A438" s="1"/>
      <c r="B438" s="1"/>
      <c r="C438" s="2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7.25" customHeight="1">
      <c r="A439" s="1"/>
      <c r="B439" s="1"/>
      <c r="C439" s="2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7.25" customHeight="1">
      <c r="A440" s="1"/>
      <c r="B440" s="1"/>
      <c r="C440" s="2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7.25" customHeight="1">
      <c r="A441" s="1"/>
      <c r="B441" s="1"/>
      <c r="C441" s="2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7.25" customHeight="1">
      <c r="A442" s="1"/>
      <c r="B442" s="1"/>
      <c r="C442" s="2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7.25" customHeight="1">
      <c r="A443" s="1"/>
      <c r="B443" s="1"/>
      <c r="C443" s="2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7.25" customHeight="1">
      <c r="A444" s="1"/>
      <c r="B444" s="1"/>
      <c r="C444" s="2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7.25" customHeight="1">
      <c r="A445" s="1"/>
      <c r="B445" s="1"/>
      <c r="C445" s="2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7.25" customHeight="1">
      <c r="A446" s="1"/>
      <c r="B446" s="1"/>
      <c r="C446" s="2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7.25" customHeight="1">
      <c r="A447" s="1"/>
      <c r="B447" s="1"/>
      <c r="C447" s="2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7.25" customHeight="1">
      <c r="A448" s="1"/>
      <c r="B448" s="1"/>
      <c r="C448" s="2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7.25" customHeight="1">
      <c r="A449" s="1"/>
      <c r="B449" s="1"/>
      <c r="C449" s="2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7.25" customHeight="1">
      <c r="A450" s="1"/>
      <c r="B450" s="1"/>
      <c r="C450" s="2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7.25" customHeight="1">
      <c r="A451" s="1"/>
      <c r="B451" s="1"/>
      <c r="C451" s="2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7.25" customHeight="1">
      <c r="A452" s="1"/>
      <c r="B452" s="1"/>
      <c r="C452" s="2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7.25" customHeight="1">
      <c r="A453" s="1"/>
      <c r="B453" s="1"/>
      <c r="C453" s="2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7.25" customHeight="1">
      <c r="A454" s="1"/>
      <c r="B454" s="1"/>
      <c r="C454" s="2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7.25" customHeight="1">
      <c r="A455" s="1"/>
      <c r="B455" s="1"/>
      <c r="C455" s="2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7.25" customHeight="1">
      <c r="A456" s="1"/>
      <c r="B456" s="1"/>
      <c r="C456" s="2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7.25" customHeight="1">
      <c r="A457" s="1"/>
      <c r="B457" s="1"/>
      <c r="C457" s="2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7.25" customHeight="1">
      <c r="A458" s="1"/>
      <c r="B458" s="1"/>
      <c r="C458" s="2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7.25" customHeight="1">
      <c r="A459" s="1"/>
      <c r="B459" s="1"/>
      <c r="C459" s="2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7.25" customHeight="1">
      <c r="A460" s="1"/>
      <c r="B460" s="1"/>
      <c r="C460" s="2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7.25" customHeight="1">
      <c r="A461" s="1"/>
      <c r="B461" s="1"/>
      <c r="C461" s="2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7.25" customHeight="1">
      <c r="A462" s="1"/>
      <c r="B462" s="1"/>
      <c r="C462" s="2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7.25" customHeight="1">
      <c r="A463" s="1"/>
      <c r="B463" s="1"/>
      <c r="C463" s="2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7.25" customHeight="1">
      <c r="A464" s="1"/>
      <c r="B464" s="1"/>
      <c r="C464" s="2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7.25" customHeight="1">
      <c r="A465" s="1"/>
      <c r="B465" s="1"/>
      <c r="C465" s="2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7.25" customHeight="1">
      <c r="A466" s="1"/>
      <c r="B466" s="1"/>
      <c r="C466" s="2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7.25" customHeight="1">
      <c r="A467" s="1"/>
      <c r="B467" s="1"/>
      <c r="C467" s="2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7.25" customHeight="1">
      <c r="A468" s="1"/>
      <c r="B468" s="1"/>
      <c r="C468" s="2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7.25" customHeight="1">
      <c r="A469" s="1"/>
      <c r="B469" s="1"/>
      <c r="C469" s="2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7.25" customHeight="1">
      <c r="A470" s="1"/>
      <c r="B470" s="1"/>
      <c r="C470" s="2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7.25" customHeight="1">
      <c r="A471" s="1"/>
      <c r="B471" s="1"/>
      <c r="C471" s="2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7.25" customHeight="1">
      <c r="A472" s="1"/>
      <c r="B472" s="1"/>
      <c r="C472" s="2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7.25" customHeight="1">
      <c r="A473" s="1"/>
      <c r="B473" s="1"/>
      <c r="C473" s="2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7.25" customHeight="1">
      <c r="A474" s="1"/>
      <c r="B474" s="1"/>
      <c r="C474" s="2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7.25" customHeight="1">
      <c r="A475" s="1"/>
      <c r="B475" s="1"/>
      <c r="C475" s="2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7.25" customHeight="1">
      <c r="A476" s="1"/>
      <c r="B476" s="1"/>
      <c r="C476" s="2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7.25" customHeight="1">
      <c r="A477" s="1"/>
      <c r="B477" s="1"/>
      <c r="C477" s="2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7.25" customHeight="1">
      <c r="A478" s="1"/>
      <c r="B478" s="1"/>
      <c r="C478" s="2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7.25" customHeight="1">
      <c r="A479" s="1"/>
      <c r="B479" s="1"/>
      <c r="C479" s="2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7.25" customHeight="1">
      <c r="A480" s="1"/>
      <c r="B480" s="1"/>
      <c r="C480" s="2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7.25" customHeight="1">
      <c r="A481" s="1"/>
      <c r="B481" s="1"/>
      <c r="C481" s="2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7.25" customHeight="1">
      <c r="A482" s="1"/>
      <c r="B482" s="1"/>
      <c r="C482" s="2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7.25" customHeight="1">
      <c r="A483" s="1"/>
      <c r="B483" s="1"/>
      <c r="C483" s="2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7.25" customHeight="1">
      <c r="A484" s="1"/>
      <c r="B484" s="1"/>
      <c r="C484" s="2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7.25" customHeight="1">
      <c r="A485" s="1"/>
      <c r="B485" s="1"/>
      <c r="C485" s="2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7.25" customHeight="1">
      <c r="A486" s="1"/>
      <c r="B486" s="1"/>
      <c r="C486" s="2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7.25" customHeight="1">
      <c r="A487" s="1"/>
      <c r="B487" s="1"/>
      <c r="C487" s="2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7.25" customHeight="1">
      <c r="A488" s="1"/>
      <c r="B488" s="1"/>
      <c r="C488" s="2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7.25" customHeight="1">
      <c r="A489" s="1"/>
      <c r="B489" s="1"/>
      <c r="C489" s="2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7.25" customHeight="1">
      <c r="A490" s="1"/>
      <c r="B490" s="1"/>
      <c r="C490" s="2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7.25" customHeight="1">
      <c r="A491" s="1"/>
      <c r="B491" s="1"/>
      <c r="C491" s="2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7.25" customHeight="1">
      <c r="A492" s="1"/>
      <c r="B492" s="1"/>
      <c r="C492" s="2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7.25" customHeight="1">
      <c r="A493" s="1"/>
      <c r="B493" s="1"/>
      <c r="C493" s="2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7.25" customHeight="1">
      <c r="A494" s="1"/>
      <c r="B494" s="1"/>
      <c r="C494" s="2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7.25" customHeight="1">
      <c r="A495" s="1"/>
      <c r="B495" s="1"/>
      <c r="C495" s="2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7.25" customHeight="1">
      <c r="A496" s="1"/>
      <c r="B496" s="1"/>
      <c r="C496" s="2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7.25" customHeight="1">
      <c r="A497" s="1"/>
      <c r="B497" s="1"/>
      <c r="C497" s="2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7.25" customHeight="1">
      <c r="A498" s="1"/>
      <c r="B498" s="1"/>
      <c r="C498" s="2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7.25" customHeight="1">
      <c r="A499" s="1"/>
      <c r="B499" s="1"/>
      <c r="C499" s="2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7.25" customHeight="1">
      <c r="A500" s="1"/>
      <c r="B500" s="1"/>
      <c r="C500" s="2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7.25" customHeight="1">
      <c r="A501" s="1"/>
      <c r="B501" s="1"/>
      <c r="C501" s="2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7.25" customHeight="1">
      <c r="A502" s="1"/>
      <c r="B502" s="1"/>
      <c r="C502" s="2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7.25" customHeight="1">
      <c r="A503" s="1"/>
      <c r="B503" s="1"/>
      <c r="C503" s="2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7.25" customHeight="1">
      <c r="A504" s="1"/>
      <c r="B504" s="1"/>
      <c r="C504" s="2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7.25" customHeight="1">
      <c r="A505" s="1"/>
      <c r="B505" s="1"/>
      <c r="C505" s="2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7.25" customHeight="1">
      <c r="A506" s="1"/>
      <c r="B506" s="1"/>
      <c r="C506" s="2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7.25" customHeight="1">
      <c r="A507" s="1"/>
      <c r="B507" s="1"/>
      <c r="C507" s="2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7.25" customHeight="1">
      <c r="A508" s="1"/>
      <c r="B508" s="1"/>
      <c r="C508" s="2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7.25" customHeight="1">
      <c r="A509" s="1"/>
      <c r="B509" s="1"/>
      <c r="C509" s="2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7.25" customHeight="1">
      <c r="A510" s="1"/>
      <c r="B510" s="1"/>
      <c r="C510" s="2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7.25" customHeight="1">
      <c r="A511" s="1"/>
      <c r="B511" s="1"/>
      <c r="C511" s="2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7.25" customHeight="1">
      <c r="A512" s="1"/>
      <c r="B512" s="1"/>
      <c r="C512" s="2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7.25" customHeight="1">
      <c r="A513" s="1"/>
      <c r="B513" s="1"/>
      <c r="C513" s="2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7.25" customHeight="1">
      <c r="A514" s="1"/>
      <c r="B514" s="1"/>
      <c r="C514" s="2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7.25" customHeight="1">
      <c r="A515" s="1"/>
      <c r="B515" s="1"/>
      <c r="C515" s="2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7.25" customHeight="1">
      <c r="A516" s="1"/>
      <c r="B516" s="1"/>
      <c r="C516" s="2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7.25" customHeight="1">
      <c r="A517" s="1"/>
      <c r="B517" s="1"/>
      <c r="C517" s="2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7.25" customHeight="1">
      <c r="A518" s="1"/>
      <c r="B518" s="1"/>
      <c r="C518" s="2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7.25" customHeight="1">
      <c r="A519" s="1"/>
      <c r="B519" s="1"/>
      <c r="C519" s="2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7.25" customHeight="1">
      <c r="A520" s="1"/>
      <c r="B520" s="1"/>
      <c r="C520" s="2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7.25" customHeight="1">
      <c r="A521" s="1"/>
      <c r="B521" s="1"/>
      <c r="C521" s="2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7.25" customHeight="1">
      <c r="A522" s="1"/>
      <c r="B522" s="1"/>
      <c r="C522" s="2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7.25" customHeight="1">
      <c r="A523" s="1"/>
      <c r="B523" s="1"/>
      <c r="C523" s="2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7.25" customHeight="1">
      <c r="A524" s="1"/>
      <c r="B524" s="1"/>
      <c r="C524" s="2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7.25" customHeight="1">
      <c r="A525" s="1"/>
      <c r="B525" s="1"/>
      <c r="C525" s="2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7.25" customHeight="1">
      <c r="A526" s="1"/>
      <c r="B526" s="1"/>
      <c r="C526" s="2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7.25" customHeight="1">
      <c r="A527" s="1"/>
      <c r="B527" s="1"/>
      <c r="C527" s="2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7.25" customHeight="1">
      <c r="A528" s="1"/>
      <c r="B528" s="1"/>
      <c r="C528" s="2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7.25" customHeight="1">
      <c r="A529" s="1"/>
      <c r="B529" s="1"/>
      <c r="C529" s="2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7.25" customHeight="1">
      <c r="A530" s="1"/>
      <c r="B530" s="1"/>
      <c r="C530" s="2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7.25" customHeight="1">
      <c r="A531" s="1"/>
      <c r="B531" s="1"/>
      <c r="C531" s="2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7.25" customHeight="1">
      <c r="A532" s="1"/>
      <c r="B532" s="1"/>
      <c r="C532" s="2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7.25" customHeight="1">
      <c r="A533" s="1"/>
      <c r="B533" s="1"/>
      <c r="C533" s="2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7.25" customHeight="1">
      <c r="A534" s="1"/>
      <c r="B534" s="1"/>
      <c r="C534" s="2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7.25" customHeight="1">
      <c r="A535" s="1"/>
      <c r="B535" s="1"/>
      <c r="C535" s="2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7.25" customHeight="1">
      <c r="A536" s="1"/>
      <c r="B536" s="1"/>
      <c r="C536" s="2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7.25" customHeight="1">
      <c r="A537" s="1"/>
      <c r="B537" s="1"/>
      <c r="C537" s="2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7.25" customHeight="1">
      <c r="A538" s="1"/>
      <c r="B538" s="1"/>
      <c r="C538" s="2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7.25" customHeight="1">
      <c r="A539" s="1"/>
      <c r="B539" s="1"/>
      <c r="C539" s="2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7.25" customHeight="1">
      <c r="A540" s="1"/>
      <c r="B540" s="1"/>
      <c r="C540" s="2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7.25" customHeight="1">
      <c r="A541" s="1"/>
      <c r="B541" s="1"/>
      <c r="C541" s="2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7.25" customHeight="1">
      <c r="A542" s="1"/>
      <c r="B542" s="1"/>
      <c r="C542" s="2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7.25" customHeight="1">
      <c r="A543" s="1"/>
      <c r="B543" s="1"/>
      <c r="C543" s="2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7.25" customHeight="1">
      <c r="A544" s="1"/>
      <c r="B544" s="1"/>
      <c r="C544" s="2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7.25" customHeight="1">
      <c r="A545" s="1"/>
      <c r="B545" s="1"/>
      <c r="C545" s="2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7.25" customHeight="1">
      <c r="A546" s="1"/>
      <c r="B546" s="1"/>
      <c r="C546" s="2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7.25" customHeight="1">
      <c r="A547" s="1"/>
      <c r="B547" s="1"/>
      <c r="C547" s="2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7.25" customHeight="1">
      <c r="A548" s="1"/>
      <c r="B548" s="1"/>
      <c r="C548" s="2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7.25" customHeight="1">
      <c r="A549" s="1"/>
      <c r="B549" s="1"/>
      <c r="C549" s="2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7.25" customHeight="1">
      <c r="A550" s="1"/>
      <c r="B550" s="1"/>
      <c r="C550" s="2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7.25" customHeight="1">
      <c r="A551" s="1"/>
      <c r="B551" s="1"/>
      <c r="C551" s="2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7.25" customHeight="1">
      <c r="A552" s="1"/>
      <c r="B552" s="1"/>
      <c r="C552" s="2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7.25" customHeight="1">
      <c r="A553" s="1"/>
      <c r="B553" s="1"/>
      <c r="C553" s="2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7.25" customHeight="1">
      <c r="A554" s="1"/>
      <c r="B554" s="1"/>
      <c r="C554" s="2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7.25" customHeight="1">
      <c r="A555" s="1"/>
      <c r="B555" s="1"/>
      <c r="C555" s="2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7.25" customHeight="1">
      <c r="A556" s="1"/>
      <c r="B556" s="1"/>
      <c r="C556" s="2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7.25" customHeight="1">
      <c r="A557" s="1"/>
      <c r="B557" s="1"/>
      <c r="C557" s="2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7.25" customHeight="1">
      <c r="A558" s="1"/>
      <c r="B558" s="1"/>
      <c r="C558" s="2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7.25" customHeight="1">
      <c r="A559" s="1"/>
      <c r="B559" s="1"/>
      <c r="C559" s="2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7.25" customHeight="1">
      <c r="A560" s="1"/>
      <c r="B560" s="1"/>
      <c r="C560" s="2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7.25" customHeight="1">
      <c r="A561" s="1"/>
      <c r="B561" s="1"/>
      <c r="C561" s="2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7.25" customHeight="1">
      <c r="A562" s="1"/>
      <c r="B562" s="1"/>
      <c r="C562" s="2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7.25" customHeight="1">
      <c r="A563" s="1"/>
      <c r="B563" s="1"/>
      <c r="C563" s="2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7.25" customHeight="1">
      <c r="A564" s="1"/>
      <c r="B564" s="1"/>
      <c r="C564" s="2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7.25" customHeight="1">
      <c r="A565" s="1"/>
      <c r="B565" s="1"/>
      <c r="C565" s="2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7.25" customHeight="1">
      <c r="A566" s="1"/>
      <c r="B566" s="1"/>
      <c r="C566" s="2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7.25" customHeight="1">
      <c r="A567" s="1"/>
      <c r="B567" s="1"/>
      <c r="C567" s="2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7.25" customHeight="1">
      <c r="A568" s="1"/>
      <c r="B568" s="1"/>
      <c r="C568" s="2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7.25" customHeight="1">
      <c r="A569" s="1"/>
      <c r="B569" s="1"/>
      <c r="C569" s="2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7.25" customHeight="1">
      <c r="A570" s="1"/>
      <c r="B570" s="1"/>
      <c r="C570" s="2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7.25" customHeight="1">
      <c r="A571" s="1"/>
      <c r="B571" s="1"/>
      <c r="C571" s="2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7.25" customHeight="1">
      <c r="A572" s="1"/>
      <c r="B572" s="1"/>
      <c r="C572" s="2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7.25" customHeight="1">
      <c r="A573" s="1"/>
      <c r="B573" s="1"/>
      <c r="C573" s="2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7.25" customHeight="1">
      <c r="A574" s="1"/>
      <c r="B574" s="1"/>
      <c r="C574" s="2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7.25" customHeight="1">
      <c r="A575" s="1"/>
      <c r="B575" s="1"/>
      <c r="C575" s="2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7.25" customHeight="1">
      <c r="A576" s="1"/>
      <c r="B576" s="1"/>
      <c r="C576" s="2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7.25" customHeight="1">
      <c r="A577" s="1"/>
      <c r="B577" s="1"/>
      <c r="C577" s="2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7.25" customHeight="1">
      <c r="A578" s="1"/>
      <c r="B578" s="1"/>
      <c r="C578" s="2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7.25" customHeight="1">
      <c r="A579" s="1"/>
      <c r="B579" s="1"/>
      <c r="C579" s="2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7.25" customHeight="1">
      <c r="A580" s="1"/>
      <c r="B580" s="1"/>
      <c r="C580" s="2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7.25" customHeight="1">
      <c r="A581" s="1"/>
      <c r="B581" s="1"/>
      <c r="C581" s="2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7.25" customHeight="1">
      <c r="A582" s="1"/>
      <c r="B582" s="1"/>
      <c r="C582" s="2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7.25" customHeight="1">
      <c r="A583" s="1"/>
      <c r="B583" s="1"/>
      <c r="C583" s="2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7.25" customHeight="1">
      <c r="A584" s="1"/>
      <c r="B584" s="1"/>
      <c r="C584" s="2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7.25" customHeight="1">
      <c r="A585" s="1"/>
      <c r="B585" s="1"/>
      <c r="C585" s="2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7.25" customHeight="1">
      <c r="A586" s="1"/>
      <c r="B586" s="1"/>
      <c r="C586" s="2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7.25" customHeight="1">
      <c r="A587" s="1"/>
      <c r="B587" s="1"/>
      <c r="C587" s="2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7.25" customHeight="1">
      <c r="A588" s="1"/>
      <c r="B588" s="1"/>
      <c r="C588" s="2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7.25" customHeight="1">
      <c r="A589" s="1"/>
      <c r="B589" s="1"/>
      <c r="C589" s="2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7.25" customHeight="1">
      <c r="A590" s="1"/>
      <c r="B590" s="1"/>
      <c r="C590" s="2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7.25" customHeight="1">
      <c r="A591" s="1"/>
      <c r="B591" s="1"/>
      <c r="C591" s="2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7.25" customHeight="1">
      <c r="A592" s="1"/>
      <c r="B592" s="1"/>
      <c r="C592" s="2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7.25" customHeight="1">
      <c r="A593" s="1"/>
      <c r="B593" s="1"/>
      <c r="C593" s="2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7.25" customHeight="1">
      <c r="A594" s="1"/>
      <c r="B594" s="1"/>
      <c r="C594" s="2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7.25" customHeight="1">
      <c r="A595" s="1"/>
      <c r="B595" s="1"/>
      <c r="C595" s="2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7.25" customHeight="1">
      <c r="A596" s="1"/>
      <c r="B596" s="1"/>
      <c r="C596" s="2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7.25" customHeight="1">
      <c r="A597" s="1"/>
      <c r="B597" s="1"/>
      <c r="C597" s="2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7.25" customHeight="1">
      <c r="A598" s="1"/>
      <c r="B598" s="1"/>
      <c r="C598" s="2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7.25" customHeight="1">
      <c r="A599" s="1"/>
      <c r="B599" s="1"/>
      <c r="C599" s="2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7.25" customHeight="1">
      <c r="A600" s="1"/>
      <c r="B600" s="1"/>
      <c r="C600" s="2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7.25" customHeight="1">
      <c r="A601" s="1"/>
      <c r="B601" s="1"/>
      <c r="C601" s="2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7.25" customHeight="1">
      <c r="A602" s="1"/>
      <c r="B602" s="1"/>
      <c r="C602" s="2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7.25" customHeight="1">
      <c r="A603" s="1"/>
      <c r="B603" s="1"/>
      <c r="C603" s="2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7.25" customHeight="1">
      <c r="A604" s="1"/>
      <c r="B604" s="1"/>
      <c r="C604" s="2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7.25" customHeight="1">
      <c r="A605" s="1"/>
      <c r="B605" s="1"/>
      <c r="C605" s="2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7.25" customHeight="1">
      <c r="A606" s="1"/>
      <c r="B606" s="1"/>
      <c r="C606" s="2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7.25" customHeight="1">
      <c r="A607" s="1"/>
      <c r="B607" s="1"/>
      <c r="C607" s="2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7.25" customHeight="1">
      <c r="A608" s="1"/>
      <c r="B608" s="1"/>
      <c r="C608" s="2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7.25" customHeight="1">
      <c r="A609" s="1"/>
      <c r="B609" s="1"/>
      <c r="C609" s="2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7.25" customHeight="1">
      <c r="A610" s="1"/>
      <c r="B610" s="1"/>
      <c r="C610" s="2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7.25" customHeight="1">
      <c r="A611" s="1"/>
      <c r="B611" s="1"/>
      <c r="C611" s="2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7.25" customHeight="1">
      <c r="A612" s="1"/>
      <c r="B612" s="1"/>
      <c r="C612" s="2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7.25" customHeight="1">
      <c r="A613" s="1"/>
      <c r="B613" s="1"/>
      <c r="C613" s="2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7.25" customHeight="1">
      <c r="A614" s="1"/>
      <c r="B614" s="1"/>
      <c r="C614" s="2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7.25" customHeight="1">
      <c r="A615" s="1"/>
      <c r="B615" s="1"/>
      <c r="C615" s="2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7.25" customHeight="1">
      <c r="A616" s="1"/>
      <c r="B616" s="1"/>
      <c r="C616" s="2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7.25" customHeight="1">
      <c r="A617" s="1"/>
      <c r="B617" s="1"/>
      <c r="C617" s="2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7.25" customHeight="1">
      <c r="A618" s="1"/>
      <c r="B618" s="1"/>
      <c r="C618" s="2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7.25" customHeight="1">
      <c r="A619" s="1"/>
      <c r="B619" s="1"/>
      <c r="C619" s="2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7.25" customHeight="1">
      <c r="A620" s="1"/>
      <c r="B620" s="1"/>
      <c r="C620" s="2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7.25" customHeight="1">
      <c r="A621" s="1"/>
      <c r="B621" s="1"/>
      <c r="C621" s="2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7.25" customHeight="1">
      <c r="A622" s="1"/>
      <c r="B622" s="1"/>
      <c r="C622" s="2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7.25" customHeight="1">
      <c r="A623" s="1"/>
      <c r="B623" s="1"/>
      <c r="C623" s="2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7.25" customHeight="1">
      <c r="A624" s="1"/>
      <c r="B624" s="1"/>
      <c r="C624" s="2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7.25" customHeight="1">
      <c r="A625" s="1"/>
      <c r="B625" s="1"/>
      <c r="C625" s="2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7.25" customHeight="1">
      <c r="A626" s="1"/>
      <c r="B626" s="1"/>
      <c r="C626" s="2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7.25" customHeight="1">
      <c r="A627" s="1"/>
      <c r="B627" s="1"/>
      <c r="C627" s="2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7.25" customHeight="1">
      <c r="A628" s="1"/>
      <c r="B628" s="1"/>
      <c r="C628" s="2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7.25" customHeight="1">
      <c r="A629" s="1"/>
      <c r="B629" s="1"/>
      <c r="C629" s="2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7.25" customHeight="1">
      <c r="A630" s="1"/>
      <c r="B630" s="1"/>
      <c r="C630" s="2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7.25" customHeight="1">
      <c r="A631" s="1"/>
      <c r="B631" s="1"/>
      <c r="C631" s="2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7.25" customHeight="1">
      <c r="A632" s="1"/>
      <c r="B632" s="1"/>
      <c r="C632" s="2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7.25" customHeight="1">
      <c r="A633" s="1"/>
      <c r="B633" s="1"/>
      <c r="C633" s="2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7.25" customHeight="1">
      <c r="A634" s="1"/>
      <c r="B634" s="1"/>
      <c r="C634" s="2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7.25" customHeight="1">
      <c r="A635" s="1"/>
      <c r="B635" s="1"/>
      <c r="C635" s="2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7.25" customHeight="1">
      <c r="A636" s="1"/>
      <c r="B636" s="1"/>
      <c r="C636" s="2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7.25" customHeight="1">
      <c r="A637" s="1"/>
      <c r="B637" s="1"/>
      <c r="C637" s="2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7.25" customHeight="1">
      <c r="A638" s="1"/>
      <c r="B638" s="1"/>
      <c r="C638" s="2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7.25" customHeight="1">
      <c r="A639" s="1"/>
      <c r="B639" s="1"/>
      <c r="C639" s="2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7.25" customHeight="1">
      <c r="A640" s="1"/>
      <c r="B640" s="1"/>
      <c r="C640" s="2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7.25" customHeight="1">
      <c r="A641" s="1"/>
      <c r="B641" s="1"/>
      <c r="C641" s="2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7.25" customHeight="1">
      <c r="A642" s="1"/>
      <c r="B642" s="1"/>
      <c r="C642" s="2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7.25" customHeight="1">
      <c r="A643" s="1"/>
      <c r="B643" s="1"/>
      <c r="C643" s="2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7.25" customHeight="1">
      <c r="A644" s="1"/>
      <c r="B644" s="1"/>
      <c r="C644" s="2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7.25" customHeight="1">
      <c r="A645" s="1"/>
      <c r="B645" s="1"/>
      <c r="C645" s="2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7.25" customHeight="1">
      <c r="A646" s="1"/>
      <c r="B646" s="1"/>
      <c r="C646" s="2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7.25" customHeight="1">
      <c r="A647" s="1"/>
      <c r="B647" s="1"/>
      <c r="C647" s="2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7.25" customHeight="1">
      <c r="A648" s="1"/>
      <c r="B648" s="1"/>
      <c r="C648" s="2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7.25" customHeight="1">
      <c r="A649" s="1"/>
      <c r="B649" s="1"/>
      <c r="C649" s="2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7.25" customHeight="1">
      <c r="A650" s="1"/>
      <c r="B650" s="1"/>
      <c r="C650" s="2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7.25" customHeight="1">
      <c r="A651" s="1"/>
      <c r="B651" s="1"/>
      <c r="C651" s="2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7.25" customHeight="1">
      <c r="A652" s="1"/>
      <c r="B652" s="1"/>
      <c r="C652" s="2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7.25" customHeight="1">
      <c r="A653" s="1"/>
      <c r="B653" s="1"/>
      <c r="C653" s="2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7.25" customHeight="1">
      <c r="A654" s="1"/>
      <c r="B654" s="1"/>
      <c r="C654" s="2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7.25" customHeight="1">
      <c r="A655" s="1"/>
      <c r="B655" s="1"/>
      <c r="C655" s="2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7.25" customHeight="1">
      <c r="A656" s="1"/>
      <c r="B656" s="1"/>
      <c r="C656" s="2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7.25" customHeight="1">
      <c r="A657" s="1"/>
      <c r="B657" s="1"/>
      <c r="C657" s="2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7.25" customHeight="1">
      <c r="A658" s="1"/>
      <c r="B658" s="1"/>
      <c r="C658" s="2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7.25" customHeight="1">
      <c r="A659" s="1"/>
      <c r="B659" s="1"/>
      <c r="C659" s="2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7.25" customHeight="1">
      <c r="A660" s="1"/>
      <c r="B660" s="1"/>
      <c r="C660" s="2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7.25" customHeight="1">
      <c r="A661" s="1"/>
      <c r="B661" s="1"/>
      <c r="C661" s="2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7.25" customHeight="1">
      <c r="A662" s="1"/>
      <c r="B662" s="1"/>
      <c r="C662" s="2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7.25" customHeight="1">
      <c r="A663" s="1"/>
      <c r="B663" s="1"/>
      <c r="C663" s="2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7.25" customHeight="1">
      <c r="A664" s="1"/>
      <c r="B664" s="1"/>
      <c r="C664" s="2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7.25" customHeight="1">
      <c r="A665" s="1"/>
      <c r="B665" s="1"/>
      <c r="C665" s="2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7.25" customHeight="1">
      <c r="A666" s="1"/>
      <c r="B666" s="1"/>
      <c r="C666" s="2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7.25" customHeight="1">
      <c r="A667" s="1"/>
      <c r="B667" s="1"/>
      <c r="C667" s="2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7.25" customHeight="1">
      <c r="A668" s="1"/>
      <c r="B668" s="1"/>
      <c r="C668" s="2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7.25" customHeight="1">
      <c r="A669" s="1"/>
      <c r="B669" s="1"/>
      <c r="C669" s="2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7.25" customHeight="1">
      <c r="A670" s="1"/>
      <c r="B670" s="1"/>
      <c r="C670" s="2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7.25" customHeight="1">
      <c r="A671" s="1"/>
      <c r="B671" s="1"/>
      <c r="C671" s="2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7.25" customHeight="1">
      <c r="A672" s="1"/>
      <c r="B672" s="1"/>
      <c r="C672" s="2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7.25" customHeight="1">
      <c r="A673" s="1"/>
      <c r="B673" s="1"/>
      <c r="C673" s="2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7.25" customHeight="1">
      <c r="A674" s="1"/>
      <c r="B674" s="1"/>
      <c r="C674" s="2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7.25" customHeight="1">
      <c r="A675" s="1"/>
      <c r="B675" s="1"/>
      <c r="C675" s="2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7.25" customHeight="1">
      <c r="A676" s="1"/>
      <c r="B676" s="1"/>
      <c r="C676" s="2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7.25" customHeight="1">
      <c r="A677" s="1"/>
      <c r="B677" s="1"/>
      <c r="C677" s="2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7.25" customHeight="1">
      <c r="A678" s="1"/>
      <c r="B678" s="1"/>
      <c r="C678" s="2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7.25" customHeight="1">
      <c r="A679" s="1"/>
      <c r="B679" s="1"/>
      <c r="C679" s="2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7.25" customHeight="1">
      <c r="A680" s="1"/>
      <c r="B680" s="1"/>
      <c r="C680" s="2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7.25" customHeight="1">
      <c r="A681" s="1"/>
      <c r="B681" s="1"/>
      <c r="C681" s="2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7.25" customHeight="1">
      <c r="A682" s="1"/>
      <c r="B682" s="1"/>
      <c r="C682" s="2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7.25" customHeight="1">
      <c r="A683" s="1"/>
      <c r="B683" s="1"/>
      <c r="C683" s="2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7.25" customHeight="1">
      <c r="A684" s="1"/>
      <c r="B684" s="1"/>
      <c r="C684" s="2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7.25" customHeight="1">
      <c r="A685" s="1"/>
      <c r="B685" s="1"/>
      <c r="C685" s="2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7.25" customHeight="1">
      <c r="A686" s="1"/>
      <c r="B686" s="1"/>
      <c r="C686" s="2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7.25" customHeight="1">
      <c r="A687" s="1"/>
      <c r="B687" s="1"/>
      <c r="C687" s="2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7.25" customHeight="1">
      <c r="A688" s="1"/>
      <c r="B688" s="1"/>
      <c r="C688" s="2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7.25" customHeight="1">
      <c r="A689" s="1"/>
      <c r="B689" s="1"/>
      <c r="C689" s="2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7.25" customHeight="1">
      <c r="A690" s="1"/>
      <c r="B690" s="1"/>
      <c r="C690" s="2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7.25" customHeight="1">
      <c r="A691" s="1"/>
      <c r="B691" s="1"/>
      <c r="C691" s="2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7.25" customHeight="1">
      <c r="A692" s="1"/>
      <c r="B692" s="1"/>
      <c r="C692" s="2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7.25" customHeight="1">
      <c r="A693" s="1"/>
      <c r="B693" s="1"/>
      <c r="C693" s="2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7.25" customHeight="1">
      <c r="A694" s="1"/>
      <c r="B694" s="1"/>
      <c r="C694" s="2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7.25" customHeight="1">
      <c r="A695" s="1"/>
      <c r="B695" s="1"/>
      <c r="C695" s="2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7.25" customHeight="1">
      <c r="A696" s="1"/>
      <c r="B696" s="1"/>
      <c r="C696" s="2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7.25" customHeight="1">
      <c r="A697" s="1"/>
      <c r="B697" s="1"/>
      <c r="C697" s="2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7.25" customHeight="1">
      <c r="A698" s="1"/>
      <c r="B698" s="1"/>
      <c r="C698" s="2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7.25" customHeight="1">
      <c r="A699" s="1"/>
      <c r="B699" s="1"/>
      <c r="C699" s="2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7.25" customHeight="1">
      <c r="A700" s="1"/>
      <c r="B700" s="1"/>
      <c r="C700" s="2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7.25" customHeight="1">
      <c r="A701" s="1"/>
      <c r="B701" s="1"/>
      <c r="C701" s="2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7.25" customHeight="1">
      <c r="A702" s="1"/>
      <c r="B702" s="1"/>
      <c r="C702" s="2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7.25" customHeight="1">
      <c r="A703" s="1"/>
      <c r="B703" s="1"/>
      <c r="C703" s="2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7.25" customHeight="1">
      <c r="A704" s="1"/>
      <c r="B704" s="1"/>
      <c r="C704" s="2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7.25" customHeight="1">
      <c r="A705" s="1"/>
      <c r="B705" s="1"/>
      <c r="C705" s="2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7.25" customHeight="1">
      <c r="A706" s="1"/>
      <c r="B706" s="1"/>
      <c r="C706" s="2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7.25" customHeight="1">
      <c r="A707" s="1"/>
      <c r="B707" s="1"/>
      <c r="C707" s="2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7.25" customHeight="1">
      <c r="A708" s="1"/>
      <c r="B708" s="1"/>
      <c r="C708" s="2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7.25" customHeight="1">
      <c r="A709" s="1"/>
      <c r="B709" s="1"/>
      <c r="C709" s="2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7.25" customHeight="1">
      <c r="A710" s="1"/>
      <c r="B710" s="1"/>
      <c r="C710" s="2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7.25" customHeight="1">
      <c r="A711" s="1"/>
      <c r="B711" s="1"/>
      <c r="C711" s="2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7.25" customHeight="1">
      <c r="A712" s="1"/>
      <c r="B712" s="1"/>
      <c r="C712" s="2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7.25" customHeight="1">
      <c r="A713" s="1"/>
      <c r="B713" s="1"/>
      <c r="C713" s="2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7.25" customHeight="1">
      <c r="A714" s="1"/>
      <c r="B714" s="1"/>
      <c r="C714" s="2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7.25" customHeight="1">
      <c r="A715" s="1"/>
      <c r="B715" s="1"/>
      <c r="C715" s="2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7.25" customHeight="1">
      <c r="A716" s="1"/>
      <c r="B716" s="1"/>
      <c r="C716" s="2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7.25" customHeight="1">
      <c r="A717" s="1"/>
      <c r="B717" s="1"/>
      <c r="C717" s="2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7.25" customHeight="1">
      <c r="A718" s="1"/>
      <c r="B718" s="1"/>
      <c r="C718" s="2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7.25" customHeight="1">
      <c r="A719" s="1"/>
      <c r="B719" s="1"/>
      <c r="C719" s="2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7.25" customHeight="1">
      <c r="A720" s="1"/>
      <c r="B720" s="1"/>
      <c r="C720" s="2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7.25" customHeight="1">
      <c r="A721" s="1"/>
      <c r="B721" s="1"/>
      <c r="C721" s="2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7.25" customHeight="1">
      <c r="A722" s="1"/>
      <c r="B722" s="1"/>
      <c r="C722" s="2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7.25" customHeight="1">
      <c r="A723" s="1"/>
      <c r="B723" s="1"/>
      <c r="C723" s="2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7.25" customHeight="1">
      <c r="A724" s="1"/>
      <c r="B724" s="1"/>
      <c r="C724" s="2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7.25" customHeight="1">
      <c r="A725" s="1"/>
      <c r="B725" s="1"/>
      <c r="C725" s="2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7.25" customHeight="1">
      <c r="A726" s="1"/>
      <c r="B726" s="1"/>
      <c r="C726" s="2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7.25" customHeight="1">
      <c r="A727" s="1"/>
      <c r="B727" s="1"/>
      <c r="C727" s="2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7.25" customHeight="1">
      <c r="A728" s="1"/>
      <c r="B728" s="1"/>
      <c r="C728" s="2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7.25" customHeight="1">
      <c r="A729" s="1"/>
      <c r="B729" s="1"/>
      <c r="C729" s="2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7.25" customHeight="1">
      <c r="A730" s="1"/>
      <c r="B730" s="1"/>
      <c r="C730" s="2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7.25" customHeight="1">
      <c r="A731" s="1"/>
      <c r="B731" s="1"/>
      <c r="C731" s="2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7.25" customHeight="1">
      <c r="A732" s="1"/>
      <c r="B732" s="1"/>
      <c r="C732" s="2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7.25" customHeight="1">
      <c r="A733" s="1"/>
      <c r="B733" s="1"/>
      <c r="C733" s="2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7.25" customHeight="1">
      <c r="A734" s="1"/>
      <c r="B734" s="1"/>
      <c r="C734" s="2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7.25" customHeight="1">
      <c r="A735" s="1"/>
      <c r="B735" s="1"/>
      <c r="C735" s="2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7.25" customHeight="1">
      <c r="A736" s="1"/>
      <c r="B736" s="1"/>
      <c r="C736" s="2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7.25" customHeight="1">
      <c r="A737" s="1"/>
      <c r="B737" s="1"/>
      <c r="C737" s="2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7.25" customHeight="1">
      <c r="A738" s="1"/>
      <c r="B738" s="1"/>
      <c r="C738" s="2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7.25" customHeight="1">
      <c r="A739" s="1"/>
      <c r="B739" s="1"/>
      <c r="C739" s="2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7.25" customHeight="1">
      <c r="A740" s="1"/>
      <c r="B740" s="1"/>
      <c r="C740" s="2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7.25" customHeight="1">
      <c r="A741" s="1"/>
      <c r="B741" s="1"/>
      <c r="C741" s="2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7.25" customHeight="1">
      <c r="A742" s="1"/>
      <c r="B742" s="1"/>
      <c r="C742" s="2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7.25" customHeight="1">
      <c r="A743" s="1"/>
      <c r="B743" s="1"/>
      <c r="C743" s="2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7.25" customHeight="1">
      <c r="A744" s="1"/>
      <c r="B744" s="1"/>
      <c r="C744" s="2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7.25" customHeight="1">
      <c r="A745" s="1"/>
      <c r="B745" s="1"/>
      <c r="C745" s="2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7.25" customHeight="1">
      <c r="A746" s="1"/>
      <c r="B746" s="1"/>
      <c r="C746" s="2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7.25" customHeight="1">
      <c r="A747" s="1"/>
      <c r="B747" s="1"/>
      <c r="C747" s="2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7.25" customHeight="1">
      <c r="A748" s="1"/>
      <c r="B748" s="1"/>
      <c r="C748" s="2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7.25" customHeight="1">
      <c r="A749" s="1"/>
      <c r="B749" s="1"/>
      <c r="C749" s="2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7.25" customHeight="1">
      <c r="A750" s="1"/>
      <c r="B750" s="1"/>
      <c r="C750" s="2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7.25" customHeight="1">
      <c r="A751" s="1"/>
      <c r="B751" s="1"/>
      <c r="C751" s="2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7.25" customHeight="1">
      <c r="A752" s="1"/>
      <c r="B752" s="1"/>
      <c r="C752" s="2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7.25" customHeight="1">
      <c r="A753" s="1"/>
      <c r="B753" s="1"/>
      <c r="C753" s="2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7.25" customHeight="1">
      <c r="A754" s="1"/>
      <c r="B754" s="1"/>
      <c r="C754" s="2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7.25" customHeight="1">
      <c r="A755" s="1"/>
      <c r="B755" s="1"/>
      <c r="C755" s="2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7.25" customHeight="1">
      <c r="A756" s="1"/>
      <c r="B756" s="1"/>
      <c r="C756" s="2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7.25" customHeight="1">
      <c r="A757" s="1"/>
      <c r="B757" s="1"/>
      <c r="C757" s="2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7.25" customHeight="1">
      <c r="A758" s="1"/>
      <c r="B758" s="1"/>
      <c r="C758" s="2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7.25" customHeight="1">
      <c r="A759" s="1"/>
      <c r="B759" s="1"/>
      <c r="C759" s="2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7.25" customHeight="1">
      <c r="A760" s="1"/>
      <c r="B760" s="1"/>
      <c r="C760" s="2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7.25" customHeight="1">
      <c r="A761" s="1"/>
      <c r="B761" s="1"/>
      <c r="C761" s="2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7.25" customHeight="1">
      <c r="A762" s="1"/>
      <c r="B762" s="1"/>
      <c r="C762" s="2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7.25" customHeight="1">
      <c r="A763" s="1"/>
      <c r="B763" s="1"/>
      <c r="C763" s="2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7.25" customHeight="1">
      <c r="A764" s="1"/>
      <c r="B764" s="1"/>
      <c r="C764" s="2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7.25" customHeight="1">
      <c r="A765" s="1"/>
      <c r="B765" s="1"/>
      <c r="C765" s="2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7.25" customHeight="1">
      <c r="A766" s="1"/>
      <c r="B766" s="1"/>
      <c r="C766" s="2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7.25" customHeight="1">
      <c r="A767" s="1"/>
      <c r="B767" s="1"/>
      <c r="C767" s="2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7.25" customHeight="1">
      <c r="A768" s="1"/>
      <c r="B768" s="1"/>
      <c r="C768" s="2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7.25" customHeight="1">
      <c r="A769" s="1"/>
      <c r="B769" s="1"/>
      <c r="C769" s="2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7.25" customHeight="1">
      <c r="A770" s="1"/>
      <c r="B770" s="1"/>
      <c r="C770" s="2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7.25" customHeight="1">
      <c r="A771" s="1"/>
      <c r="B771" s="1"/>
      <c r="C771" s="2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7.25" customHeight="1">
      <c r="A772" s="1"/>
      <c r="B772" s="1"/>
      <c r="C772" s="2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7.25" customHeight="1">
      <c r="A773" s="1"/>
      <c r="B773" s="1"/>
      <c r="C773" s="2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7.25" customHeight="1">
      <c r="A774" s="1"/>
      <c r="B774" s="1"/>
      <c r="C774" s="2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7.25" customHeight="1">
      <c r="A775" s="1"/>
      <c r="B775" s="1"/>
      <c r="C775" s="2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7.25" customHeight="1">
      <c r="A776" s="1"/>
      <c r="B776" s="1"/>
      <c r="C776" s="2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7.25" customHeight="1">
      <c r="A777" s="1"/>
      <c r="B777" s="1"/>
      <c r="C777" s="2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7.25" customHeight="1">
      <c r="A778" s="1"/>
      <c r="B778" s="1"/>
      <c r="C778" s="2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7.25" customHeight="1">
      <c r="A779" s="1"/>
      <c r="B779" s="1"/>
      <c r="C779" s="2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7.25" customHeight="1">
      <c r="A780" s="1"/>
      <c r="B780" s="1"/>
      <c r="C780" s="2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7.25" customHeight="1">
      <c r="A781" s="1"/>
      <c r="B781" s="1"/>
      <c r="C781" s="2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7.25" customHeight="1">
      <c r="A782" s="1"/>
      <c r="B782" s="1"/>
      <c r="C782" s="2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7.25" customHeight="1">
      <c r="A783" s="1"/>
      <c r="B783" s="1"/>
      <c r="C783" s="2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7.25" customHeight="1">
      <c r="A784" s="1"/>
      <c r="B784" s="1"/>
      <c r="C784" s="2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7.25" customHeight="1">
      <c r="A785" s="1"/>
      <c r="B785" s="1"/>
      <c r="C785" s="2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7.25" customHeight="1">
      <c r="A786" s="1"/>
      <c r="B786" s="1"/>
      <c r="C786" s="2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7.25" customHeight="1">
      <c r="A787" s="1"/>
      <c r="B787" s="1"/>
      <c r="C787" s="2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7.25" customHeight="1">
      <c r="A788" s="1"/>
      <c r="B788" s="1"/>
      <c r="C788" s="2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7.25" customHeight="1">
      <c r="A789" s="1"/>
      <c r="B789" s="1"/>
      <c r="C789" s="2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7.25" customHeight="1">
      <c r="A790" s="1"/>
      <c r="B790" s="1"/>
      <c r="C790" s="2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7.25" customHeight="1">
      <c r="A791" s="1"/>
      <c r="B791" s="1"/>
      <c r="C791" s="2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7.25" customHeight="1">
      <c r="A792" s="1"/>
      <c r="B792" s="1"/>
      <c r="C792" s="2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7.25" customHeight="1">
      <c r="A793" s="1"/>
      <c r="B793" s="1"/>
      <c r="C793" s="2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7.25" customHeight="1">
      <c r="A794" s="1"/>
      <c r="B794" s="1"/>
      <c r="C794" s="2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7.25" customHeight="1">
      <c r="A795" s="1"/>
      <c r="B795" s="1"/>
      <c r="C795" s="2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7.25" customHeight="1">
      <c r="A796" s="1"/>
      <c r="B796" s="1"/>
      <c r="C796" s="2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7.25" customHeight="1">
      <c r="A797" s="1"/>
      <c r="B797" s="1"/>
      <c r="C797" s="2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7.25" customHeight="1">
      <c r="A798" s="1"/>
      <c r="B798" s="1"/>
      <c r="C798" s="2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7.25" customHeight="1">
      <c r="A799" s="1"/>
      <c r="B799" s="1"/>
      <c r="C799" s="2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7.25" customHeight="1">
      <c r="A800" s="1"/>
      <c r="B800" s="1"/>
      <c r="C800" s="2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7.25" customHeight="1">
      <c r="A801" s="1"/>
      <c r="B801" s="1"/>
      <c r="C801" s="2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7.25" customHeight="1">
      <c r="A802" s="1"/>
      <c r="B802" s="1"/>
      <c r="C802" s="2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7.25" customHeight="1">
      <c r="A803" s="1"/>
      <c r="B803" s="1"/>
      <c r="C803" s="2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7.25" customHeight="1">
      <c r="A804" s="1"/>
      <c r="B804" s="1"/>
      <c r="C804" s="2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7.25" customHeight="1">
      <c r="A805" s="1"/>
      <c r="B805" s="1"/>
      <c r="C805" s="2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7.25" customHeight="1">
      <c r="A806" s="1"/>
      <c r="B806" s="1"/>
      <c r="C806" s="2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7.25" customHeight="1">
      <c r="A807" s="1"/>
      <c r="B807" s="1"/>
      <c r="C807" s="2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7.25" customHeight="1">
      <c r="A808" s="1"/>
      <c r="B808" s="1"/>
      <c r="C808" s="2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7.25" customHeight="1">
      <c r="A809" s="1"/>
      <c r="B809" s="1"/>
      <c r="C809" s="2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7.25" customHeight="1">
      <c r="A810" s="1"/>
      <c r="B810" s="1"/>
      <c r="C810" s="2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7.25" customHeight="1">
      <c r="A811" s="1"/>
      <c r="B811" s="1"/>
      <c r="C811" s="2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7.25" customHeight="1">
      <c r="A812" s="1"/>
      <c r="B812" s="1"/>
      <c r="C812" s="2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7.25" customHeight="1">
      <c r="A813" s="1"/>
      <c r="B813" s="1"/>
      <c r="C813" s="2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7.25" customHeight="1">
      <c r="A814" s="1"/>
      <c r="B814" s="1"/>
      <c r="C814" s="2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7.25" customHeight="1">
      <c r="A815" s="1"/>
      <c r="B815" s="1"/>
      <c r="C815" s="2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7.25" customHeight="1">
      <c r="A816" s="1"/>
      <c r="B816" s="1"/>
      <c r="C816" s="2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7.25" customHeight="1">
      <c r="A817" s="1"/>
      <c r="B817" s="1"/>
      <c r="C817" s="2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7.25" customHeight="1">
      <c r="A818" s="1"/>
      <c r="B818" s="1"/>
      <c r="C818" s="2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7.25" customHeight="1">
      <c r="A819" s="1"/>
      <c r="B819" s="1"/>
      <c r="C819" s="2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7.25" customHeight="1">
      <c r="A820" s="1"/>
      <c r="B820" s="1"/>
      <c r="C820" s="2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7.25" customHeight="1">
      <c r="A821" s="1"/>
      <c r="B821" s="1"/>
      <c r="C821" s="2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7.25" customHeight="1">
      <c r="A822" s="1"/>
      <c r="B822" s="1"/>
      <c r="C822" s="2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7.25" customHeight="1">
      <c r="A823" s="1"/>
      <c r="B823" s="1"/>
      <c r="C823" s="2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7.25" customHeight="1">
      <c r="A824" s="1"/>
      <c r="B824" s="1"/>
      <c r="C824" s="2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7.25" customHeight="1">
      <c r="A825" s="1"/>
      <c r="B825" s="1"/>
      <c r="C825" s="2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7.25" customHeight="1">
      <c r="A826" s="1"/>
      <c r="B826" s="1"/>
      <c r="C826" s="2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7.25" customHeight="1">
      <c r="A827" s="1"/>
      <c r="B827" s="1"/>
      <c r="C827" s="2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7.25" customHeight="1">
      <c r="A828" s="1"/>
      <c r="B828" s="1"/>
      <c r="C828" s="2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7.25" customHeight="1">
      <c r="A829" s="1"/>
      <c r="B829" s="1"/>
      <c r="C829" s="2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7.25" customHeight="1">
      <c r="A830" s="1"/>
      <c r="B830" s="1"/>
      <c r="C830" s="2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7.25" customHeight="1">
      <c r="A831" s="1"/>
      <c r="B831" s="1"/>
      <c r="C831" s="2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7.25" customHeight="1">
      <c r="A832" s="1"/>
      <c r="B832" s="1"/>
      <c r="C832" s="2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7.25" customHeight="1">
      <c r="A833" s="1"/>
      <c r="B833" s="1"/>
      <c r="C833" s="2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7.25" customHeight="1">
      <c r="A834" s="1"/>
      <c r="B834" s="1"/>
      <c r="C834" s="2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7.25" customHeight="1">
      <c r="A835" s="1"/>
      <c r="B835" s="1"/>
      <c r="C835" s="2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7.25" customHeight="1">
      <c r="A836" s="1"/>
      <c r="B836" s="1"/>
      <c r="C836" s="2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7.25" customHeight="1">
      <c r="A837" s="1"/>
      <c r="B837" s="1"/>
      <c r="C837" s="2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7.25" customHeight="1">
      <c r="A838" s="1"/>
      <c r="B838" s="1"/>
      <c r="C838" s="2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7.25" customHeight="1">
      <c r="A839" s="1"/>
      <c r="B839" s="1"/>
      <c r="C839" s="2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7.25" customHeight="1">
      <c r="A840" s="1"/>
      <c r="B840" s="1"/>
      <c r="C840" s="2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7.25" customHeight="1">
      <c r="A841" s="1"/>
      <c r="B841" s="1"/>
      <c r="C841" s="2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7.25" customHeight="1">
      <c r="A842" s="1"/>
      <c r="B842" s="1"/>
      <c r="C842" s="2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7.25" customHeight="1">
      <c r="A843" s="1"/>
      <c r="B843" s="1"/>
      <c r="C843" s="2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7.25" customHeight="1">
      <c r="A844" s="1"/>
      <c r="B844" s="1"/>
      <c r="C844" s="2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7.25" customHeight="1">
      <c r="A845" s="1"/>
      <c r="B845" s="1"/>
      <c r="C845" s="2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7.25" customHeight="1">
      <c r="A846" s="1"/>
      <c r="B846" s="1"/>
      <c r="C846" s="2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7.25" customHeight="1">
      <c r="A847" s="1"/>
      <c r="B847" s="1"/>
      <c r="C847" s="2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7.25" customHeight="1">
      <c r="A848" s="1"/>
      <c r="B848" s="1"/>
      <c r="C848" s="2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7.25" customHeight="1">
      <c r="A849" s="1"/>
      <c r="B849" s="1"/>
      <c r="C849" s="2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7.25" customHeight="1">
      <c r="A850" s="1"/>
      <c r="B850" s="1"/>
      <c r="C850" s="2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7.25" customHeight="1">
      <c r="A851" s="1"/>
      <c r="B851" s="1"/>
      <c r="C851" s="2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7.25" customHeight="1">
      <c r="A852" s="1"/>
      <c r="B852" s="1"/>
      <c r="C852" s="2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7.25" customHeight="1">
      <c r="A853" s="1"/>
      <c r="B853" s="1"/>
      <c r="C853" s="2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7.25" customHeight="1">
      <c r="A854" s="1"/>
      <c r="B854" s="1"/>
      <c r="C854" s="2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7.25" customHeight="1">
      <c r="A855" s="1"/>
      <c r="B855" s="1"/>
      <c r="C855" s="2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7.25" customHeight="1">
      <c r="A856" s="1"/>
      <c r="B856" s="1"/>
      <c r="C856" s="2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7.25" customHeight="1">
      <c r="A857" s="1"/>
      <c r="B857" s="1"/>
      <c r="C857" s="2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7.25" customHeight="1">
      <c r="A858" s="1"/>
      <c r="B858" s="1"/>
      <c r="C858" s="2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7.25" customHeight="1">
      <c r="A859" s="1"/>
      <c r="B859" s="1"/>
      <c r="C859" s="2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7.25" customHeight="1">
      <c r="A860" s="1"/>
      <c r="B860" s="1"/>
      <c r="C860" s="2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7.25" customHeight="1">
      <c r="A861" s="1"/>
      <c r="B861" s="1"/>
      <c r="C861" s="2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7.25" customHeight="1">
      <c r="A862" s="1"/>
      <c r="B862" s="1"/>
      <c r="C862" s="2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7.25" customHeight="1">
      <c r="A863" s="1"/>
      <c r="B863" s="1"/>
      <c r="C863" s="2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7.25" customHeight="1">
      <c r="A864" s="1"/>
      <c r="B864" s="1"/>
      <c r="C864" s="2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7.25" customHeight="1">
      <c r="A865" s="1"/>
      <c r="B865" s="1"/>
      <c r="C865" s="2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7.25" customHeight="1">
      <c r="A866" s="1"/>
      <c r="B866" s="1"/>
      <c r="C866" s="2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7.25" customHeight="1">
      <c r="A867" s="1"/>
      <c r="B867" s="1"/>
      <c r="C867" s="2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7.25" customHeight="1">
      <c r="A868" s="1"/>
      <c r="B868" s="1"/>
      <c r="C868" s="2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7.25" customHeight="1">
      <c r="A869" s="1"/>
      <c r="B869" s="1"/>
      <c r="C869" s="2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7.25" customHeight="1">
      <c r="A870" s="1"/>
      <c r="B870" s="1"/>
      <c r="C870" s="2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7.25" customHeight="1">
      <c r="A871" s="1"/>
      <c r="B871" s="1"/>
      <c r="C871" s="2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7.25" customHeight="1">
      <c r="A872" s="1"/>
      <c r="B872" s="1"/>
      <c r="C872" s="2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7.25" customHeight="1">
      <c r="A873" s="1"/>
      <c r="B873" s="1"/>
      <c r="C873" s="2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7.25" customHeight="1">
      <c r="A874" s="1"/>
      <c r="B874" s="1"/>
      <c r="C874" s="2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7.25" customHeight="1">
      <c r="A875" s="1"/>
      <c r="B875" s="1"/>
      <c r="C875" s="2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7.25" customHeight="1">
      <c r="A876" s="1"/>
      <c r="B876" s="1"/>
      <c r="C876" s="2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7.25" customHeight="1">
      <c r="A877" s="1"/>
      <c r="B877" s="1"/>
      <c r="C877" s="2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7.25" customHeight="1">
      <c r="A878" s="1"/>
      <c r="B878" s="1"/>
      <c r="C878" s="2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7.25" customHeight="1">
      <c r="A879" s="1"/>
      <c r="B879" s="1"/>
      <c r="C879" s="2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7.25" customHeight="1">
      <c r="A880" s="1"/>
      <c r="B880" s="1"/>
      <c r="C880" s="2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7.25" customHeight="1">
      <c r="A881" s="1"/>
      <c r="B881" s="1"/>
      <c r="C881" s="2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7.25" customHeight="1">
      <c r="A882" s="1"/>
      <c r="B882" s="1"/>
      <c r="C882" s="2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7.25" customHeight="1">
      <c r="A883" s="1"/>
      <c r="B883" s="1"/>
      <c r="C883" s="2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7.25" customHeight="1">
      <c r="A884" s="1"/>
      <c r="B884" s="1"/>
      <c r="C884" s="2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7.25" customHeight="1">
      <c r="A885" s="1"/>
      <c r="B885" s="1"/>
      <c r="C885" s="2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7.25" customHeight="1">
      <c r="A886" s="1"/>
      <c r="B886" s="1"/>
      <c r="C886" s="2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7.25" customHeight="1">
      <c r="A887" s="1"/>
      <c r="B887" s="1"/>
      <c r="C887" s="2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7.25" customHeight="1">
      <c r="A888" s="1"/>
      <c r="B888" s="1"/>
      <c r="C888" s="2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7.25" customHeight="1">
      <c r="A889" s="1"/>
      <c r="B889" s="1"/>
      <c r="C889" s="2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7.25" customHeight="1">
      <c r="A890" s="1"/>
      <c r="B890" s="1"/>
      <c r="C890" s="2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7.25" customHeight="1">
      <c r="A891" s="1"/>
      <c r="B891" s="1"/>
      <c r="C891" s="2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7.25" customHeight="1">
      <c r="A892" s="1"/>
      <c r="B892" s="1"/>
      <c r="C892" s="2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7.25" customHeight="1">
      <c r="A893" s="1"/>
      <c r="B893" s="1"/>
      <c r="C893" s="2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7.25" customHeight="1">
      <c r="A894" s="1"/>
      <c r="B894" s="1"/>
      <c r="C894" s="2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7.25" customHeight="1">
      <c r="A895" s="1"/>
      <c r="B895" s="1"/>
      <c r="C895" s="2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7.25" customHeight="1">
      <c r="A896" s="1"/>
      <c r="B896" s="1"/>
      <c r="C896" s="2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7.25" customHeight="1">
      <c r="A897" s="1"/>
      <c r="B897" s="1"/>
      <c r="C897" s="2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7.25" customHeight="1">
      <c r="A898" s="1"/>
      <c r="B898" s="1"/>
      <c r="C898" s="2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7.25" customHeight="1">
      <c r="A899" s="1"/>
      <c r="B899" s="1"/>
      <c r="C899" s="2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7.25" customHeight="1">
      <c r="A900" s="1"/>
      <c r="B900" s="1"/>
      <c r="C900" s="2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7.25" customHeight="1">
      <c r="A901" s="1"/>
      <c r="B901" s="1"/>
      <c r="C901" s="2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7.25" customHeight="1">
      <c r="A902" s="1"/>
      <c r="B902" s="1"/>
      <c r="C902" s="2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7.25" customHeight="1">
      <c r="A903" s="1"/>
      <c r="B903" s="1"/>
      <c r="C903" s="2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7.25" customHeight="1">
      <c r="A904" s="1"/>
      <c r="B904" s="1"/>
      <c r="C904" s="2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7.25" customHeight="1">
      <c r="A905" s="1"/>
      <c r="B905" s="1"/>
      <c r="C905" s="2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7.25" customHeight="1">
      <c r="A906" s="1"/>
      <c r="B906" s="1"/>
      <c r="C906" s="2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7.25" customHeight="1">
      <c r="A907" s="1"/>
      <c r="B907" s="1"/>
      <c r="C907" s="2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7.25" customHeight="1">
      <c r="A908" s="1"/>
      <c r="B908" s="1"/>
      <c r="C908" s="2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7.25" customHeight="1">
      <c r="A909" s="1"/>
      <c r="B909" s="1"/>
      <c r="C909" s="2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7.25" customHeight="1">
      <c r="A910" s="1"/>
      <c r="B910" s="1"/>
      <c r="C910" s="2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7.25" customHeight="1">
      <c r="A911" s="1"/>
      <c r="B911" s="1"/>
      <c r="C911" s="2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7.25" customHeight="1">
      <c r="A912" s="1"/>
      <c r="B912" s="1"/>
      <c r="C912" s="2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7.25" customHeight="1">
      <c r="A913" s="1"/>
      <c r="B913" s="1"/>
      <c r="C913" s="2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7.25" customHeight="1">
      <c r="A914" s="1"/>
      <c r="B914" s="1"/>
      <c r="C914" s="2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7.25" customHeight="1">
      <c r="A915" s="1"/>
      <c r="B915" s="1"/>
      <c r="C915" s="2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7.25" customHeight="1">
      <c r="A916" s="1"/>
      <c r="B916" s="1"/>
      <c r="C916" s="2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7.25" customHeight="1">
      <c r="A917" s="1"/>
      <c r="B917" s="1"/>
      <c r="C917" s="2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7.25" customHeight="1">
      <c r="A918" s="1"/>
      <c r="B918" s="1"/>
      <c r="C918" s="2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7.25" customHeight="1">
      <c r="A919" s="1"/>
      <c r="B919" s="1"/>
      <c r="C919" s="2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7.25" customHeight="1">
      <c r="A920" s="1"/>
      <c r="B920" s="1"/>
      <c r="C920" s="2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7.25" customHeight="1">
      <c r="A921" s="1"/>
      <c r="B921" s="1"/>
      <c r="C921" s="2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7.25" customHeight="1">
      <c r="A922" s="1"/>
      <c r="B922" s="1"/>
      <c r="C922" s="2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7.25" customHeight="1">
      <c r="A923" s="1"/>
      <c r="B923" s="1"/>
      <c r="C923" s="2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7.25" customHeight="1">
      <c r="A924" s="1"/>
      <c r="B924" s="1"/>
      <c r="C924" s="2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7.25" customHeight="1">
      <c r="A925" s="1"/>
      <c r="B925" s="1"/>
      <c r="C925" s="2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7.25" customHeight="1">
      <c r="A926" s="1"/>
      <c r="B926" s="1"/>
      <c r="C926" s="2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7.25" customHeight="1">
      <c r="A927" s="1"/>
      <c r="B927" s="1"/>
      <c r="C927" s="2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7.25" customHeight="1">
      <c r="A928" s="1"/>
      <c r="B928" s="1"/>
      <c r="C928" s="2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7.25" customHeight="1">
      <c r="A929" s="1"/>
      <c r="B929" s="1"/>
      <c r="C929" s="2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7.25" customHeight="1">
      <c r="A930" s="1"/>
      <c r="B930" s="1"/>
      <c r="C930" s="2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7.25" customHeight="1">
      <c r="A931" s="1"/>
      <c r="B931" s="1"/>
      <c r="C931" s="2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7.25" customHeight="1">
      <c r="A932" s="1"/>
      <c r="B932" s="1"/>
      <c r="C932" s="2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7.25" customHeight="1">
      <c r="A933" s="1"/>
      <c r="B933" s="1"/>
      <c r="C933" s="2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7.25" customHeight="1">
      <c r="A934" s="1"/>
      <c r="B934" s="1"/>
      <c r="C934" s="2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7.25" customHeight="1">
      <c r="A935" s="1"/>
      <c r="B935" s="1"/>
      <c r="C935" s="2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7.25" customHeight="1">
      <c r="A936" s="1"/>
      <c r="B936" s="1"/>
      <c r="C936" s="2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7.25" customHeight="1">
      <c r="A937" s="1"/>
      <c r="B937" s="1"/>
      <c r="C937" s="2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7.25" customHeight="1">
      <c r="A938" s="1"/>
      <c r="B938" s="1"/>
      <c r="C938" s="2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7.25" customHeight="1">
      <c r="A939" s="1"/>
      <c r="B939" s="1"/>
      <c r="C939" s="2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7.25" customHeight="1">
      <c r="A940" s="1"/>
      <c r="B940" s="1"/>
      <c r="C940" s="2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7.25" customHeight="1">
      <c r="A941" s="1"/>
      <c r="B941" s="1"/>
      <c r="C941" s="2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7.25" customHeight="1">
      <c r="A942" s="1"/>
      <c r="B942" s="1"/>
      <c r="C942" s="2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7.25" customHeight="1">
      <c r="A943" s="1"/>
      <c r="B943" s="1"/>
      <c r="C943" s="2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7.25" customHeight="1">
      <c r="A944" s="1"/>
      <c r="B944" s="1"/>
      <c r="C944" s="2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7.25" customHeight="1">
      <c r="A945" s="1"/>
      <c r="B945" s="1"/>
      <c r="C945" s="2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7.25" customHeight="1">
      <c r="A946" s="1"/>
      <c r="B946" s="1"/>
      <c r="C946" s="2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7.25" customHeight="1">
      <c r="A947" s="1"/>
      <c r="B947" s="1"/>
      <c r="C947" s="2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7.25" customHeight="1">
      <c r="A948" s="1"/>
      <c r="B948" s="1"/>
      <c r="C948" s="2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7.25" customHeight="1">
      <c r="A949" s="1"/>
      <c r="B949" s="1"/>
      <c r="C949" s="2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7.25" customHeight="1">
      <c r="A950" s="1"/>
      <c r="B950" s="1"/>
      <c r="C950" s="2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7.25" customHeight="1">
      <c r="A951" s="1"/>
      <c r="B951" s="1"/>
      <c r="C951" s="2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7.25" customHeight="1">
      <c r="A952" s="1"/>
      <c r="B952" s="1"/>
      <c r="C952" s="2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7.25" customHeight="1">
      <c r="A953" s="1"/>
      <c r="B953" s="1"/>
      <c r="C953" s="2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7.25" customHeight="1">
      <c r="A954" s="1"/>
      <c r="B954" s="1"/>
      <c r="C954" s="2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7.25" customHeight="1">
      <c r="A955" s="1"/>
      <c r="B955" s="1"/>
      <c r="C955" s="2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7.25" customHeight="1">
      <c r="A956" s="1"/>
      <c r="B956" s="1"/>
      <c r="C956" s="2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7.25" customHeight="1">
      <c r="A957" s="1"/>
      <c r="B957" s="1"/>
      <c r="C957" s="2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7.25" customHeight="1">
      <c r="A958" s="1"/>
      <c r="B958" s="1"/>
      <c r="C958" s="2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7.25" customHeight="1">
      <c r="A959" s="1"/>
      <c r="B959" s="1"/>
      <c r="C959" s="2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7.25" customHeight="1">
      <c r="A960" s="1"/>
      <c r="B960" s="1"/>
      <c r="C960" s="2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7.25" customHeight="1">
      <c r="A961" s="1"/>
      <c r="B961" s="1"/>
      <c r="C961" s="2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7.25" customHeight="1">
      <c r="A962" s="1"/>
      <c r="B962" s="1"/>
      <c r="C962" s="2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7.25" customHeight="1">
      <c r="A963" s="1"/>
      <c r="B963" s="1"/>
      <c r="C963" s="2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7.25" customHeight="1">
      <c r="A964" s="1"/>
      <c r="B964" s="1"/>
      <c r="C964" s="2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7.25" customHeight="1">
      <c r="A965" s="1"/>
      <c r="B965" s="1"/>
      <c r="C965" s="2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7.25" customHeight="1">
      <c r="A966" s="1"/>
      <c r="B966" s="1"/>
      <c r="C966" s="2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7.25" customHeight="1">
      <c r="A967" s="1"/>
      <c r="B967" s="1"/>
      <c r="C967" s="2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7.25" customHeight="1">
      <c r="A968" s="1"/>
      <c r="B968" s="1"/>
      <c r="C968" s="2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7.25" customHeight="1">
      <c r="A969" s="1"/>
      <c r="B969" s="1"/>
      <c r="C969" s="2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7.25" customHeight="1">
      <c r="A970" s="1"/>
      <c r="B970" s="1"/>
      <c r="C970" s="2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7.25" customHeight="1">
      <c r="A971" s="1"/>
      <c r="B971" s="1"/>
      <c r="C971" s="2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7.25" customHeight="1">
      <c r="A972" s="1"/>
      <c r="B972" s="1"/>
      <c r="C972" s="2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7.25" customHeight="1">
      <c r="A973" s="1"/>
      <c r="B973" s="1"/>
      <c r="C973" s="2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7.25" customHeight="1">
      <c r="A974" s="1"/>
      <c r="B974" s="1"/>
      <c r="C974" s="2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7.25" customHeight="1">
      <c r="A975" s="1"/>
      <c r="B975" s="1"/>
      <c r="C975" s="2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7.25" customHeight="1">
      <c r="A976" s="1"/>
      <c r="B976" s="1"/>
      <c r="C976" s="2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7.25" customHeight="1">
      <c r="A977" s="1"/>
      <c r="B977" s="1"/>
      <c r="C977" s="2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7.25" customHeight="1">
      <c r="A978" s="1"/>
      <c r="B978" s="1"/>
      <c r="C978" s="2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7.25" customHeight="1">
      <c r="A979" s="1"/>
      <c r="B979" s="1"/>
      <c r="C979" s="2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7.25" customHeight="1">
      <c r="A980" s="1"/>
      <c r="B980" s="1"/>
      <c r="C980" s="2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7.25" customHeight="1">
      <c r="A981" s="1"/>
      <c r="B981" s="1"/>
      <c r="C981" s="2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7.25" customHeight="1">
      <c r="A982" s="1"/>
      <c r="B982" s="1"/>
      <c r="C982" s="2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7.25" customHeight="1">
      <c r="A983" s="1"/>
      <c r="B983" s="1"/>
      <c r="C983" s="2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7.25" customHeight="1">
      <c r="A984" s="1"/>
      <c r="B984" s="1"/>
      <c r="C984" s="2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7.25" customHeight="1">
      <c r="A985" s="1"/>
      <c r="B985" s="1"/>
      <c r="C985" s="2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7.25" customHeight="1">
      <c r="A986" s="1"/>
      <c r="B986" s="1"/>
      <c r="C986" s="2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7.25" customHeight="1">
      <c r="A987" s="1"/>
      <c r="B987" s="1"/>
      <c r="C987" s="2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7.25" customHeight="1">
      <c r="A988" s="1"/>
      <c r="B988" s="1"/>
      <c r="C988" s="2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7.25" customHeight="1">
      <c r="A989" s="1"/>
      <c r="B989" s="1"/>
      <c r="C989" s="2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7.25" customHeight="1">
      <c r="A990" s="1"/>
      <c r="B990" s="1"/>
      <c r="C990" s="2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7.25" customHeight="1">
      <c r="A991" s="1"/>
      <c r="B991" s="1"/>
      <c r="C991" s="2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7.25" customHeight="1">
      <c r="A992" s="1"/>
      <c r="B992" s="1"/>
      <c r="C992" s="2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7.25" customHeight="1">
      <c r="A993" s="1"/>
      <c r="B993" s="1"/>
      <c r="C993" s="2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7.25" customHeight="1">
      <c r="A994" s="1"/>
      <c r="B994" s="1"/>
      <c r="C994" s="2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7.25" customHeight="1">
      <c r="A995" s="1"/>
      <c r="B995" s="1"/>
      <c r="C995" s="2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7.25" customHeight="1">
      <c r="A996" s="1"/>
      <c r="B996" s="1"/>
      <c r="C996" s="2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7.25" customHeight="1">
      <c r="A997" s="1"/>
      <c r="B997" s="1"/>
      <c r="C997" s="2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7.25" customHeight="1">
      <c r="A998" s="1"/>
      <c r="B998" s="1"/>
      <c r="C998" s="2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7.25" customHeight="1">
      <c r="A999" s="1"/>
      <c r="B999" s="1"/>
      <c r="C999" s="2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7.25" customHeight="1">
      <c r="A1000" s="1"/>
      <c r="B1000" s="1"/>
      <c r="C1000" s="2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19">
    <mergeCell ref="N14:O14"/>
    <mergeCell ref="D9:Q9"/>
    <mergeCell ref="M11:O11"/>
    <mergeCell ref="N12:O12"/>
    <mergeCell ref="R12:S12"/>
    <mergeCell ref="N13:O13"/>
    <mergeCell ref="D16:Q16"/>
    <mergeCell ref="D21:Q21"/>
    <mergeCell ref="D41:Q41"/>
    <mergeCell ref="D63:Q63"/>
    <mergeCell ref="K64:N64"/>
    <mergeCell ref="D2:Q2"/>
    <mergeCell ref="D4:E4"/>
    <mergeCell ref="I4:J4"/>
    <mergeCell ref="L4:M4"/>
    <mergeCell ref="D5:E5"/>
    <mergeCell ref="I5:J5"/>
    <mergeCell ref="L5:M5"/>
    <mergeCell ref="O5:Q5"/>
  </mergeCells>
  <conditionalFormatting sqref="E66">
    <cfRule type="containsText" dxfId="8" priority="1" operator="containsText" text="Provento">
      <formula>NOT(ISERROR(SEARCH(("Provento"),(E66))))</formula>
    </cfRule>
  </conditionalFormatting>
  <conditionalFormatting sqref="E66">
    <cfRule type="containsText" dxfId="7" priority="2" operator="containsText" text="Venda">
      <formula>NOT(ISERROR(SEARCH(("Venda"),(E66))))</formula>
    </cfRule>
  </conditionalFormatting>
  <conditionalFormatting sqref="E66">
    <cfRule type="containsText" dxfId="6" priority="3" operator="containsText" text="Compra">
      <formula>NOT(ISERROR(SEARCH(("Compra"),(E66))))</formula>
    </cfRule>
  </conditionalFormatting>
  <pageMargins left="0.511811024" right="0.511811024" top="0.78740157499999996" bottom="0.78740157499999996" header="0" footer="0"/>
  <pageSetup paperSize="9" orientation="portrait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Auxiliar!$A$7:$A$10</xm:f>
          </x14:formula1>
          <xm:sqref>E11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Z1000"/>
  <sheetViews>
    <sheetView showGridLines="0" topLeftCell="A34" zoomScale="80" zoomScaleNormal="80" workbookViewId="0">
      <selection activeCell="I47" sqref="I47"/>
    </sheetView>
  </sheetViews>
  <sheetFormatPr defaultColWidth="12.625" defaultRowHeight="15" customHeight="1"/>
  <cols>
    <col min="1" max="2" width="11.375" customWidth="1"/>
    <col min="3" max="3" width="4.375" customWidth="1"/>
    <col min="4" max="4" width="12.375" customWidth="1"/>
    <col min="5" max="5" width="13.125" customWidth="1"/>
    <col min="6" max="6" width="12.125" customWidth="1"/>
    <col min="7" max="7" width="11.875" customWidth="1"/>
    <col min="8" max="8" width="9.375" customWidth="1"/>
    <col min="9" max="9" width="12.625" customWidth="1"/>
    <col min="10" max="10" width="15.375" customWidth="1"/>
    <col min="11" max="11" width="12.375" customWidth="1"/>
    <col min="12" max="12" width="13.125" customWidth="1"/>
    <col min="13" max="13" width="16.25" customWidth="1"/>
    <col min="14" max="14" width="11.375" customWidth="1"/>
    <col min="15" max="16" width="10.875" customWidth="1"/>
    <col min="17" max="17" width="16.625" customWidth="1"/>
    <col min="18" max="24" width="9" customWidth="1"/>
    <col min="25" max="26" width="8.625" customWidth="1"/>
  </cols>
  <sheetData>
    <row r="1" spans="1:26" ht="17.25" customHeight="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7.25" customHeight="1">
      <c r="A2" s="1"/>
      <c r="B2" s="1"/>
      <c r="C2" s="2"/>
      <c r="D2" s="120" t="s">
        <v>26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2"/>
      <c r="R2" s="3"/>
      <c r="S2" s="3"/>
      <c r="T2" s="3"/>
      <c r="U2" s="3"/>
      <c r="V2" s="3"/>
      <c r="W2" s="3"/>
      <c r="X2" s="3"/>
      <c r="Y2" s="3"/>
      <c r="Z2" s="3"/>
    </row>
    <row r="3" spans="1:26" ht="17.25" customHeight="1">
      <c r="A3" s="1"/>
      <c r="B3" s="1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7.25" customHeight="1">
      <c r="A4" s="1"/>
      <c r="B4" s="1"/>
      <c r="C4" s="2"/>
      <c r="D4" s="138" t="s">
        <v>68</v>
      </c>
      <c r="E4" s="124"/>
      <c r="F4" s="65" t="s">
        <v>28</v>
      </c>
      <c r="G4" s="66">
        <f>SUMIF(BDRs!$E$66,"Provento",BDRs!$J$66)</f>
        <v>0</v>
      </c>
      <c r="H4" s="67"/>
      <c r="I4" s="138" t="s">
        <v>2</v>
      </c>
      <c r="J4" s="124"/>
      <c r="K4" s="37"/>
      <c r="L4" s="138" t="s">
        <v>29</v>
      </c>
      <c r="M4" s="124"/>
      <c r="N4" s="68"/>
      <c r="O4" s="69" t="s">
        <v>3</v>
      </c>
      <c r="P4" s="69"/>
      <c r="Q4" s="69"/>
      <c r="R4" s="3"/>
      <c r="S4" s="3"/>
      <c r="T4" s="3"/>
      <c r="U4" s="3"/>
      <c r="V4" s="3"/>
      <c r="W4" s="3"/>
      <c r="X4" s="3"/>
      <c r="Y4" s="3"/>
      <c r="Z4" s="3"/>
    </row>
    <row r="5" spans="1:26" ht="17.25" customHeight="1">
      <c r="A5" s="1"/>
      <c r="B5" s="1"/>
      <c r="C5" s="2"/>
      <c r="D5" s="139">
        <f>SUM(BDRs!$M$18:$M$19)</f>
        <v>0</v>
      </c>
      <c r="E5" s="122"/>
      <c r="F5" s="65" t="s">
        <v>30</v>
      </c>
      <c r="G5" s="70">
        <f>'Visão Geral'!J12</f>
        <v>0</v>
      </c>
      <c r="H5" s="71"/>
      <c r="I5" s="140">
        <f>SUM(BDRs!$J$19)</f>
        <v>0</v>
      </c>
      <c r="J5" s="119"/>
      <c r="K5" s="7"/>
      <c r="L5" s="139">
        <f>'Visão Geral'!L13</f>
        <v>0</v>
      </c>
      <c r="M5" s="122"/>
      <c r="N5" s="68"/>
      <c r="O5" s="141">
        <f>'Visão Geral'!L5</f>
        <v>0</v>
      </c>
      <c r="P5" s="118"/>
      <c r="Q5" s="119"/>
      <c r="R5" s="3"/>
      <c r="S5" s="3"/>
      <c r="T5" s="3"/>
      <c r="U5" s="3"/>
      <c r="V5" s="3"/>
      <c r="W5" s="3"/>
      <c r="X5" s="3"/>
      <c r="Y5" s="3"/>
      <c r="Z5" s="3"/>
    </row>
    <row r="6" spans="1:26" ht="18" customHeight="1">
      <c r="A6" s="1"/>
      <c r="B6" s="1"/>
      <c r="C6" s="2"/>
      <c r="D6" s="65" t="s">
        <v>4</v>
      </c>
      <c r="E6" s="9">
        <f>IFERROR((D5 - I5)/I5,0)</f>
        <v>0</v>
      </c>
      <c r="F6" s="65" t="s">
        <v>31</v>
      </c>
      <c r="G6" s="70">
        <f>'Visão Geral'!I12</f>
        <v>0</v>
      </c>
      <c r="H6" s="72"/>
      <c r="I6" s="72"/>
      <c r="J6" s="37"/>
      <c r="K6" s="5"/>
      <c r="L6" s="68"/>
      <c r="M6" s="68"/>
      <c r="N6" s="68"/>
      <c r="O6" s="68"/>
      <c r="P6" s="73"/>
      <c r="Q6" s="73"/>
      <c r="R6" s="3"/>
      <c r="S6" s="3"/>
      <c r="T6" s="3"/>
      <c r="U6" s="3"/>
      <c r="V6" s="3"/>
      <c r="W6" s="3"/>
      <c r="X6" s="3"/>
      <c r="Y6" s="3"/>
      <c r="Z6" s="3"/>
    </row>
    <row r="7" spans="1:26" ht="17.25" customHeight="1">
      <c r="A7" s="1"/>
      <c r="B7" s="1"/>
      <c r="C7" s="2"/>
      <c r="D7" s="65" t="s">
        <v>32</v>
      </c>
      <c r="E7" s="9">
        <f>IFERROR(G4/I5,0)</f>
        <v>0</v>
      </c>
      <c r="F7" s="65" t="s">
        <v>33</v>
      </c>
      <c r="G7" s="74" t="str">
        <f>'Visão Geral'!K12</f>
        <v>Ideal</v>
      </c>
      <c r="H7" s="67"/>
      <c r="I7" s="72"/>
      <c r="J7" s="37"/>
      <c r="K7" s="5"/>
      <c r="L7" s="68"/>
      <c r="M7" s="68"/>
      <c r="N7" s="68"/>
      <c r="O7" s="68"/>
      <c r="P7" s="68"/>
      <c r="Q7" s="68"/>
      <c r="R7" s="3"/>
      <c r="S7" s="3"/>
      <c r="T7" s="3"/>
      <c r="U7" s="3"/>
      <c r="V7" s="3"/>
      <c r="W7" s="3"/>
      <c r="X7" s="3"/>
      <c r="Y7" s="3"/>
      <c r="Z7" s="3"/>
    </row>
    <row r="8" spans="1:26" ht="17.25" customHeight="1">
      <c r="A8" s="1"/>
      <c r="B8" s="1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7.25" customHeight="1">
      <c r="A9" s="1"/>
      <c r="B9" s="1"/>
      <c r="C9" s="2"/>
      <c r="D9" s="120" t="s">
        <v>34</v>
      </c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2"/>
      <c r="R9" s="3"/>
      <c r="S9" s="3"/>
      <c r="T9" s="3"/>
      <c r="U9" s="3"/>
      <c r="V9" s="3"/>
      <c r="W9" s="3"/>
      <c r="X9" s="3"/>
      <c r="Y9" s="3"/>
      <c r="Z9" s="3"/>
    </row>
    <row r="10" spans="1:26" ht="17.25" customHeight="1">
      <c r="A10" s="1"/>
      <c r="B10" s="1"/>
      <c r="C10" s="2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12"/>
      <c r="V10" s="12"/>
      <c r="W10" s="12"/>
      <c r="X10" s="12"/>
      <c r="Y10" s="3"/>
      <c r="Z10" s="3"/>
    </row>
    <row r="11" spans="1:26" ht="17.25" customHeight="1">
      <c r="A11" s="1"/>
      <c r="B11" s="1"/>
      <c r="C11" s="2"/>
      <c r="D11" s="67" t="s">
        <v>35</v>
      </c>
      <c r="E11" s="39" t="s">
        <v>69</v>
      </c>
      <c r="F11" s="65" t="s">
        <v>37</v>
      </c>
      <c r="G11" s="75"/>
      <c r="H11" s="65" t="str">
        <f>IF(E11 = "Registro","","Data:")</f>
        <v>Data:</v>
      </c>
      <c r="I11" s="76"/>
      <c r="J11" s="77"/>
      <c r="K11" s="77"/>
      <c r="L11" s="78"/>
      <c r="M11" s="142" t="s">
        <v>38</v>
      </c>
      <c r="N11" s="125"/>
      <c r="O11" s="124"/>
      <c r="P11" s="77"/>
      <c r="Q11" s="77"/>
      <c r="R11" s="3"/>
      <c r="S11" s="3"/>
      <c r="T11" s="3"/>
      <c r="U11" s="3"/>
      <c r="V11" s="3"/>
      <c r="W11" s="3"/>
      <c r="X11" s="3"/>
      <c r="Y11" s="3"/>
      <c r="Z11" s="3"/>
    </row>
    <row r="12" spans="1:26" ht="17.25" customHeight="1">
      <c r="A12" s="1"/>
      <c r="B12" s="1"/>
      <c r="C12" s="2"/>
      <c r="D12" s="77"/>
      <c r="E12" s="77" t="s">
        <v>39</v>
      </c>
      <c r="F12" s="65" t="str" cm="1">
        <f t="array" ref="F12">_xlfn.IFS(E11 =  "Provento","",
OR(E11 = "Compra",E11 = "Venda"),"Qtd.:",
E11 =  "Registro", "Nota:")</f>
        <v>Qtd.:</v>
      </c>
      <c r="G12" s="75"/>
      <c r="H12" s="77"/>
      <c r="I12" s="77"/>
      <c r="J12" s="77"/>
      <c r="K12" s="77"/>
      <c r="L12" s="77"/>
      <c r="M12" s="77" t="s">
        <v>40</v>
      </c>
      <c r="N12" s="143"/>
      <c r="O12" s="122"/>
      <c r="P12" s="77"/>
      <c r="Q12" s="77"/>
      <c r="R12" s="127"/>
      <c r="S12" s="122"/>
      <c r="T12" s="3"/>
      <c r="U12" s="3"/>
      <c r="V12" s="3"/>
      <c r="W12" s="3"/>
      <c r="X12" s="3"/>
      <c r="Y12" s="3"/>
      <c r="Z12" s="3"/>
    </row>
    <row r="13" spans="1:26" ht="17.25" customHeight="1">
      <c r="A13" s="1"/>
      <c r="B13" s="1"/>
      <c r="C13" s="2"/>
      <c r="D13" s="77"/>
      <c r="E13" s="77"/>
      <c r="F13" s="65" t="str" cm="1">
        <f t="array" ref="F13">_xlfn.IFS(E11 =  "Provento","Valor total: ",
OR(E11 = "Compra",E11 = "Venda"),"Cotação: ",
E11 = "Registro", "")</f>
        <v xml:space="preserve">Cotação: </v>
      </c>
      <c r="G13" s="79"/>
      <c r="H13" s="77"/>
      <c r="I13" s="77"/>
      <c r="J13" s="77"/>
      <c r="K13" s="77"/>
      <c r="L13" s="77"/>
      <c r="M13" s="77" t="s">
        <v>41</v>
      </c>
      <c r="N13" s="143"/>
      <c r="O13" s="122"/>
      <c r="P13" s="77"/>
      <c r="Q13" s="77"/>
      <c r="R13" s="3"/>
      <c r="S13" s="3"/>
      <c r="T13" s="3"/>
      <c r="U13" s="3"/>
      <c r="V13" s="3"/>
      <c r="W13" s="3"/>
      <c r="X13" s="3"/>
      <c r="Y13" s="3"/>
      <c r="Z13" s="3"/>
    </row>
    <row r="14" spans="1:26" ht="17.25" customHeight="1">
      <c r="A14" s="1"/>
      <c r="B14" s="1"/>
      <c r="C14" s="2"/>
      <c r="D14" s="77"/>
      <c r="E14" s="77"/>
      <c r="F14" s="65" t="str">
        <f>IF(E11 = "Registro","Setor:","")</f>
        <v/>
      </c>
      <c r="G14" s="75"/>
      <c r="H14" s="77"/>
      <c r="I14" s="77"/>
      <c r="J14" s="77"/>
      <c r="K14" s="77"/>
      <c r="L14" s="77"/>
      <c r="M14" s="77" t="s">
        <v>42</v>
      </c>
      <c r="N14" s="144">
        <f>IFERROR(N12/N13,0)</f>
        <v>0</v>
      </c>
      <c r="O14" s="122"/>
      <c r="P14" s="77"/>
      <c r="Q14" s="77"/>
      <c r="R14" s="3"/>
      <c r="S14" s="3"/>
      <c r="T14" s="3"/>
      <c r="U14" s="3"/>
      <c r="V14" s="3"/>
      <c r="W14" s="3"/>
      <c r="X14" s="3"/>
      <c r="Y14" s="3"/>
      <c r="Z14" s="3"/>
    </row>
    <row r="15" spans="1:26" ht="21.75" customHeight="1">
      <c r="A15" s="1"/>
      <c r="B15" s="1"/>
      <c r="C15" s="2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1.75" customHeight="1">
      <c r="A16" s="1"/>
      <c r="B16" s="1"/>
      <c r="C16" s="2"/>
      <c r="D16" s="120" t="s">
        <v>43</v>
      </c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2"/>
      <c r="R16" s="3"/>
      <c r="S16" s="3"/>
      <c r="T16" s="3"/>
      <c r="U16" s="3"/>
      <c r="V16" s="3"/>
      <c r="W16" s="3"/>
      <c r="X16" s="3"/>
      <c r="Y16" s="3"/>
      <c r="Z16" s="3"/>
    </row>
    <row r="17" spans="1:26" ht="21.75" customHeight="1">
      <c r="A17" s="32"/>
      <c r="B17" s="1"/>
      <c r="C17" s="2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25" customHeight="1">
      <c r="A18" s="33"/>
      <c r="B18" s="1"/>
      <c r="C18" s="2"/>
      <c r="D18" s="80" t="s">
        <v>44</v>
      </c>
      <c r="E18" s="80" t="s">
        <v>45</v>
      </c>
      <c r="F18" s="80" t="s">
        <v>46</v>
      </c>
      <c r="G18" s="80" t="s">
        <v>47</v>
      </c>
      <c r="H18" s="80" t="s">
        <v>48</v>
      </c>
      <c r="I18" s="80" t="s">
        <v>49</v>
      </c>
      <c r="J18" s="80" t="s">
        <v>50</v>
      </c>
      <c r="K18" s="81" t="s">
        <v>51</v>
      </c>
      <c r="L18" s="80" t="s">
        <v>52</v>
      </c>
      <c r="M18" s="80" t="s">
        <v>53</v>
      </c>
      <c r="N18" s="80" t="s">
        <v>54</v>
      </c>
      <c r="O18" s="80" t="s">
        <v>55</v>
      </c>
      <c r="P18" s="81" t="s">
        <v>14</v>
      </c>
      <c r="Q18" s="80" t="s">
        <v>56</v>
      </c>
      <c r="R18" s="3"/>
      <c r="S18" s="3"/>
      <c r="T18" s="3"/>
      <c r="U18" s="3"/>
      <c r="V18" s="3"/>
      <c r="W18" s="3"/>
      <c r="X18" s="3"/>
      <c r="Y18" s="3"/>
      <c r="Z18" s="3"/>
    </row>
    <row r="19" spans="1:26" ht="17.25" customHeight="1">
      <c r="A19" s="32"/>
      <c r="B19" s="1"/>
      <c r="C19" s="2"/>
      <c r="D19" s="46"/>
      <c r="E19" s="47"/>
      <c r="F19" s="82">
        <f>SUMIFS(BDRs!$H$65:$H$66,BDRs!$D$65:$D$66,BDRs!$D19,BDRs!$E$65:$E$66,"Compra")
- SUMIFS(BDRs!$H$65:$H$66,BDRs!$D$65:$D$66,BDRs!$D19,BDRs!$E$65:$E$66,"Venda")</f>
        <v>0</v>
      </c>
      <c r="G19" s="47"/>
      <c r="H19" s="83">
        <f>IFERROR(SUMIFS(BDRs!$J$65:$J$66,BDRs!$E$65:$E$66,"Provento",BDRs!$D$65:$D$66,BDRs!$D19) / BDRs!$J19,0)</f>
        <v>0</v>
      </c>
      <c r="I19" s="84">
        <f>IFERROR((BDRs!$M19-BDRs!$J19)/BDRs!$J19,0)</f>
        <v>0</v>
      </c>
      <c r="J19" s="85">
        <f>BDRs!$K19*BDRs!$F19</f>
        <v>0</v>
      </c>
      <c r="K19" s="85">
        <f>IFERROR(SUMIFS(BDRs!$J$66,BDRs!$E$66,"Compra",BDRs!$D$66,BDRs!$D19)/SUMIFS(BDRs!$H$66,BDRs!$E$66,"Compra",BDRs!$D$66,BDRs!$D19),0)</f>
        <v>0</v>
      </c>
      <c r="L19" s="85">
        <f>COTAÇÃO(BDRs!$D19)</f>
        <v>0</v>
      </c>
      <c r="M19" s="85">
        <f>IFERROR(BDRs!$L19*BDRs!$F19,0)</f>
        <v>0</v>
      </c>
      <c r="N19" s="86">
        <f>IFERROR(BDRs!$G19/SUM(BDRs!$G$18:$G$19),0)</f>
        <v>0</v>
      </c>
      <c r="O19" s="86">
        <f>IFERROR(BDRs!$M19/($D$5 + $L$5),0)</f>
        <v>0</v>
      </c>
      <c r="P19" s="82" t="e">
        <f ca="1">_xludf.IFS(OR(AND(BDRs!$Q19&lt;BDRs!$L19,BDRs!$Q19&gt;0),AND(BDRs!$Q19&lt;0,-BDRs!$Q19&lt;BDRs!$L19)),"Ideal",
BDRs!$O19&gt;BDRs!$N19,"Acima",
BDRs!$O19&lt;BDRs!$N19,"Abaixo")</f>
        <v>#NAME?</v>
      </c>
      <c r="Q19" s="85">
        <f>($D$5+$L$5)*BDRs!$N19 - BDRs!$M19</f>
        <v>0</v>
      </c>
      <c r="R19" s="3"/>
      <c r="S19" s="3"/>
      <c r="T19" s="3"/>
      <c r="U19" s="3"/>
      <c r="V19" s="3"/>
      <c r="W19" s="3"/>
      <c r="X19" s="3"/>
      <c r="Y19" s="3"/>
      <c r="Z19" s="3"/>
    </row>
    <row r="20" spans="1:26" ht="17.25" customHeight="1">
      <c r="A20" s="33"/>
      <c r="B20" s="1"/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7.25" customHeight="1">
      <c r="A21" s="32"/>
      <c r="B21" s="1"/>
      <c r="C21" s="2"/>
      <c r="D21" s="120" t="s">
        <v>57</v>
      </c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3"/>
      <c r="S21" s="3"/>
      <c r="T21" s="3"/>
      <c r="U21" s="3"/>
      <c r="V21" s="3"/>
      <c r="W21" s="3"/>
      <c r="X21" s="3"/>
      <c r="Y21" s="3"/>
      <c r="Z21" s="3"/>
    </row>
    <row r="22" spans="1:26" ht="17.25" customHeight="1">
      <c r="A22" s="1"/>
      <c r="B22" s="1"/>
      <c r="C22" s="2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7.25" customHeight="1">
      <c r="A23" s="1"/>
      <c r="B23" s="1"/>
      <c r="C23" s="2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7.25" customHeight="1">
      <c r="A24" s="1"/>
      <c r="B24" s="1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7.25" customHeight="1">
      <c r="A25" s="1"/>
      <c r="B25" s="1"/>
      <c r="C25" s="2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7.25" customHeight="1">
      <c r="A26" s="1"/>
      <c r="B26" s="1"/>
      <c r="C26" s="2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7.25" customHeight="1">
      <c r="A27" s="1"/>
      <c r="B27" s="1"/>
      <c r="C27" s="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7.25" customHeight="1">
      <c r="A28" s="1"/>
      <c r="B28" s="1"/>
      <c r="C28" s="2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7.25" customHeight="1">
      <c r="A29" s="1"/>
      <c r="B29" s="1"/>
      <c r="C29" s="2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7.25" customHeight="1">
      <c r="A30" s="1"/>
      <c r="B30" s="1"/>
      <c r="C30" s="2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7.25" customHeight="1">
      <c r="A31" s="1"/>
      <c r="B31" s="1"/>
      <c r="C31" s="2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7.25" customHeight="1">
      <c r="A32" s="1"/>
      <c r="B32" s="1"/>
      <c r="C32" s="2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7.25" customHeight="1">
      <c r="A33" s="1"/>
      <c r="B33" s="1"/>
      <c r="C33" s="2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7.25" customHeight="1">
      <c r="A34" s="1"/>
      <c r="B34" s="1"/>
      <c r="C34" s="2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7.25" customHeight="1">
      <c r="A35" s="1"/>
      <c r="B35" s="1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7.25" customHeight="1">
      <c r="A36" s="1"/>
      <c r="B36" s="1"/>
      <c r="C36" s="2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7.25" customHeight="1">
      <c r="A37" s="1"/>
      <c r="B37" s="1"/>
      <c r="C37" s="2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7.25" customHeight="1">
      <c r="A38" s="1"/>
      <c r="B38" s="1"/>
      <c r="C38" s="2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7.25" customHeight="1">
      <c r="A39" s="1"/>
      <c r="B39" s="1"/>
      <c r="C39" s="2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7.25" customHeight="1">
      <c r="A40" s="1"/>
      <c r="B40" s="1"/>
      <c r="C40" s="2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7.25" customHeight="1">
      <c r="A41" s="1"/>
      <c r="B41" s="1"/>
      <c r="C41" s="2"/>
      <c r="D41" s="120" t="s">
        <v>70</v>
      </c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2"/>
      <c r="R41" s="3"/>
      <c r="S41" s="3"/>
      <c r="T41" s="3"/>
      <c r="U41" s="3"/>
      <c r="V41" s="3"/>
      <c r="W41" s="3"/>
      <c r="X41" s="3"/>
      <c r="Y41" s="3"/>
      <c r="Z41" s="3"/>
    </row>
    <row r="42" spans="1:26" ht="17.25" customHeight="1">
      <c r="A42" s="1"/>
      <c r="B42" s="1"/>
      <c r="C42" s="2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7.25" customHeight="1">
      <c r="A43" s="1"/>
      <c r="B43" s="1"/>
      <c r="C43" s="2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7.25" customHeight="1">
      <c r="A44" s="1"/>
      <c r="B44" s="1"/>
      <c r="C44" s="2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7.25" customHeight="1">
      <c r="A45" s="1"/>
      <c r="B45" s="1"/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7.25" customHeight="1">
      <c r="A46" s="1"/>
      <c r="B46" s="1"/>
      <c r="C46" s="2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7.25" customHeight="1">
      <c r="A47" s="1"/>
      <c r="B47" s="1"/>
      <c r="C47" s="2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7.25" customHeight="1">
      <c r="A48" s="1"/>
      <c r="B48" s="1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7.25" customHeight="1">
      <c r="A49" s="1"/>
      <c r="B49" s="1"/>
      <c r="C49" s="2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7.25" customHeight="1">
      <c r="A50" s="1"/>
      <c r="B50" s="1"/>
      <c r="C50" s="2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7.25" customHeight="1">
      <c r="A51" s="1"/>
      <c r="B51" s="1"/>
      <c r="C51" s="2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7.25" customHeight="1">
      <c r="A52" s="1"/>
      <c r="B52" s="1"/>
      <c r="C52" s="2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7.25" customHeight="1">
      <c r="A53" s="1"/>
      <c r="B53" s="1"/>
      <c r="C53" s="2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7.25" customHeight="1">
      <c r="A54" s="1"/>
      <c r="B54" s="1"/>
      <c r="C54" s="2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7.25" customHeight="1">
      <c r="A55" s="1"/>
      <c r="B55" s="1"/>
      <c r="C55" s="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7.25" customHeight="1">
      <c r="A56" s="1"/>
      <c r="B56" s="1"/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7.25" customHeight="1">
      <c r="A57" s="1"/>
      <c r="B57" s="1"/>
      <c r="C57" s="2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7.25" customHeight="1">
      <c r="A58" s="1"/>
      <c r="B58" s="1"/>
      <c r="C58" s="2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7.25" customHeight="1">
      <c r="A59" s="1"/>
      <c r="B59" s="1"/>
      <c r="C59" s="2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7.25" customHeight="1">
      <c r="A60" s="1"/>
      <c r="B60" s="1"/>
      <c r="C60" s="2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7.25" customHeight="1">
      <c r="A61" s="1"/>
      <c r="B61" s="1"/>
      <c r="C61" s="2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7.25" customHeight="1">
      <c r="A62" s="1"/>
      <c r="B62" s="1"/>
      <c r="C62" s="2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7.25" customHeight="1">
      <c r="A63" s="1"/>
      <c r="B63" s="1"/>
      <c r="C63" s="2"/>
      <c r="D63" s="120" t="s">
        <v>58</v>
      </c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2"/>
      <c r="R63" s="3"/>
      <c r="S63" s="3"/>
      <c r="T63" s="3"/>
      <c r="U63" s="3"/>
      <c r="V63" s="3"/>
      <c r="W63" s="3"/>
      <c r="X63" s="3"/>
      <c r="Y63" s="3"/>
      <c r="Z63" s="3"/>
    </row>
    <row r="64" spans="1:26" ht="17.25" customHeight="1">
      <c r="A64" s="1"/>
      <c r="B64" s="1"/>
      <c r="C64" s="2"/>
      <c r="D64" s="3"/>
      <c r="E64" s="3"/>
      <c r="F64" s="3"/>
      <c r="G64" s="3"/>
      <c r="H64" s="3"/>
      <c r="I64" s="3"/>
      <c r="J64" s="3"/>
      <c r="K64" s="131" t="s">
        <v>59</v>
      </c>
      <c r="L64" s="121"/>
      <c r="M64" s="121"/>
      <c r="N64" s="132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7.25" customHeight="1">
      <c r="A65" s="1"/>
      <c r="B65" s="1"/>
      <c r="C65" s="2"/>
      <c r="D65" s="87" t="s">
        <v>44</v>
      </c>
      <c r="E65" s="87" t="s">
        <v>60</v>
      </c>
      <c r="F65" s="87" t="s">
        <v>61</v>
      </c>
      <c r="G65" s="87" t="s">
        <v>45</v>
      </c>
      <c r="H65" s="87" t="s">
        <v>46</v>
      </c>
      <c r="I65" s="87" t="s">
        <v>62</v>
      </c>
      <c r="J65" s="87" t="s">
        <v>63</v>
      </c>
      <c r="K65" s="87" t="s">
        <v>71</v>
      </c>
      <c r="L65" s="87" t="s">
        <v>65</v>
      </c>
      <c r="M65" s="87" t="s">
        <v>66</v>
      </c>
      <c r="N65" s="87" t="s">
        <v>72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7.25" customHeight="1">
      <c r="A66" s="1"/>
      <c r="B66" s="1"/>
      <c r="C66" s="2"/>
      <c r="D66" s="88"/>
      <c r="E66" s="88"/>
      <c r="F66" s="89"/>
      <c r="G66" s="90" t="str">
        <f>IFERROR(VLOOKUP(BDRs!$D66,BDRs!$D$19:$Q$19,2,0),"")</f>
        <v/>
      </c>
      <c r="H66" s="91"/>
      <c r="I66" s="92"/>
      <c r="J66" s="93">
        <f>BDRs!$H66*BDRs!$I66</f>
        <v>0</v>
      </c>
      <c r="K66" s="90">
        <f>SUMIFS(H66:H$1048576,D66:D$1048576,BDRs!$D66,E66:E$1048576,"Compra") -
SUMIFS(H66:H$1048576,D66:D$1048576,BDRs!$D66,E66:E$1048576,"Venda")</f>
        <v>0</v>
      </c>
      <c r="L66" s="93">
        <f>IF(BDRs!$E66 = "Compra",
BDRs!$M66/BDRs!$K66,
IFERROR(VLOOKUP(BDRs!$D66,D67:M$1048576,9,FALSE),0))</f>
        <v>0</v>
      </c>
      <c r="M66" s="93" t="e" cm="1">
        <f t="array" ref="M66">_xlfn.IFS(BDRs!$E66 = "Compra", IFERROR(VLOOKUP(BDRs!$D66,D67:M$1048576,10,FALSE),0) + BDRs!$J66,
BDRs!$E66 = "Venda",BDRs!$K66 * IFERROR(VLOOKUP(BDRs!$D66,D67:M$1048576,9,FALSE),0),
BDRs!$E66 = "Provento",VLOOKUP(BDRs!$D66,D67:M$1048576,10,FALSE))</f>
        <v>#N/A</v>
      </c>
      <c r="N66" s="94">
        <f>EOMONTH(BDRs!$F66,0)</f>
        <v>31</v>
      </c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7.25" customHeight="1">
      <c r="A67" s="1"/>
      <c r="B67" s="1"/>
      <c r="C67" s="2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7.25" customHeight="1">
      <c r="A68" s="1"/>
      <c r="B68" s="1"/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7.25" customHeight="1">
      <c r="A69" s="1"/>
      <c r="B69" s="1"/>
      <c r="C69" s="2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7.25" customHeight="1">
      <c r="A70" s="1"/>
      <c r="B70" s="1"/>
      <c r="C70" s="2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7.25" customHeight="1">
      <c r="A71" s="1"/>
      <c r="B71" s="1"/>
      <c r="C71" s="2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7.25" customHeight="1">
      <c r="A72" s="1"/>
      <c r="B72" s="1"/>
      <c r="C72" s="2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7.25" customHeight="1">
      <c r="A73" s="1"/>
      <c r="B73" s="1"/>
      <c r="C73" s="2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7.25" customHeight="1">
      <c r="A74" s="1"/>
      <c r="B74" s="1"/>
      <c r="C74" s="2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7.25" customHeight="1">
      <c r="A75" s="1"/>
      <c r="B75" s="1"/>
      <c r="C75" s="2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7.25" customHeight="1">
      <c r="A76" s="1"/>
      <c r="B76" s="1"/>
      <c r="C76" s="2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7.25" customHeight="1">
      <c r="A77" s="1"/>
      <c r="B77" s="1"/>
      <c r="C77" s="2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7.25" customHeight="1">
      <c r="A78" s="1"/>
      <c r="B78" s="1"/>
      <c r="C78" s="2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7.25" customHeight="1">
      <c r="A79" s="1"/>
      <c r="B79" s="1"/>
      <c r="C79" s="2"/>
      <c r="D79" s="3"/>
      <c r="E79" s="3"/>
      <c r="F79" s="63"/>
      <c r="G79" s="3"/>
      <c r="H79" s="3"/>
      <c r="I79" s="64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7.25" customHeight="1">
      <c r="A80" s="1"/>
      <c r="B80" s="1"/>
      <c r="C80" s="2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7.25" customHeight="1">
      <c r="A81" s="1"/>
      <c r="B81" s="1"/>
      <c r="C81" s="2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7.25" customHeight="1">
      <c r="A82" s="1"/>
      <c r="B82" s="1"/>
      <c r="C82" s="2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7.25" customHeight="1">
      <c r="A83" s="1"/>
      <c r="B83" s="1"/>
      <c r="C83" s="2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7.25" customHeight="1">
      <c r="A84" s="1"/>
      <c r="B84" s="1"/>
      <c r="C84" s="2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7.25" customHeight="1">
      <c r="A85" s="1"/>
      <c r="B85" s="1"/>
      <c r="C85" s="2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7.25" customHeight="1">
      <c r="A86" s="1"/>
      <c r="B86" s="1"/>
      <c r="C86" s="2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7.25" customHeight="1">
      <c r="A87" s="1"/>
      <c r="B87" s="1"/>
      <c r="C87" s="2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7.25" customHeight="1">
      <c r="A88" s="1"/>
      <c r="B88" s="1"/>
      <c r="C88" s="2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7.25" customHeight="1">
      <c r="A89" s="1"/>
      <c r="B89" s="1"/>
      <c r="C89" s="2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7.25" customHeight="1">
      <c r="A90" s="1"/>
      <c r="B90" s="1"/>
      <c r="C90" s="2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7.25" customHeight="1">
      <c r="A91" s="1"/>
      <c r="B91" s="1"/>
      <c r="C91" s="2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7.25" customHeight="1">
      <c r="A92" s="1"/>
      <c r="B92" s="1"/>
      <c r="C92" s="2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7.25" customHeight="1">
      <c r="A93" s="1"/>
      <c r="B93" s="1"/>
      <c r="C93" s="2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7.25" customHeight="1">
      <c r="A94" s="1"/>
      <c r="B94" s="1"/>
      <c r="C94" s="2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7.25" customHeight="1">
      <c r="A95" s="1"/>
      <c r="B95" s="1"/>
      <c r="C95" s="2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7.25" customHeight="1">
      <c r="A96" s="1"/>
      <c r="B96" s="1"/>
      <c r="C96" s="2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7.25" customHeight="1">
      <c r="A97" s="1"/>
      <c r="B97" s="1"/>
      <c r="C97" s="2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7.25" customHeight="1">
      <c r="A98" s="1"/>
      <c r="B98" s="1"/>
      <c r="C98" s="2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7.25" customHeight="1">
      <c r="A99" s="1"/>
      <c r="B99" s="1"/>
      <c r="C99" s="2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7.25" customHeight="1">
      <c r="A100" s="1"/>
      <c r="B100" s="1"/>
      <c r="C100" s="2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7.25" customHeight="1">
      <c r="A101" s="1"/>
      <c r="B101" s="1"/>
      <c r="C101" s="2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7.25" customHeight="1">
      <c r="A102" s="1"/>
      <c r="B102" s="1"/>
      <c r="C102" s="2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7.25" customHeight="1">
      <c r="A103" s="1"/>
      <c r="B103" s="1"/>
      <c r="C103" s="2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7.25" customHeight="1">
      <c r="A104" s="1"/>
      <c r="B104" s="1"/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7.25" customHeight="1">
      <c r="A105" s="1"/>
      <c r="B105" s="1"/>
      <c r="C105" s="2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7.25" customHeight="1">
      <c r="A106" s="1"/>
      <c r="B106" s="1"/>
      <c r="C106" s="2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7.25" customHeight="1">
      <c r="A107" s="1"/>
      <c r="B107" s="1"/>
      <c r="C107" s="2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7.25" customHeight="1">
      <c r="A108" s="1"/>
      <c r="B108" s="1"/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7.25" customHeight="1">
      <c r="A109" s="1"/>
      <c r="B109" s="1"/>
      <c r="C109" s="2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7.25" customHeight="1">
      <c r="A110" s="1"/>
      <c r="B110" s="1"/>
      <c r="C110" s="2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7.25" customHeight="1">
      <c r="A111" s="1"/>
      <c r="B111" s="1"/>
      <c r="C111" s="2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7.25" customHeight="1">
      <c r="A112" s="1"/>
      <c r="B112" s="1"/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7.25" customHeight="1">
      <c r="A113" s="1"/>
      <c r="B113" s="1"/>
      <c r="C113" s="2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7.25" customHeight="1">
      <c r="A114" s="1"/>
      <c r="B114" s="1"/>
      <c r="C114" s="2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7.25" customHeight="1">
      <c r="A115" s="1"/>
      <c r="B115" s="1"/>
      <c r="C115" s="2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7.25" customHeight="1">
      <c r="A116" s="1"/>
      <c r="B116" s="1"/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7.25" customHeight="1">
      <c r="A117" s="1"/>
      <c r="B117" s="1"/>
      <c r="C117" s="2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7.25" customHeight="1">
      <c r="A118" s="1"/>
      <c r="B118" s="1"/>
      <c r="C118" s="2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7.25" customHeight="1">
      <c r="A119" s="1"/>
      <c r="B119" s="1"/>
      <c r="C119" s="2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7.25" customHeight="1">
      <c r="A120" s="1"/>
      <c r="B120" s="1"/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7.25" customHeight="1">
      <c r="A121" s="1"/>
      <c r="B121" s="1"/>
      <c r="C121" s="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7.25" customHeight="1">
      <c r="A122" s="1"/>
      <c r="B122" s="1"/>
      <c r="C122" s="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7.25" customHeight="1">
      <c r="A123" s="1"/>
      <c r="B123" s="1"/>
      <c r="C123" s="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7.25" customHeight="1">
      <c r="A124" s="1"/>
      <c r="B124" s="1"/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7.25" customHeight="1">
      <c r="A125" s="1"/>
      <c r="B125" s="1"/>
      <c r="C125" s="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7.25" customHeight="1">
      <c r="A126" s="1"/>
      <c r="B126" s="1"/>
      <c r="C126" s="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7.25" customHeight="1">
      <c r="A127" s="1"/>
      <c r="B127" s="1"/>
      <c r="C127" s="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7.25" customHeight="1">
      <c r="A128" s="1"/>
      <c r="B128" s="1"/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7.25" customHeight="1">
      <c r="A129" s="1"/>
      <c r="B129" s="1"/>
      <c r="C129" s="2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7.25" customHeight="1">
      <c r="A130" s="1"/>
      <c r="B130" s="1"/>
      <c r="C130" s="2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7.25" customHeight="1">
      <c r="A131" s="1"/>
      <c r="B131" s="1"/>
      <c r="C131" s="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7.25" customHeight="1">
      <c r="A132" s="1"/>
      <c r="B132" s="1"/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7.25" customHeight="1">
      <c r="A133" s="1"/>
      <c r="B133" s="1"/>
      <c r="C133" s="2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7.25" customHeight="1">
      <c r="A134" s="1"/>
      <c r="B134" s="1"/>
      <c r="C134" s="2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7.25" customHeight="1">
      <c r="A135" s="1"/>
      <c r="B135" s="1"/>
      <c r="C135" s="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7.25" customHeight="1">
      <c r="A136" s="1"/>
      <c r="B136" s="1"/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7.25" customHeight="1">
      <c r="A137" s="1"/>
      <c r="B137" s="1"/>
      <c r="C137" s="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7.25" customHeight="1">
      <c r="A138" s="1"/>
      <c r="B138" s="1"/>
      <c r="C138" s="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7.25" customHeight="1">
      <c r="A139" s="1"/>
      <c r="B139" s="1"/>
      <c r="C139" s="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7.25" customHeight="1">
      <c r="A140" s="1"/>
      <c r="B140" s="1"/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7.25" customHeight="1">
      <c r="A141" s="1"/>
      <c r="B141" s="1"/>
      <c r="C141" s="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7.25" customHeight="1">
      <c r="A142" s="1"/>
      <c r="B142" s="1"/>
      <c r="C142" s="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7.25" customHeight="1">
      <c r="A143" s="1"/>
      <c r="B143" s="1"/>
      <c r="C143" s="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7.25" customHeight="1">
      <c r="A144" s="1"/>
      <c r="B144" s="1"/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7.25" customHeight="1">
      <c r="A145" s="1"/>
      <c r="B145" s="1"/>
      <c r="C145" s="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7.25" customHeight="1">
      <c r="A146" s="1"/>
      <c r="B146" s="1"/>
      <c r="C146" s="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7.25" customHeight="1">
      <c r="A147" s="1"/>
      <c r="B147" s="1"/>
      <c r="C147" s="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7.25" customHeight="1">
      <c r="A148" s="1"/>
      <c r="B148" s="1"/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7.25" customHeight="1">
      <c r="A149" s="1"/>
      <c r="B149" s="1"/>
      <c r="C149" s="2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7.25" customHeight="1">
      <c r="A150" s="1"/>
      <c r="B150" s="1"/>
      <c r="C150" s="2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7.25" customHeight="1">
      <c r="A151" s="1"/>
      <c r="B151" s="1"/>
      <c r="C151" s="2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7.25" customHeight="1">
      <c r="A152" s="1"/>
      <c r="B152" s="1"/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7.25" customHeight="1">
      <c r="A153" s="1"/>
      <c r="B153" s="1"/>
      <c r="C153" s="2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7.25" customHeight="1">
      <c r="A154" s="1"/>
      <c r="B154" s="1"/>
      <c r="C154" s="2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7.25" customHeight="1">
      <c r="A155" s="1"/>
      <c r="B155" s="1"/>
      <c r="C155" s="2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7.25" customHeight="1">
      <c r="A156" s="1"/>
      <c r="B156" s="1"/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7.25" customHeight="1">
      <c r="A157" s="1"/>
      <c r="B157" s="1"/>
      <c r="C157" s="2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7.25" customHeight="1">
      <c r="A158" s="1"/>
      <c r="B158" s="1"/>
      <c r="C158" s="2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7.25" customHeight="1">
      <c r="A159" s="1"/>
      <c r="B159" s="1"/>
      <c r="C159" s="2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7.25" customHeight="1">
      <c r="A160" s="1"/>
      <c r="B160" s="1"/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7.25" customHeight="1">
      <c r="A161" s="1"/>
      <c r="B161" s="1"/>
      <c r="C161" s="2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7.25" customHeight="1">
      <c r="A162" s="1"/>
      <c r="B162" s="1"/>
      <c r="C162" s="2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7.25" customHeight="1">
      <c r="A163" s="1"/>
      <c r="B163" s="1"/>
      <c r="C163" s="2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7.25" customHeight="1">
      <c r="A164" s="1"/>
      <c r="B164" s="1"/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7.25" customHeight="1">
      <c r="A165" s="1"/>
      <c r="B165" s="1"/>
      <c r="C165" s="2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7.25" customHeight="1">
      <c r="A166" s="1"/>
      <c r="B166" s="1"/>
      <c r="C166" s="2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7.25" customHeight="1">
      <c r="A167" s="1"/>
      <c r="B167" s="1"/>
      <c r="C167" s="2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7.25" customHeight="1">
      <c r="A168" s="1"/>
      <c r="B168" s="1"/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7.25" customHeight="1">
      <c r="A169" s="1"/>
      <c r="B169" s="1"/>
      <c r="C169" s="2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7.25" customHeight="1">
      <c r="A170" s="1"/>
      <c r="B170" s="1"/>
      <c r="C170" s="2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7.25" customHeight="1">
      <c r="A171" s="1"/>
      <c r="B171" s="1"/>
      <c r="C171" s="2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7.25" customHeight="1">
      <c r="A172" s="1"/>
      <c r="B172" s="1"/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7.25" customHeight="1">
      <c r="A173" s="1"/>
      <c r="B173" s="1"/>
      <c r="C173" s="2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7.25" customHeight="1">
      <c r="A174" s="1"/>
      <c r="B174" s="1"/>
      <c r="C174" s="2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7.25" customHeight="1">
      <c r="A175" s="1"/>
      <c r="B175" s="1"/>
      <c r="C175" s="2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7.25" customHeight="1">
      <c r="A176" s="1"/>
      <c r="B176" s="1"/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7.25" customHeight="1">
      <c r="A177" s="1"/>
      <c r="B177" s="1"/>
      <c r="C177" s="2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7.25" customHeight="1">
      <c r="A178" s="1"/>
      <c r="B178" s="1"/>
      <c r="C178" s="2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7.25" customHeight="1">
      <c r="A179" s="1"/>
      <c r="B179" s="1"/>
      <c r="C179" s="2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7.25" customHeight="1">
      <c r="A180" s="1"/>
      <c r="B180" s="1"/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7.25" customHeight="1">
      <c r="A181" s="1"/>
      <c r="B181" s="1"/>
      <c r="C181" s="2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7.25" customHeight="1">
      <c r="A182" s="1"/>
      <c r="B182" s="1"/>
      <c r="C182" s="2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7.25" customHeight="1">
      <c r="A183" s="1"/>
      <c r="B183" s="1"/>
      <c r="C183" s="2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7.25" customHeight="1">
      <c r="A184" s="1"/>
      <c r="B184" s="1"/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7.25" customHeight="1">
      <c r="A185" s="1"/>
      <c r="B185" s="1"/>
      <c r="C185" s="2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7.25" customHeight="1">
      <c r="A186" s="1"/>
      <c r="B186" s="1"/>
      <c r="C186" s="2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7.25" customHeight="1">
      <c r="A187" s="1"/>
      <c r="B187" s="1"/>
      <c r="C187" s="2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7.25" customHeight="1">
      <c r="A188" s="1"/>
      <c r="B188" s="1"/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7.25" customHeight="1">
      <c r="A189" s="1"/>
      <c r="B189" s="1"/>
      <c r="C189" s="2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7.25" customHeight="1">
      <c r="A190" s="1"/>
      <c r="B190" s="1"/>
      <c r="C190" s="2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7.25" customHeight="1">
      <c r="A191" s="1"/>
      <c r="B191" s="1"/>
      <c r="C191" s="2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7.25" customHeight="1">
      <c r="A192" s="1"/>
      <c r="B192" s="1"/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7.25" customHeight="1">
      <c r="A193" s="1"/>
      <c r="B193" s="1"/>
      <c r="C193" s="2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7.25" customHeight="1">
      <c r="A194" s="1"/>
      <c r="B194" s="1"/>
      <c r="C194" s="2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7.25" customHeight="1">
      <c r="A195" s="1"/>
      <c r="B195" s="1"/>
      <c r="C195" s="2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7.25" customHeight="1">
      <c r="A196" s="1"/>
      <c r="B196" s="1"/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7.25" customHeight="1">
      <c r="A197" s="1"/>
      <c r="B197" s="1"/>
      <c r="C197" s="2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7.25" customHeight="1">
      <c r="A198" s="1"/>
      <c r="B198" s="1"/>
      <c r="C198" s="2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7.25" customHeight="1">
      <c r="A199" s="1"/>
      <c r="B199" s="1"/>
      <c r="C199" s="2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7.25" customHeight="1">
      <c r="A200" s="1"/>
      <c r="B200" s="1"/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7.25" customHeight="1">
      <c r="A201" s="1"/>
      <c r="B201" s="1"/>
      <c r="C201" s="2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7.25" customHeight="1">
      <c r="A202" s="1"/>
      <c r="B202" s="1"/>
      <c r="C202" s="2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7.25" customHeight="1">
      <c r="A203" s="1"/>
      <c r="B203" s="1"/>
      <c r="C203" s="2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7.25" customHeight="1">
      <c r="A204" s="1"/>
      <c r="B204" s="1"/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7.25" customHeight="1">
      <c r="A205" s="1"/>
      <c r="B205" s="1"/>
      <c r="C205" s="2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7.25" customHeight="1">
      <c r="A206" s="1"/>
      <c r="B206" s="1"/>
      <c r="C206" s="2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7.25" customHeight="1">
      <c r="A207" s="1"/>
      <c r="B207" s="1"/>
      <c r="C207" s="2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7.25" customHeight="1">
      <c r="A208" s="1"/>
      <c r="B208" s="1"/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7.25" customHeight="1">
      <c r="A209" s="1"/>
      <c r="B209" s="1"/>
      <c r="C209" s="2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7.25" customHeight="1">
      <c r="A210" s="1"/>
      <c r="B210" s="1"/>
      <c r="C210" s="2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7.25" customHeight="1">
      <c r="A211" s="1"/>
      <c r="B211" s="1"/>
      <c r="C211" s="2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7.25" customHeight="1">
      <c r="A212" s="1"/>
      <c r="B212" s="1"/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7.25" customHeight="1">
      <c r="A213" s="1"/>
      <c r="B213" s="1"/>
      <c r="C213" s="2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7.25" customHeight="1">
      <c r="A214" s="1"/>
      <c r="B214" s="1"/>
      <c r="C214" s="2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7.25" customHeight="1">
      <c r="A215" s="1"/>
      <c r="B215" s="1"/>
      <c r="C215" s="2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7.25" customHeight="1">
      <c r="A216" s="1"/>
      <c r="B216" s="1"/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7.25" customHeight="1">
      <c r="A217" s="1"/>
      <c r="B217" s="1"/>
      <c r="C217" s="2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7.25" customHeight="1">
      <c r="A218" s="1"/>
      <c r="B218" s="1"/>
      <c r="C218" s="2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7.25" customHeight="1">
      <c r="A219" s="1"/>
      <c r="B219" s="1"/>
      <c r="C219" s="2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7.25" customHeight="1">
      <c r="A220" s="1"/>
      <c r="B220" s="1"/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7.25" customHeight="1">
      <c r="A221" s="1"/>
      <c r="B221" s="1"/>
      <c r="C221" s="2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7.25" customHeight="1">
      <c r="A222" s="1"/>
      <c r="B222" s="1"/>
      <c r="C222" s="2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7.25" customHeight="1">
      <c r="A223" s="1"/>
      <c r="B223" s="1"/>
      <c r="C223" s="2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7.25" customHeight="1">
      <c r="A224" s="1"/>
      <c r="B224" s="1"/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7.25" customHeight="1">
      <c r="A225" s="1"/>
      <c r="B225" s="1"/>
      <c r="C225" s="2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7.25" customHeight="1">
      <c r="A226" s="1"/>
      <c r="B226" s="1"/>
      <c r="C226" s="2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7.25" customHeight="1">
      <c r="A227" s="1"/>
      <c r="B227" s="1"/>
      <c r="C227" s="2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7.25" customHeight="1">
      <c r="A228" s="1"/>
      <c r="B228" s="1"/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7.25" customHeight="1">
      <c r="A229" s="1"/>
      <c r="B229" s="1"/>
      <c r="C229" s="2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7.25" customHeight="1">
      <c r="A230" s="1"/>
      <c r="B230" s="1"/>
      <c r="C230" s="2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7.25" customHeight="1">
      <c r="A231" s="1"/>
      <c r="B231" s="1"/>
      <c r="C231" s="2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7.25" customHeight="1">
      <c r="A232" s="1"/>
      <c r="B232" s="1"/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7.25" customHeight="1">
      <c r="A233" s="1"/>
      <c r="B233" s="1"/>
      <c r="C233" s="2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7.25" customHeight="1">
      <c r="A234" s="1"/>
      <c r="B234" s="1"/>
      <c r="C234" s="2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7.25" customHeight="1">
      <c r="A235" s="1"/>
      <c r="B235" s="1"/>
      <c r="C235" s="2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7.25" customHeight="1">
      <c r="A236" s="1"/>
      <c r="B236" s="1"/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7.25" customHeight="1">
      <c r="A237" s="1"/>
      <c r="B237" s="1"/>
      <c r="C237" s="2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7.25" customHeight="1">
      <c r="A238" s="1"/>
      <c r="B238" s="1"/>
      <c r="C238" s="2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7.25" customHeight="1">
      <c r="A239" s="1"/>
      <c r="B239" s="1"/>
      <c r="C239" s="2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7.25" customHeight="1">
      <c r="A240" s="1"/>
      <c r="B240" s="1"/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7.25" customHeight="1">
      <c r="A241" s="1"/>
      <c r="B241" s="1"/>
      <c r="C241" s="2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7.25" customHeight="1">
      <c r="A242" s="1"/>
      <c r="B242" s="1"/>
      <c r="C242" s="2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7.25" customHeight="1">
      <c r="A243" s="1"/>
      <c r="B243" s="1"/>
      <c r="C243" s="2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7.25" customHeight="1">
      <c r="A244" s="1"/>
      <c r="B244" s="1"/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7.25" customHeight="1">
      <c r="A245" s="1"/>
      <c r="B245" s="1"/>
      <c r="C245" s="2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7.25" customHeight="1">
      <c r="A246" s="1"/>
      <c r="B246" s="1"/>
      <c r="C246" s="2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7.25" customHeight="1">
      <c r="A247" s="1"/>
      <c r="B247" s="1"/>
      <c r="C247" s="2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7.25" customHeight="1">
      <c r="A248" s="1"/>
      <c r="B248" s="1"/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7.25" customHeight="1">
      <c r="A249" s="1"/>
      <c r="B249" s="1"/>
      <c r="C249" s="2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7.25" customHeight="1">
      <c r="A250" s="1"/>
      <c r="B250" s="1"/>
      <c r="C250" s="2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7.25" customHeight="1">
      <c r="A251" s="1"/>
      <c r="B251" s="1"/>
      <c r="C251" s="2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7.25" customHeight="1">
      <c r="A252" s="1"/>
      <c r="B252" s="1"/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7.25" customHeight="1">
      <c r="A253" s="1"/>
      <c r="B253" s="1"/>
      <c r="C253" s="2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7.25" customHeight="1">
      <c r="A254" s="1"/>
      <c r="B254" s="1"/>
      <c r="C254" s="2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7.25" customHeight="1">
      <c r="A255" s="1"/>
      <c r="B255" s="1"/>
      <c r="C255" s="2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7.25" customHeight="1">
      <c r="A256" s="1"/>
      <c r="B256" s="1"/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7.25" customHeight="1">
      <c r="A257" s="1"/>
      <c r="B257" s="1"/>
      <c r="C257" s="2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7.25" customHeight="1">
      <c r="A258" s="1"/>
      <c r="B258" s="1"/>
      <c r="C258" s="2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7.25" customHeight="1">
      <c r="A259" s="1"/>
      <c r="B259" s="1"/>
      <c r="C259" s="2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7.25" customHeight="1">
      <c r="A260" s="1"/>
      <c r="B260" s="1"/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7.25" customHeight="1">
      <c r="A261" s="1"/>
      <c r="B261" s="1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7.25" customHeight="1">
      <c r="A262" s="1"/>
      <c r="B262" s="1"/>
      <c r="C262" s="2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7.25" customHeight="1">
      <c r="A263" s="1"/>
      <c r="B263" s="1"/>
      <c r="C263" s="2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7.25" customHeight="1">
      <c r="A264" s="1"/>
      <c r="B264" s="1"/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7.25" customHeight="1">
      <c r="A265" s="1"/>
      <c r="B265" s="1"/>
      <c r="C265" s="2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7.25" customHeight="1">
      <c r="A266" s="1"/>
      <c r="B266" s="1"/>
      <c r="C266" s="2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7.25" customHeight="1">
      <c r="A267" s="1"/>
      <c r="B267" s="1"/>
      <c r="C267" s="2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7.25" customHeight="1">
      <c r="A268" s="1"/>
      <c r="B268" s="1"/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7.25" customHeight="1">
      <c r="A269" s="1"/>
      <c r="B269" s="1"/>
      <c r="C269" s="2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7.25" customHeight="1">
      <c r="A270" s="1"/>
      <c r="B270" s="1"/>
      <c r="C270" s="2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7.25" customHeight="1">
      <c r="A271" s="1"/>
      <c r="B271" s="1"/>
      <c r="C271" s="2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7.25" customHeight="1">
      <c r="A272" s="1"/>
      <c r="B272" s="1"/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7.25" customHeight="1">
      <c r="A273" s="1"/>
      <c r="B273" s="1"/>
      <c r="C273" s="2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7.25" customHeight="1">
      <c r="A274" s="1"/>
      <c r="B274" s="1"/>
      <c r="C274" s="2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7.25" customHeight="1">
      <c r="A275" s="1"/>
      <c r="B275" s="1"/>
      <c r="C275" s="2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7.25" customHeight="1">
      <c r="A276" s="1"/>
      <c r="B276" s="1"/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7.25" customHeight="1">
      <c r="A277" s="1"/>
      <c r="B277" s="1"/>
      <c r="C277" s="2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7.25" customHeight="1">
      <c r="A278" s="1"/>
      <c r="B278" s="1"/>
      <c r="C278" s="2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7.25" customHeight="1">
      <c r="A279" s="1"/>
      <c r="B279" s="1"/>
      <c r="C279" s="2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7.25" customHeight="1">
      <c r="A280" s="1"/>
      <c r="B280" s="1"/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7.25" customHeight="1">
      <c r="A281" s="1"/>
      <c r="B281" s="1"/>
      <c r="C281" s="2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7.25" customHeight="1">
      <c r="A282" s="1"/>
      <c r="B282" s="1"/>
      <c r="C282" s="2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7.25" customHeight="1">
      <c r="A283" s="1"/>
      <c r="B283" s="1"/>
      <c r="C283" s="2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7.25" customHeight="1">
      <c r="A284" s="1"/>
      <c r="B284" s="1"/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7.25" customHeight="1">
      <c r="A285" s="1"/>
      <c r="B285" s="1"/>
      <c r="C285" s="2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7.25" customHeight="1">
      <c r="A286" s="1"/>
      <c r="B286" s="1"/>
      <c r="C286" s="2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7.25" customHeight="1">
      <c r="A287" s="1"/>
      <c r="B287" s="1"/>
      <c r="C287" s="2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7.25" customHeight="1">
      <c r="A288" s="1"/>
      <c r="B288" s="1"/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7.25" customHeight="1">
      <c r="A289" s="1"/>
      <c r="B289" s="1"/>
      <c r="C289" s="2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7.25" customHeight="1">
      <c r="A290" s="1"/>
      <c r="B290" s="1"/>
      <c r="C290" s="2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7.25" customHeight="1">
      <c r="A291" s="1"/>
      <c r="B291" s="1"/>
      <c r="C291" s="2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7.25" customHeight="1">
      <c r="A292" s="1"/>
      <c r="B292" s="1"/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7.25" customHeight="1">
      <c r="A293" s="1"/>
      <c r="B293" s="1"/>
      <c r="C293" s="2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7.25" customHeight="1">
      <c r="A294" s="1"/>
      <c r="B294" s="1"/>
      <c r="C294" s="2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7.25" customHeight="1">
      <c r="A295" s="1"/>
      <c r="B295" s="1"/>
      <c r="C295" s="2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7.25" customHeight="1">
      <c r="A296" s="1"/>
      <c r="B296" s="1"/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7.25" customHeight="1">
      <c r="A297" s="1"/>
      <c r="B297" s="1"/>
      <c r="C297" s="2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7.25" customHeight="1">
      <c r="A298" s="1"/>
      <c r="B298" s="1"/>
      <c r="C298" s="2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7.25" customHeight="1">
      <c r="A299" s="1"/>
      <c r="B299" s="1"/>
      <c r="C299" s="2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7.25" customHeight="1">
      <c r="A300" s="1"/>
      <c r="B300" s="1"/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7.25" customHeight="1">
      <c r="A301" s="1"/>
      <c r="B301" s="1"/>
      <c r="C301" s="2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7.25" customHeight="1">
      <c r="A302" s="1"/>
      <c r="B302" s="1"/>
      <c r="C302" s="2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7.25" customHeight="1">
      <c r="A303" s="1"/>
      <c r="B303" s="1"/>
      <c r="C303" s="2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7.25" customHeight="1">
      <c r="A304" s="1"/>
      <c r="B304" s="1"/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7.25" customHeight="1">
      <c r="A305" s="1"/>
      <c r="B305" s="1"/>
      <c r="C305" s="2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7.25" customHeight="1">
      <c r="A306" s="1"/>
      <c r="B306" s="1"/>
      <c r="C306" s="2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7.25" customHeight="1">
      <c r="A307" s="1"/>
      <c r="B307" s="1"/>
      <c r="C307" s="2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7.25" customHeight="1">
      <c r="A308" s="1"/>
      <c r="B308" s="1"/>
      <c r="C308" s="2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7.25" customHeight="1">
      <c r="A309" s="1"/>
      <c r="B309" s="1"/>
      <c r="C309" s="2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7.25" customHeight="1">
      <c r="A310" s="1"/>
      <c r="B310" s="1"/>
      <c r="C310" s="2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7.25" customHeight="1">
      <c r="A311" s="1"/>
      <c r="B311" s="1"/>
      <c r="C311" s="2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7.25" customHeight="1">
      <c r="A312" s="1"/>
      <c r="B312" s="1"/>
      <c r="C312" s="2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7.25" customHeight="1">
      <c r="A313" s="1"/>
      <c r="B313" s="1"/>
      <c r="C313" s="2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7.25" customHeight="1">
      <c r="A314" s="1"/>
      <c r="B314" s="1"/>
      <c r="C314" s="2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7.25" customHeight="1">
      <c r="A315" s="1"/>
      <c r="B315" s="1"/>
      <c r="C315" s="2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7.25" customHeight="1">
      <c r="A316" s="1"/>
      <c r="B316" s="1"/>
      <c r="C316" s="2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7.25" customHeight="1">
      <c r="A317" s="1"/>
      <c r="B317" s="1"/>
      <c r="C317" s="2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7.25" customHeight="1">
      <c r="A318" s="1"/>
      <c r="B318" s="1"/>
      <c r="C318" s="2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7.25" customHeight="1">
      <c r="A319" s="1"/>
      <c r="B319" s="1"/>
      <c r="C319" s="2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7.25" customHeight="1">
      <c r="A320" s="1"/>
      <c r="B320" s="1"/>
      <c r="C320" s="2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7.25" customHeight="1">
      <c r="A321" s="1"/>
      <c r="B321" s="1"/>
      <c r="C321" s="2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7.25" customHeight="1">
      <c r="A322" s="1"/>
      <c r="B322" s="1"/>
      <c r="C322" s="2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7.25" customHeight="1">
      <c r="A323" s="1"/>
      <c r="B323" s="1"/>
      <c r="C323" s="2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7.25" customHeight="1">
      <c r="A324" s="1"/>
      <c r="B324" s="1"/>
      <c r="C324" s="2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7.25" customHeight="1">
      <c r="A325" s="1"/>
      <c r="B325" s="1"/>
      <c r="C325" s="2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7.25" customHeight="1">
      <c r="A326" s="1"/>
      <c r="B326" s="1"/>
      <c r="C326" s="2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7.25" customHeight="1">
      <c r="A327" s="1"/>
      <c r="B327" s="1"/>
      <c r="C327" s="2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7.25" customHeight="1">
      <c r="A328" s="1"/>
      <c r="B328" s="1"/>
      <c r="C328" s="2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7.25" customHeight="1">
      <c r="A329" s="1"/>
      <c r="B329" s="1"/>
      <c r="C329" s="2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7.25" customHeight="1">
      <c r="A330" s="1"/>
      <c r="B330" s="1"/>
      <c r="C330" s="2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7.25" customHeight="1">
      <c r="A331" s="1"/>
      <c r="B331" s="1"/>
      <c r="C331" s="2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7.25" customHeight="1">
      <c r="A332" s="1"/>
      <c r="B332" s="1"/>
      <c r="C332" s="2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7.25" customHeight="1">
      <c r="A333" s="1"/>
      <c r="B333" s="1"/>
      <c r="C333" s="2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7.25" customHeight="1">
      <c r="A334" s="1"/>
      <c r="B334" s="1"/>
      <c r="C334" s="2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7.25" customHeight="1">
      <c r="A335" s="1"/>
      <c r="B335" s="1"/>
      <c r="C335" s="2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7.25" customHeight="1">
      <c r="A336" s="1"/>
      <c r="B336" s="1"/>
      <c r="C336" s="2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7.25" customHeight="1">
      <c r="A337" s="1"/>
      <c r="B337" s="1"/>
      <c r="C337" s="2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7.25" customHeight="1">
      <c r="A338" s="1"/>
      <c r="B338" s="1"/>
      <c r="C338" s="2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7.25" customHeight="1">
      <c r="A339" s="1"/>
      <c r="B339" s="1"/>
      <c r="C339" s="2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7.25" customHeight="1">
      <c r="A340" s="1"/>
      <c r="B340" s="1"/>
      <c r="C340" s="2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7.25" customHeight="1">
      <c r="A341" s="1"/>
      <c r="B341" s="1"/>
      <c r="C341" s="2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7.25" customHeight="1">
      <c r="A342" s="1"/>
      <c r="B342" s="1"/>
      <c r="C342" s="2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7.25" customHeight="1">
      <c r="A343" s="1"/>
      <c r="B343" s="1"/>
      <c r="C343" s="2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7.25" customHeight="1">
      <c r="A344" s="1"/>
      <c r="B344" s="1"/>
      <c r="C344" s="2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7.25" customHeight="1">
      <c r="A345" s="1"/>
      <c r="B345" s="1"/>
      <c r="C345" s="2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7.25" customHeight="1">
      <c r="A346" s="1"/>
      <c r="B346" s="1"/>
      <c r="C346" s="2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7.25" customHeight="1">
      <c r="A347" s="1"/>
      <c r="B347" s="1"/>
      <c r="C347" s="2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7.25" customHeight="1">
      <c r="A348" s="1"/>
      <c r="B348" s="1"/>
      <c r="C348" s="2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7.25" customHeight="1">
      <c r="A349" s="1"/>
      <c r="B349" s="1"/>
      <c r="C349" s="2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7.25" customHeight="1">
      <c r="A350" s="1"/>
      <c r="B350" s="1"/>
      <c r="C350" s="2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7.25" customHeight="1">
      <c r="A351" s="1"/>
      <c r="B351" s="1"/>
      <c r="C351" s="2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7.25" customHeight="1">
      <c r="A352" s="1"/>
      <c r="B352" s="1"/>
      <c r="C352" s="2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7.25" customHeight="1">
      <c r="A353" s="1"/>
      <c r="B353" s="1"/>
      <c r="C353" s="2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7.25" customHeight="1">
      <c r="A354" s="1"/>
      <c r="B354" s="1"/>
      <c r="C354" s="2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7.25" customHeight="1">
      <c r="A355" s="1"/>
      <c r="B355" s="1"/>
      <c r="C355" s="2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7.25" customHeight="1">
      <c r="A356" s="1"/>
      <c r="B356" s="1"/>
      <c r="C356" s="2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7.25" customHeight="1">
      <c r="A357" s="1"/>
      <c r="B357" s="1"/>
      <c r="C357" s="2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7.25" customHeight="1">
      <c r="A358" s="1"/>
      <c r="B358" s="1"/>
      <c r="C358" s="2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7.25" customHeight="1">
      <c r="A359" s="1"/>
      <c r="B359" s="1"/>
      <c r="C359" s="2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7.25" customHeight="1">
      <c r="A360" s="1"/>
      <c r="B360" s="1"/>
      <c r="C360" s="2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7.25" customHeight="1">
      <c r="A361" s="1"/>
      <c r="B361" s="1"/>
      <c r="C361" s="2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7.25" customHeight="1">
      <c r="A362" s="1"/>
      <c r="B362" s="1"/>
      <c r="C362" s="2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7.25" customHeight="1">
      <c r="A363" s="1"/>
      <c r="B363" s="1"/>
      <c r="C363" s="2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7.25" customHeight="1">
      <c r="A364" s="1"/>
      <c r="B364" s="1"/>
      <c r="C364" s="2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7.25" customHeight="1">
      <c r="A365" s="1"/>
      <c r="B365" s="1"/>
      <c r="C365" s="2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7.25" customHeight="1">
      <c r="A366" s="1"/>
      <c r="B366" s="1"/>
      <c r="C366" s="2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7.25" customHeight="1">
      <c r="A367" s="1"/>
      <c r="B367" s="1"/>
      <c r="C367" s="2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7.25" customHeight="1">
      <c r="A368" s="1"/>
      <c r="B368" s="1"/>
      <c r="C368" s="2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7.25" customHeight="1">
      <c r="A369" s="1"/>
      <c r="B369" s="1"/>
      <c r="C369" s="2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7.25" customHeight="1">
      <c r="A370" s="1"/>
      <c r="B370" s="1"/>
      <c r="C370" s="2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7.25" customHeight="1">
      <c r="A371" s="1"/>
      <c r="B371" s="1"/>
      <c r="C371" s="2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7.25" customHeight="1">
      <c r="A372" s="1"/>
      <c r="B372" s="1"/>
      <c r="C372" s="2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7.25" customHeight="1">
      <c r="A373" s="1"/>
      <c r="B373" s="1"/>
      <c r="C373" s="2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7.25" customHeight="1">
      <c r="A374" s="1"/>
      <c r="B374" s="1"/>
      <c r="C374" s="2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7.25" customHeight="1">
      <c r="A375" s="1"/>
      <c r="B375" s="1"/>
      <c r="C375" s="2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7.25" customHeight="1">
      <c r="A376" s="1"/>
      <c r="B376" s="1"/>
      <c r="C376" s="2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7.25" customHeight="1">
      <c r="A377" s="1"/>
      <c r="B377" s="1"/>
      <c r="C377" s="2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7.25" customHeight="1">
      <c r="A378" s="1"/>
      <c r="B378" s="1"/>
      <c r="C378" s="2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7.25" customHeight="1">
      <c r="A379" s="1"/>
      <c r="B379" s="1"/>
      <c r="C379" s="2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7.25" customHeight="1">
      <c r="A380" s="1"/>
      <c r="B380" s="1"/>
      <c r="C380" s="2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7.25" customHeight="1">
      <c r="A381" s="1"/>
      <c r="B381" s="1"/>
      <c r="C381" s="2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7.25" customHeight="1">
      <c r="A382" s="1"/>
      <c r="B382" s="1"/>
      <c r="C382" s="2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7.25" customHeight="1">
      <c r="A383" s="1"/>
      <c r="B383" s="1"/>
      <c r="C383" s="2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7.25" customHeight="1">
      <c r="A384" s="1"/>
      <c r="B384" s="1"/>
      <c r="C384" s="2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7.25" customHeight="1">
      <c r="A385" s="1"/>
      <c r="B385" s="1"/>
      <c r="C385" s="2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7.25" customHeight="1">
      <c r="A386" s="1"/>
      <c r="B386" s="1"/>
      <c r="C386" s="2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7.25" customHeight="1">
      <c r="A387" s="1"/>
      <c r="B387" s="1"/>
      <c r="C387" s="2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7.25" customHeight="1">
      <c r="A388" s="1"/>
      <c r="B388" s="1"/>
      <c r="C388" s="2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7.25" customHeight="1">
      <c r="A389" s="1"/>
      <c r="B389" s="1"/>
      <c r="C389" s="2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7.25" customHeight="1">
      <c r="A390" s="1"/>
      <c r="B390" s="1"/>
      <c r="C390" s="2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7.25" customHeight="1">
      <c r="A391" s="1"/>
      <c r="B391" s="1"/>
      <c r="C391" s="2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7.25" customHeight="1">
      <c r="A392" s="1"/>
      <c r="B392" s="1"/>
      <c r="C392" s="2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7.25" customHeight="1">
      <c r="A393" s="1"/>
      <c r="B393" s="1"/>
      <c r="C393" s="2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7.25" customHeight="1">
      <c r="A394" s="1"/>
      <c r="B394" s="1"/>
      <c r="C394" s="2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7.25" customHeight="1">
      <c r="A395" s="1"/>
      <c r="B395" s="1"/>
      <c r="C395" s="2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7.25" customHeight="1">
      <c r="A396" s="1"/>
      <c r="B396" s="1"/>
      <c r="C396" s="2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7.25" customHeight="1">
      <c r="A397" s="1"/>
      <c r="B397" s="1"/>
      <c r="C397" s="2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7.25" customHeight="1">
      <c r="A398" s="1"/>
      <c r="B398" s="1"/>
      <c r="C398" s="2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7.25" customHeight="1">
      <c r="A399" s="1"/>
      <c r="B399" s="1"/>
      <c r="C399" s="2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7.25" customHeight="1">
      <c r="A400" s="1"/>
      <c r="B400" s="1"/>
      <c r="C400" s="2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7.25" customHeight="1">
      <c r="A401" s="1"/>
      <c r="B401" s="1"/>
      <c r="C401" s="2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7.25" customHeight="1">
      <c r="A402" s="1"/>
      <c r="B402" s="1"/>
      <c r="C402" s="2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7.25" customHeight="1">
      <c r="A403" s="1"/>
      <c r="B403" s="1"/>
      <c r="C403" s="2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7.25" customHeight="1">
      <c r="A404" s="1"/>
      <c r="B404" s="1"/>
      <c r="C404" s="2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7.25" customHeight="1">
      <c r="A405" s="1"/>
      <c r="B405" s="1"/>
      <c r="C405" s="2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7.25" customHeight="1">
      <c r="A406" s="1"/>
      <c r="B406" s="1"/>
      <c r="C406" s="2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7.25" customHeight="1">
      <c r="A407" s="1"/>
      <c r="B407" s="1"/>
      <c r="C407" s="2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7.25" customHeight="1">
      <c r="A408" s="1"/>
      <c r="B408" s="1"/>
      <c r="C408" s="2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7.25" customHeight="1">
      <c r="A409" s="1"/>
      <c r="B409" s="1"/>
      <c r="C409" s="2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7.25" customHeight="1">
      <c r="A410" s="1"/>
      <c r="B410" s="1"/>
      <c r="C410" s="2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7.25" customHeight="1">
      <c r="A411" s="1"/>
      <c r="B411" s="1"/>
      <c r="C411" s="2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7.25" customHeight="1">
      <c r="A412" s="1"/>
      <c r="B412" s="1"/>
      <c r="C412" s="2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7.25" customHeight="1">
      <c r="A413" s="1"/>
      <c r="B413" s="1"/>
      <c r="C413" s="2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7.25" customHeight="1">
      <c r="A414" s="1"/>
      <c r="B414" s="1"/>
      <c r="C414" s="2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7.25" customHeight="1">
      <c r="A415" s="1"/>
      <c r="B415" s="1"/>
      <c r="C415" s="2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7.25" customHeight="1">
      <c r="A416" s="1"/>
      <c r="B416" s="1"/>
      <c r="C416" s="2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7.25" customHeight="1">
      <c r="A417" s="1"/>
      <c r="B417" s="1"/>
      <c r="C417" s="2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7.25" customHeight="1">
      <c r="A418" s="1"/>
      <c r="B418" s="1"/>
      <c r="C418" s="2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7.25" customHeight="1">
      <c r="A419" s="1"/>
      <c r="B419" s="1"/>
      <c r="C419" s="2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7.25" customHeight="1">
      <c r="A420" s="1"/>
      <c r="B420" s="1"/>
      <c r="C420" s="2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7.25" customHeight="1">
      <c r="A421" s="1"/>
      <c r="B421" s="1"/>
      <c r="C421" s="2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7.25" customHeight="1">
      <c r="A422" s="1"/>
      <c r="B422" s="1"/>
      <c r="C422" s="2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7.25" customHeight="1">
      <c r="A423" s="1"/>
      <c r="B423" s="1"/>
      <c r="C423" s="2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7.25" customHeight="1">
      <c r="A424" s="1"/>
      <c r="B424" s="1"/>
      <c r="C424" s="2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7.25" customHeight="1">
      <c r="A425" s="1"/>
      <c r="B425" s="1"/>
      <c r="C425" s="2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7.25" customHeight="1">
      <c r="A426" s="1"/>
      <c r="B426" s="1"/>
      <c r="C426" s="2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7.25" customHeight="1">
      <c r="A427" s="1"/>
      <c r="B427" s="1"/>
      <c r="C427" s="2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7.25" customHeight="1">
      <c r="A428" s="1"/>
      <c r="B428" s="1"/>
      <c r="C428" s="2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7.25" customHeight="1">
      <c r="A429" s="1"/>
      <c r="B429" s="1"/>
      <c r="C429" s="2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7.25" customHeight="1">
      <c r="A430" s="1"/>
      <c r="B430" s="1"/>
      <c r="C430" s="2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7.25" customHeight="1">
      <c r="A431" s="1"/>
      <c r="B431" s="1"/>
      <c r="C431" s="2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7.25" customHeight="1">
      <c r="A432" s="1"/>
      <c r="B432" s="1"/>
      <c r="C432" s="2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7.25" customHeight="1">
      <c r="A433" s="1"/>
      <c r="B433" s="1"/>
      <c r="C433" s="2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7.25" customHeight="1">
      <c r="A434" s="1"/>
      <c r="B434" s="1"/>
      <c r="C434" s="2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7.25" customHeight="1">
      <c r="A435" s="1"/>
      <c r="B435" s="1"/>
      <c r="C435" s="2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7.25" customHeight="1">
      <c r="A436" s="1"/>
      <c r="B436" s="1"/>
      <c r="C436" s="2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7.25" customHeight="1">
      <c r="A437" s="1"/>
      <c r="B437" s="1"/>
      <c r="C437" s="2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7.25" customHeight="1">
      <c r="A438" s="1"/>
      <c r="B438" s="1"/>
      <c r="C438" s="2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7.25" customHeight="1">
      <c r="A439" s="1"/>
      <c r="B439" s="1"/>
      <c r="C439" s="2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7.25" customHeight="1">
      <c r="A440" s="1"/>
      <c r="B440" s="1"/>
      <c r="C440" s="2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7.25" customHeight="1">
      <c r="A441" s="1"/>
      <c r="B441" s="1"/>
      <c r="C441" s="2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7.25" customHeight="1">
      <c r="A442" s="1"/>
      <c r="B442" s="1"/>
      <c r="C442" s="2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7.25" customHeight="1">
      <c r="A443" s="1"/>
      <c r="B443" s="1"/>
      <c r="C443" s="2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7.25" customHeight="1">
      <c r="A444" s="1"/>
      <c r="B444" s="1"/>
      <c r="C444" s="2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7.25" customHeight="1">
      <c r="A445" s="1"/>
      <c r="B445" s="1"/>
      <c r="C445" s="2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7.25" customHeight="1">
      <c r="A446" s="1"/>
      <c r="B446" s="1"/>
      <c r="C446" s="2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7.25" customHeight="1">
      <c r="A447" s="1"/>
      <c r="B447" s="1"/>
      <c r="C447" s="2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7.25" customHeight="1">
      <c r="A448" s="1"/>
      <c r="B448" s="1"/>
      <c r="C448" s="2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7.25" customHeight="1">
      <c r="A449" s="1"/>
      <c r="B449" s="1"/>
      <c r="C449" s="2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7.25" customHeight="1">
      <c r="A450" s="1"/>
      <c r="B450" s="1"/>
      <c r="C450" s="2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7.25" customHeight="1">
      <c r="A451" s="1"/>
      <c r="B451" s="1"/>
      <c r="C451" s="2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7.25" customHeight="1">
      <c r="A452" s="1"/>
      <c r="B452" s="1"/>
      <c r="C452" s="2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7.25" customHeight="1">
      <c r="A453" s="1"/>
      <c r="B453" s="1"/>
      <c r="C453" s="2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7.25" customHeight="1">
      <c r="A454" s="1"/>
      <c r="B454" s="1"/>
      <c r="C454" s="2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7.25" customHeight="1">
      <c r="A455" s="1"/>
      <c r="B455" s="1"/>
      <c r="C455" s="2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7.25" customHeight="1">
      <c r="A456" s="1"/>
      <c r="B456" s="1"/>
      <c r="C456" s="2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7.25" customHeight="1">
      <c r="A457" s="1"/>
      <c r="B457" s="1"/>
      <c r="C457" s="2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7.25" customHeight="1">
      <c r="A458" s="1"/>
      <c r="B458" s="1"/>
      <c r="C458" s="2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7.25" customHeight="1">
      <c r="A459" s="1"/>
      <c r="B459" s="1"/>
      <c r="C459" s="2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7.25" customHeight="1">
      <c r="A460" s="1"/>
      <c r="B460" s="1"/>
      <c r="C460" s="2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7.25" customHeight="1">
      <c r="A461" s="1"/>
      <c r="B461" s="1"/>
      <c r="C461" s="2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7.25" customHeight="1">
      <c r="A462" s="1"/>
      <c r="B462" s="1"/>
      <c r="C462" s="2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7.25" customHeight="1">
      <c r="A463" s="1"/>
      <c r="B463" s="1"/>
      <c r="C463" s="2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7.25" customHeight="1">
      <c r="A464" s="1"/>
      <c r="B464" s="1"/>
      <c r="C464" s="2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7.25" customHeight="1">
      <c r="A465" s="1"/>
      <c r="B465" s="1"/>
      <c r="C465" s="2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7.25" customHeight="1">
      <c r="A466" s="1"/>
      <c r="B466" s="1"/>
      <c r="C466" s="2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7.25" customHeight="1">
      <c r="A467" s="1"/>
      <c r="B467" s="1"/>
      <c r="C467" s="2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7.25" customHeight="1">
      <c r="A468" s="1"/>
      <c r="B468" s="1"/>
      <c r="C468" s="2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7.25" customHeight="1">
      <c r="A469" s="1"/>
      <c r="B469" s="1"/>
      <c r="C469" s="2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7.25" customHeight="1">
      <c r="A470" s="1"/>
      <c r="B470" s="1"/>
      <c r="C470" s="2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7.25" customHeight="1">
      <c r="A471" s="1"/>
      <c r="B471" s="1"/>
      <c r="C471" s="2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7.25" customHeight="1">
      <c r="A472" s="1"/>
      <c r="B472" s="1"/>
      <c r="C472" s="2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7.25" customHeight="1">
      <c r="A473" s="1"/>
      <c r="B473" s="1"/>
      <c r="C473" s="2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7.25" customHeight="1">
      <c r="A474" s="1"/>
      <c r="B474" s="1"/>
      <c r="C474" s="2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7.25" customHeight="1">
      <c r="A475" s="1"/>
      <c r="B475" s="1"/>
      <c r="C475" s="2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7.25" customHeight="1">
      <c r="A476" s="1"/>
      <c r="B476" s="1"/>
      <c r="C476" s="2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7.25" customHeight="1">
      <c r="A477" s="1"/>
      <c r="B477" s="1"/>
      <c r="C477" s="2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7.25" customHeight="1">
      <c r="A478" s="1"/>
      <c r="B478" s="1"/>
      <c r="C478" s="2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7.25" customHeight="1">
      <c r="A479" s="1"/>
      <c r="B479" s="1"/>
      <c r="C479" s="2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7.25" customHeight="1">
      <c r="A480" s="1"/>
      <c r="B480" s="1"/>
      <c r="C480" s="2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7.25" customHeight="1">
      <c r="A481" s="1"/>
      <c r="B481" s="1"/>
      <c r="C481" s="2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7.25" customHeight="1">
      <c r="A482" s="1"/>
      <c r="B482" s="1"/>
      <c r="C482" s="2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7.25" customHeight="1">
      <c r="A483" s="1"/>
      <c r="B483" s="1"/>
      <c r="C483" s="2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7.25" customHeight="1">
      <c r="A484" s="1"/>
      <c r="B484" s="1"/>
      <c r="C484" s="2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7.25" customHeight="1">
      <c r="A485" s="1"/>
      <c r="B485" s="1"/>
      <c r="C485" s="2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7.25" customHeight="1">
      <c r="A486" s="1"/>
      <c r="B486" s="1"/>
      <c r="C486" s="2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7.25" customHeight="1">
      <c r="A487" s="1"/>
      <c r="B487" s="1"/>
      <c r="C487" s="2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7.25" customHeight="1">
      <c r="A488" s="1"/>
      <c r="B488" s="1"/>
      <c r="C488" s="2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7.25" customHeight="1">
      <c r="A489" s="1"/>
      <c r="B489" s="1"/>
      <c r="C489" s="2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7.25" customHeight="1">
      <c r="A490" s="1"/>
      <c r="B490" s="1"/>
      <c r="C490" s="2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7.25" customHeight="1">
      <c r="A491" s="1"/>
      <c r="B491" s="1"/>
      <c r="C491" s="2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7.25" customHeight="1">
      <c r="A492" s="1"/>
      <c r="B492" s="1"/>
      <c r="C492" s="2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7.25" customHeight="1">
      <c r="A493" s="1"/>
      <c r="B493" s="1"/>
      <c r="C493" s="2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7.25" customHeight="1">
      <c r="A494" s="1"/>
      <c r="B494" s="1"/>
      <c r="C494" s="2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7.25" customHeight="1">
      <c r="A495" s="1"/>
      <c r="B495" s="1"/>
      <c r="C495" s="2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7.25" customHeight="1">
      <c r="A496" s="1"/>
      <c r="B496" s="1"/>
      <c r="C496" s="2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7.25" customHeight="1">
      <c r="A497" s="1"/>
      <c r="B497" s="1"/>
      <c r="C497" s="2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7.25" customHeight="1">
      <c r="A498" s="1"/>
      <c r="B498" s="1"/>
      <c r="C498" s="2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7.25" customHeight="1">
      <c r="A499" s="1"/>
      <c r="B499" s="1"/>
      <c r="C499" s="2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7.25" customHeight="1">
      <c r="A500" s="1"/>
      <c r="B500" s="1"/>
      <c r="C500" s="2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7.25" customHeight="1">
      <c r="A501" s="1"/>
      <c r="B501" s="1"/>
      <c r="C501" s="2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7.25" customHeight="1">
      <c r="A502" s="1"/>
      <c r="B502" s="1"/>
      <c r="C502" s="2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7.25" customHeight="1">
      <c r="A503" s="1"/>
      <c r="B503" s="1"/>
      <c r="C503" s="2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7.25" customHeight="1">
      <c r="A504" s="1"/>
      <c r="B504" s="1"/>
      <c r="C504" s="2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7.25" customHeight="1">
      <c r="A505" s="1"/>
      <c r="B505" s="1"/>
      <c r="C505" s="2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7.25" customHeight="1">
      <c r="A506" s="1"/>
      <c r="B506" s="1"/>
      <c r="C506" s="2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7.25" customHeight="1">
      <c r="A507" s="1"/>
      <c r="B507" s="1"/>
      <c r="C507" s="2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7.25" customHeight="1">
      <c r="A508" s="1"/>
      <c r="B508" s="1"/>
      <c r="C508" s="2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7.25" customHeight="1">
      <c r="A509" s="1"/>
      <c r="B509" s="1"/>
      <c r="C509" s="2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7.25" customHeight="1">
      <c r="A510" s="1"/>
      <c r="B510" s="1"/>
      <c r="C510" s="2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7.25" customHeight="1">
      <c r="A511" s="1"/>
      <c r="B511" s="1"/>
      <c r="C511" s="2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7.25" customHeight="1">
      <c r="A512" s="1"/>
      <c r="B512" s="1"/>
      <c r="C512" s="2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7.25" customHeight="1">
      <c r="A513" s="1"/>
      <c r="B513" s="1"/>
      <c r="C513" s="2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7.25" customHeight="1">
      <c r="A514" s="1"/>
      <c r="B514" s="1"/>
      <c r="C514" s="2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7.25" customHeight="1">
      <c r="A515" s="1"/>
      <c r="B515" s="1"/>
      <c r="C515" s="2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7.25" customHeight="1">
      <c r="A516" s="1"/>
      <c r="B516" s="1"/>
      <c r="C516" s="2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7.25" customHeight="1">
      <c r="A517" s="1"/>
      <c r="B517" s="1"/>
      <c r="C517" s="2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7.25" customHeight="1">
      <c r="A518" s="1"/>
      <c r="B518" s="1"/>
      <c r="C518" s="2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7.25" customHeight="1">
      <c r="A519" s="1"/>
      <c r="B519" s="1"/>
      <c r="C519" s="2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7.25" customHeight="1">
      <c r="A520" s="1"/>
      <c r="B520" s="1"/>
      <c r="C520" s="2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7.25" customHeight="1">
      <c r="A521" s="1"/>
      <c r="B521" s="1"/>
      <c r="C521" s="2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7.25" customHeight="1">
      <c r="A522" s="1"/>
      <c r="B522" s="1"/>
      <c r="C522" s="2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7.25" customHeight="1">
      <c r="A523" s="1"/>
      <c r="B523" s="1"/>
      <c r="C523" s="2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7.25" customHeight="1">
      <c r="A524" s="1"/>
      <c r="B524" s="1"/>
      <c r="C524" s="2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7.25" customHeight="1">
      <c r="A525" s="1"/>
      <c r="B525" s="1"/>
      <c r="C525" s="2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7.25" customHeight="1">
      <c r="A526" s="1"/>
      <c r="B526" s="1"/>
      <c r="C526" s="2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7.25" customHeight="1">
      <c r="A527" s="1"/>
      <c r="B527" s="1"/>
      <c r="C527" s="2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7.25" customHeight="1">
      <c r="A528" s="1"/>
      <c r="B528" s="1"/>
      <c r="C528" s="2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7.25" customHeight="1">
      <c r="A529" s="1"/>
      <c r="B529" s="1"/>
      <c r="C529" s="2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7.25" customHeight="1">
      <c r="A530" s="1"/>
      <c r="B530" s="1"/>
      <c r="C530" s="2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7.25" customHeight="1">
      <c r="A531" s="1"/>
      <c r="B531" s="1"/>
      <c r="C531" s="2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7.25" customHeight="1">
      <c r="A532" s="1"/>
      <c r="B532" s="1"/>
      <c r="C532" s="2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7.25" customHeight="1">
      <c r="A533" s="1"/>
      <c r="B533" s="1"/>
      <c r="C533" s="2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7.25" customHeight="1">
      <c r="A534" s="1"/>
      <c r="B534" s="1"/>
      <c r="C534" s="2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7.25" customHeight="1">
      <c r="A535" s="1"/>
      <c r="B535" s="1"/>
      <c r="C535" s="2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7.25" customHeight="1">
      <c r="A536" s="1"/>
      <c r="B536" s="1"/>
      <c r="C536" s="2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7.25" customHeight="1">
      <c r="A537" s="1"/>
      <c r="B537" s="1"/>
      <c r="C537" s="2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7.25" customHeight="1">
      <c r="A538" s="1"/>
      <c r="B538" s="1"/>
      <c r="C538" s="2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7.25" customHeight="1">
      <c r="A539" s="1"/>
      <c r="B539" s="1"/>
      <c r="C539" s="2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7.25" customHeight="1">
      <c r="A540" s="1"/>
      <c r="B540" s="1"/>
      <c r="C540" s="2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7.25" customHeight="1">
      <c r="A541" s="1"/>
      <c r="B541" s="1"/>
      <c r="C541" s="2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7.25" customHeight="1">
      <c r="A542" s="1"/>
      <c r="B542" s="1"/>
      <c r="C542" s="2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7.25" customHeight="1">
      <c r="A543" s="1"/>
      <c r="B543" s="1"/>
      <c r="C543" s="2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7.25" customHeight="1">
      <c r="A544" s="1"/>
      <c r="B544" s="1"/>
      <c r="C544" s="2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7.25" customHeight="1">
      <c r="A545" s="1"/>
      <c r="B545" s="1"/>
      <c r="C545" s="2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7.25" customHeight="1">
      <c r="A546" s="1"/>
      <c r="B546" s="1"/>
      <c r="C546" s="2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7.25" customHeight="1">
      <c r="A547" s="1"/>
      <c r="B547" s="1"/>
      <c r="C547" s="2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7.25" customHeight="1">
      <c r="A548" s="1"/>
      <c r="B548" s="1"/>
      <c r="C548" s="2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7.25" customHeight="1">
      <c r="A549" s="1"/>
      <c r="B549" s="1"/>
      <c r="C549" s="2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7.25" customHeight="1">
      <c r="A550" s="1"/>
      <c r="B550" s="1"/>
      <c r="C550" s="2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7.25" customHeight="1">
      <c r="A551" s="1"/>
      <c r="B551" s="1"/>
      <c r="C551" s="2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7.25" customHeight="1">
      <c r="A552" s="1"/>
      <c r="B552" s="1"/>
      <c r="C552" s="2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7.25" customHeight="1">
      <c r="A553" s="1"/>
      <c r="B553" s="1"/>
      <c r="C553" s="2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7.25" customHeight="1">
      <c r="A554" s="1"/>
      <c r="B554" s="1"/>
      <c r="C554" s="2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7.25" customHeight="1">
      <c r="A555" s="1"/>
      <c r="B555" s="1"/>
      <c r="C555" s="2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7.25" customHeight="1">
      <c r="A556" s="1"/>
      <c r="B556" s="1"/>
      <c r="C556" s="2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7.25" customHeight="1">
      <c r="A557" s="1"/>
      <c r="B557" s="1"/>
      <c r="C557" s="2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7.25" customHeight="1">
      <c r="A558" s="1"/>
      <c r="B558" s="1"/>
      <c r="C558" s="2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7.25" customHeight="1">
      <c r="A559" s="1"/>
      <c r="B559" s="1"/>
      <c r="C559" s="2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7.25" customHeight="1">
      <c r="A560" s="1"/>
      <c r="B560" s="1"/>
      <c r="C560" s="2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7.25" customHeight="1">
      <c r="A561" s="1"/>
      <c r="B561" s="1"/>
      <c r="C561" s="2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7.25" customHeight="1">
      <c r="A562" s="1"/>
      <c r="B562" s="1"/>
      <c r="C562" s="2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7.25" customHeight="1">
      <c r="A563" s="1"/>
      <c r="B563" s="1"/>
      <c r="C563" s="2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7.25" customHeight="1">
      <c r="A564" s="1"/>
      <c r="B564" s="1"/>
      <c r="C564" s="2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7.25" customHeight="1">
      <c r="A565" s="1"/>
      <c r="B565" s="1"/>
      <c r="C565" s="2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7.25" customHeight="1">
      <c r="A566" s="1"/>
      <c r="B566" s="1"/>
      <c r="C566" s="2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7.25" customHeight="1">
      <c r="A567" s="1"/>
      <c r="B567" s="1"/>
      <c r="C567" s="2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7.25" customHeight="1">
      <c r="A568" s="1"/>
      <c r="B568" s="1"/>
      <c r="C568" s="2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7.25" customHeight="1">
      <c r="A569" s="1"/>
      <c r="B569" s="1"/>
      <c r="C569" s="2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7.25" customHeight="1">
      <c r="A570" s="1"/>
      <c r="B570" s="1"/>
      <c r="C570" s="2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7.25" customHeight="1">
      <c r="A571" s="1"/>
      <c r="B571" s="1"/>
      <c r="C571" s="2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7.25" customHeight="1">
      <c r="A572" s="1"/>
      <c r="B572" s="1"/>
      <c r="C572" s="2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7.25" customHeight="1">
      <c r="A573" s="1"/>
      <c r="B573" s="1"/>
      <c r="C573" s="2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7.25" customHeight="1">
      <c r="A574" s="1"/>
      <c r="B574" s="1"/>
      <c r="C574" s="2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7.25" customHeight="1">
      <c r="A575" s="1"/>
      <c r="B575" s="1"/>
      <c r="C575" s="2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7.25" customHeight="1">
      <c r="A576" s="1"/>
      <c r="B576" s="1"/>
      <c r="C576" s="2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7.25" customHeight="1">
      <c r="A577" s="1"/>
      <c r="B577" s="1"/>
      <c r="C577" s="2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7.25" customHeight="1">
      <c r="A578" s="1"/>
      <c r="B578" s="1"/>
      <c r="C578" s="2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7.25" customHeight="1">
      <c r="A579" s="1"/>
      <c r="B579" s="1"/>
      <c r="C579" s="2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7.25" customHeight="1">
      <c r="A580" s="1"/>
      <c r="B580" s="1"/>
      <c r="C580" s="2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7.25" customHeight="1">
      <c r="A581" s="1"/>
      <c r="B581" s="1"/>
      <c r="C581" s="2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7.25" customHeight="1">
      <c r="A582" s="1"/>
      <c r="B582" s="1"/>
      <c r="C582" s="2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7.25" customHeight="1">
      <c r="A583" s="1"/>
      <c r="B583" s="1"/>
      <c r="C583" s="2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7.25" customHeight="1">
      <c r="A584" s="1"/>
      <c r="B584" s="1"/>
      <c r="C584" s="2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7.25" customHeight="1">
      <c r="A585" s="1"/>
      <c r="B585" s="1"/>
      <c r="C585" s="2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7.25" customHeight="1">
      <c r="A586" s="1"/>
      <c r="B586" s="1"/>
      <c r="C586" s="2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7.25" customHeight="1">
      <c r="A587" s="1"/>
      <c r="B587" s="1"/>
      <c r="C587" s="2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7.25" customHeight="1">
      <c r="A588" s="1"/>
      <c r="B588" s="1"/>
      <c r="C588" s="2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7.25" customHeight="1">
      <c r="A589" s="1"/>
      <c r="B589" s="1"/>
      <c r="C589" s="2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7.25" customHeight="1">
      <c r="A590" s="1"/>
      <c r="B590" s="1"/>
      <c r="C590" s="2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7.25" customHeight="1">
      <c r="A591" s="1"/>
      <c r="B591" s="1"/>
      <c r="C591" s="2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7.25" customHeight="1">
      <c r="A592" s="1"/>
      <c r="B592" s="1"/>
      <c r="C592" s="2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7.25" customHeight="1">
      <c r="A593" s="1"/>
      <c r="B593" s="1"/>
      <c r="C593" s="2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7.25" customHeight="1">
      <c r="A594" s="1"/>
      <c r="B594" s="1"/>
      <c r="C594" s="2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7.25" customHeight="1">
      <c r="A595" s="1"/>
      <c r="B595" s="1"/>
      <c r="C595" s="2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7.25" customHeight="1">
      <c r="A596" s="1"/>
      <c r="B596" s="1"/>
      <c r="C596" s="2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7.25" customHeight="1">
      <c r="A597" s="1"/>
      <c r="B597" s="1"/>
      <c r="C597" s="2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7.25" customHeight="1">
      <c r="A598" s="1"/>
      <c r="B598" s="1"/>
      <c r="C598" s="2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7.25" customHeight="1">
      <c r="A599" s="1"/>
      <c r="B599" s="1"/>
      <c r="C599" s="2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7.25" customHeight="1">
      <c r="A600" s="1"/>
      <c r="B600" s="1"/>
      <c r="C600" s="2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7.25" customHeight="1">
      <c r="A601" s="1"/>
      <c r="B601" s="1"/>
      <c r="C601" s="2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7.25" customHeight="1">
      <c r="A602" s="1"/>
      <c r="B602" s="1"/>
      <c r="C602" s="2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7.25" customHeight="1">
      <c r="A603" s="1"/>
      <c r="B603" s="1"/>
      <c r="C603" s="2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7.25" customHeight="1">
      <c r="A604" s="1"/>
      <c r="B604" s="1"/>
      <c r="C604" s="2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7.25" customHeight="1">
      <c r="A605" s="1"/>
      <c r="B605" s="1"/>
      <c r="C605" s="2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7.25" customHeight="1">
      <c r="A606" s="1"/>
      <c r="B606" s="1"/>
      <c r="C606" s="2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7.25" customHeight="1">
      <c r="A607" s="1"/>
      <c r="B607" s="1"/>
      <c r="C607" s="2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7.25" customHeight="1">
      <c r="A608" s="1"/>
      <c r="B608" s="1"/>
      <c r="C608" s="2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7.25" customHeight="1">
      <c r="A609" s="1"/>
      <c r="B609" s="1"/>
      <c r="C609" s="2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7.25" customHeight="1">
      <c r="A610" s="1"/>
      <c r="B610" s="1"/>
      <c r="C610" s="2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7.25" customHeight="1">
      <c r="A611" s="1"/>
      <c r="B611" s="1"/>
      <c r="C611" s="2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7.25" customHeight="1">
      <c r="A612" s="1"/>
      <c r="B612" s="1"/>
      <c r="C612" s="2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7.25" customHeight="1">
      <c r="A613" s="1"/>
      <c r="B613" s="1"/>
      <c r="C613" s="2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7.25" customHeight="1">
      <c r="A614" s="1"/>
      <c r="B614" s="1"/>
      <c r="C614" s="2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7.25" customHeight="1">
      <c r="A615" s="1"/>
      <c r="B615" s="1"/>
      <c r="C615" s="2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7.25" customHeight="1">
      <c r="A616" s="1"/>
      <c r="B616" s="1"/>
      <c r="C616" s="2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7.25" customHeight="1">
      <c r="A617" s="1"/>
      <c r="B617" s="1"/>
      <c r="C617" s="2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7.25" customHeight="1">
      <c r="A618" s="1"/>
      <c r="B618" s="1"/>
      <c r="C618" s="2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7.25" customHeight="1">
      <c r="A619" s="1"/>
      <c r="B619" s="1"/>
      <c r="C619" s="2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7.25" customHeight="1">
      <c r="A620" s="1"/>
      <c r="B620" s="1"/>
      <c r="C620" s="2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7.25" customHeight="1">
      <c r="A621" s="1"/>
      <c r="B621" s="1"/>
      <c r="C621" s="2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7.25" customHeight="1">
      <c r="A622" s="1"/>
      <c r="B622" s="1"/>
      <c r="C622" s="2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7.25" customHeight="1">
      <c r="A623" s="1"/>
      <c r="B623" s="1"/>
      <c r="C623" s="2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7.25" customHeight="1">
      <c r="A624" s="1"/>
      <c r="B624" s="1"/>
      <c r="C624" s="2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7.25" customHeight="1">
      <c r="A625" s="1"/>
      <c r="B625" s="1"/>
      <c r="C625" s="2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7.25" customHeight="1">
      <c r="A626" s="1"/>
      <c r="B626" s="1"/>
      <c r="C626" s="2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7.25" customHeight="1">
      <c r="A627" s="1"/>
      <c r="B627" s="1"/>
      <c r="C627" s="2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7.25" customHeight="1">
      <c r="A628" s="1"/>
      <c r="B628" s="1"/>
      <c r="C628" s="2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7.25" customHeight="1">
      <c r="A629" s="1"/>
      <c r="B629" s="1"/>
      <c r="C629" s="2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7.25" customHeight="1">
      <c r="A630" s="1"/>
      <c r="B630" s="1"/>
      <c r="C630" s="2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7.25" customHeight="1">
      <c r="A631" s="1"/>
      <c r="B631" s="1"/>
      <c r="C631" s="2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7.25" customHeight="1">
      <c r="A632" s="1"/>
      <c r="B632" s="1"/>
      <c r="C632" s="2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7.25" customHeight="1">
      <c r="A633" s="1"/>
      <c r="B633" s="1"/>
      <c r="C633" s="2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7.25" customHeight="1">
      <c r="A634" s="1"/>
      <c r="B634" s="1"/>
      <c r="C634" s="2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7.25" customHeight="1">
      <c r="A635" s="1"/>
      <c r="B635" s="1"/>
      <c r="C635" s="2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7.25" customHeight="1">
      <c r="A636" s="1"/>
      <c r="B636" s="1"/>
      <c r="C636" s="2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7.25" customHeight="1">
      <c r="A637" s="1"/>
      <c r="B637" s="1"/>
      <c r="C637" s="2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7.25" customHeight="1">
      <c r="A638" s="1"/>
      <c r="B638" s="1"/>
      <c r="C638" s="2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7.25" customHeight="1">
      <c r="A639" s="1"/>
      <c r="B639" s="1"/>
      <c r="C639" s="2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7.25" customHeight="1">
      <c r="A640" s="1"/>
      <c r="B640" s="1"/>
      <c r="C640" s="2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7.25" customHeight="1">
      <c r="A641" s="1"/>
      <c r="B641" s="1"/>
      <c r="C641" s="2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7.25" customHeight="1">
      <c r="A642" s="1"/>
      <c r="B642" s="1"/>
      <c r="C642" s="2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7.25" customHeight="1">
      <c r="A643" s="1"/>
      <c r="B643" s="1"/>
      <c r="C643" s="2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7.25" customHeight="1">
      <c r="A644" s="1"/>
      <c r="B644" s="1"/>
      <c r="C644" s="2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7.25" customHeight="1">
      <c r="A645" s="1"/>
      <c r="B645" s="1"/>
      <c r="C645" s="2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7.25" customHeight="1">
      <c r="A646" s="1"/>
      <c r="B646" s="1"/>
      <c r="C646" s="2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7.25" customHeight="1">
      <c r="A647" s="1"/>
      <c r="B647" s="1"/>
      <c r="C647" s="2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7.25" customHeight="1">
      <c r="A648" s="1"/>
      <c r="B648" s="1"/>
      <c r="C648" s="2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7.25" customHeight="1">
      <c r="A649" s="1"/>
      <c r="B649" s="1"/>
      <c r="C649" s="2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7.25" customHeight="1">
      <c r="A650" s="1"/>
      <c r="B650" s="1"/>
      <c r="C650" s="2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7.25" customHeight="1">
      <c r="A651" s="1"/>
      <c r="B651" s="1"/>
      <c r="C651" s="2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7.25" customHeight="1">
      <c r="A652" s="1"/>
      <c r="B652" s="1"/>
      <c r="C652" s="2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7.25" customHeight="1">
      <c r="A653" s="1"/>
      <c r="B653" s="1"/>
      <c r="C653" s="2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7.25" customHeight="1">
      <c r="A654" s="1"/>
      <c r="B654" s="1"/>
      <c r="C654" s="2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7.25" customHeight="1">
      <c r="A655" s="1"/>
      <c r="B655" s="1"/>
      <c r="C655" s="2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7.25" customHeight="1">
      <c r="A656" s="1"/>
      <c r="B656" s="1"/>
      <c r="C656" s="2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7.25" customHeight="1">
      <c r="A657" s="1"/>
      <c r="B657" s="1"/>
      <c r="C657" s="2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7.25" customHeight="1">
      <c r="A658" s="1"/>
      <c r="B658" s="1"/>
      <c r="C658" s="2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7.25" customHeight="1">
      <c r="A659" s="1"/>
      <c r="B659" s="1"/>
      <c r="C659" s="2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7.25" customHeight="1">
      <c r="A660" s="1"/>
      <c r="B660" s="1"/>
      <c r="C660" s="2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7.25" customHeight="1">
      <c r="A661" s="1"/>
      <c r="B661" s="1"/>
      <c r="C661" s="2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7.25" customHeight="1">
      <c r="A662" s="1"/>
      <c r="B662" s="1"/>
      <c r="C662" s="2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7.25" customHeight="1">
      <c r="A663" s="1"/>
      <c r="B663" s="1"/>
      <c r="C663" s="2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7.25" customHeight="1">
      <c r="A664" s="1"/>
      <c r="B664" s="1"/>
      <c r="C664" s="2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7.25" customHeight="1">
      <c r="A665" s="1"/>
      <c r="B665" s="1"/>
      <c r="C665" s="2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7.25" customHeight="1">
      <c r="A666" s="1"/>
      <c r="B666" s="1"/>
      <c r="C666" s="2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7.25" customHeight="1">
      <c r="A667" s="1"/>
      <c r="B667" s="1"/>
      <c r="C667" s="2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7.25" customHeight="1">
      <c r="A668" s="1"/>
      <c r="B668" s="1"/>
      <c r="C668" s="2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7.25" customHeight="1">
      <c r="A669" s="1"/>
      <c r="B669" s="1"/>
      <c r="C669" s="2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7.25" customHeight="1">
      <c r="A670" s="1"/>
      <c r="B670" s="1"/>
      <c r="C670" s="2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7.25" customHeight="1">
      <c r="A671" s="1"/>
      <c r="B671" s="1"/>
      <c r="C671" s="2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7.25" customHeight="1">
      <c r="A672" s="1"/>
      <c r="B672" s="1"/>
      <c r="C672" s="2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7.25" customHeight="1">
      <c r="A673" s="1"/>
      <c r="B673" s="1"/>
      <c r="C673" s="2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7.25" customHeight="1">
      <c r="A674" s="1"/>
      <c r="B674" s="1"/>
      <c r="C674" s="2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7.25" customHeight="1">
      <c r="A675" s="1"/>
      <c r="B675" s="1"/>
      <c r="C675" s="2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7.25" customHeight="1">
      <c r="A676" s="1"/>
      <c r="B676" s="1"/>
      <c r="C676" s="2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7.25" customHeight="1">
      <c r="A677" s="1"/>
      <c r="B677" s="1"/>
      <c r="C677" s="2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7.25" customHeight="1">
      <c r="A678" s="1"/>
      <c r="B678" s="1"/>
      <c r="C678" s="2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7.25" customHeight="1">
      <c r="A679" s="1"/>
      <c r="B679" s="1"/>
      <c r="C679" s="2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7.25" customHeight="1">
      <c r="A680" s="1"/>
      <c r="B680" s="1"/>
      <c r="C680" s="2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7.25" customHeight="1">
      <c r="A681" s="1"/>
      <c r="B681" s="1"/>
      <c r="C681" s="2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7.25" customHeight="1">
      <c r="A682" s="1"/>
      <c r="B682" s="1"/>
      <c r="C682" s="2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7.25" customHeight="1">
      <c r="A683" s="1"/>
      <c r="B683" s="1"/>
      <c r="C683" s="2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7.25" customHeight="1">
      <c r="A684" s="1"/>
      <c r="B684" s="1"/>
      <c r="C684" s="2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7.25" customHeight="1">
      <c r="A685" s="1"/>
      <c r="B685" s="1"/>
      <c r="C685" s="2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7.25" customHeight="1">
      <c r="A686" s="1"/>
      <c r="B686" s="1"/>
      <c r="C686" s="2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7.25" customHeight="1">
      <c r="A687" s="1"/>
      <c r="B687" s="1"/>
      <c r="C687" s="2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7.25" customHeight="1">
      <c r="A688" s="1"/>
      <c r="B688" s="1"/>
      <c r="C688" s="2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7.25" customHeight="1">
      <c r="A689" s="1"/>
      <c r="B689" s="1"/>
      <c r="C689" s="2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7.25" customHeight="1">
      <c r="A690" s="1"/>
      <c r="B690" s="1"/>
      <c r="C690" s="2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7.25" customHeight="1">
      <c r="A691" s="1"/>
      <c r="B691" s="1"/>
      <c r="C691" s="2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7.25" customHeight="1">
      <c r="A692" s="1"/>
      <c r="B692" s="1"/>
      <c r="C692" s="2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7.25" customHeight="1">
      <c r="A693" s="1"/>
      <c r="B693" s="1"/>
      <c r="C693" s="2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7.25" customHeight="1">
      <c r="A694" s="1"/>
      <c r="B694" s="1"/>
      <c r="C694" s="2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7.25" customHeight="1">
      <c r="A695" s="1"/>
      <c r="B695" s="1"/>
      <c r="C695" s="2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7.25" customHeight="1">
      <c r="A696" s="1"/>
      <c r="B696" s="1"/>
      <c r="C696" s="2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7.25" customHeight="1">
      <c r="A697" s="1"/>
      <c r="B697" s="1"/>
      <c r="C697" s="2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7.25" customHeight="1">
      <c r="A698" s="1"/>
      <c r="B698" s="1"/>
      <c r="C698" s="2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7.25" customHeight="1">
      <c r="A699" s="1"/>
      <c r="B699" s="1"/>
      <c r="C699" s="2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7.25" customHeight="1">
      <c r="A700" s="1"/>
      <c r="B700" s="1"/>
      <c r="C700" s="2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7.25" customHeight="1">
      <c r="A701" s="1"/>
      <c r="B701" s="1"/>
      <c r="C701" s="2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7.25" customHeight="1">
      <c r="A702" s="1"/>
      <c r="B702" s="1"/>
      <c r="C702" s="2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7.25" customHeight="1">
      <c r="A703" s="1"/>
      <c r="B703" s="1"/>
      <c r="C703" s="2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7.25" customHeight="1">
      <c r="A704" s="1"/>
      <c r="B704" s="1"/>
      <c r="C704" s="2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7.25" customHeight="1">
      <c r="A705" s="1"/>
      <c r="B705" s="1"/>
      <c r="C705" s="2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7.25" customHeight="1">
      <c r="A706" s="1"/>
      <c r="B706" s="1"/>
      <c r="C706" s="2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7.25" customHeight="1">
      <c r="A707" s="1"/>
      <c r="B707" s="1"/>
      <c r="C707" s="2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7.25" customHeight="1">
      <c r="A708" s="1"/>
      <c r="B708" s="1"/>
      <c r="C708" s="2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7.25" customHeight="1">
      <c r="A709" s="1"/>
      <c r="B709" s="1"/>
      <c r="C709" s="2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7.25" customHeight="1">
      <c r="A710" s="1"/>
      <c r="B710" s="1"/>
      <c r="C710" s="2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7.25" customHeight="1">
      <c r="A711" s="1"/>
      <c r="B711" s="1"/>
      <c r="C711" s="2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7.25" customHeight="1">
      <c r="A712" s="1"/>
      <c r="B712" s="1"/>
      <c r="C712" s="2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7.25" customHeight="1">
      <c r="A713" s="1"/>
      <c r="B713" s="1"/>
      <c r="C713" s="2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7.25" customHeight="1">
      <c r="A714" s="1"/>
      <c r="B714" s="1"/>
      <c r="C714" s="2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7.25" customHeight="1">
      <c r="A715" s="1"/>
      <c r="B715" s="1"/>
      <c r="C715" s="2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7.25" customHeight="1">
      <c r="A716" s="1"/>
      <c r="B716" s="1"/>
      <c r="C716" s="2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7.25" customHeight="1">
      <c r="A717" s="1"/>
      <c r="B717" s="1"/>
      <c r="C717" s="2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7.25" customHeight="1">
      <c r="A718" s="1"/>
      <c r="B718" s="1"/>
      <c r="C718" s="2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7.25" customHeight="1">
      <c r="A719" s="1"/>
      <c r="B719" s="1"/>
      <c r="C719" s="2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7.25" customHeight="1">
      <c r="A720" s="1"/>
      <c r="B720" s="1"/>
      <c r="C720" s="2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7.25" customHeight="1">
      <c r="A721" s="1"/>
      <c r="B721" s="1"/>
      <c r="C721" s="2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7.25" customHeight="1">
      <c r="A722" s="1"/>
      <c r="B722" s="1"/>
      <c r="C722" s="2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7.25" customHeight="1">
      <c r="A723" s="1"/>
      <c r="B723" s="1"/>
      <c r="C723" s="2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7.25" customHeight="1">
      <c r="A724" s="1"/>
      <c r="B724" s="1"/>
      <c r="C724" s="2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7.25" customHeight="1">
      <c r="A725" s="1"/>
      <c r="B725" s="1"/>
      <c r="C725" s="2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7.25" customHeight="1">
      <c r="A726" s="1"/>
      <c r="B726" s="1"/>
      <c r="C726" s="2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7.25" customHeight="1">
      <c r="A727" s="1"/>
      <c r="B727" s="1"/>
      <c r="C727" s="2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7.25" customHeight="1">
      <c r="A728" s="1"/>
      <c r="B728" s="1"/>
      <c r="C728" s="2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7.25" customHeight="1">
      <c r="A729" s="1"/>
      <c r="B729" s="1"/>
      <c r="C729" s="2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7.25" customHeight="1">
      <c r="A730" s="1"/>
      <c r="B730" s="1"/>
      <c r="C730" s="2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7.25" customHeight="1">
      <c r="A731" s="1"/>
      <c r="B731" s="1"/>
      <c r="C731" s="2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7.25" customHeight="1">
      <c r="A732" s="1"/>
      <c r="B732" s="1"/>
      <c r="C732" s="2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7.25" customHeight="1">
      <c r="A733" s="1"/>
      <c r="B733" s="1"/>
      <c r="C733" s="2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7.25" customHeight="1">
      <c r="A734" s="1"/>
      <c r="B734" s="1"/>
      <c r="C734" s="2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7.25" customHeight="1">
      <c r="A735" s="1"/>
      <c r="B735" s="1"/>
      <c r="C735" s="2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7.25" customHeight="1">
      <c r="A736" s="1"/>
      <c r="B736" s="1"/>
      <c r="C736" s="2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7.25" customHeight="1">
      <c r="A737" s="1"/>
      <c r="B737" s="1"/>
      <c r="C737" s="2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7.25" customHeight="1">
      <c r="A738" s="1"/>
      <c r="B738" s="1"/>
      <c r="C738" s="2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7.25" customHeight="1">
      <c r="A739" s="1"/>
      <c r="B739" s="1"/>
      <c r="C739" s="2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7.25" customHeight="1">
      <c r="A740" s="1"/>
      <c r="B740" s="1"/>
      <c r="C740" s="2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7.25" customHeight="1">
      <c r="A741" s="1"/>
      <c r="B741" s="1"/>
      <c r="C741" s="2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7.25" customHeight="1">
      <c r="A742" s="1"/>
      <c r="B742" s="1"/>
      <c r="C742" s="2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7.25" customHeight="1">
      <c r="A743" s="1"/>
      <c r="B743" s="1"/>
      <c r="C743" s="2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7.25" customHeight="1">
      <c r="A744" s="1"/>
      <c r="B744" s="1"/>
      <c r="C744" s="2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7.25" customHeight="1">
      <c r="A745" s="1"/>
      <c r="B745" s="1"/>
      <c r="C745" s="2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7.25" customHeight="1">
      <c r="A746" s="1"/>
      <c r="B746" s="1"/>
      <c r="C746" s="2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7.25" customHeight="1">
      <c r="A747" s="1"/>
      <c r="B747" s="1"/>
      <c r="C747" s="2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7.25" customHeight="1">
      <c r="A748" s="1"/>
      <c r="B748" s="1"/>
      <c r="C748" s="2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7.25" customHeight="1">
      <c r="A749" s="1"/>
      <c r="B749" s="1"/>
      <c r="C749" s="2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7.25" customHeight="1">
      <c r="A750" s="1"/>
      <c r="B750" s="1"/>
      <c r="C750" s="2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7.25" customHeight="1">
      <c r="A751" s="1"/>
      <c r="B751" s="1"/>
      <c r="C751" s="2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7.25" customHeight="1">
      <c r="A752" s="1"/>
      <c r="B752" s="1"/>
      <c r="C752" s="2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7.25" customHeight="1">
      <c r="A753" s="1"/>
      <c r="B753" s="1"/>
      <c r="C753" s="2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7.25" customHeight="1">
      <c r="A754" s="1"/>
      <c r="B754" s="1"/>
      <c r="C754" s="2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7.25" customHeight="1">
      <c r="A755" s="1"/>
      <c r="B755" s="1"/>
      <c r="C755" s="2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7.25" customHeight="1">
      <c r="A756" s="1"/>
      <c r="B756" s="1"/>
      <c r="C756" s="2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7.25" customHeight="1">
      <c r="A757" s="1"/>
      <c r="B757" s="1"/>
      <c r="C757" s="2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7.25" customHeight="1">
      <c r="A758" s="1"/>
      <c r="B758" s="1"/>
      <c r="C758" s="2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7.25" customHeight="1">
      <c r="A759" s="1"/>
      <c r="B759" s="1"/>
      <c r="C759" s="2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7.25" customHeight="1">
      <c r="A760" s="1"/>
      <c r="B760" s="1"/>
      <c r="C760" s="2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7.25" customHeight="1">
      <c r="A761" s="1"/>
      <c r="B761" s="1"/>
      <c r="C761" s="2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7.25" customHeight="1">
      <c r="A762" s="1"/>
      <c r="B762" s="1"/>
      <c r="C762" s="2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7.25" customHeight="1">
      <c r="A763" s="1"/>
      <c r="B763" s="1"/>
      <c r="C763" s="2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7.25" customHeight="1">
      <c r="A764" s="1"/>
      <c r="B764" s="1"/>
      <c r="C764" s="2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7.25" customHeight="1">
      <c r="A765" s="1"/>
      <c r="B765" s="1"/>
      <c r="C765" s="2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7.25" customHeight="1">
      <c r="A766" s="1"/>
      <c r="B766" s="1"/>
      <c r="C766" s="2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7.25" customHeight="1">
      <c r="A767" s="1"/>
      <c r="B767" s="1"/>
      <c r="C767" s="2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7.25" customHeight="1">
      <c r="A768" s="1"/>
      <c r="B768" s="1"/>
      <c r="C768" s="2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7.25" customHeight="1">
      <c r="A769" s="1"/>
      <c r="B769" s="1"/>
      <c r="C769" s="2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7.25" customHeight="1">
      <c r="A770" s="1"/>
      <c r="B770" s="1"/>
      <c r="C770" s="2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7.25" customHeight="1">
      <c r="A771" s="1"/>
      <c r="B771" s="1"/>
      <c r="C771" s="2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7.25" customHeight="1">
      <c r="A772" s="1"/>
      <c r="B772" s="1"/>
      <c r="C772" s="2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7.25" customHeight="1">
      <c r="A773" s="1"/>
      <c r="B773" s="1"/>
      <c r="C773" s="2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7.25" customHeight="1">
      <c r="A774" s="1"/>
      <c r="B774" s="1"/>
      <c r="C774" s="2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7.25" customHeight="1">
      <c r="A775" s="1"/>
      <c r="B775" s="1"/>
      <c r="C775" s="2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7.25" customHeight="1">
      <c r="A776" s="1"/>
      <c r="B776" s="1"/>
      <c r="C776" s="2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7.25" customHeight="1">
      <c r="A777" s="1"/>
      <c r="B777" s="1"/>
      <c r="C777" s="2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7.25" customHeight="1">
      <c r="A778" s="1"/>
      <c r="B778" s="1"/>
      <c r="C778" s="2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7.25" customHeight="1">
      <c r="A779" s="1"/>
      <c r="B779" s="1"/>
      <c r="C779" s="2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7.25" customHeight="1">
      <c r="A780" s="1"/>
      <c r="B780" s="1"/>
      <c r="C780" s="2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7.25" customHeight="1">
      <c r="A781" s="1"/>
      <c r="B781" s="1"/>
      <c r="C781" s="2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7.25" customHeight="1">
      <c r="A782" s="1"/>
      <c r="B782" s="1"/>
      <c r="C782" s="2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7.25" customHeight="1">
      <c r="A783" s="1"/>
      <c r="B783" s="1"/>
      <c r="C783" s="2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7.25" customHeight="1">
      <c r="A784" s="1"/>
      <c r="B784" s="1"/>
      <c r="C784" s="2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7.25" customHeight="1">
      <c r="A785" s="1"/>
      <c r="B785" s="1"/>
      <c r="C785" s="2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7.25" customHeight="1">
      <c r="A786" s="1"/>
      <c r="B786" s="1"/>
      <c r="C786" s="2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7.25" customHeight="1">
      <c r="A787" s="1"/>
      <c r="B787" s="1"/>
      <c r="C787" s="2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7.25" customHeight="1">
      <c r="A788" s="1"/>
      <c r="B788" s="1"/>
      <c r="C788" s="2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7.25" customHeight="1">
      <c r="A789" s="1"/>
      <c r="B789" s="1"/>
      <c r="C789" s="2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7.25" customHeight="1">
      <c r="A790" s="1"/>
      <c r="B790" s="1"/>
      <c r="C790" s="2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7.25" customHeight="1">
      <c r="A791" s="1"/>
      <c r="B791" s="1"/>
      <c r="C791" s="2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7.25" customHeight="1">
      <c r="A792" s="1"/>
      <c r="B792" s="1"/>
      <c r="C792" s="2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7.25" customHeight="1">
      <c r="A793" s="1"/>
      <c r="B793" s="1"/>
      <c r="C793" s="2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7.25" customHeight="1">
      <c r="A794" s="1"/>
      <c r="B794" s="1"/>
      <c r="C794" s="2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7.25" customHeight="1">
      <c r="A795" s="1"/>
      <c r="B795" s="1"/>
      <c r="C795" s="2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7.25" customHeight="1">
      <c r="A796" s="1"/>
      <c r="B796" s="1"/>
      <c r="C796" s="2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7.25" customHeight="1">
      <c r="A797" s="1"/>
      <c r="B797" s="1"/>
      <c r="C797" s="2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7.25" customHeight="1">
      <c r="A798" s="1"/>
      <c r="B798" s="1"/>
      <c r="C798" s="2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7.25" customHeight="1">
      <c r="A799" s="1"/>
      <c r="B799" s="1"/>
      <c r="C799" s="2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7.25" customHeight="1">
      <c r="A800" s="1"/>
      <c r="B800" s="1"/>
      <c r="C800" s="2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7.25" customHeight="1">
      <c r="A801" s="1"/>
      <c r="B801" s="1"/>
      <c r="C801" s="2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7.25" customHeight="1">
      <c r="A802" s="1"/>
      <c r="B802" s="1"/>
      <c r="C802" s="2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7.25" customHeight="1">
      <c r="A803" s="1"/>
      <c r="B803" s="1"/>
      <c r="C803" s="2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7.25" customHeight="1">
      <c r="A804" s="1"/>
      <c r="B804" s="1"/>
      <c r="C804" s="2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7.25" customHeight="1">
      <c r="A805" s="1"/>
      <c r="B805" s="1"/>
      <c r="C805" s="2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7.25" customHeight="1">
      <c r="A806" s="1"/>
      <c r="B806" s="1"/>
      <c r="C806" s="2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7.25" customHeight="1">
      <c r="A807" s="1"/>
      <c r="B807" s="1"/>
      <c r="C807" s="2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7.25" customHeight="1">
      <c r="A808" s="1"/>
      <c r="B808" s="1"/>
      <c r="C808" s="2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7.25" customHeight="1">
      <c r="A809" s="1"/>
      <c r="B809" s="1"/>
      <c r="C809" s="2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7.25" customHeight="1">
      <c r="A810" s="1"/>
      <c r="B810" s="1"/>
      <c r="C810" s="2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7.25" customHeight="1">
      <c r="A811" s="1"/>
      <c r="B811" s="1"/>
      <c r="C811" s="2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7.25" customHeight="1">
      <c r="A812" s="1"/>
      <c r="B812" s="1"/>
      <c r="C812" s="2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7.25" customHeight="1">
      <c r="A813" s="1"/>
      <c r="B813" s="1"/>
      <c r="C813" s="2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7.25" customHeight="1">
      <c r="A814" s="1"/>
      <c r="B814" s="1"/>
      <c r="C814" s="2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7.25" customHeight="1">
      <c r="A815" s="1"/>
      <c r="B815" s="1"/>
      <c r="C815" s="2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7.25" customHeight="1">
      <c r="A816" s="1"/>
      <c r="B816" s="1"/>
      <c r="C816" s="2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7.25" customHeight="1">
      <c r="A817" s="1"/>
      <c r="B817" s="1"/>
      <c r="C817" s="2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7.25" customHeight="1">
      <c r="A818" s="1"/>
      <c r="B818" s="1"/>
      <c r="C818" s="2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7.25" customHeight="1">
      <c r="A819" s="1"/>
      <c r="B819" s="1"/>
      <c r="C819" s="2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7.25" customHeight="1">
      <c r="A820" s="1"/>
      <c r="B820" s="1"/>
      <c r="C820" s="2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7.25" customHeight="1">
      <c r="A821" s="1"/>
      <c r="B821" s="1"/>
      <c r="C821" s="2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7.25" customHeight="1">
      <c r="A822" s="1"/>
      <c r="B822" s="1"/>
      <c r="C822" s="2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7.25" customHeight="1">
      <c r="A823" s="1"/>
      <c r="B823" s="1"/>
      <c r="C823" s="2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7.25" customHeight="1">
      <c r="A824" s="1"/>
      <c r="B824" s="1"/>
      <c r="C824" s="2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7.25" customHeight="1">
      <c r="A825" s="1"/>
      <c r="B825" s="1"/>
      <c r="C825" s="2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7.25" customHeight="1">
      <c r="A826" s="1"/>
      <c r="B826" s="1"/>
      <c r="C826" s="2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7.25" customHeight="1">
      <c r="A827" s="1"/>
      <c r="B827" s="1"/>
      <c r="C827" s="2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7.25" customHeight="1">
      <c r="A828" s="1"/>
      <c r="B828" s="1"/>
      <c r="C828" s="2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7.25" customHeight="1">
      <c r="A829" s="1"/>
      <c r="B829" s="1"/>
      <c r="C829" s="2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7.25" customHeight="1">
      <c r="A830" s="1"/>
      <c r="B830" s="1"/>
      <c r="C830" s="2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7.25" customHeight="1">
      <c r="A831" s="1"/>
      <c r="B831" s="1"/>
      <c r="C831" s="2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7.25" customHeight="1">
      <c r="A832" s="1"/>
      <c r="B832" s="1"/>
      <c r="C832" s="2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7.25" customHeight="1">
      <c r="A833" s="1"/>
      <c r="B833" s="1"/>
      <c r="C833" s="2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7.25" customHeight="1">
      <c r="A834" s="1"/>
      <c r="B834" s="1"/>
      <c r="C834" s="2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7.25" customHeight="1">
      <c r="A835" s="1"/>
      <c r="B835" s="1"/>
      <c r="C835" s="2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7.25" customHeight="1">
      <c r="A836" s="1"/>
      <c r="B836" s="1"/>
      <c r="C836" s="2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7.25" customHeight="1">
      <c r="A837" s="1"/>
      <c r="B837" s="1"/>
      <c r="C837" s="2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7.25" customHeight="1">
      <c r="A838" s="1"/>
      <c r="B838" s="1"/>
      <c r="C838" s="2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7.25" customHeight="1">
      <c r="A839" s="1"/>
      <c r="B839" s="1"/>
      <c r="C839" s="2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7.25" customHeight="1">
      <c r="A840" s="1"/>
      <c r="B840" s="1"/>
      <c r="C840" s="2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7.25" customHeight="1">
      <c r="A841" s="1"/>
      <c r="B841" s="1"/>
      <c r="C841" s="2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7.25" customHeight="1">
      <c r="A842" s="1"/>
      <c r="B842" s="1"/>
      <c r="C842" s="2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7.25" customHeight="1">
      <c r="A843" s="1"/>
      <c r="B843" s="1"/>
      <c r="C843" s="2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7.25" customHeight="1">
      <c r="A844" s="1"/>
      <c r="B844" s="1"/>
      <c r="C844" s="2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7.25" customHeight="1">
      <c r="A845" s="1"/>
      <c r="B845" s="1"/>
      <c r="C845" s="2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7.25" customHeight="1">
      <c r="A846" s="1"/>
      <c r="B846" s="1"/>
      <c r="C846" s="2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7.25" customHeight="1">
      <c r="A847" s="1"/>
      <c r="B847" s="1"/>
      <c r="C847" s="2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7.25" customHeight="1">
      <c r="A848" s="1"/>
      <c r="B848" s="1"/>
      <c r="C848" s="2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7.25" customHeight="1">
      <c r="A849" s="1"/>
      <c r="B849" s="1"/>
      <c r="C849" s="2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7.25" customHeight="1">
      <c r="A850" s="1"/>
      <c r="B850" s="1"/>
      <c r="C850" s="2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7.25" customHeight="1">
      <c r="A851" s="1"/>
      <c r="B851" s="1"/>
      <c r="C851" s="2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7.25" customHeight="1">
      <c r="A852" s="1"/>
      <c r="B852" s="1"/>
      <c r="C852" s="2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7.25" customHeight="1">
      <c r="A853" s="1"/>
      <c r="B853" s="1"/>
      <c r="C853" s="2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7.25" customHeight="1">
      <c r="A854" s="1"/>
      <c r="B854" s="1"/>
      <c r="C854" s="2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7.25" customHeight="1">
      <c r="A855" s="1"/>
      <c r="B855" s="1"/>
      <c r="C855" s="2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7.25" customHeight="1">
      <c r="A856" s="1"/>
      <c r="B856" s="1"/>
      <c r="C856" s="2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7.25" customHeight="1">
      <c r="A857" s="1"/>
      <c r="B857" s="1"/>
      <c r="C857" s="2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7.25" customHeight="1">
      <c r="A858" s="1"/>
      <c r="B858" s="1"/>
      <c r="C858" s="2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7.25" customHeight="1">
      <c r="A859" s="1"/>
      <c r="B859" s="1"/>
      <c r="C859" s="2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7.25" customHeight="1">
      <c r="A860" s="1"/>
      <c r="B860" s="1"/>
      <c r="C860" s="2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7.25" customHeight="1">
      <c r="A861" s="1"/>
      <c r="B861" s="1"/>
      <c r="C861" s="2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7.25" customHeight="1">
      <c r="A862" s="1"/>
      <c r="B862" s="1"/>
      <c r="C862" s="2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7.25" customHeight="1">
      <c r="A863" s="1"/>
      <c r="B863" s="1"/>
      <c r="C863" s="2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7.25" customHeight="1">
      <c r="A864" s="1"/>
      <c r="B864" s="1"/>
      <c r="C864" s="2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7.25" customHeight="1">
      <c r="A865" s="1"/>
      <c r="B865" s="1"/>
      <c r="C865" s="2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7.25" customHeight="1">
      <c r="A866" s="1"/>
      <c r="B866" s="1"/>
      <c r="C866" s="2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7.25" customHeight="1">
      <c r="A867" s="1"/>
      <c r="B867" s="1"/>
      <c r="C867" s="2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7.25" customHeight="1">
      <c r="A868" s="1"/>
      <c r="B868" s="1"/>
      <c r="C868" s="2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7.25" customHeight="1">
      <c r="A869" s="1"/>
      <c r="B869" s="1"/>
      <c r="C869" s="2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7.25" customHeight="1">
      <c r="A870" s="1"/>
      <c r="B870" s="1"/>
      <c r="C870" s="2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7.25" customHeight="1">
      <c r="A871" s="1"/>
      <c r="B871" s="1"/>
      <c r="C871" s="2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7.25" customHeight="1">
      <c r="A872" s="1"/>
      <c r="B872" s="1"/>
      <c r="C872" s="2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7.25" customHeight="1">
      <c r="A873" s="1"/>
      <c r="B873" s="1"/>
      <c r="C873" s="2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7.25" customHeight="1">
      <c r="A874" s="1"/>
      <c r="B874" s="1"/>
      <c r="C874" s="2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7.25" customHeight="1">
      <c r="A875" s="1"/>
      <c r="B875" s="1"/>
      <c r="C875" s="2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7.25" customHeight="1">
      <c r="A876" s="1"/>
      <c r="B876" s="1"/>
      <c r="C876" s="2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7.25" customHeight="1">
      <c r="A877" s="1"/>
      <c r="B877" s="1"/>
      <c r="C877" s="2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7.25" customHeight="1">
      <c r="A878" s="1"/>
      <c r="B878" s="1"/>
      <c r="C878" s="2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7.25" customHeight="1">
      <c r="A879" s="1"/>
      <c r="B879" s="1"/>
      <c r="C879" s="2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7.25" customHeight="1">
      <c r="A880" s="1"/>
      <c r="B880" s="1"/>
      <c r="C880" s="2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7.25" customHeight="1">
      <c r="A881" s="1"/>
      <c r="B881" s="1"/>
      <c r="C881" s="2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7.25" customHeight="1">
      <c r="A882" s="1"/>
      <c r="B882" s="1"/>
      <c r="C882" s="2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7.25" customHeight="1">
      <c r="A883" s="1"/>
      <c r="B883" s="1"/>
      <c r="C883" s="2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7.25" customHeight="1">
      <c r="A884" s="1"/>
      <c r="B884" s="1"/>
      <c r="C884" s="2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7.25" customHeight="1">
      <c r="A885" s="1"/>
      <c r="B885" s="1"/>
      <c r="C885" s="2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7.25" customHeight="1">
      <c r="A886" s="1"/>
      <c r="B886" s="1"/>
      <c r="C886" s="2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7.25" customHeight="1">
      <c r="A887" s="1"/>
      <c r="B887" s="1"/>
      <c r="C887" s="2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7.25" customHeight="1">
      <c r="A888" s="1"/>
      <c r="B888" s="1"/>
      <c r="C888" s="2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7.25" customHeight="1">
      <c r="A889" s="1"/>
      <c r="B889" s="1"/>
      <c r="C889" s="2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7.25" customHeight="1">
      <c r="A890" s="1"/>
      <c r="B890" s="1"/>
      <c r="C890" s="2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7.25" customHeight="1">
      <c r="A891" s="1"/>
      <c r="B891" s="1"/>
      <c r="C891" s="2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7.25" customHeight="1">
      <c r="A892" s="1"/>
      <c r="B892" s="1"/>
      <c r="C892" s="2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7.25" customHeight="1">
      <c r="A893" s="1"/>
      <c r="B893" s="1"/>
      <c r="C893" s="2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7.25" customHeight="1">
      <c r="A894" s="1"/>
      <c r="B894" s="1"/>
      <c r="C894" s="2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7.25" customHeight="1">
      <c r="A895" s="1"/>
      <c r="B895" s="1"/>
      <c r="C895" s="2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7.25" customHeight="1">
      <c r="A896" s="1"/>
      <c r="B896" s="1"/>
      <c r="C896" s="2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7.25" customHeight="1">
      <c r="A897" s="1"/>
      <c r="B897" s="1"/>
      <c r="C897" s="2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7.25" customHeight="1">
      <c r="A898" s="1"/>
      <c r="B898" s="1"/>
      <c r="C898" s="2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7.25" customHeight="1">
      <c r="A899" s="1"/>
      <c r="B899" s="1"/>
      <c r="C899" s="2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7.25" customHeight="1">
      <c r="A900" s="1"/>
      <c r="B900" s="1"/>
      <c r="C900" s="2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7.25" customHeight="1">
      <c r="A901" s="1"/>
      <c r="B901" s="1"/>
      <c r="C901" s="2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7.25" customHeight="1">
      <c r="A902" s="1"/>
      <c r="B902" s="1"/>
      <c r="C902" s="2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7.25" customHeight="1">
      <c r="A903" s="1"/>
      <c r="B903" s="1"/>
      <c r="C903" s="2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7.25" customHeight="1">
      <c r="A904" s="1"/>
      <c r="B904" s="1"/>
      <c r="C904" s="2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7.25" customHeight="1">
      <c r="A905" s="1"/>
      <c r="B905" s="1"/>
      <c r="C905" s="2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7.25" customHeight="1">
      <c r="A906" s="1"/>
      <c r="B906" s="1"/>
      <c r="C906" s="2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7.25" customHeight="1">
      <c r="A907" s="1"/>
      <c r="B907" s="1"/>
      <c r="C907" s="2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7.25" customHeight="1">
      <c r="A908" s="1"/>
      <c r="B908" s="1"/>
      <c r="C908" s="2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7.25" customHeight="1">
      <c r="A909" s="1"/>
      <c r="B909" s="1"/>
      <c r="C909" s="2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7.25" customHeight="1">
      <c r="A910" s="1"/>
      <c r="B910" s="1"/>
      <c r="C910" s="2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7.25" customHeight="1">
      <c r="A911" s="1"/>
      <c r="B911" s="1"/>
      <c r="C911" s="2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7.25" customHeight="1">
      <c r="A912" s="1"/>
      <c r="B912" s="1"/>
      <c r="C912" s="2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7.25" customHeight="1">
      <c r="A913" s="1"/>
      <c r="B913" s="1"/>
      <c r="C913" s="2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7.25" customHeight="1">
      <c r="A914" s="1"/>
      <c r="B914" s="1"/>
      <c r="C914" s="2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7.25" customHeight="1">
      <c r="A915" s="1"/>
      <c r="B915" s="1"/>
      <c r="C915" s="2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7.25" customHeight="1">
      <c r="A916" s="1"/>
      <c r="B916" s="1"/>
      <c r="C916" s="2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7.25" customHeight="1">
      <c r="A917" s="1"/>
      <c r="B917" s="1"/>
      <c r="C917" s="2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7.25" customHeight="1">
      <c r="A918" s="1"/>
      <c r="B918" s="1"/>
      <c r="C918" s="2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7.25" customHeight="1">
      <c r="A919" s="1"/>
      <c r="B919" s="1"/>
      <c r="C919" s="2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7.25" customHeight="1">
      <c r="A920" s="1"/>
      <c r="B920" s="1"/>
      <c r="C920" s="2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7.25" customHeight="1">
      <c r="A921" s="1"/>
      <c r="B921" s="1"/>
      <c r="C921" s="2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7.25" customHeight="1">
      <c r="A922" s="1"/>
      <c r="B922" s="1"/>
      <c r="C922" s="2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7.25" customHeight="1">
      <c r="A923" s="1"/>
      <c r="B923" s="1"/>
      <c r="C923" s="2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7.25" customHeight="1">
      <c r="A924" s="1"/>
      <c r="B924" s="1"/>
      <c r="C924" s="2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7.25" customHeight="1">
      <c r="A925" s="1"/>
      <c r="B925" s="1"/>
      <c r="C925" s="2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7.25" customHeight="1">
      <c r="A926" s="1"/>
      <c r="B926" s="1"/>
      <c r="C926" s="2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7.25" customHeight="1">
      <c r="A927" s="1"/>
      <c r="B927" s="1"/>
      <c r="C927" s="2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7.25" customHeight="1">
      <c r="A928" s="1"/>
      <c r="B928" s="1"/>
      <c r="C928" s="2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7.25" customHeight="1">
      <c r="A929" s="1"/>
      <c r="B929" s="1"/>
      <c r="C929" s="2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7.25" customHeight="1">
      <c r="A930" s="1"/>
      <c r="B930" s="1"/>
      <c r="C930" s="2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7.25" customHeight="1">
      <c r="A931" s="1"/>
      <c r="B931" s="1"/>
      <c r="C931" s="2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7.25" customHeight="1">
      <c r="A932" s="1"/>
      <c r="B932" s="1"/>
      <c r="C932" s="2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7.25" customHeight="1">
      <c r="A933" s="1"/>
      <c r="B933" s="1"/>
      <c r="C933" s="2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7.25" customHeight="1">
      <c r="A934" s="1"/>
      <c r="B934" s="1"/>
      <c r="C934" s="2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7.25" customHeight="1">
      <c r="A935" s="1"/>
      <c r="B935" s="1"/>
      <c r="C935" s="2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7.25" customHeight="1">
      <c r="A936" s="1"/>
      <c r="B936" s="1"/>
      <c r="C936" s="2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7.25" customHeight="1">
      <c r="A937" s="1"/>
      <c r="B937" s="1"/>
      <c r="C937" s="2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7.25" customHeight="1">
      <c r="A938" s="1"/>
      <c r="B938" s="1"/>
      <c r="C938" s="2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7.25" customHeight="1">
      <c r="A939" s="1"/>
      <c r="B939" s="1"/>
      <c r="C939" s="2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7.25" customHeight="1">
      <c r="A940" s="1"/>
      <c r="B940" s="1"/>
      <c r="C940" s="2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7.25" customHeight="1">
      <c r="A941" s="1"/>
      <c r="B941" s="1"/>
      <c r="C941" s="2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7.25" customHeight="1">
      <c r="A942" s="1"/>
      <c r="B942" s="1"/>
      <c r="C942" s="2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7.25" customHeight="1">
      <c r="A943" s="1"/>
      <c r="B943" s="1"/>
      <c r="C943" s="2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7.25" customHeight="1">
      <c r="A944" s="1"/>
      <c r="B944" s="1"/>
      <c r="C944" s="2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7.25" customHeight="1">
      <c r="A945" s="1"/>
      <c r="B945" s="1"/>
      <c r="C945" s="2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7.25" customHeight="1">
      <c r="A946" s="1"/>
      <c r="B946" s="1"/>
      <c r="C946" s="2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7.25" customHeight="1">
      <c r="A947" s="1"/>
      <c r="B947" s="1"/>
      <c r="C947" s="2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7.25" customHeight="1">
      <c r="A948" s="1"/>
      <c r="B948" s="1"/>
      <c r="C948" s="2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7.25" customHeight="1">
      <c r="A949" s="1"/>
      <c r="B949" s="1"/>
      <c r="C949" s="2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7.25" customHeight="1">
      <c r="A950" s="1"/>
      <c r="B950" s="1"/>
      <c r="C950" s="2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7.25" customHeight="1">
      <c r="A951" s="1"/>
      <c r="B951" s="1"/>
      <c r="C951" s="2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7.25" customHeight="1">
      <c r="A952" s="1"/>
      <c r="B952" s="1"/>
      <c r="C952" s="2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7.25" customHeight="1">
      <c r="A953" s="1"/>
      <c r="B953" s="1"/>
      <c r="C953" s="2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7.25" customHeight="1">
      <c r="A954" s="1"/>
      <c r="B954" s="1"/>
      <c r="C954" s="2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7.25" customHeight="1">
      <c r="A955" s="1"/>
      <c r="B955" s="1"/>
      <c r="C955" s="2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7.25" customHeight="1">
      <c r="A956" s="1"/>
      <c r="B956" s="1"/>
      <c r="C956" s="2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7.25" customHeight="1">
      <c r="A957" s="1"/>
      <c r="B957" s="1"/>
      <c r="C957" s="2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7.25" customHeight="1">
      <c r="A958" s="1"/>
      <c r="B958" s="1"/>
      <c r="C958" s="2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7.25" customHeight="1">
      <c r="A959" s="1"/>
      <c r="B959" s="1"/>
      <c r="C959" s="2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7.25" customHeight="1">
      <c r="A960" s="1"/>
      <c r="B960" s="1"/>
      <c r="C960" s="2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7.25" customHeight="1">
      <c r="A961" s="1"/>
      <c r="B961" s="1"/>
      <c r="C961" s="2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7.25" customHeight="1">
      <c r="A962" s="1"/>
      <c r="B962" s="1"/>
      <c r="C962" s="2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7.25" customHeight="1">
      <c r="A963" s="1"/>
      <c r="B963" s="1"/>
      <c r="C963" s="2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7.25" customHeight="1">
      <c r="A964" s="1"/>
      <c r="B964" s="1"/>
      <c r="C964" s="2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7.25" customHeight="1">
      <c r="A965" s="1"/>
      <c r="B965" s="1"/>
      <c r="C965" s="2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7.25" customHeight="1">
      <c r="A966" s="1"/>
      <c r="B966" s="1"/>
      <c r="C966" s="2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7.25" customHeight="1">
      <c r="A967" s="1"/>
      <c r="B967" s="1"/>
      <c r="C967" s="2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7.25" customHeight="1">
      <c r="A968" s="1"/>
      <c r="B968" s="1"/>
      <c r="C968" s="2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7.25" customHeight="1">
      <c r="A969" s="1"/>
      <c r="B969" s="1"/>
      <c r="C969" s="2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7.25" customHeight="1">
      <c r="A970" s="1"/>
      <c r="B970" s="1"/>
      <c r="C970" s="2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7.25" customHeight="1">
      <c r="A971" s="1"/>
      <c r="B971" s="1"/>
      <c r="C971" s="2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7.25" customHeight="1">
      <c r="A972" s="1"/>
      <c r="B972" s="1"/>
      <c r="C972" s="2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7.25" customHeight="1">
      <c r="A973" s="1"/>
      <c r="B973" s="1"/>
      <c r="C973" s="2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7.25" customHeight="1">
      <c r="A974" s="1"/>
      <c r="B974" s="1"/>
      <c r="C974" s="2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7.25" customHeight="1">
      <c r="A975" s="1"/>
      <c r="B975" s="1"/>
      <c r="C975" s="2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7.25" customHeight="1">
      <c r="A976" s="1"/>
      <c r="B976" s="1"/>
      <c r="C976" s="2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7.25" customHeight="1">
      <c r="A977" s="1"/>
      <c r="B977" s="1"/>
      <c r="C977" s="2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7.25" customHeight="1">
      <c r="A978" s="1"/>
      <c r="B978" s="1"/>
      <c r="C978" s="2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7.25" customHeight="1">
      <c r="A979" s="1"/>
      <c r="B979" s="1"/>
      <c r="C979" s="2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7.25" customHeight="1">
      <c r="A980" s="1"/>
      <c r="B980" s="1"/>
      <c r="C980" s="2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7.25" customHeight="1">
      <c r="A981" s="1"/>
      <c r="B981" s="1"/>
      <c r="C981" s="2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7.25" customHeight="1">
      <c r="A982" s="1"/>
      <c r="B982" s="1"/>
      <c r="C982" s="2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7.25" customHeight="1">
      <c r="A983" s="1"/>
      <c r="B983" s="1"/>
      <c r="C983" s="2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7.25" customHeight="1">
      <c r="A984" s="1"/>
      <c r="B984" s="1"/>
      <c r="C984" s="2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7.25" customHeight="1">
      <c r="A985" s="1"/>
      <c r="B985" s="1"/>
      <c r="C985" s="2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7.25" customHeight="1">
      <c r="A986" s="1"/>
      <c r="B986" s="1"/>
      <c r="C986" s="2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7.25" customHeight="1">
      <c r="A987" s="1"/>
      <c r="B987" s="1"/>
      <c r="C987" s="2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7.25" customHeight="1">
      <c r="A988" s="1"/>
      <c r="B988" s="1"/>
      <c r="C988" s="2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7.25" customHeight="1">
      <c r="A989" s="1"/>
      <c r="B989" s="1"/>
      <c r="C989" s="2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7.25" customHeight="1">
      <c r="A990" s="1"/>
      <c r="B990" s="1"/>
      <c r="C990" s="2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7.25" customHeight="1">
      <c r="A991" s="1"/>
      <c r="B991" s="1"/>
      <c r="C991" s="2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7.25" customHeight="1">
      <c r="A992" s="1"/>
      <c r="B992" s="1"/>
      <c r="C992" s="2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7.25" customHeight="1">
      <c r="A993" s="1"/>
      <c r="B993" s="1"/>
      <c r="C993" s="2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7.25" customHeight="1">
      <c r="A994" s="1"/>
      <c r="B994" s="1"/>
      <c r="C994" s="2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7.25" customHeight="1">
      <c r="A995" s="1"/>
      <c r="B995" s="1"/>
      <c r="C995" s="2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7.25" customHeight="1">
      <c r="A996" s="1"/>
      <c r="B996" s="1"/>
      <c r="C996" s="2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7.25" customHeight="1">
      <c r="A997" s="1"/>
      <c r="B997" s="1"/>
      <c r="C997" s="2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7.25" customHeight="1">
      <c r="A998" s="1"/>
      <c r="B998" s="1"/>
      <c r="C998" s="2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7.25" customHeight="1">
      <c r="A999" s="1"/>
      <c r="B999" s="1"/>
      <c r="C999" s="2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7.25" customHeight="1">
      <c r="A1000" s="1"/>
      <c r="B1000" s="1"/>
      <c r="C1000" s="2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19">
    <mergeCell ref="N14:O14"/>
    <mergeCell ref="D9:Q9"/>
    <mergeCell ref="M11:O11"/>
    <mergeCell ref="N12:O12"/>
    <mergeCell ref="R12:S12"/>
    <mergeCell ref="N13:O13"/>
    <mergeCell ref="D16:Q16"/>
    <mergeCell ref="D21:Q21"/>
    <mergeCell ref="D41:Q41"/>
    <mergeCell ref="D63:Q63"/>
    <mergeCell ref="K64:N64"/>
    <mergeCell ref="D2:Q2"/>
    <mergeCell ref="D4:E4"/>
    <mergeCell ref="I4:J4"/>
    <mergeCell ref="L4:M4"/>
    <mergeCell ref="D5:E5"/>
    <mergeCell ref="I5:J5"/>
    <mergeCell ref="L5:M5"/>
    <mergeCell ref="O5:Q5"/>
  </mergeCells>
  <conditionalFormatting sqref="E66">
    <cfRule type="containsText" dxfId="5" priority="1" operator="containsText" text="Provento">
      <formula>NOT(ISERROR(SEARCH(("Provento"),(E66))))</formula>
    </cfRule>
  </conditionalFormatting>
  <conditionalFormatting sqref="E66">
    <cfRule type="containsText" dxfId="4" priority="2" operator="containsText" text="Venda">
      <formula>NOT(ISERROR(SEARCH(("Venda"),(E66))))</formula>
    </cfRule>
  </conditionalFormatting>
  <conditionalFormatting sqref="E66">
    <cfRule type="containsText" dxfId="3" priority="3" operator="containsText" text="Compra">
      <formula>NOT(ISERROR(SEARCH(("Compra"),(E66))))</formula>
    </cfRule>
  </conditionalFormatting>
  <pageMargins left="0.511811024" right="0.511811024" top="0.78740157499999996" bottom="0.78740157499999996" header="0" footer="0"/>
  <pageSetup paperSize="9" orientation="portrait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200-000000000000}">
          <x14:formula1>
            <xm:f>Auxiliar!$A$7:$A$10</xm:f>
          </x14:formula1>
          <xm:sqref>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7"/>
  <dimension ref="A1:Z1000"/>
  <sheetViews>
    <sheetView showGridLines="0" topLeftCell="A19" zoomScale="80" zoomScaleNormal="80" workbookViewId="0">
      <selection activeCell="G45" sqref="G45"/>
    </sheetView>
  </sheetViews>
  <sheetFormatPr defaultColWidth="12.625" defaultRowHeight="15" customHeight="1"/>
  <cols>
    <col min="1" max="2" width="11.375" customWidth="1"/>
    <col min="3" max="3" width="4.375" customWidth="1"/>
    <col min="4" max="4" width="12.375" customWidth="1"/>
    <col min="5" max="5" width="13.125" customWidth="1"/>
    <col min="6" max="6" width="12.125" customWidth="1"/>
    <col min="7" max="7" width="11.875" customWidth="1"/>
    <col min="8" max="8" width="9.375" customWidth="1"/>
    <col min="9" max="9" width="12.625" customWidth="1"/>
    <col min="10" max="10" width="15.375" customWidth="1"/>
    <col min="11" max="11" width="12.375" customWidth="1"/>
    <col min="12" max="12" width="13.125" customWidth="1"/>
    <col min="13" max="13" width="16.25" customWidth="1"/>
    <col min="14" max="14" width="11.125" customWidth="1"/>
    <col min="15" max="16" width="10.875" customWidth="1"/>
    <col min="17" max="17" width="16.625" customWidth="1"/>
    <col min="18" max="24" width="9" customWidth="1"/>
    <col min="25" max="26" width="8.625" customWidth="1"/>
  </cols>
  <sheetData>
    <row r="1" spans="1:26" ht="17.25" customHeight="1">
      <c r="A1" s="1"/>
      <c r="B1" s="1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7.25" customHeight="1">
      <c r="A2" s="1"/>
      <c r="B2" s="1"/>
      <c r="C2" s="2"/>
      <c r="D2" s="120" t="s">
        <v>26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2"/>
      <c r="R2" s="3"/>
      <c r="S2" s="3"/>
      <c r="T2" s="3"/>
      <c r="U2" s="3"/>
      <c r="V2" s="3"/>
      <c r="W2" s="3"/>
      <c r="X2" s="3"/>
      <c r="Y2" s="3"/>
      <c r="Z2" s="3"/>
    </row>
    <row r="3" spans="1:26" ht="17.25" customHeight="1">
      <c r="A3" s="1"/>
      <c r="B3" s="1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7.25" customHeight="1">
      <c r="A4" s="1"/>
      <c r="B4" s="1"/>
      <c r="C4" s="2"/>
      <c r="D4" s="138" t="s">
        <v>73</v>
      </c>
      <c r="E4" s="124"/>
      <c r="F4" s="65" t="s">
        <v>28</v>
      </c>
      <c r="G4" s="66">
        <f>SUMIF(FIIs!$E$66,"Provento",FIIs!$J$66)</f>
        <v>0</v>
      </c>
      <c r="H4" s="67"/>
      <c r="I4" s="138" t="s">
        <v>2</v>
      </c>
      <c r="J4" s="124"/>
      <c r="K4" s="37"/>
      <c r="L4" s="138" t="s">
        <v>29</v>
      </c>
      <c r="M4" s="124"/>
      <c r="N4" s="68"/>
      <c r="O4" s="69" t="s">
        <v>3</v>
      </c>
      <c r="P4" s="69"/>
      <c r="Q4" s="69"/>
      <c r="R4" s="3"/>
      <c r="S4" s="3"/>
      <c r="T4" s="3"/>
      <c r="U4" s="3"/>
      <c r="V4" s="3"/>
      <c r="W4" s="3"/>
      <c r="X4" s="3"/>
      <c r="Y4" s="3"/>
      <c r="Z4" s="3"/>
    </row>
    <row r="5" spans="1:26" ht="17.25" customHeight="1">
      <c r="A5" s="1"/>
      <c r="B5" s="1"/>
      <c r="C5" s="2"/>
      <c r="D5" s="139">
        <f>SUM(FIIs!$M$18:$M$19)</f>
        <v>0</v>
      </c>
      <c r="E5" s="122"/>
      <c r="F5" s="65" t="s">
        <v>30</v>
      </c>
      <c r="G5" s="70">
        <f>'Visão Geral'!J12</f>
        <v>0</v>
      </c>
      <c r="H5" s="71"/>
      <c r="I5" s="140">
        <f>SUM(FIIs!$J$19)</f>
        <v>0</v>
      </c>
      <c r="J5" s="119"/>
      <c r="K5" s="7"/>
      <c r="L5" s="139">
        <f>'Visão Geral'!L14</f>
        <v>0</v>
      </c>
      <c r="M5" s="122"/>
      <c r="N5" s="68"/>
      <c r="O5" s="141">
        <f>'Visão Geral'!L5</f>
        <v>0</v>
      </c>
      <c r="P5" s="118"/>
      <c r="Q5" s="119"/>
      <c r="R5" s="3"/>
      <c r="S5" s="3"/>
      <c r="T5" s="3"/>
      <c r="U5" s="3"/>
      <c r="V5" s="3"/>
      <c r="W5" s="3"/>
      <c r="X5" s="3"/>
      <c r="Y5" s="3"/>
      <c r="Z5" s="3"/>
    </row>
    <row r="6" spans="1:26" ht="18" customHeight="1">
      <c r="A6" s="1"/>
      <c r="B6" s="1"/>
      <c r="C6" s="2"/>
      <c r="D6" s="65" t="s">
        <v>4</v>
      </c>
      <c r="E6" s="9">
        <f>IFERROR((D5 - I5)/I5,0)</f>
        <v>0</v>
      </c>
      <c r="F6" s="65" t="s">
        <v>31</v>
      </c>
      <c r="G6" s="70">
        <f>'Visão Geral'!I12</f>
        <v>0</v>
      </c>
      <c r="H6" s="72"/>
      <c r="I6" s="72"/>
      <c r="J6" s="37"/>
      <c r="K6" s="5"/>
      <c r="L6" s="68"/>
      <c r="M6" s="68"/>
      <c r="N6" s="68"/>
      <c r="O6" s="68"/>
      <c r="P6" s="73"/>
      <c r="Q6" s="73"/>
      <c r="R6" s="3"/>
      <c r="S6" s="3"/>
      <c r="T6" s="3"/>
      <c r="U6" s="3"/>
      <c r="V6" s="3"/>
      <c r="W6" s="3"/>
      <c r="X6" s="3"/>
      <c r="Y6" s="3"/>
      <c r="Z6" s="3"/>
    </row>
    <row r="7" spans="1:26" ht="17.25" customHeight="1">
      <c r="A7" s="1"/>
      <c r="B7" s="1"/>
      <c r="C7" s="2"/>
      <c r="D7" s="65" t="s">
        <v>32</v>
      </c>
      <c r="E7" s="9">
        <f>IFERROR(G4/I5,0)</f>
        <v>0</v>
      </c>
      <c r="F7" s="65" t="s">
        <v>33</v>
      </c>
      <c r="G7" s="74" t="str">
        <f>'Visão Geral'!K12</f>
        <v>Ideal</v>
      </c>
      <c r="H7" s="67"/>
      <c r="I7" s="72"/>
      <c r="J7" s="37"/>
      <c r="K7" s="5"/>
      <c r="L7" s="68"/>
      <c r="M7" s="68"/>
      <c r="N7" s="68"/>
      <c r="O7" s="68"/>
      <c r="P7" s="68"/>
      <c r="Q7" s="68"/>
      <c r="R7" s="3"/>
      <c r="S7" s="3"/>
      <c r="T7" s="3"/>
      <c r="U7" s="3"/>
      <c r="V7" s="3"/>
      <c r="W7" s="3"/>
      <c r="X7" s="3"/>
      <c r="Y7" s="3"/>
      <c r="Z7" s="3"/>
    </row>
    <row r="8" spans="1:26" ht="17.25" customHeight="1">
      <c r="A8" s="1"/>
      <c r="B8" s="1"/>
      <c r="C8" s="2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7.25" customHeight="1">
      <c r="A9" s="1"/>
      <c r="B9" s="1"/>
      <c r="C9" s="2"/>
      <c r="D9" s="120" t="s">
        <v>34</v>
      </c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1"/>
      <c r="P9" s="121"/>
      <c r="Q9" s="122"/>
      <c r="R9" s="3"/>
      <c r="S9" s="3"/>
      <c r="T9" s="3"/>
      <c r="U9" s="3"/>
      <c r="V9" s="3"/>
      <c r="W9" s="3"/>
      <c r="X9" s="3"/>
      <c r="Y9" s="3"/>
      <c r="Z9" s="3"/>
    </row>
    <row r="10" spans="1:26" ht="17.25" customHeight="1">
      <c r="A10" s="1"/>
      <c r="B10" s="1"/>
      <c r="C10" s="2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12"/>
      <c r="V10" s="12"/>
      <c r="W10" s="12"/>
      <c r="X10" s="12"/>
      <c r="Y10" s="3"/>
      <c r="Z10" s="3"/>
    </row>
    <row r="11" spans="1:26" ht="17.25" customHeight="1">
      <c r="A11" s="1"/>
      <c r="B11" s="1"/>
      <c r="C11" s="2"/>
      <c r="D11" s="67" t="s">
        <v>35</v>
      </c>
      <c r="E11" s="39" t="s">
        <v>36</v>
      </c>
      <c r="F11" s="65" t="s">
        <v>37</v>
      </c>
      <c r="G11" s="75"/>
      <c r="H11" s="65" t="str">
        <f>IF(E11 = "Registro","","Data:")</f>
        <v/>
      </c>
      <c r="I11" s="76"/>
      <c r="J11" s="77"/>
      <c r="K11" s="77"/>
      <c r="L11" s="78"/>
      <c r="M11" s="142" t="s">
        <v>38</v>
      </c>
      <c r="N11" s="125"/>
      <c r="O11" s="124"/>
      <c r="P11" s="77"/>
      <c r="Q11" s="77"/>
      <c r="R11" s="3"/>
      <c r="S11" s="3"/>
      <c r="T11" s="3"/>
      <c r="U11" s="3"/>
      <c r="V11" s="3"/>
      <c r="W11" s="3"/>
      <c r="X11" s="3"/>
      <c r="Y11" s="3"/>
      <c r="Z11" s="3"/>
    </row>
    <row r="12" spans="1:26" ht="17.25" customHeight="1">
      <c r="A12" s="1"/>
      <c r="B12" s="1"/>
      <c r="C12" s="2"/>
      <c r="D12" s="77"/>
      <c r="E12" s="77" t="s">
        <v>39</v>
      </c>
      <c r="F12" s="65" t="str" cm="1">
        <f t="array" ref="F12">_xlfn.IFS(E11 =  "Provento","",
OR(E11 = "Compra",E11 = "Venda"),"Qtd.:",
E11 =  "Registro", "Nota:")</f>
        <v>Nota:</v>
      </c>
      <c r="G12" s="75"/>
      <c r="H12" s="77"/>
      <c r="I12" s="77"/>
      <c r="J12" s="77"/>
      <c r="K12" s="77"/>
      <c r="L12" s="77"/>
      <c r="M12" s="77" t="s">
        <v>40</v>
      </c>
      <c r="N12" s="143"/>
      <c r="O12" s="122"/>
      <c r="P12" s="77"/>
      <c r="Q12" s="77"/>
      <c r="R12" s="127"/>
      <c r="S12" s="122"/>
      <c r="T12" s="3"/>
      <c r="U12" s="3"/>
      <c r="V12" s="3"/>
      <c r="W12" s="3"/>
      <c r="X12" s="3"/>
      <c r="Y12" s="3"/>
      <c r="Z12" s="3"/>
    </row>
    <row r="13" spans="1:26" ht="17.25" customHeight="1">
      <c r="A13" s="1"/>
      <c r="B13" s="1"/>
      <c r="C13" s="2"/>
      <c r="D13" s="77"/>
      <c r="E13" s="77"/>
      <c r="F13" s="65" t="str" cm="1">
        <f t="array" ref="F13">_xlfn.IFS(E11 =  "Provento","Valor total: ",
OR(E11 = "Compra",E11 = "Venda"),"Cotação: ",
E11 = "Registro", "")</f>
        <v/>
      </c>
      <c r="G13" s="79"/>
      <c r="H13" s="77"/>
      <c r="I13" s="77"/>
      <c r="J13" s="77"/>
      <c r="K13" s="77"/>
      <c r="L13" s="77"/>
      <c r="M13" s="77" t="s">
        <v>41</v>
      </c>
      <c r="N13" s="143"/>
      <c r="O13" s="122"/>
      <c r="P13" s="77"/>
      <c r="Q13" s="77"/>
      <c r="R13" s="3"/>
      <c r="S13" s="3"/>
      <c r="T13" s="3"/>
      <c r="U13" s="3"/>
      <c r="V13" s="3"/>
      <c r="W13" s="3"/>
      <c r="X13" s="3"/>
      <c r="Y13" s="3"/>
      <c r="Z13" s="3"/>
    </row>
    <row r="14" spans="1:26" ht="17.25" customHeight="1">
      <c r="A14" s="1"/>
      <c r="B14" s="1"/>
      <c r="C14" s="2"/>
      <c r="D14" s="77"/>
      <c r="E14" s="77"/>
      <c r="F14" s="65" t="str">
        <f>IF(E11 = "Registro","Tipo:","")</f>
        <v>Tipo:</v>
      </c>
      <c r="G14" s="75"/>
      <c r="H14" s="77"/>
      <c r="I14" s="77"/>
      <c r="J14" s="77"/>
      <c r="K14" s="77"/>
      <c r="L14" s="77"/>
      <c r="M14" s="77" t="s">
        <v>42</v>
      </c>
      <c r="N14" s="144">
        <f>IFERROR(N12/N13,0)</f>
        <v>0</v>
      </c>
      <c r="O14" s="122"/>
      <c r="P14" s="77"/>
      <c r="Q14" s="77"/>
      <c r="R14" s="3"/>
      <c r="S14" s="3"/>
      <c r="T14" s="3"/>
      <c r="U14" s="3"/>
      <c r="V14" s="3"/>
      <c r="W14" s="3"/>
      <c r="X14" s="3"/>
      <c r="Y14" s="3"/>
      <c r="Z14" s="3"/>
    </row>
    <row r="15" spans="1:26" ht="21.75" customHeight="1">
      <c r="A15" s="1"/>
      <c r="B15" s="1"/>
      <c r="C15" s="2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1.75" customHeight="1">
      <c r="A16" s="1"/>
      <c r="B16" s="1"/>
      <c r="C16" s="2"/>
      <c r="D16" s="120" t="s">
        <v>43</v>
      </c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2"/>
      <c r="R16" s="3"/>
      <c r="S16" s="3"/>
      <c r="T16" s="3"/>
      <c r="U16" s="3"/>
      <c r="V16" s="3"/>
      <c r="W16" s="3"/>
      <c r="X16" s="3"/>
      <c r="Y16" s="3"/>
      <c r="Z16" s="3"/>
    </row>
    <row r="17" spans="1:26" ht="21.75" customHeight="1">
      <c r="A17" s="32"/>
      <c r="B17" s="1"/>
      <c r="C17" s="2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25" customHeight="1">
      <c r="A18" s="33"/>
      <c r="B18" s="1"/>
      <c r="C18" s="2"/>
      <c r="D18" s="95" t="s">
        <v>44</v>
      </c>
      <c r="E18" s="95" t="s">
        <v>8</v>
      </c>
      <c r="F18" s="80" t="s">
        <v>46</v>
      </c>
      <c r="G18" s="80" t="s">
        <v>47</v>
      </c>
      <c r="H18" s="80" t="s">
        <v>48</v>
      </c>
      <c r="I18" s="80" t="s">
        <v>49</v>
      </c>
      <c r="J18" s="80" t="s">
        <v>50</v>
      </c>
      <c r="K18" s="81" t="s">
        <v>51</v>
      </c>
      <c r="L18" s="80" t="s">
        <v>52</v>
      </c>
      <c r="M18" s="80" t="s">
        <v>53</v>
      </c>
      <c r="N18" s="80" t="s">
        <v>54</v>
      </c>
      <c r="O18" s="80" t="s">
        <v>55</v>
      </c>
      <c r="P18" s="81" t="s">
        <v>14</v>
      </c>
      <c r="Q18" s="80" t="s">
        <v>56</v>
      </c>
      <c r="R18" s="3"/>
      <c r="S18" s="3"/>
      <c r="T18" s="3"/>
      <c r="U18" s="3"/>
      <c r="V18" s="3"/>
      <c r="W18" s="3"/>
      <c r="X18" s="3"/>
      <c r="Y18" s="3"/>
      <c r="Z18" s="3"/>
    </row>
    <row r="19" spans="1:26" ht="17.25" customHeight="1">
      <c r="A19" s="32"/>
      <c r="B19" s="1"/>
      <c r="C19" s="2"/>
      <c r="D19" s="46"/>
      <c r="E19" s="47"/>
      <c r="F19" s="82">
        <f>SUMIFS(FIIs!$H$65:$H$66,FIIs!$D$65:$D$66,FIIs!$D19,FIIs!$E$65:$E$66,"Compra")
- SUMIFS(FIIs!$H$65:$H$66,FIIs!$D$65:$D$66,FIIs!$D19,FIIs!$E$65:$E$66,"Venda")</f>
        <v>0</v>
      </c>
      <c r="G19" s="47"/>
      <c r="H19" s="83">
        <f>IFERROR(SUMIFS(FIIs!$J$65:$J$66,FIIs!$E$65:$E$66,"Provento",FIIs!$D$65:$D$66,FIIs!$D19) / FIIs!$J19,0)</f>
        <v>0</v>
      </c>
      <c r="I19" s="84">
        <f>IFERROR((FIIs!$M19-FIIs!$J19)/FIIs!$J19,0)</f>
        <v>0</v>
      </c>
      <c r="J19" s="85">
        <f>FIIs!$K19*FIIs!$F19</f>
        <v>0</v>
      </c>
      <c r="K19" s="85">
        <f>IFERROR(SUMIFS(FIIs!$J$66,FIIs!$E$66,"Compra",FIIs!$D$66,FIIs!$D19)/SUMIFS(FIIs!$H$66,FIIs!$E$66,"Compra",FIIs!$D$66,FIIs!$D19),0)</f>
        <v>0</v>
      </c>
      <c r="L19" s="85">
        <f>COTAÇÃO(FIIs!$D19)</f>
        <v>0</v>
      </c>
      <c r="M19" s="85">
        <f>IF(FIIs!$L19= 0,FIIs!$F19*FIIs!$K19,FIIs!$L19*FIIs!$F19)</f>
        <v>0</v>
      </c>
      <c r="N19" s="86">
        <f>IFERROR(FIIs!$G19/SUM(FIIs!$G$18:$G$19),0)</f>
        <v>0</v>
      </c>
      <c r="O19" s="86">
        <f>IFERROR(FIIs!$M19/($D$5 + $L$5),0)</f>
        <v>0</v>
      </c>
      <c r="P19" s="82" t="e">
        <f ca="1">_xludf.IFS(OR(AND(FIIs!$Q19&lt;FIIs!$L19,FIIs!$Q19&gt;0),AND(FIIs!$Q19&lt;0,-FIIs!$Q19&lt;FIIs!$L19)),"Ideal",
FIIs!$O19&gt;FIIs!$N19,"Acima",
FIIs!$O19&lt;FIIs!$N19,"Abaixo")</f>
        <v>#NAME?</v>
      </c>
      <c r="Q19" s="85">
        <f>($D$5+$L$5)*FIIs!$N19 - FIIs!$M19</f>
        <v>0</v>
      </c>
      <c r="R19" s="3"/>
      <c r="S19" s="3"/>
      <c r="T19" s="3"/>
      <c r="U19" s="3"/>
      <c r="V19" s="3"/>
      <c r="W19" s="3"/>
      <c r="X19" s="3"/>
      <c r="Y19" s="3"/>
      <c r="Z19" s="3"/>
    </row>
    <row r="20" spans="1:26" ht="17.25" customHeight="1">
      <c r="A20" s="33"/>
      <c r="B20" s="1"/>
      <c r="C20" s="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7.25" customHeight="1">
      <c r="A21" s="32"/>
      <c r="B21" s="1"/>
      <c r="C21" s="2"/>
      <c r="D21" s="120" t="s">
        <v>57</v>
      </c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3"/>
      <c r="S21" s="3"/>
      <c r="T21" s="3"/>
      <c r="U21" s="3"/>
      <c r="V21" s="3"/>
      <c r="W21" s="3"/>
      <c r="X21" s="3"/>
      <c r="Y21" s="3"/>
      <c r="Z21" s="3"/>
    </row>
    <row r="22" spans="1:26" ht="17.25" customHeight="1">
      <c r="A22" s="1"/>
      <c r="B22" s="1"/>
      <c r="C22" s="2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7.25" customHeight="1">
      <c r="A23" s="1"/>
      <c r="B23" s="1"/>
      <c r="C23" s="2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7.25" customHeight="1">
      <c r="A24" s="1"/>
      <c r="B24" s="1"/>
      <c r="C24" s="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7.25" customHeight="1">
      <c r="A25" s="1"/>
      <c r="B25" s="1"/>
      <c r="C25" s="2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7.25" customHeight="1">
      <c r="A26" s="1"/>
      <c r="B26" s="1"/>
      <c r="C26" s="2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7.25" customHeight="1">
      <c r="A27" s="1"/>
      <c r="B27" s="1"/>
      <c r="C27" s="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7.25" customHeight="1">
      <c r="A28" s="1"/>
      <c r="B28" s="1"/>
      <c r="C28" s="2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7.25" customHeight="1">
      <c r="A29" s="1"/>
      <c r="B29" s="1"/>
      <c r="C29" s="2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7.25" customHeight="1">
      <c r="A30" s="1"/>
      <c r="B30" s="1"/>
      <c r="C30" s="2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7.25" customHeight="1">
      <c r="A31" s="1"/>
      <c r="B31" s="1"/>
      <c r="C31" s="2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7.25" customHeight="1">
      <c r="A32" s="1"/>
      <c r="B32" s="1"/>
      <c r="C32" s="2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7.25" customHeight="1">
      <c r="A33" s="1"/>
      <c r="B33" s="1"/>
      <c r="C33" s="2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7.25" customHeight="1">
      <c r="A34" s="1"/>
      <c r="B34" s="1"/>
      <c r="C34" s="2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7.25" customHeight="1">
      <c r="A35" s="1"/>
      <c r="B35" s="1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7.25" customHeight="1">
      <c r="A36" s="1"/>
      <c r="B36" s="1"/>
      <c r="C36" s="2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7.25" customHeight="1">
      <c r="A37" s="1"/>
      <c r="B37" s="1"/>
      <c r="C37" s="2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7.25" customHeight="1">
      <c r="A38" s="1"/>
      <c r="B38" s="1"/>
      <c r="C38" s="2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7.25" customHeight="1">
      <c r="A39" s="1"/>
      <c r="B39" s="1"/>
      <c r="C39" s="2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7.25" customHeight="1">
      <c r="A40" s="1"/>
      <c r="B40" s="1"/>
      <c r="C40" s="2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7.25" customHeight="1">
      <c r="A41" s="1"/>
      <c r="B41" s="1"/>
      <c r="C41" s="2"/>
      <c r="D41" s="120" t="s">
        <v>70</v>
      </c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2"/>
      <c r="R41" s="3"/>
      <c r="S41" s="3"/>
      <c r="T41" s="3"/>
      <c r="U41" s="3"/>
      <c r="V41" s="3"/>
      <c r="W41" s="3"/>
      <c r="X41" s="3"/>
      <c r="Y41" s="3"/>
      <c r="Z41" s="3"/>
    </row>
    <row r="42" spans="1:26" ht="17.25" customHeight="1">
      <c r="A42" s="1"/>
      <c r="B42" s="1"/>
      <c r="C42" s="2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7.25" customHeight="1">
      <c r="A43" s="1"/>
      <c r="B43" s="1"/>
      <c r="C43" s="2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7.25" customHeight="1">
      <c r="A44" s="1"/>
      <c r="B44" s="1"/>
      <c r="C44" s="2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7.25" customHeight="1">
      <c r="A45" s="1"/>
      <c r="B45" s="1"/>
      <c r="C45" s="2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7.25" customHeight="1">
      <c r="A46" s="1"/>
      <c r="B46" s="1"/>
      <c r="C46" s="2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7.25" customHeight="1">
      <c r="A47" s="1"/>
      <c r="B47" s="1"/>
      <c r="C47" s="2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7.25" customHeight="1">
      <c r="A48" s="1"/>
      <c r="B48" s="1"/>
      <c r="C48" s="2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7.25" customHeight="1">
      <c r="A49" s="1"/>
      <c r="B49" s="1"/>
      <c r="C49" s="2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7.25" customHeight="1">
      <c r="A50" s="1"/>
      <c r="B50" s="1"/>
      <c r="C50" s="2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7.25" customHeight="1">
      <c r="A51" s="1"/>
      <c r="B51" s="1"/>
      <c r="C51" s="2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7.25" customHeight="1">
      <c r="A52" s="1"/>
      <c r="B52" s="1"/>
      <c r="C52" s="2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7.25" customHeight="1">
      <c r="A53" s="1"/>
      <c r="B53" s="1"/>
      <c r="C53" s="2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7.25" customHeight="1">
      <c r="A54" s="1"/>
      <c r="B54" s="1"/>
      <c r="C54" s="2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7.25" customHeight="1">
      <c r="A55" s="1"/>
      <c r="B55" s="1"/>
      <c r="C55" s="2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7.25" customHeight="1">
      <c r="A56" s="1"/>
      <c r="B56" s="1"/>
      <c r="C56" s="2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7.25" customHeight="1">
      <c r="A57" s="1"/>
      <c r="B57" s="1"/>
      <c r="C57" s="2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7.25" customHeight="1">
      <c r="A58" s="1"/>
      <c r="B58" s="1"/>
      <c r="C58" s="2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7.25" customHeight="1">
      <c r="A59" s="1"/>
      <c r="B59" s="1"/>
      <c r="C59" s="2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7.25" customHeight="1">
      <c r="A60" s="1"/>
      <c r="B60" s="1"/>
      <c r="C60" s="2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7.25" customHeight="1">
      <c r="A61" s="1"/>
      <c r="B61" s="1"/>
      <c r="C61" s="2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7.25" customHeight="1">
      <c r="A62" s="1"/>
      <c r="B62" s="1"/>
      <c r="C62" s="2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7.25" customHeight="1">
      <c r="A63" s="1"/>
      <c r="B63" s="1"/>
      <c r="C63" s="2"/>
      <c r="D63" s="120" t="s">
        <v>58</v>
      </c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1"/>
      <c r="P63" s="121"/>
      <c r="Q63" s="122"/>
      <c r="R63" s="3"/>
      <c r="S63" s="3"/>
      <c r="T63" s="3"/>
      <c r="U63" s="3"/>
      <c r="V63" s="3"/>
      <c r="W63" s="3"/>
      <c r="X63" s="3"/>
      <c r="Y63" s="3"/>
      <c r="Z63" s="3"/>
    </row>
    <row r="64" spans="1:26" ht="17.25" customHeight="1">
      <c r="A64" s="1"/>
      <c r="B64" s="1"/>
      <c r="C64" s="2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7.25" customHeight="1">
      <c r="A65" s="1"/>
      <c r="B65" s="1"/>
      <c r="C65" s="2"/>
      <c r="D65" s="96" t="s">
        <v>44</v>
      </c>
      <c r="E65" s="87" t="s">
        <v>60</v>
      </c>
      <c r="F65" s="97" t="s">
        <v>61</v>
      </c>
      <c r="G65" s="87" t="s">
        <v>8</v>
      </c>
      <c r="H65" s="87" t="s">
        <v>46</v>
      </c>
      <c r="I65" s="87" t="s">
        <v>62</v>
      </c>
      <c r="J65" s="87" t="s">
        <v>63</v>
      </c>
      <c r="K65" s="56" t="s">
        <v>71</v>
      </c>
      <c r="L65" s="56" t="s">
        <v>65</v>
      </c>
      <c r="M65" s="56" t="s">
        <v>66</v>
      </c>
      <c r="N65" s="98" t="s">
        <v>72</v>
      </c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7.25" customHeight="1">
      <c r="A66" s="1"/>
      <c r="B66" s="1"/>
      <c r="C66" s="2"/>
      <c r="D66" s="88"/>
      <c r="E66" s="99"/>
      <c r="F66" s="100"/>
      <c r="G66" s="101" t="str">
        <f>IFERROR(VLOOKUP(FIIs!$D66,FIIs!$D$19:$Q$19,2,0),"")</f>
        <v/>
      </c>
      <c r="H66" s="100"/>
      <c r="I66" s="102"/>
      <c r="J66" s="103">
        <f>FIIs!$H66*FIIs!$I66</f>
        <v>0</v>
      </c>
      <c r="K66" s="104">
        <f>SUMIFS(H66:H$1048576,D66:D$1048576,FIIs!$D66,E66:E$1048576,"Compra") -
SUMIFS(H66:H$1048576,D66:D$1048576,FIIs!$D66,E66:E$1048576,"Venda")</f>
        <v>0</v>
      </c>
      <c r="L66" s="105">
        <f>IF(FIIs!$E66 = "Compra",
FIIs!$M66/FIIs!$K66,
IFERROR(VLOOKUP(FIIs!$D66,D67:M$1048576,9,FALSE),0))</f>
        <v>0</v>
      </c>
      <c r="M66" s="105" t="e" cm="1">
        <f t="array" ref="M66">_xlfn.IFS(FIIs!$E66 = "Compra", IFERROR(VLOOKUP(FIIs!$D66,D67:M$1048576,10,FALSE),0) + FIIs!$J66,
FIIs!$E66 = "Venda",FIIs!$K66 * IFERROR(VLOOKUP(FIIs!$D66,D67:M$1048576,9,FALSE),0),
FIIs!$E66 = "Provento",VLOOKUP(FIIs!$D66,D67:M$1048576,10,FALSE))</f>
        <v>#N/A</v>
      </c>
      <c r="N66" s="106">
        <f>EOMONTH(FIIs!$F66,0)</f>
        <v>31</v>
      </c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7.25" customHeight="1">
      <c r="A67" s="1"/>
      <c r="B67" s="1"/>
      <c r="C67" s="2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7.25" customHeight="1">
      <c r="A68" s="1"/>
      <c r="B68" s="1"/>
      <c r="C68" s="2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7.25" customHeight="1">
      <c r="A69" s="1"/>
      <c r="B69" s="1"/>
      <c r="C69" s="2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7.25" customHeight="1">
      <c r="A70" s="1"/>
      <c r="B70" s="1"/>
      <c r="C70" s="2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7.25" customHeight="1">
      <c r="A71" s="1"/>
      <c r="B71" s="1"/>
      <c r="C71" s="2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7.25" customHeight="1">
      <c r="A72" s="1"/>
      <c r="B72" s="1"/>
      <c r="C72" s="2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7.25" customHeight="1">
      <c r="A73" s="1"/>
      <c r="B73" s="1"/>
      <c r="C73" s="2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7.25" customHeight="1">
      <c r="A74" s="1"/>
      <c r="B74" s="1"/>
      <c r="C74" s="2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7.25" customHeight="1">
      <c r="A75" s="1"/>
      <c r="B75" s="1"/>
      <c r="C75" s="2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7.25" customHeight="1">
      <c r="A76" s="1"/>
      <c r="B76" s="1"/>
      <c r="C76" s="2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7.25" customHeight="1">
      <c r="A77" s="1"/>
      <c r="B77" s="1"/>
      <c r="C77" s="2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7.25" customHeight="1">
      <c r="A78" s="1"/>
      <c r="B78" s="1"/>
      <c r="C78" s="2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7.25" customHeight="1">
      <c r="A79" s="1"/>
      <c r="B79" s="1"/>
      <c r="C79" s="2"/>
      <c r="D79" s="3"/>
      <c r="E79" s="3"/>
      <c r="F79" s="63"/>
      <c r="G79" s="3"/>
      <c r="H79" s="3"/>
      <c r="I79" s="64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7.25" customHeight="1">
      <c r="A80" s="1"/>
      <c r="B80" s="1"/>
      <c r="C80" s="2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7.25" customHeight="1">
      <c r="A81" s="1"/>
      <c r="B81" s="1"/>
      <c r="C81" s="2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7.25" customHeight="1">
      <c r="A82" s="1"/>
      <c r="B82" s="1"/>
      <c r="C82" s="2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7.25" customHeight="1">
      <c r="A83" s="1"/>
      <c r="B83" s="1"/>
      <c r="C83" s="2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7.25" customHeight="1">
      <c r="A84" s="1"/>
      <c r="B84" s="1"/>
      <c r="C84" s="2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7.25" customHeight="1">
      <c r="A85" s="1"/>
      <c r="B85" s="1"/>
      <c r="C85" s="2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7.25" customHeight="1">
      <c r="A86" s="1"/>
      <c r="B86" s="1"/>
      <c r="C86" s="2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7.25" customHeight="1">
      <c r="A87" s="1"/>
      <c r="B87" s="1"/>
      <c r="C87" s="2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7.25" customHeight="1">
      <c r="A88" s="1"/>
      <c r="B88" s="1"/>
      <c r="C88" s="2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7.25" customHeight="1">
      <c r="A89" s="1"/>
      <c r="B89" s="1"/>
      <c r="C89" s="2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7.25" customHeight="1">
      <c r="A90" s="1"/>
      <c r="B90" s="1"/>
      <c r="C90" s="2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7.25" customHeight="1">
      <c r="A91" s="1"/>
      <c r="B91" s="1"/>
      <c r="C91" s="2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7.25" customHeight="1">
      <c r="A92" s="1"/>
      <c r="B92" s="1"/>
      <c r="C92" s="2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7.25" customHeight="1">
      <c r="A93" s="1"/>
      <c r="B93" s="1"/>
      <c r="C93" s="2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7.25" customHeight="1">
      <c r="A94" s="1"/>
      <c r="B94" s="1"/>
      <c r="C94" s="2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7.25" customHeight="1">
      <c r="A95" s="1"/>
      <c r="B95" s="1"/>
      <c r="C95" s="2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7.25" customHeight="1">
      <c r="A96" s="1"/>
      <c r="B96" s="1"/>
      <c r="C96" s="2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7.25" customHeight="1">
      <c r="A97" s="1"/>
      <c r="B97" s="1"/>
      <c r="C97" s="2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7.25" customHeight="1">
      <c r="A98" s="1"/>
      <c r="B98" s="1"/>
      <c r="C98" s="2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7.25" customHeight="1">
      <c r="A99" s="1"/>
      <c r="B99" s="1"/>
      <c r="C99" s="2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7.25" customHeight="1">
      <c r="A100" s="1"/>
      <c r="B100" s="1"/>
      <c r="C100" s="2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7.25" customHeight="1">
      <c r="A101" s="1"/>
      <c r="B101" s="1"/>
      <c r="C101" s="2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7.25" customHeight="1">
      <c r="A102" s="1"/>
      <c r="B102" s="1"/>
      <c r="C102" s="2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7.25" customHeight="1">
      <c r="A103" s="1"/>
      <c r="B103" s="1"/>
      <c r="C103" s="2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7.25" customHeight="1">
      <c r="A104" s="1"/>
      <c r="B104" s="1"/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7.25" customHeight="1">
      <c r="A105" s="1"/>
      <c r="B105" s="1"/>
      <c r="C105" s="2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7.25" customHeight="1">
      <c r="A106" s="1"/>
      <c r="B106" s="1"/>
      <c r="C106" s="2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7.25" customHeight="1">
      <c r="A107" s="1"/>
      <c r="B107" s="1"/>
      <c r="C107" s="2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7.25" customHeight="1">
      <c r="A108" s="1"/>
      <c r="B108" s="1"/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7.25" customHeight="1">
      <c r="A109" s="1"/>
      <c r="B109" s="1"/>
      <c r="C109" s="2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7.25" customHeight="1">
      <c r="A110" s="1"/>
      <c r="B110" s="1"/>
      <c r="C110" s="2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7.25" customHeight="1">
      <c r="A111" s="1"/>
      <c r="B111" s="1"/>
      <c r="C111" s="2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7.25" customHeight="1">
      <c r="A112" s="1"/>
      <c r="B112" s="1"/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7.25" customHeight="1">
      <c r="A113" s="1"/>
      <c r="B113" s="1"/>
      <c r="C113" s="2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7.25" customHeight="1">
      <c r="A114" s="1"/>
      <c r="B114" s="1"/>
      <c r="C114" s="2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7.25" customHeight="1">
      <c r="A115" s="1"/>
      <c r="B115" s="1"/>
      <c r="C115" s="2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7.25" customHeight="1">
      <c r="A116" s="1"/>
      <c r="B116" s="1"/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7.25" customHeight="1">
      <c r="A117" s="1"/>
      <c r="B117" s="1"/>
      <c r="C117" s="2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7.25" customHeight="1">
      <c r="A118" s="1"/>
      <c r="B118" s="1"/>
      <c r="C118" s="2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7.25" customHeight="1">
      <c r="A119" s="1"/>
      <c r="B119" s="1"/>
      <c r="C119" s="2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7.25" customHeight="1">
      <c r="A120" s="1"/>
      <c r="B120" s="1"/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7.25" customHeight="1">
      <c r="A121" s="1"/>
      <c r="B121" s="1"/>
      <c r="C121" s="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7.25" customHeight="1">
      <c r="A122" s="1"/>
      <c r="B122" s="1"/>
      <c r="C122" s="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7.25" customHeight="1">
      <c r="A123" s="1"/>
      <c r="B123" s="1"/>
      <c r="C123" s="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7.25" customHeight="1">
      <c r="A124" s="1"/>
      <c r="B124" s="1"/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7.25" customHeight="1">
      <c r="A125" s="1"/>
      <c r="B125" s="1"/>
      <c r="C125" s="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7.25" customHeight="1">
      <c r="A126" s="1"/>
      <c r="B126" s="1"/>
      <c r="C126" s="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7.25" customHeight="1">
      <c r="A127" s="1"/>
      <c r="B127" s="1"/>
      <c r="C127" s="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7.25" customHeight="1">
      <c r="A128" s="1"/>
      <c r="B128" s="1"/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7.25" customHeight="1">
      <c r="A129" s="1"/>
      <c r="B129" s="1"/>
      <c r="C129" s="2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7.25" customHeight="1">
      <c r="A130" s="1"/>
      <c r="B130" s="1"/>
      <c r="C130" s="2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7.25" customHeight="1">
      <c r="A131" s="1"/>
      <c r="B131" s="1"/>
      <c r="C131" s="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7.25" customHeight="1">
      <c r="A132" s="1"/>
      <c r="B132" s="1"/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7.25" customHeight="1">
      <c r="A133" s="1"/>
      <c r="B133" s="1"/>
      <c r="C133" s="2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7.25" customHeight="1">
      <c r="A134" s="1"/>
      <c r="B134" s="1"/>
      <c r="C134" s="2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7.25" customHeight="1">
      <c r="A135" s="1"/>
      <c r="B135" s="1"/>
      <c r="C135" s="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7.25" customHeight="1">
      <c r="A136" s="1"/>
      <c r="B136" s="1"/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7.25" customHeight="1">
      <c r="A137" s="1"/>
      <c r="B137" s="1"/>
      <c r="C137" s="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7.25" customHeight="1">
      <c r="A138" s="1"/>
      <c r="B138" s="1"/>
      <c r="C138" s="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7.25" customHeight="1">
      <c r="A139" s="1"/>
      <c r="B139" s="1"/>
      <c r="C139" s="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7.25" customHeight="1">
      <c r="A140" s="1"/>
      <c r="B140" s="1"/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7.25" customHeight="1">
      <c r="A141" s="1"/>
      <c r="B141" s="1"/>
      <c r="C141" s="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7.25" customHeight="1">
      <c r="A142" s="1"/>
      <c r="B142" s="1"/>
      <c r="C142" s="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7.25" customHeight="1">
      <c r="A143" s="1"/>
      <c r="B143" s="1"/>
      <c r="C143" s="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7.25" customHeight="1">
      <c r="A144" s="1"/>
      <c r="B144" s="1"/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7.25" customHeight="1">
      <c r="A145" s="1"/>
      <c r="B145" s="1"/>
      <c r="C145" s="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7.25" customHeight="1">
      <c r="A146" s="1"/>
      <c r="B146" s="1"/>
      <c r="C146" s="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7.25" customHeight="1">
      <c r="A147" s="1"/>
      <c r="B147" s="1"/>
      <c r="C147" s="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7.25" customHeight="1">
      <c r="A148" s="1"/>
      <c r="B148" s="1"/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7.25" customHeight="1">
      <c r="A149" s="1"/>
      <c r="B149" s="1"/>
      <c r="C149" s="2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7.25" customHeight="1">
      <c r="A150" s="1"/>
      <c r="B150" s="1"/>
      <c r="C150" s="2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7.25" customHeight="1">
      <c r="A151" s="1"/>
      <c r="B151" s="1"/>
      <c r="C151" s="2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7.25" customHeight="1">
      <c r="A152" s="1"/>
      <c r="B152" s="1"/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7.25" customHeight="1">
      <c r="A153" s="1"/>
      <c r="B153" s="1"/>
      <c r="C153" s="2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7.25" customHeight="1">
      <c r="A154" s="1"/>
      <c r="B154" s="1"/>
      <c r="C154" s="2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7.25" customHeight="1">
      <c r="A155" s="1"/>
      <c r="B155" s="1"/>
      <c r="C155" s="2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7.25" customHeight="1">
      <c r="A156" s="1"/>
      <c r="B156" s="1"/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7.25" customHeight="1">
      <c r="A157" s="1"/>
      <c r="B157" s="1"/>
      <c r="C157" s="2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7.25" customHeight="1">
      <c r="A158" s="1"/>
      <c r="B158" s="1"/>
      <c r="C158" s="2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7.25" customHeight="1">
      <c r="A159" s="1"/>
      <c r="B159" s="1"/>
      <c r="C159" s="2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7.25" customHeight="1">
      <c r="A160" s="1"/>
      <c r="B160" s="1"/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7.25" customHeight="1">
      <c r="A161" s="1"/>
      <c r="B161" s="1"/>
      <c r="C161" s="2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7.25" customHeight="1">
      <c r="A162" s="1"/>
      <c r="B162" s="1"/>
      <c r="C162" s="2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7.25" customHeight="1">
      <c r="A163" s="1"/>
      <c r="B163" s="1"/>
      <c r="C163" s="2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7.25" customHeight="1">
      <c r="A164" s="1"/>
      <c r="B164" s="1"/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7.25" customHeight="1">
      <c r="A165" s="1"/>
      <c r="B165" s="1"/>
      <c r="C165" s="2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7.25" customHeight="1">
      <c r="A166" s="1"/>
      <c r="B166" s="1"/>
      <c r="C166" s="2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7.25" customHeight="1">
      <c r="A167" s="1"/>
      <c r="B167" s="1"/>
      <c r="C167" s="2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7.25" customHeight="1">
      <c r="A168" s="1"/>
      <c r="B168" s="1"/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7.25" customHeight="1">
      <c r="A169" s="1"/>
      <c r="B169" s="1"/>
      <c r="C169" s="2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7.25" customHeight="1">
      <c r="A170" s="1"/>
      <c r="B170" s="1"/>
      <c r="C170" s="2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7.25" customHeight="1">
      <c r="A171" s="1"/>
      <c r="B171" s="1"/>
      <c r="C171" s="2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7.25" customHeight="1">
      <c r="A172" s="1"/>
      <c r="B172" s="1"/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7.25" customHeight="1">
      <c r="A173" s="1"/>
      <c r="B173" s="1"/>
      <c r="C173" s="2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7.25" customHeight="1">
      <c r="A174" s="1"/>
      <c r="B174" s="1"/>
      <c r="C174" s="2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7.25" customHeight="1">
      <c r="A175" s="1"/>
      <c r="B175" s="1"/>
      <c r="C175" s="2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7.25" customHeight="1">
      <c r="A176" s="1"/>
      <c r="B176" s="1"/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7.25" customHeight="1">
      <c r="A177" s="1"/>
      <c r="B177" s="1"/>
      <c r="C177" s="2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7.25" customHeight="1">
      <c r="A178" s="1"/>
      <c r="B178" s="1"/>
      <c r="C178" s="2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7.25" customHeight="1">
      <c r="A179" s="1"/>
      <c r="B179" s="1"/>
      <c r="C179" s="2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7.25" customHeight="1">
      <c r="A180" s="1"/>
      <c r="B180" s="1"/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7.25" customHeight="1">
      <c r="A181" s="1"/>
      <c r="B181" s="1"/>
      <c r="C181" s="2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7.25" customHeight="1">
      <c r="A182" s="1"/>
      <c r="B182" s="1"/>
      <c r="C182" s="2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7.25" customHeight="1">
      <c r="A183" s="1"/>
      <c r="B183" s="1"/>
      <c r="C183" s="2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7.25" customHeight="1">
      <c r="A184" s="1"/>
      <c r="B184" s="1"/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7.25" customHeight="1">
      <c r="A185" s="1"/>
      <c r="B185" s="1"/>
      <c r="C185" s="2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7.25" customHeight="1">
      <c r="A186" s="1"/>
      <c r="B186" s="1"/>
      <c r="C186" s="2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7.25" customHeight="1">
      <c r="A187" s="1"/>
      <c r="B187" s="1"/>
      <c r="C187" s="2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7.25" customHeight="1">
      <c r="A188" s="1"/>
      <c r="B188" s="1"/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7.25" customHeight="1">
      <c r="A189" s="1"/>
      <c r="B189" s="1"/>
      <c r="C189" s="2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7.25" customHeight="1">
      <c r="A190" s="1"/>
      <c r="B190" s="1"/>
      <c r="C190" s="2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7.25" customHeight="1">
      <c r="A191" s="1"/>
      <c r="B191" s="1"/>
      <c r="C191" s="2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7.25" customHeight="1">
      <c r="A192" s="1"/>
      <c r="B192" s="1"/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7.25" customHeight="1">
      <c r="A193" s="1"/>
      <c r="B193" s="1"/>
      <c r="C193" s="2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7.25" customHeight="1">
      <c r="A194" s="1"/>
      <c r="B194" s="1"/>
      <c r="C194" s="2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7.25" customHeight="1">
      <c r="A195" s="1"/>
      <c r="B195" s="1"/>
      <c r="C195" s="2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7.25" customHeight="1">
      <c r="A196" s="1"/>
      <c r="B196" s="1"/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7.25" customHeight="1">
      <c r="A197" s="1"/>
      <c r="B197" s="1"/>
      <c r="C197" s="2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7.25" customHeight="1">
      <c r="A198" s="1"/>
      <c r="B198" s="1"/>
      <c r="C198" s="2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7.25" customHeight="1">
      <c r="A199" s="1"/>
      <c r="B199" s="1"/>
      <c r="C199" s="2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7.25" customHeight="1">
      <c r="A200" s="1"/>
      <c r="B200" s="1"/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7.25" customHeight="1">
      <c r="A201" s="1"/>
      <c r="B201" s="1"/>
      <c r="C201" s="2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7.25" customHeight="1">
      <c r="A202" s="1"/>
      <c r="B202" s="1"/>
      <c r="C202" s="2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7.25" customHeight="1">
      <c r="A203" s="1"/>
      <c r="B203" s="1"/>
      <c r="C203" s="2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7.25" customHeight="1">
      <c r="A204" s="1"/>
      <c r="B204" s="1"/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7.25" customHeight="1">
      <c r="A205" s="1"/>
      <c r="B205" s="1"/>
      <c r="C205" s="2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7.25" customHeight="1">
      <c r="A206" s="1"/>
      <c r="B206" s="1"/>
      <c r="C206" s="2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7.25" customHeight="1">
      <c r="A207" s="1"/>
      <c r="B207" s="1"/>
      <c r="C207" s="2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7.25" customHeight="1">
      <c r="A208" s="1"/>
      <c r="B208" s="1"/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7.25" customHeight="1">
      <c r="A209" s="1"/>
      <c r="B209" s="1"/>
      <c r="C209" s="2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7.25" customHeight="1">
      <c r="A210" s="1"/>
      <c r="B210" s="1"/>
      <c r="C210" s="2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7.25" customHeight="1">
      <c r="A211" s="1"/>
      <c r="B211" s="1"/>
      <c r="C211" s="2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7.25" customHeight="1">
      <c r="A212" s="1"/>
      <c r="B212" s="1"/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7.25" customHeight="1">
      <c r="A213" s="1"/>
      <c r="B213" s="1"/>
      <c r="C213" s="2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7.25" customHeight="1">
      <c r="A214" s="1"/>
      <c r="B214" s="1"/>
      <c r="C214" s="2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7.25" customHeight="1">
      <c r="A215" s="1"/>
      <c r="B215" s="1"/>
      <c r="C215" s="2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7.25" customHeight="1">
      <c r="A216" s="1"/>
      <c r="B216" s="1"/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7.25" customHeight="1">
      <c r="A217" s="1"/>
      <c r="B217" s="1"/>
      <c r="C217" s="2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7.25" customHeight="1">
      <c r="A218" s="1"/>
      <c r="B218" s="1"/>
      <c r="C218" s="2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7.25" customHeight="1">
      <c r="A219" s="1"/>
      <c r="B219" s="1"/>
      <c r="C219" s="2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7.25" customHeight="1">
      <c r="A220" s="1"/>
      <c r="B220" s="1"/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7.25" customHeight="1">
      <c r="A221" s="1"/>
      <c r="B221" s="1"/>
      <c r="C221" s="2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7.25" customHeight="1">
      <c r="A222" s="1"/>
      <c r="B222" s="1"/>
      <c r="C222" s="2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7.25" customHeight="1">
      <c r="A223" s="1"/>
      <c r="B223" s="1"/>
      <c r="C223" s="2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7.25" customHeight="1">
      <c r="A224" s="1"/>
      <c r="B224" s="1"/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7.25" customHeight="1">
      <c r="A225" s="1"/>
      <c r="B225" s="1"/>
      <c r="C225" s="2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7.25" customHeight="1">
      <c r="A226" s="1"/>
      <c r="B226" s="1"/>
      <c r="C226" s="2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7.25" customHeight="1">
      <c r="A227" s="1"/>
      <c r="B227" s="1"/>
      <c r="C227" s="2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7.25" customHeight="1">
      <c r="A228" s="1"/>
      <c r="B228" s="1"/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7.25" customHeight="1">
      <c r="A229" s="1"/>
      <c r="B229" s="1"/>
      <c r="C229" s="2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7.25" customHeight="1">
      <c r="A230" s="1"/>
      <c r="B230" s="1"/>
      <c r="C230" s="2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7.25" customHeight="1">
      <c r="A231" s="1"/>
      <c r="B231" s="1"/>
      <c r="C231" s="2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7.25" customHeight="1">
      <c r="A232" s="1"/>
      <c r="B232" s="1"/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7.25" customHeight="1">
      <c r="A233" s="1"/>
      <c r="B233" s="1"/>
      <c r="C233" s="2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7.25" customHeight="1">
      <c r="A234" s="1"/>
      <c r="B234" s="1"/>
      <c r="C234" s="2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7.25" customHeight="1">
      <c r="A235" s="1"/>
      <c r="B235" s="1"/>
      <c r="C235" s="2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7.25" customHeight="1">
      <c r="A236" s="1"/>
      <c r="B236" s="1"/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7.25" customHeight="1">
      <c r="A237" s="1"/>
      <c r="B237" s="1"/>
      <c r="C237" s="2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7.25" customHeight="1">
      <c r="A238" s="1"/>
      <c r="B238" s="1"/>
      <c r="C238" s="2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7.25" customHeight="1">
      <c r="A239" s="1"/>
      <c r="B239" s="1"/>
      <c r="C239" s="2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7.25" customHeight="1">
      <c r="A240" s="1"/>
      <c r="B240" s="1"/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7.25" customHeight="1">
      <c r="A241" s="1"/>
      <c r="B241" s="1"/>
      <c r="C241" s="2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7.25" customHeight="1">
      <c r="A242" s="1"/>
      <c r="B242" s="1"/>
      <c r="C242" s="2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7.25" customHeight="1">
      <c r="A243" s="1"/>
      <c r="B243" s="1"/>
      <c r="C243" s="2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7.25" customHeight="1">
      <c r="A244" s="1"/>
      <c r="B244" s="1"/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7.25" customHeight="1">
      <c r="A245" s="1"/>
      <c r="B245" s="1"/>
      <c r="C245" s="2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7.25" customHeight="1">
      <c r="A246" s="1"/>
      <c r="B246" s="1"/>
      <c r="C246" s="2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7.25" customHeight="1">
      <c r="A247" s="1"/>
      <c r="B247" s="1"/>
      <c r="C247" s="2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7.25" customHeight="1">
      <c r="A248" s="1"/>
      <c r="B248" s="1"/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7.25" customHeight="1">
      <c r="A249" s="1"/>
      <c r="B249" s="1"/>
      <c r="C249" s="2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7.25" customHeight="1">
      <c r="A250" s="1"/>
      <c r="B250" s="1"/>
      <c r="C250" s="2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7.25" customHeight="1">
      <c r="A251" s="1"/>
      <c r="B251" s="1"/>
      <c r="C251" s="2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7.25" customHeight="1">
      <c r="A252" s="1"/>
      <c r="B252" s="1"/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7.25" customHeight="1">
      <c r="A253" s="1"/>
      <c r="B253" s="1"/>
      <c r="C253" s="2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7.25" customHeight="1">
      <c r="A254" s="1"/>
      <c r="B254" s="1"/>
      <c r="C254" s="2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7.25" customHeight="1">
      <c r="A255" s="1"/>
      <c r="B255" s="1"/>
      <c r="C255" s="2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7.25" customHeight="1">
      <c r="A256" s="1"/>
      <c r="B256" s="1"/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7.25" customHeight="1">
      <c r="A257" s="1"/>
      <c r="B257" s="1"/>
      <c r="C257" s="2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7.25" customHeight="1">
      <c r="A258" s="1"/>
      <c r="B258" s="1"/>
      <c r="C258" s="2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7.25" customHeight="1">
      <c r="A259" s="1"/>
      <c r="B259" s="1"/>
      <c r="C259" s="2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7.25" customHeight="1">
      <c r="A260" s="1"/>
      <c r="B260" s="1"/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7.25" customHeight="1">
      <c r="A261" s="1"/>
      <c r="B261" s="1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7.25" customHeight="1">
      <c r="A262" s="1"/>
      <c r="B262" s="1"/>
      <c r="C262" s="2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7.25" customHeight="1">
      <c r="A263" s="1"/>
      <c r="B263" s="1"/>
      <c r="C263" s="2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7.25" customHeight="1">
      <c r="A264" s="1"/>
      <c r="B264" s="1"/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7.25" customHeight="1">
      <c r="A265" s="1"/>
      <c r="B265" s="1"/>
      <c r="C265" s="2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7.25" customHeight="1">
      <c r="A266" s="1"/>
      <c r="B266" s="1"/>
      <c r="C266" s="2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7.25" customHeight="1">
      <c r="A267" s="1"/>
      <c r="B267" s="1"/>
      <c r="C267" s="2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7.25" customHeight="1">
      <c r="A268" s="1"/>
      <c r="B268" s="1"/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7.25" customHeight="1">
      <c r="A269" s="1"/>
      <c r="B269" s="1"/>
      <c r="C269" s="2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7.25" customHeight="1">
      <c r="A270" s="1"/>
      <c r="B270" s="1"/>
      <c r="C270" s="2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7.25" customHeight="1">
      <c r="A271" s="1"/>
      <c r="B271" s="1"/>
      <c r="C271" s="2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7.25" customHeight="1">
      <c r="A272" s="1"/>
      <c r="B272" s="1"/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7.25" customHeight="1">
      <c r="A273" s="1"/>
      <c r="B273" s="1"/>
      <c r="C273" s="2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7.25" customHeight="1">
      <c r="A274" s="1"/>
      <c r="B274" s="1"/>
      <c r="C274" s="2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7.25" customHeight="1">
      <c r="A275" s="1"/>
      <c r="B275" s="1"/>
      <c r="C275" s="2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7.25" customHeight="1">
      <c r="A276" s="1"/>
      <c r="B276" s="1"/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7.25" customHeight="1">
      <c r="A277" s="1"/>
      <c r="B277" s="1"/>
      <c r="C277" s="2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7.25" customHeight="1">
      <c r="A278" s="1"/>
      <c r="B278" s="1"/>
      <c r="C278" s="2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7.25" customHeight="1">
      <c r="A279" s="1"/>
      <c r="B279" s="1"/>
      <c r="C279" s="2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7.25" customHeight="1">
      <c r="A280" s="1"/>
      <c r="B280" s="1"/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7.25" customHeight="1">
      <c r="A281" s="1"/>
      <c r="B281" s="1"/>
      <c r="C281" s="2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7.25" customHeight="1">
      <c r="A282" s="1"/>
      <c r="B282" s="1"/>
      <c r="C282" s="2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7.25" customHeight="1">
      <c r="A283" s="1"/>
      <c r="B283" s="1"/>
      <c r="C283" s="2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7.25" customHeight="1">
      <c r="A284" s="1"/>
      <c r="B284" s="1"/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7.25" customHeight="1">
      <c r="A285" s="1"/>
      <c r="B285" s="1"/>
      <c r="C285" s="2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7.25" customHeight="1">
      <c r="A286" s="1"/>
      <c r="B286" s="1"/>
      <c r="C286" s="2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7.25" customHeight="1">
      <c r="A287" s="1"/>
      <c r="B287" s="1"/>
      <c r="C287" s="2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7.25" customHeight="1">
      <c r="A288" s="1"/>
      <c r="B288" s="1"/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7.25" customHeight="1">
      <c r="A289" s="1"/>
      <c r="B289" s="1"/>
      <c r="C289" s="2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7.25" customHeight="1">
      <c r="A290" s="1"/>
      <c r="B290" s="1"/>
      <c r="C290" s="2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7.25" customHeight="1">
      <c r="A291" s="1"/>
      <c r="B291" s="1"/>
      <c r="C291" s="2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7.25" customHeight="1">
      <c r="A292" s="1"/>
      <c r="B292" s="1"/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7.25" customHeight="1">
      <c r="A293" s="1"/>
      <c r="B293" s="1"/>
      <c r="C293" s="2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7.25" customHeight="1">
      <c r="A294" s="1"/>
      <c r="B294" s="1"/>
      <c r="C294" s="2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7.25" customHeight="1">
      <c r="A295" s="1"/>
      <c r="B295" s="1"/>
      <c r="C295" s="2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7.25" customHeight="1">
      <c r="A296" s="1"/>
      <c r="B296" s="1"/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7.25" customHeight="1">
      <c r="A297" s="1"/>
      <c r="B297" s="1"/>
      <c r="C297" s="2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7.25" customHeight="1">
      <c r="A298" s="1"/>
      <c r="B298" s="1"/>
      <c r="C298" s="2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7.25" customHeight="1">
      <c r="A299" s="1"/>
      <c r="B299" s="1"/>
      <c r="C299" s="2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7.25" customHeight="1">
      <c r="A300" s="1"/>
      <c r="B300" s="1"/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7.25" customHeight="1">
      <c r="A301" s="1"/>
      <c r="B301" s="1"/>
      <c r="C301" s="2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7.25" customHeight="1">
      <c r="A302" s="1"/>
      <c r="B302" s="1"/>
      <c r="C302" s="2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7.25" customHeight="1">
      <c r="A303" s="1"/>
      <c r="B303" s="1"/>
      <c r="C303" s="2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7.25" customHeight="1">
      <c r="A304" s="1"/>
      <c r="B304" s="1"/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7.25" customHeight="1">
      <c r="A305" s="1"/>
      <c r="B305" s="1"/>
      <c r="C305" s="2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7.25" customHeight="1">
      <c r="A306" s="1"/>
      <c r="B306" s="1"/>
      <c r="C306" s="2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7.25" customHeight="1">
      <c r="A307" s="1"/>
      <c r="B307" s="1"/>
      <c r="C307" s="2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7.25" customHeight="1">
      <c r="A308" s="1"/>
      <c r="B308" s="1"/>
      <c r="C308" s="2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7.25" customHeight="1">
      <c r="A309" s="1"/>
      <c r="B309" s="1"/>
      <c r="C309" s="2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7.25" customHeight="1">
      <c r="A310" s="1"/>
      <c r="B310" s="1"/>
      <c r="C310" s="2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7.25" customHeight="1">
      <c r="A311" s="1"/>
      <c r="B311" s="1"/>
      <c r="C311" s="2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7.25" customHeight="1">
      <c r="A312" s="1"/>
      <c r="B312" s="1"/>
      <c r="C312" s="2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7.25" customHeight="1">
      <c r="A313" s="1"/>
      <c r="B313" s="1"/>
      <c r="C313" s="2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7.25" customHeight="1">
      <c r="A314" s="1"/>
      <c r="B314" s="1"/>
      <c r="C314" s="2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7.25" customHeight="1">
      <c r="A315" s="1"/>
      <c r="B315" s="1"/>
      <c r="C315" s="2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7.25" customHeight="1">
      <c r="A316" s="1"/>
      <c r="B316" s="1"/>
      <c r="C316" s="2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7.25" customHeight="1">
      <c r="A317" s="1"/>
      <c r="B317" s="1"/>
      <c r="C317" s="2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7.25" customHeight="1">
      <c r="A318" s="1"/>
      <c r="B318" s="1"/>
      <c r="C318" s="2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7.25" customHeight="1">
      <c r="A319" s="1"/>
      <c r="B319" s="1"/>
      <c r="C319" s="2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7.25" customHeight="1">
      <c r="A320" s="1"/>
      <c r="B320" s="1"/>
      <c r="C320" s="2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7.25" customHeight="1">
      <c r="A321" s="1"/>
      <c r="B321" s="1"/>
      <c r="C321" s="2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7.25" customHeight="1">
      <c r="A322" s="1"/>
      <c r="B322" s="1"/>
      <c r="C322" s="2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7.25" customHeight="1">
      <c r="A323" s="1"/>
      <c r="B323" s="1"/>
      <c r="C323" s="2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7.25" customHeight="1">
      <c r="A324" s="1"/>
      <c r="B324" s="1"/>
      <c r="C324" s="2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7.25" customHeight="1">
      <c r="A325" s="1"/>
      <c r="B325" s="1"/>
      <c r="C325" s="2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7.25" customHeight="1">
      <c r="A326" s="1"/>
      <c r="B326" s="1"/>
      <c r="C326" s="2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7.25" customHeight="1">
      <c r="A327" s="1"/>
      <c r="B327" s="1"/>
      <c r="C327" s="2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7.25" customHeight="1">
      <c r="A328" s="1"/>
      <c r="B328" s="1"/>
      <c r="C328" s="2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7.25" customHeight="1">
      <c r="A329" s="1"/>
      <c r="B329" s="1"/>
      <c r="C329" s="2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7.25" customHeight="1">
      <c r="A330" s="1"/>
      <c r="B330" s="1"/>
      <c r="C330" s="2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7.25" customHeight="1">
      <c r="A331" s="1"/>
      <c r="B331" s="1"/>
      <c r="C331" s="2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7.25" customHeight="1">
      <c r="A332" s="1"/>
      <c r="B332" s="1"/>
      <c r="C332" s="2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7.25" customHeight="1">
      <c r="A333" s="1"/>
      <c r="B333" s="1"/>
      <c r="C333" s="2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7.25" customHeight="1">
      <c r="A334" s="1"/>
      <c r="B334" s="1"/>
      <c r="C334" s="2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7.25" customHeight="1">
      <c r="A335" s="1"/>
      <c r="B335" s="1"/>
      <c r="C335" s="2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7.25" customHeight="1">
      <c r="A336" s="1"/>
      <c r="B336" s="1"/>
      <c r="C336" s="2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7.25" customHeight="1">
      <c r="A337" s="1"/>
      <c r="B337" s="1"/>
      <c r="C337" s="2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7.25" customHeight="1">
      <c r="A338" s="1"/>
      <c r="B338" s="1"/>
      <c r="C338" s="2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7.25" customHeight="1">
      <c r="A339" s="1"/>
      <c r="B339" s="1"/>
      <c r="C339" s="2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7.25" customHeight="1">
      <c r="A340" s="1"/>
      <c r="B340" s="1"/>
      <c r="C340" s="2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7.25" customHeight="1">
      <c r="A341" s="1"/>
      <c r="B341" s="1"/>
      <c r="C341" s="2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7.25" customHeight="1">
      <c r="A342" s="1"/>
      <c r="B342" s="1"/>
      <c r="C342" s="2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7.25" customHeight="1">
      <c r="A343" s="1"/>
      <c r="B343" s="1"/>
      <c r="C343" s="2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7.25" customHeight="1">
      <c r="A344" s="1"/>
      <c r="B344" s="1"/>
      <c r="C344" s="2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7.25" customHeight="1">
      <c r="A345" s="1"/>
      <c r="B345" s="1"/>
      <c r="C345" s="2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7.25" customHeight="1">
      <c r="A346" s="1"/>
      <c r="B346" s="1"/>
      <c r="C346" s="2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7.25" customHeight="1">
      <c r="A347" s="1"/>
      <c r="B347" s="1"/>
      <c r="C347" s="2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7.25" customHeight="1">
      <c r="A348" s="1"/>
      <c r="B348" s="1"/>
      <c r="C348" s="2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7.25" customHeight="1">
      <c r="A349" s="1"/>
      <c r="B349" s="1"/>
      <c r="C349" s="2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7.25" customHeight="1">
      <c r="A350" s="1"/>
      <c r="B350" s="1"/>
      <c r="C350" s="2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7.25" customHeight="1">
      <c r="A351" s="1"/>
      <c r="B351" s="1"/>
      <c r="C351" s="2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7.25" customHeight="1">
      <c r="A352" s="1"/>
      <c r="B352" s="1"/>
      <c r="C352" s="2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7.25" customHeight="1">
      <c r="A353" s="1"/>
      <c r="B353" s="1"/>
      <c r="C353" s="2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7.25" customHeight="1">
      <c r="A354" s="1"/>
      <c r="B354" s="1"/>
      <c r="C354" s="2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7.25" customHeight="1">
      <c r="A355" s="1"/>
      <c r="B355" s="1"/>
      <c r="C355" s="2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7.25" customHeight="1">
      <c r="A356" s="1"/>
      <c r="B356" s="1"/>
      <c r="C356" s="2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7.25" customHeight="1">
      <c r="A357" s="1"/>
      <c r="B357" s="1"/>
      <c r="C357" s="2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7.25" customHeight="1">
      <c r="A358" s="1"/>
      <c r="B358" s="1"/>
      <c r="C358" s="2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7.25" customHeight="1">
      <c r="A359" s="1"/>
      <c r="B359" s="1"/>
      <c r="C359" s="2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7.25" customHeight="1">
      <c r="A360" s="1"/>
      <c r="B360" s="1"/>
      <c r="C360" s="2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7.25" customHeight="1">
      <c r="A361" s="1"/>
      <c r="B361" s="1"/>
      <c r="C361" s="2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7.25" customHeight="1">
      <c r="A362" s="1"/>
      <c r="B362" s="1"/>
      <c r="C362" s="2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7.25" customHeight="1">
      <c r="A363" s="1"/>
      <c r="B363" s="1"/>
      <c r="C363" s="2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7.25" customHeight="1">
      <c r="A364" s="1"/>
      <c r="B364" s="1"/>
      <c r="C364" s="2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7.25" customHeight="1">
      <c r="A365" s="1"/>
      <c r="B365" s="1"/>
      <c r="C365" s="2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7.25" customHeight="1">
      <c r="A366" s="1"/>
      <c r="B366" s="1"/>
      <c r="C366" s="2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7.25" customHeight="1">
      <c r="A367" s="1"/>
      <c r="B367" s="1"/>
      <c r="C367" s="2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7.25" customHeight="1">
      <c r="A368" s="1"/>
      <c r="B368" s="1"/>
      <c r="C368" s="2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7.25" customHeight="1">
      <c r="A369" s="1"/>
      <c r="B369" s="1"/>
      <c r="C369" s="2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7.25" customHeight="1">
      <c r="A370" s="1"/>
      <c r="B370" s="1"/>
      <c r="C370" s="2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7.25" customHeight="1">
      <c r="A371" s="1"/>
      <c r="B371" s="1"/>
      <c r="C371" s="2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7.25" customHeight="1">
      <c r="A372" s="1"/>
      <c r="B372" s="1"/>
      <c r="C372" s="2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7.25" customHeight="1">
      <c r="A373" s="1"/>
      <c r="B373" s="1"/>
      <c r="C373" s="2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7.25" customHeight="1">
      <c r="A374" s="1"/>
      <c r="B374" s="1"/>
      <c r="C374" s="2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7.25" customHeight="1">
      <c r="A375" s="1"/>
      <c r="B375" s="1"/>
      <c r="C375" s="2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7.25" customHeight="1">
      <c r="A376" s="1"/>
      <c r="B376" s="1"/>
      <c r="C376" s="2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7.25" customHeight="1">
      <c r="A377" s="1"/>
      <c r="B377" s="1"/>
      <c r="C377" s="2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7.25" customHeight="1">
      <c r="A378" s="1"/>
      <c r="B378" s="1"/>
      <c r="C378" s="2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7.25" customHeight="1">
      <c r="A379" s="1"/>
      <c r="B379" s="1"/>
      <c r="C379" s="2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7.25" customHeight="1">
      <c r="A380" s="1"/>
      <c r="B380" s="1"/>
      <c r="C380" s="2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7.25" customHeight="1">
      <c r="A381" s="1"/>
      <c r="B381" s="1"/>
      <c r="C381" s="2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7.25" customHeight="1">
      <c r="A382" s="1"/>
      <c r="B382" s="1"/>
      <c r="C382" s="2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7.25" customHeight="1">
      <c r="A383" s="1"/>
      <c r="B383" s="1"/>
      <c r="C383" s="2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7.25" customHeight="1">
      <c r="A384" s="1"/>
      <c r="B384" s="1"/>
      <c r="C384" s="2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7.25" customHeight="1">
      <c r="A385" s="1"/>
      <c r="B385" s="1"/>
      <c r="C385" s="2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7.25" customHeight="1">
      <c r="A386" s="1"/>
      <c r="B386" s="1"/>
      <c r="C386" s="2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7.25" customHeight="1">
      <c r="A387" s="1"/>
      <c r="B387" s="1"/>
      <c r="C387" s="2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7.25" customHeight="1">
      <c r="A388" s="1"/>
      <c r="B388" s="1"/>
      <c r="C388" s="2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7.25" customHeight="1">
      <c r="A389" s="1"/>
      <c r="B389" s="1"/>
      <c r="C389" s="2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7.25" customHeight="1">
      <c r="A390" s="1"/>
      <c r="B390" s="1"/>
      <c r="C390" s="2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7.25" customHeight="1">
      <c r="A391" s="1"/>
      <c r="B391" s="1"/>
      <c r="C391" s="2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7.25" customHeight="1">
      <c r="A392" s="1"/>
      <c r="B392" s="1"/>
      <c r="C392" s="2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7.25" customHeight="1">
      <c r="A393" s="1"/>
      <c r="B393" s="1"/>
      <c r="C393" s="2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7.25" customHeight="1">
      <c r="A394" s="1"/>
      <c r="B394" s="1"/>
      <c r="C394" s="2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7.25" customHeight="1">
      <c r="A395" s="1"/>
      <c r="B395" s="1"/>
      <c r="C395" s="2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7.25" customHeight="1">
      <c r="A396" s="1"/>
      <c r="B396" s="1"/>
      <c r="C396" s="2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7.25" customHeight="1">
      <c r="A397" s="1"/>
      <c r="B397" s="1"/>
      <c r="C397" s="2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7.25" customHeight="1">
      <c r="A398" s="1"/>
      <c r="B398" s="1"/>
      <c r="C398" s="2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7.25" customHeight="1">
      <c r="A399" s="1"/>
      <c r="B399" s="1"/>
      <c r="C399" s="2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7.25" customHeight="1">
      <c r="A400" s="1"/>
      <c r="B400" s="1"/>
      <c r="C400" s="2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7.25" customHeight="1">
      <c r="A401" s="1"/>
      <c r="B401" s="1"/>
      <c r="C401" s="2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7.25" customHeight="1">
      <c r="A402" s="1"/>
      <c r="B402" s="1"/>
      <c r="C402" s="2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7.25" customHeight="1">
      <c r="A403" s="1"/>
      <c r="B403" s="1"/>
      <c r="C403" s="2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7.25" customHeight="1">
      <c r="A404" s="1"/>
      <c r="B404" s="1"/>
      <c r="C404" s="2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7.25" customHeight="1">
      <c r="A405" s="1"/>
      <c r="B405" s="1"/>
      <c r="C405" s="2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7.25" customHeight="1">
      <c r="A406" s="1"/>
      <c r="B406" s="1"/>
      <c r="C406" s="2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7.25" customHeight="1">
      <c r="A407" s="1"/>
      <c r="B407" s="1"/>
      <c r="C407" s="2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7.25" customHeight="1">
      <c r="A408" s="1"/>
      <c r="B408" s="1"/>
      <c r="C408" s="2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7.25" customHeight="1">
      <c r="A409" s="1"/>
      <c r="B409" s="1"/>
      <c r="C409" s="2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7.25" customHeight="1">
      <c r="A410" s="1"/>
      <c r="B410" s="1"/>
      <c r="C410" s="2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7.25" customHeight="1">
      <c r="A411" s="1"/>
      <c r="B411" s="1"/>
      <c r="C411" s="2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7.25" customHeight="1">
      <c r="A412" s="1"/>
      <c r="B412" s="1"/>
      <c r="C412" s="2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7.25" customHeight="1">
      <c r="A413" s="1"/>
      <c r="B413" s="1"/>
      <c r="C413" s="2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7.25" customHeight="1">
      <c r="A414" s="1"/>
      <c r="B414" s="1"/>
      <c r="C414" s="2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7.25" customHeight="1">
      <c r="A415" s="1"/>
      <c r="B415" s="1"/>
      <c r="C415" s="2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7.25" customHeight="1">
      <c r="A416" s="1"/>
      <c r="B416" s="1"/>
      <c r="C416" s="2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7.25" customHeight="1">
      <c r="A417" s="1"/>
      <c r="B417" s="1"/>
      <c r="C417" s="2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7.25" customHeight="1">
      <c r="A418" s="1"/>
      <c r="B418" s="1"/>
      <c r="C418" s="2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7.25" customHeight="1">
      <c r="A419" s="1"/>
      <c r="B419" s="1"/>
      <c r="C419" s="2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7.25" customHeight="1">
      <c r="A420" s="1"/>
      <c r="B420" s="1"/>
      <c r="C420" s="2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7.25" customHeight="1">
      <c r="A421" s="1"/>
      <c r="B421" s="1"/>
      <c r="C421" s="2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7.25" customHeight="1">
      <c r="A422" s="1"/>
      <c r="B422" s="1"/>
      <c r="C422" s="2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7.25" customHeight="1">
      <c r="A423" s="1"/>
      <c r="B423" s="1"/>
      <c r="C423" s="2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7.25" customHeight="1">
      <c r="A424" s="1"/>
      <c r="B424" s="1"/>
      <c r="C424" s="2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7.25" customHeight="1">
      <c r="A425" s="1"/>
      <c r="B425" s="1"/>
      <c r="C425" s="2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7.25" customHeight="1">
      <c r="A426" s="1"/>
      <c r="B426" s="1"/>
      <c r="C426" s="2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7.25" customHeight="1">
      <c r="A427" s="1"/>
      <c r="B427" s="1"/>
      <c r="C427" s="2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7.25" customHeight="1">
      <c r="A428" s="1"/>
      <c r="B428" s="1"/>
      <c r="C428" s="2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7.25" customHeight="1">
      <c r="A429" s="1"/>
      <c r="B429" s="1"/>
      <c r="C429" s="2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7.25" customHeight="1">
      <c r="A430" s="1"/>
      <c r="B430" s="1"/>
      <c r="C430" s="2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7.25" customHeight="1">
      <c r="A431" s="1"/>
      <c r="B431" s="1"/>
      <c r="C431" s="2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7.25" customHeight="1">
      <c r="A432" s="1"/>
      <c r="B432" s="1"/>
      <c r="C432" s="2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7.25" customHeight="1">
      <c r="A433" s="1"/>
      <c r="B433" s="1"/>
      <c r="C433" s="2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7.25" customHeight="1">
      <c r="A434" s="1"/>
      <c r="B434" s="1"/>
      <c r="C434" s="2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7.25" customHeight="1">
      <c r="A435" s="1"/>
      <c r="B435" s="1"/>
      <c r="C435" s="2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7.25" customHeight="1">
      <c r="A436" s="1"/>
      <c r="B436" s="1"/>
      <c r="C436" s="2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7.25" customHeight="1">
      <c r="A437" s="1"/>
      <c r="B437" s="1"/>
      <c r="C437" s="2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7.25" customHeight="1">
      <c r="A438" s="1"/>
      <c r="B438" s="1"/>
      <c r="C438" s="2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7.25" customHeight="1">
      <c r="A439" s="1"/>
      <c r="B439" s="1"/>
      <c r="C439" s="2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7.25" customHeight="1">
      <c r="A440" s="1"/>
      <c r="B440" s="1"/>
      <c r="C440" s="2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7.25" customHeight="1">
      <c r="A441" s="1"/>
      <c r="B441" s="1"/>
      <c r="C441" s="2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7.25" customHeight="1">
      <c r="A442" s="1"/>
      <c r="B442" s="1"/>
      <c r="C442" s="2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7.25" customHeight="1">
      <c r="A443" s="1"/>
      <c r="B443" s="1"/>
      <c r="C443" s="2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7.25" customHeight="1">
      <c r="A444" s="1"/>
      <c r="B444" s="1"/>
      <c r="C444" s="2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7.25" customHeight="1">
      <c r="A445" s="1"/>
      <c r="B445" s="1"/>
      <c r="C445" s="2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7.25" customHeight="1">
      <c r="A446" s="1"/>
      <c r="B446" s="1"/>
      <c r="C446" s="2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7.25" customHeight="1">
      <c r="A447" s="1"/>
      <c r="B447" s="1"/>
      <c r="C447" s="2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7.25" customHeight="1">
      <c r="A448" s="1"/>
      <c r="B448" s="1"/>
      <c r="C448" s="2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7.25" customHeight="1">
      <c r="A449" s="1"/>
      <c r="B449" s="1"/>
      <c r="C449" s="2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7.25" customHeight="1">
      <c r="A450" s="1"/>
      <c r="B450" s="1"/>
      <c r="C450" s="2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7.25" customHeight="1">
      <c r="A451" s="1"/>
      <c r="B451" s="1"/>
      <c r="C451" s="2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7.25" customHeight="1">
      <c r="A452" s="1"/>
      <c r="B452" s="1"/>
      <c r="C452" s="2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7.25" customHeight="1">
      <c r="A453" s="1"/>
      <c r="B453" s="1"/>
      <c r="C453" s="2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7.25" customHeight="1">
      <c r="A454" s="1"/>
      <c r="B454" s="1"/>
      <c r="C454" s="2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7.25" customHeight="1">
      <c r="A455" s="1"/>
      <c r="B455" s="1"/>
      <c r="C455" s="2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7.25" customHeight="1">
      <c r="A456" s="1"/>
      <c r="B456" s="1"/>
      <c r="C456" s="2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7.25" customHeight="1">
      <c r="A457" s="1"/>
      <c r="B457" s="1"/>
      <c r="C457" s="2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7.25" customHeight="1">
      <c r="A458" s="1"/>
      <c r="B458" s="1"/>
      <c r="C458" s="2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7.25" customHeight="1">
      <c r="A459" s="1"/>
      <c r="B459" s="1"/>
      <c r="C459" s="2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7.25" customHeight="1">
      <c r="A460" s="1"/>
      <c r="B460" s="1"/>
      <c r="C460" s="2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7.25" customHeight="1">
      <c r="A461" s="1"/>
      <c r="B461" s="1"/>
      <c r="C461" s="2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7.25" customHeight="1">
      <c r="A462" s="1"/>
      <c r="B462" s="1"/>
      <c r="C462" s="2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7.25" customHeight="1">
      <c r="A463" s="1"/>
      <c r="B463" s="1"/>
      <c r="C463" s="2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7.25" customHeight="1">
      <c r="A464" s="1"/>
      <c r="B464" s="1"/>
      <c r="C464" s="2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7.25" customHeight="1">
      <c r="A465" s="1"/>
      <c r="B465" s="1"/>
      <c r="C465" s="2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7.25" customHeight="1">
      <c r="A466" s="1"/>
      <c r="B466" s="1"/>
      <c r="C466" s="2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7.25" customHeight="1">
      <c r="A467" s="1"/>
      <c r="B467" s="1"/>
      <c r="C467" s="2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7.25" customHeight="1">
      <c r="A468" s="1"/>
      <c r="B468" s="1"/>
      <c r="C468" s="2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7.25" customHeight="1">
      <c r="A469" s="1"/>
      <c r="B469" s="1"/>
      <c r="C469" s="2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7.25" customHeight="1">
      <c r="A470" s="1"/>
      <c r="B470" s="1"/>
      <c r="C470" s="2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7.25" customHeight="1">
      <c r="A471" s="1"/>
      <c r="B471" s="1"/>
      <c r="C471" s="2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7.25" customHeight="1">
      <c r="A472" s="1"/>
      <c r="B472" s="1"/>
      <c r="C472" s="2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7.25" customHeight="1">
      <c r="A473" s="1"/>
      <c r="B473" s="1"/>
      <c r="C473" s="2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7.25" customHeight="1">
      <c r="A474" s="1"/>
      <c r="B474" s="1"/>
      <c r="C474" s="2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7.25" customHeight="1">
      <c r="A475" s="1"/>
      <c r="B475" s="1"/>
      <c r="C475" s="2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7.25" customHeight="1">
      <c r="A476" s="1"/>
      <c r="B476" s="1"/>
      <c r="C476" s="2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7.25" customHeight="1">
      <c r="A477" s="1"/>
      <c r="B477" s="1"/>
      <c r="C477" s="2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7.25" customHeight="1">
      <c r="A478" s="1"/>
      <c r="B478" s="1"/>
      <c r="C478" s="2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7.25" customHeight="1">
      <c r="A479" s="1"/>
      <c r="B479" s="1"/>
      <c r="C479" s="2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7.25" customHeight="1">
      <c r="A480" s="1"/>
      <c r="B480" s="1"/>
      <c r="C480" s="2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7.25" customHeight="1">
      <c r="A481" s="1"/>
      <c r="B481" s="1"/>
      <c r="C481" s="2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7.25" customHeight="1">
      <c r="A482" s="1"/>
      <c r="B482" s="1"/>
      <c r="C482" s="2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7.25" customHeight="1">
      <c r="A483" s="1"/>
      <c r="B483" s="1"/>
      <c r="C483" s="2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7.25" customHeight="1">
      <c r="A484" s="1"/>
      <c r="B484" s="1"/>
      <c r="C484" s="2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7.25" customHeight="1">
      <c r="A485" s="1"/>
      <c r="B485" s="1"/>
      <c r="C485" s="2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7.25" customHeight="1">
      <c r="A486" s="1"/>
      <c r="B486" s="1"/>
      <c r="C486" s="2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7.25" customHeight="1">
      <c r="A487" s="1"/>
      <c r="B487" s="1"/>
      <c r="C487" s="2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7.25" customHeight="1">
      <c r="A488" s="1"/>
      <c r="B488" s="1"/>
      <c r="C488" s="2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7.25" customHeight="1">
      <c r="A489" s="1"/>
      <c r="B489" s="1"/>
      <c r="C489" s="2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7.25" customHeight="1">
      <c r="A490" s="1"/>
      <c r="B490" s="1"/>
      <c r="C490" s="2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7.25" customHeight="1">
      <c r="A491" s="1"/>
      <c r="B491" s="1"/>
      <c r="C491" s="2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7.25" customHeight="1">
      <c r="A492" s="1"/>
      <c r="B492" s="1"/>
      <c r="C492" s="2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7.25" customHeight="1">
      <c r="A493" s="1"/>
      <c r="B493" s="1"/>
      <c r="C493" s="2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7.25" customHeight="1">
      <c r="A494" s="1"/>
      <c r="B494" s="1"/>
      <c r="C494" s="2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7.25" customHeight="1">
      <c r="A495" s="1"/>
      <c r="B495" s="1"/>
      <c r="C495" s="2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7.25" customHeight="1">
      <c r="A496" s="1"/>
      <c r="B496" s="1"/>
      <c r="C496" s="2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7.25" customHeight="1">
      <c r="A497" s="1"/>
      <c r="B497" s="1"/>
      <c r="C497" s="2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7.25" customHeight="1">
      <c r="A498" s="1"/>
      <c r="B498" s="1"/>
      <c r="C498" s="2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7.25" customHeight="1">
      <c r="A499" s="1"/>
      <c r="B499" s="1"/>
      <c r="C499" s="2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7.25" customHeight="1">
      <c r="A500" s="1"/>
      <c r="B500" s="1"/>
      <c r="C500" s="2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7.25" customHeight="1">
      <c r="A501" s="1"/>
      <c r="B501" s="1"/>
      <c r="C501" s="2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7.25" customHeight="1">
      <c r="A502" s="1"/>
      <c r="B502" s="1"/>
      <c r="C502" s="2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7.25" customHeight="1">
      <c r="A503" s="1"/>
      <c r="B503" s="1"/>
      <c r="C503" s="2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7.25" customHeight="1">
      <c r="A504" s="1"/>
      <c r="B504" s="1"/>
      <c r="C504" s="2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7.25" customHeight="1">
      <c r="A505" s="1"/>
      <c r="B505" s="1"/>
      <c r="C505" s="2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7.25" customHeight="1">
      <c r="A506" s="1"/>
      <c r="B506" s="1"/>
      <c r="C506" s="2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7.25" customHeight="1">
      <c r="A507" s="1"/>
      <c r="B507" s="1"/>
      <c r="C507" s="2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7.25" customHeight="1">
      <c r="A508" s="1"/>
      <c r="B508" s="1"/>
      <c r="C508" s="2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7.25" customHeight="1">
      <c r="A509" s="1"/>
      <c r="B509" s="1"/>
      <c r="C509" s="2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7.25" customHeight="1">
      <c r="A510" s="1"/>
      <c r="B510" s="1"/>
      <c r="C510" s="2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7.25" customHeight="1">
      <c r="A511" s="1"/>
      <c r="B511" s="1"/>
      <c r="C511" s="2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7.25" customHeight="1">
      <c r="A512" s="1"/>
      <c r="B512" s="1"/>
      <c r="C512" s="2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7.25" customHeight="1">
      <c r="A513" s="1"/>
      <c r="B513" s="1"/>
      <c r="C513" s="2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7.25" customHeight="1">
      <c r="A514" s="1"/>
      <c r="B514" s="1"/>
      <c r="C514" s="2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7.25" customHeight="1">
      <c r="A515" s="1"/>
      <c r="B515" s="1"/>
      <c r="C515" s="2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7.25" customHeight="1">
      <c r="A516" s="1"/>
      <c r="B516" s="1"/>
      <c r="C516" s="2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7.25" customHeight="1">
      <c r="A517" s="1"/>
      <c r="B517" s="1"/>
      <c r="C517" s="2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7.25" customHeight="1">
      <c r="A518" s="1"/>
      <c r="B518" s="1"/>
      <c r="C518" s="2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7.25" customHeight="1">
      <c r="A519" s="1"/>
      <c r="B519" s="1"/>
      <c r="C519" s="2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7.25" customHeight="1">
      <c r="A520" s="1"/>
      <c r="B520" s="1"/>
      <c r="C520" s="2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7.25" customHeight="1">
      <c r="A521" s="1"/>
      <c r="B521" s="1"/>
      <c r="C521" s="2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7.25" customHeight="1">
      <c r="A522" s="1"/>
      <c r="B522" s="1"/>
      <c r="C522" s="2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7.25" customHeight="1">
      <c r="A523" s="1"/>
      <c r="B523" s="1"/>
      <c r="C523" s="2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7.25" customHeight="1">
      <c r="A524" s="1"/>
      <c r="B524" s="1"/>
      <c r="C524" s="2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7.25" customHeight="1">
      <c r="A525" s="1"/>
      <c r="B525" s="1"/>
      <c r="C525" s="2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7.25" customHeight="1">
      <c r="A526" s="1"/>
      <c r="B526" s="1"/>
      <c r="C526" s="2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7.25" customHeight="1">
      <c r="A527" s="1"/>
      <c r="B527" s="1"/>
      <c r="C527" s="2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7.25" customHeight="1">
      <c r="A528" s="1"/>
      <c r="B528" s="1"/>
      <c r="C528" s="2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7.25" customHeight="1">
      <c r="A529" s="1"/>
      <c r="B529" s="1"/>
      <c r="C529" s="2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7.25" customHeight="1">
      <c r="A530" s="1"/>
      <c r="B530" s="1"/>
      <c r="C530" s="2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7.25" customHeight="1">
      <c r="A531" s="1"/>
      <c r="B531" s="1"/>
      <c r="C531" s="2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7.25" customHeight="1">
      <c r="A532" s="1"/>
      <c r="B532" s="1"/>
      <c r="C532" s="2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7.25" customHeight="1">
      <c r="A533" s="1"/>
      <c r="B533" s="1"/>
      <c r="C533" s="2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7.25" customHeight="1">
      <c r="A534" s="1"/>
      <c r="B534" s="1"/>
      <c r="C534" s="2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7.25" customHeight="1">
      <c r="A535" s="1"/>
      <c r="B535" s="1"/>
      <c r="C535" s="2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7.25" customHeight="1">
      <c r="A536" s="1"/>
      <c r="B536" s="1"/>
      <c r="C536" s="2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7.25" customHeight="1">
      <c r="A537" s="1"/>
      <c r="B537" s="1"/>
      <c r="C537" s="2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7.25" customHeight="1">
      <c r="A538" s="1"/>
      <c r="B538" s="1"/>
      <c r="C538" s="2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7.25" customHeight="1">
      <c r="A539" s="1"/>
      <c r="B539" s="1"/>
      <c r="C539" s="2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7.25" customHeight="1">
      <c r="A540" s="1"/>
      <c r="B540" s="1"/>
      <c r="C540" s="2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7.25" customHeight="1">
      <c r="A541" s="1"/>
      <c r="B541" s="1"/>
      <c r="C541" s="2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7.25" customHeight="1">
      <c r="A542" s="1"/>
      <c r="B542" s="1"/>
      <c r="C542" s="2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7.25" customHeight="1">
      <c r="A543" s="1"/>
      <c r="B543" s="1"/>
      <c r="C543" s="2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7.25" customHeight="1">
      <c r="A544" s="1"/>
      <c r="B544" s="1"/>
      <c r="C544" s="2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7.25" customHeight="1">
      <c r="A545" s="1"/>
      <c r="B545" s="1"/>
      <c r="C545" s="2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7.25" customHeight="1">
      <c r="A546" s="1"/>
      <c r="B546" s="1"/>
      <c r="C546" s="2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7.25" customHeight="1">
      <c r="A547" s="1"/>
      <c r="B547" s="1"/>
      <c r="C547" s="2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7.25" customHeight="1">
      <c r="A548" s="1"/>
      <c r="B548" s="1"/>
      <c r="C548" s="2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7.25" customHeight="1">
      <c r="A549" s="1"/>
      <c r="B549" s="1"/>
      <c r="C549" s="2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7.25" customHeight="1">
      <c r="A550" s="1"/>
      <c r="B550" s="1"/>
      <c r="C550" s="2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7.25" customHeight="1">
      <c r="A551" s="1"/>
      <c r="B551" s="1"/>
      <c r="C551" s="2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7.25" customHeight="1">
      <c r="A552" s="1"/>
      <c r="B552" s="1"/>
      <c r="C552" s="2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7.25" customHeight="1">
      <c r="A553" s="1"/>
      <c r="B553" s="1"/>
      <c r="C553" s="2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7.25" customHeight="1">
      <c r="A554" s="1"/>
      <c r="B554" s="1"/>
      <c r="C554" s="2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7.25" customHeight="1">
      <c r="A555" s="1"/>
      <c r="B555" s="1"/>
      <c r="C555" s="2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7.25" customHeight="1">
      <c r="A556" s="1"/>
      <c r="B556" s="1"/>
      <c r="C556" s="2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7.25" customHeight="1">
      <c r="A557" s="1"/>
      <c r="B557" s="1"/>
      <c r="C557" s="2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7.25" customHeight="1">
      <c r="A558" s="1"/>
      <c r="B558" s="1"/>
      <c r="C558" s="2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7.25" customHeight="1">
      <c r="A559" s="1"/>
      <c r="B559" s="1"/>
      <c r="C559" s="2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7.25" customHeight="1">
      <c r="A560" s="1"/>
      <c r="B560" s="1"/>
      <c r="C560" s="2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7.25" customHeight="1">
      <c r="A561" s="1"/>
      <c r="B561" s="1"/>
      <c r="C561" s="2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7.25" customHeight="1">
      <c r="A562" s="1"/>
      <c r="B562" s="1"/>
      <c r="C562" s="2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7.25" customHeight="1">
      <c r="A563" s="1"/>
      <c r="B563" s="1"/>
      <c r="C563" s="2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7.25" customHeight="1">
      <c r="A564" s="1"/>
      <c r="B564" s="1"/>
      <c r="C564" s="2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7.25" customHeight="1">
      <c r="A565" s="1"/>
      <c r="B565" s="1"/>
      <c r="C565" s="2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7.25" customHeight="1">
      <c r="A566" s="1"/>
      <c r="B566" s="1"/>
      <c r="C566" s="2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7.25" customHeight="1">
      <c r="A567" s="1"/>
      <c r="B567" s="1"/>
      <c r="C567" s="2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7.25" customHeight="1">
      <c r="A568" s="1"/>
      <c r="B568" s="1"/>
      <c r="C568" s="2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7.25" customHeight="1">
      <c r="A569" s="1"/>
      <c r="B569" s="1"/>
      <c r="C569" s="2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7.25" customHeight="1">
      <c r="A570" s="1"/>
      <c r="B570" s="1"/>
      <c r="C570" s="2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7.25" customHeight="1">
      <c r="A571" s="1"/>
      <c r="B571" s="1"/>
      <c r="C571" s="2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7.25" customHeight="1">
      <c r="A572" s="1"/>
      <c r="B572" s="1"/>
      <c r="C572" s="2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7.25" customHeight="1">
      <c r="A573" s="1"/>
      <c r="B573" s="1"/>
      <c r="C573" s="2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7.25" customHeight="1">
      <c r="A574" s="1"/>
      <c r="B574" s="1"/>
      <c r="C574" s="2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7.25" customHeight="1">
      <c r="A575" s="1"/>
      <c r="B575" s="1"/>
      <c r="C575" s="2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7.25" customHeight="1">
      <c r="A576" s="1"/>
      <c r="B576" s="1"/>
      <c r="C576" s="2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7.25" customHeight="1">
      <c r="A577" s="1"/>
      <c r="B577" s="1"/>
      <c r="C577" s="2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7.25" customHeight="1">
      <c r="A578" s="1"/>
      <c r="B578" s="1"/>
      <c r="C578" s="2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7.25" customHeight="1">
      <c r="A579" s="1"/>
      <c r="B579" s="1"/>
      <c r="C579" s="2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7.25" customHeight="1">
      <c r="A580" s="1"/>
      <c r="B580" s="1"/>
      <c r="C580" s="2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7.25" customHeight="1">
      <c r="A581" s="1"/>
      <c r="B581" s="1"/>
      <c r="C581" s="2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7.25" customHeight="1">
      <c r="A582" s="1"/>
      <c r="B582" s="1"/>
      <c r="C582" s="2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7.25" customHeight="1">
      <c r="A583" s="1"/>
      <c r="B583" s="1"/>
      <c r="C583" s="2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7.25" customHeight="1">
      <c r="A584" s="1"/>
      <c r="B584" s="1"/>
      <c r="C584" s="2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7.25" customHeight="1">
      <c r="A585" s="1"/>
      <c r="B585" s="1"/>
      <c r="C585" s="2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7.25" customHeight="1">
      <c r="A586" s="1"/>
      <c r="B586" s="1"/>
      <c r="C586" s="2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7.25" customHeight="1">
      <c r="A587" s="1"/>
      <c r="B587" s="1"/>
      <c r="C587" s="2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7.25" customHeight="1">
      <c r="A588" s="1"/>
      <c r="B588" s="1"/>
      <c r="C588" s="2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7.25" customHeight="1">
      <c r="A589" s="1"/>
      <c r="B589" s="1"/>
      <c r="C589" s="2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7.25" customHeight="1">
      <c r="A590" s="1"/>
      <c r="B590" s="1"/>
      <c r="C590" s="2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7.25" customHeight="1">
      <c r="A591" s="1"/>
      <c r="B591" s="1"/>
      <c r="C591" s="2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7.25" customHeight="1">
      <c r="A592" s="1"/>
      <c r="B592" s="1"/>
      <c r="C592" s="2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7.25" customHeight="1">
      <c r="A593" s="1"/>
      <c r="B593" s="1"/>
      <c r="C593" s="2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7.25" customHeight="1">
      <c r="A594" s="1"/>
      <c r="B594" s="1"/>
      <c r="C594" s="2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7.25" customHeight="1">
      <c r="A595" s="1"/>
      <c r="B595" s="1"/>
      <c r="C595" s="2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7.25" customHeight="1">
      <c r="A596" s="1"/>
      <c r="B596" s="1"/>
      <c r="C596" s="2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7.25" customHeight="1">
      <c r="A597" s="1"/>
      <c r="B597" s="1"/>
      <c r="C597" s="2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7.25" customHeight="1">
      <c r="A598" s="1"/>
      <c r="B598" s="1"/>
      <c r="C598" s="2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7.25" customHeight="1">
      <c r="A599" s="1"/>
      <c r="B599" s="1"/>
      <c r="C599" s="2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7.25" customHeight="1">
      <c r="A600" s="1"/>
      <c r="B600" s="1"/>
      <c r="C600" s="2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7.25" customHeight="1">
      <c r="A601" s="1"/>
      <c r="B601" s="1"/>
      <c r="C601" s="2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7.25" customHeight="1">
      <c r="A602" s="1"/>
      <c r="B602" s="1"/>
      <c r="C602" s="2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7.25" customHeight="1">
      <c r="A603" s="1"/>
      <c r="B603" s="1"/>
      <c r="C603" s="2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7.25" customHeight="1">
      <c r="A604" s="1"/>
      <c r="B604" s="1"/>
      <c r="C604" s="2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7.25" customHeight="1">
      <c r="A605" s="1"/>
      <c r="B605" s="1"/>
      <c r="C605" s="2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7.25" customHeight="1">
      <c r="A606" s="1"/>
      <c r="B606" s="1"/>
      <c r="C606" s="2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7.25" customHeight="1">
      <c r="A607" s="1"/>
      <c r="B607" s="1"/>
      <c r="C607" s="2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7.25" customHeight="1">
      <c r="A608" s="1"/>
      <c r="B608" s="1"/>
      <c r="C608" s="2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7.25" customHeight="1">
      <c r="A609" s="1"/>
      <c r="B609" s="1"/>
      <c r="C609" s="2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7.25" customHeight="1">
      <c r="A610" s="1"/>
      <c r="B610" s="1"/>
      <c r="C610" s="2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7.25" customHeight="1">
      <c r="A611" s="1"/>
      <c r="B611" s="1"/>
      <c r="C611" s="2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7.25" customHeight="1">
      <c r="A612" s="1"/>
      <c r="B612" s="1"/>
      <c r="C612" s="2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7.25" customHeight="1">
      <c r="A613" s="1"/>
      <c r="B613" s="1"/>
      <c r="C613" s="2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7.25" customHeight="1">
      <c r="A614" s="1"/>
      <c r="B614" s="1"/>
      <c r="C614" s="2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7.25" customHeight="1">
      <c r="A615" s="1"/>
      <c r="B615" s="1"/>
      <c r="C615" s="2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7.25" customHeight="1">
      <c r="A616" s="1"/>
      <c r="B616" s="1"/>
      <c r="C616" s="2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7.25" customHeight="1">
      <c r="A617" s="1"/>
      <c r="B617" s="1"/>
      <c r="C617" s="2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7.25" customHeight="1">
      <c r="A618" s="1"/>
      <c r="B618" s="1"/>
      <c r="C618" s="2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7.25" customHeight="1">
      <c r="A619" s="1"/>
      <c r="B619" s="1"/>
      <c r="C619" s="2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7.25" customHeight="1">
      <c r="A620" s="1"/>
      <c r="B620" s="1"/>
      <c r="C620" s="2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7.25" customHeight="1">
      <c r="A621" s="1"/>
      <c r="B621" s="1"/>
      <c r="C621" s="2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7.25" customHeight="1">
      <c r="A622" s="1"/>
      <c r="B622" s="1"/>
      <c r="C622" s="2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7.25" customHeight="1">
      <c r="A623" s="1"/>
      <c r="B623" s="1"/>
      <c r="C623" s="2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7.25" customHeight="1">
      <c r="A624" s="1"/>
      <c r="B624" s="1"/>
      <c r="C624" s="2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7.25" customHeight="1">
      <c r="A625" s="1"/>
      <c r="B625" s="1"/>
      <c r="C625" s="2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7.25" customHeight="1">
      <c r="A626" s="1"/>
      <c r="B626" s="1"/>
      <c r="C626" s="2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7.25" customHeight="1">
      <c r="A627" s="1"/>
      <c r="B627" s="1"/>
      <c r="C627" s="2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7.25" customHeight="1">
      <c r="A628" s="1"/>
      <c r="B628" s="1"/>
      <c r="C628" s="2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7.25" customHeight="1">
      <c r="A629" s="1"/>
      <c r="B629" s="1"/>
      <c r="C629" s="2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7.25" customHeight="1">
      <c r="A630" s="1"/>
      <c r="B630" s="1"/>
      <c r="C630" s="2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7.25" customHeight="1">
      <c r="A631" s="1"/>
      <c r="B631" s="1"/>
      <c r="C631" s="2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7.25" customHeight="1">
      <c r="A632" s="1"/>
      <c r="B632" s="1"/>
      <c r="C632" s="2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7.25" customHeight="1">
      <c r="A633" s="1"/>
      <c r="B633" s="1"/>
      <c r="C633" s="2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7.25" customHeight="1">
      <c r="A634" s="1"/>
      <c r="B634" s="1"/>
      <c r="C634" s="2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7.25" customHeight="1">
      <c r="A635" s="1"/>
      <c r="B635" s="1"/>
      <c r="C635" s="2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7.25" customHeight="1">
      <c r="A636" s="1"/>
      <c r="B636" s="1"/>
      <c r="C636" s="2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7.25" customHeight="1">
      <c r="A637" s="1"/>
      <c r="B637" s="1"/>
      <c r="C637" s="2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7.25" customHeight="1">
      <c r="A638" s="1"/>
      <c r="B638" s="1"/>
      <c r="C638" s="2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7.25" customHeight="1">
      <c r="A639" s="1"/>
      <c r="B639" s="1"/>
      <c r="C639" s="2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7.25" customHeight="1">
      <c r="A640" s="1"/>
      <c r="B640" s="1"/>
      <c r="C640" s="2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7.25" customHeight="1">
      <c r="A641" s="1"/>
      <c r="B641" s="1"/>
      <c r="C641" s="2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7.25" customHeight="1">
      <c r="A642" s="1"/>
      <c r="B642" s="1"/>
      <c r="C642" s="2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7.25" customHeight="1">
      <c r="A643" s="1"/>
      <c r="B643" s="1"/>
      <c r="C643" s="2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7.25" customHeight="1">
      <c r="A644" s="1"/>
      <c r="B644" s="1"/>
      <c r="C644" s="2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7.25" customHeight="1">
      <c r="A645" s="1"/>
      <c r="B645" s="1"/>
      <c r="C645" s="2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7.25" customHeight="1">
      <c r="A646" s="1"/>
      <c r="B646" s="1"/>
      <c r="C646" s="2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7.25" customHeight="1">
      <c r="A647" s="1"/>
      <c r="B647" s="1"/>
      <c r="C647" s="2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7.25" customHeight="1">
      <c r="A648" s="1"/>
      <c r="B648" s="1"/>
      <c r="C648" s="2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7.25" customHeight="1">
      <c r="A649" s="1"/>
      <c r="B649" s="1"/>
      <c r="C649" s="2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7.25" customHeight="1">
      <c r="A650" s="1"/>
      <c r="B650" s="1"/>
      <c r="C650" s="2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7.25" customHeight="1">
      <c r="A651" s="1"/>
      <c r="B651" s="1"/>
      <c r="C651" s="2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7.25" customHeight="1">
      <c r="A652" s="1"/>
      <c r="B652" s="1"/>
      <c r="C652" s="2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7.25" customHeight="1">
      <c r="A653" s="1"/>
      <c r="B653" s="1"/>
      <c r="C653" s="2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7.25" customHeight="1">
      <c r="A654" s="1"/>
      <c r="B654" s="1"/>
      <c r="C654" s="2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7.25" customHeight="1">
      <c r="A655" s="1"/>
      <c r="B655" s="1"/>
      <c r="C655" s="2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7.25" customHeight="1">
      <c r="A656" s="1"/>
      <c r="B656" s="1"/>
      <c r="C656" s="2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7.25" customHeight="1">
      <c r="A657" s="1"/>
      <c r="B657" s="1"/>
      <c r="C657" s="2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7.25" customHeight="1">
      <c r="A658" s="1"/>
      <c r="B658" s="1"/>
      <c r="C658" s="2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7.25" customHeight="1">
      <c r="A659" s="1"/>
      <c r="B659" s="1"/>
      <c r="C659" s="2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7.25" customHeight="1">
      <c r="A660" s="1"/>
      <c r="B660" s="1"/>
      <c r="C660" s="2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7.25" customHeight="1">
      <c r="A661" s="1"/>
      <c r="B661" s="1"/>
      <c r="C661" s="2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7.25" customHeight="1">
      <c r="A662" s="1"/>
      <c r="B662" s="1"/>
      <c r="C662" s="2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7.25" customHeight="1">
      <c r="A663" s="1"/>
      <c r="B663" s="1"/>
      <c r="C663" s="2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7.25" customHeight="1">
      <c r="A664" s="1"/>
      <c r="B664" s="1"/>
      <c r="C664" s="2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7.25" customHeight="1">
      <c r="A665" s="1"/>
      <c r="B665" s="1"/>
      <c r="C665" s="2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7.25" customHeight="1">
      <c r="A666" s="1"/>
      <c r="B666" s="1"/>
      <c r="C666" s="2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7.25" customHeight="1">
      <c r="A667" s="1"/>
      <c r="B667" s="1"/>
      <c r="C667" s="2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7.25" customHeight="1">
      <c r="A668" s="1"/>
      <c r="B668" s="1"/>
      <c r="C668" s="2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7.25" customHeight="1">
      <c r="A669" s="1"/>
      <c r="B669" s="1"/>
      <c r="C669" s="2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7.25" customHeight="1">
      <c r="A670" s="1"/>
      <c r="B670" s="1"/>
      <c r="C670" s="2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7.25" customHeight="1">
      <c r="A671" s="1"/>
      <c r="B671" s="1"/>
      <c r="C671" s="2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7.25" customHeight="1">
      <c r="A672" s="1"/>
      <c r="B672" s="1"/>
      <c r="C672" s="2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7.25" customHeight="1">
      <c r="A673" s="1"/>
      <c r="B673" s="1"/>
      <c r="C673" s="2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7.25" customHeight="1">
      <c r="A674" s="1"/>
      <c r="B674" s="1"/>
      <c r="C674" s="2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7.25" customHeight="1">
      <c r="A675" s="1"/>
      <c r="B675" s="1"/>
      <c r="C675" s="2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7.25" customHeight="1">
      <c r="A676" s="1"/>
      <c r="B676" s="1"/>
      <c r="C676" s="2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7.25" customHeight="1">
      <c r="A677" s="1"/>
      <c r="B677" s="1"/>
      <c r="C677" s="2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7.25" customHeight="1">
      <c r="A678" s="1"/>
      <c r="B678" s="1"/>
      <c r="C678" s="2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7.25" customHeight="1">
      <c r="A679" s="1"/>
      <c r="B679" s="1"/>
      <c r="C679" s="2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7.25" customHeight="1">
      <c r="A680" s="1"/>
      <c r="B680" s="1"/>
      <c r="C680" s="2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7.25" customHeight="1">
      <c r="A681" s="1"/>
      <c r="B681" s="1"/>
      <c r="C681" s="2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7.25" customHeight="1">
      <c r="A682" s="1"/>
      <c r="B682" s="1"/>
      <c r="C682" s="2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7.25" customHeight="1">
      <c r="A683" s="1"/>
      <c r="B683" s="1"/>
      <c r="C683" s="2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7.25" customHeight="1">
      <c r="A684" s="1"/>
      <c r="B684" s="1"/>
      <c r="C684" s="2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7.25" customHeight="1">
      <c r="A685" s="1"/>
      <c r="B685" s="1"/>
      <c r="C685" s="2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7.25" customHeight="1">
      <c r="A686" s="1"/>
      <c r="B686" s="1"/>
      <c r="C686" s="2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7.25" customHeight="1">
      <c r="A687" s="1"/>
      <c r="B687" s="1"/>
      <c r="C687" s="2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7.25" customHeight="1">
      <c r="A688" s="1"/>
      <c r="B688" s="1"/>
      <c r="C688" s="2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7.25" customHeight="1">
      <c r="A689" s="1"/>
      <c r="B689" s="1"/>
      <c r="C689" s="2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7.25" customHeight="1">
      <c r="A690" s="1"/>
      <c r="B690" s="1"/>
      <c r="C690" s="2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7.25" customHeight="1">
      <c r="A691" s="1"/>
      <c r="B691" s="1"/>
      <c r="C691" s="2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7.25" customHeight="1">
      <c r="A692" s="1"/>
      <c r="B692" s="1"/>
      <c r="C692" s="2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7.25" customHeight="1">
      <c r="A693" s="1"/>
      <c r="B693" s="1"/>
      <c r="C693" s="2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7.25" customHeight="1">
      <c r="A694" s="1"/>
      <c r="B694" s="1"/>
      <c r="C694" s="2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7.25" customHeight="1">
      <c r="A695" s="1"/>
      <c r="B695" s="1"/>
      <c r="C695" s="2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7.25" customHeight="1">
      <c r="A696" s="1"/>
      <c r="B696" s="1"/>
      <c r="C696" s="2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7.25" customHeight="1">
      <c r="A697" s="1"/>
      <c r="B697" s="1"/>
      <c r="C697" s="2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7.25" customHeight="1">
      <c r="A698" s="1"/>
      <c r="B698" s="1"/>
      <c r="C698" s="2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7.25" customHeight="1">
      <c r="A699" s="1"/>
      <c r="B699" s="1"/>
      <c r="C699" s="2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7.25" customHeight="1">
      <c r="A700" s="1"/>
      <c r="B700" s="1"/>
      <c r="C700" s="2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7.25" customHeight="1">
      <c r="A701" s="1"/>
      <c r="B701" s="1"/>
      <c r="C701" s="2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7.25" customHeight="1">
      <c r="A702" s="1"/>
      <c r="B702" s="1"/>
      <c r="C702" s="2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7.25" customHeight="1">
      <c r="A703" s="1"/>
      <c r="B703" s="1"/>
      <c r="C703" s="2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7.25" customHeight="1">
      <c r="A704" s="1"/>
      <c r="B704" s="1"/>
      <c r="C704" s="2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7.25" customHeight="1">
      <c r="A705" s="1"/>
      <c r="B705" s="1"/>
      <c r="C705" s="2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7.25" customHeight="1">
      <c r="A706" s="1"/>
      <c r="B706" s="1"/>
      <c r="C706" s="2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7.25" customHeight="1">
      <c r="A707" s="1"/>
      <c r="B707" s="1"/>
      <c r="C707" s="2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7.25" customHeight="1">
      <c r="A708" s="1"/>
      <c r="B708" s="1"/>
      <c r="C708" s="2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7.25" customHeight="1">
      <c r="A709" s="1"/>
      <c r="B709" s="1"/>
      <c r="C709" s="2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7.25" customHeight="1">
      <c r="A710" s="1"/>
      <c r="B710" s="1"/>
      <c r="C710" s="2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7.25" customHeight="1">
      <c r="A711" s="1"/>
      <c r="B711" s="1"/>
      <c r="C711" s="2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7.25" customHeight="1">
      <c r="A712" s="1"/>
      <c r="B712" s="1"/>
      <c r="C712" s="2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7.25" customHeight="1">
      <c r="A713" s="1"/>
      <c r="B713" s="1"/>
      <c r="C713" s="2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7.25" customHeight="1">
      <c r="A714" s="1"/>
      <c r="B714" s="1"/>
      <c r="C714" s="2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7.25" customHeight="1">
      <c r="A715" s="1"/>
      <c r="B715" s="1"/>
      <c r="C715" s="2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7.25" customHeight="1">
      <c r="A716" s="1"/>
      <c r="B716" s="1"/>
      <c r="C716" s="2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7.25" customHeight="1">
      <c r="A717" s="1"/>
      <c r="B717" s="1"/>
      <c r="C717" s="2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7.25" customHeight="1">
      <c r="A718" s="1"/>
      <c r="B718" s="1"/>
      <c r="C718" s="2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7.25" customHeight="1">
      <c r="A719" s="1"/>
      <c r="B719" s="1"/>
      <c r="C719" s="2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7.25" customHeight="1">
      <c r="A720" s="1"/>
      <c r="B720" s="1"/>
      <c r="C720" s="2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7.25" customHeight="1">
      <c r="A721" s="1"/>
      <c r="B721" s="1"/>
      <c r="C721" s="2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7.25" customHeight="1">
      <c r="A722" s="1"/>
      <c r="B722" s="1"/>
      <c r="C722" s="2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7.25" customHeight="1">
      <c r="A723" s="1"/>
      <c r="B723" s="1"/>
      <c r="C723" s="2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7.25" customHeight="1">
      <c r="A724" s="1"/>
      <c r="B724" s="1"/>
      <c r="C724" s="2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7.25" customHeight="1">
      <c r="A725" s="1"/>
      <c r="B725" s="1"/>
      <c r="C725" s="2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7.25" customHeight="1">
      <c r="A726" s="1"/>
      <c r="B726" s="1"/>
      <c r="C726" s="2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7.25" customHeight="1">
      <c r="A727" s="1"/>
      <c r="B727" s="1"/>
      <c r="C727" s="2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7.25" customHeight="1">
      <c r="A728" s="1"/>
      <c r="B728" s="1"/>
      <c r="C728" s="2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7.25" customHeight="1">
      <c r="A729" s="1"/>
      <c r="B729" s="1"/>
      <c r="C729" s="2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7.25" customHeight="1">
      <c r="A730" s="1"/>
      <c r="B730" s="1"/>
      <c r="C730" s="2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7.25" customHeight="1">
      <c r="A731" s="1"/>
      <c r="B731" s="1"/>
      <c r="C731" s="2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7.25" customHeight="1">
      <c r="A732" s="1"/>
      <c r="B732" s="1"/>
      <c r="C732" s="2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7.25" customHeight="1">
      <c r="A733" s="1"/>
      <c r="B733" s="1"/>
      <c r="C733" s="2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7.25" customHeight="1">
      <c r="A734" s="1"/>
      <c r="B734" s="1"/>
      <c r="C734" s="2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7.25" customHeight="1">
      <c r="A735" s="1"/>
      <c r="B735" s="1"/>
      <c r="C735" s="2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7.25" customHeight="1">
      <c r="A736" s="1"/>
      <c r="B736" s="1"/>
      <c r="C736" s="2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7.25" customHeight="1">
      <c r="A737" s="1"/>
      <c r="B737" s="1"/>
      <c r="C737" s="2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7.25" customHeight="1">
      <c r="A738" s="1"/>
      <c r="B738" s="1"/>
      <c r="C738" s="2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7.25" customHeight="1">
      <c r="A739" s="1"/>
      <c r="B739" s="1"/>
      <c r="C739" s="2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7.25" customHeight="1">
      <c r="A740" s="1"/>
      <c r="B740" s="1"/>
      <c r="C740" s="2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7.25" customHeight="1">
      <c r="A741" s="1"/>
      <c r="B741" s="1"/>
      <c r="C741" s="2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7.25" customHeight="1">
      <c r="A742" s="1"/>
      <c r="B742" s="1"/>
      <c r="C742" s="2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7.25" customHeight="1">
      <c r="A743" s="1"/>
      <c r="B743" s="1"/>
      <c r="C743" s="2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7.25" customHeight="1">
      <c r="A744" s="1"/>
      <c r="B744" s="1"/>
      <c r="C744" s="2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7.25" customHeight="1">
      <c r="A745" s="1"/>
      <c r="B745" s="1"/>
      <c r="C745" s="2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7.25" customHeight="1">
      <c r="A746" s="1"/>
      <c r="B746" s="1"/>
      <c r="C746" s="2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7.25" customHeight="1">
      <c r="A747" s="1"/>
      <c r="B747" s="1"/>
      <c r="C747" s="2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7.25" customHeight="1">
      <c r="A748" s="1"/>
      <c r="B748" s="1"/>
      <c r="C748" s="2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7.25" customHeight="1">
      <c r="A749" s="1"/>
      <c r="B749" s="1"/>
      <c r="C749" s="2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7.25" customHeight="1">
      <c r="A750" s="1"/>
      <c r="B750" s="1"/>
      <c r="C750" s="2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7.25" customHeight="1">
      <c r="A751" s="1"/>
      <c r="B751" s="1"/>
      <c r="C751" s="2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7.25" customHeight="1">
      <c r="A752" s="1"/>
      <c r="B752" s="1"/>
      <c r="C752" s="2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7.25" customHeight="1">
      <c r="A753" s="1"/>
      <c r="B753" s="1"/>
      <c r="C753" s="2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7.25" customHeight="1">
      <c r="A754" s="1"/>
      <c r="B754" s="1"/>
      <c r="C754" s="2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7.25" customHeight="1">
      <c r="A755" s="1"/>
      <c r="B755" s="1"/>
      <c r="C755" s="2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7.25" customHeight="1">
      <c r="A756" s="1"/>
      <c r="B756" s="1"/>
      <c r="C756" s="2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7.25" customHeight="1">
      <c r="A757" s="1"/>
      <c r="B757" s="1"/>
      <c r="C757" s="2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7.25" customHeight="1">
      <c r="A758" s="1"/>
      <c r="B758" s="1"/>
      <c r="C758" s="2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7.25" customHeight="1">
      <c r="A759" s="1"/>
      <c r="B759" s="1"/>
      <c r="C759" s="2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7.25" customHeight="1">
      <c r="A760" s="1"/>
      <c r="B760" s="1"/>
      <c r="C760" s="2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7.25" customHeight="1">
      <c r="A761" s="1"/>
      <c r="B761" s="1"/>
      <c r="C761" s="2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7.25" customHeight="1">
      <c r="A762" s="1"/>
      <c r="B762" s="1"/>
      <c r="C762" s="2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7.25" customHeight="1">
      <c r="A763" s="1"/>
      <c r="B763" s="1"/>
      <c r="C763" s="2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7.25" customHeight="1">
      <c r="A764" s="1"/>
      <c r="B764" s="1"/>
      <c r="C764" s="2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7.25" customHeight="1">
      <c r="A765" s="1"/>
      <c r="B765" s="1"/>
      <c r="C765" s="2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7.25" customHeight="1">
      <c r="A766" s="1"/>
      <c r="B766" s="1"/>
      <c r="C766" s="2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7.25" customHeight="1">
      <c r="A767" s="1"/>
      <c r="B767" s="1"/>
      <c r="C767" s="2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7.25" customHeight="1">
      <c r="A768" s="1"/>
      <c r="B768" s="1"/>
      <c r="C768" s="2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7.25" customHeight="1">
      <c r="A769" s="1"/>
      <c r="B769" s="1"/>
      <c r="C769" s="2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7.25" customHeight="1">
      <c r="A770" s="1"/>
      <c r="B770" s="1"/>
      <c r="C770" s="2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7.25" customHeight="1">
      <c r="A771" s="1"/>
      <c r="B771" s="1"/>
      <c r="C771" s="2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7.25" customHeight="1">
      <c r="A772" s="1"/>
      <c r="B772" s="1"/>
      <c r="C772" s="2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7.25" customHeight="1">
      <c r="A773" s="1"/>
      <c r="B773" s="1"/>
      <c r="C773" s="2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7.25" customHeight="1">
      <c r="A774" s="1"/>
      <c r="B774" s="1"/>
      <c r="C774" s="2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7.25" customHeight="1">
      <c r="A775" s="1"/>
      <c r="B775" s="1"/>
      <c r="C775" s="2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7.25" customHeight="1">
      <c r="A776" s="1"/>
      <c r="B776" s="1"/>
      <c r="C776" s="2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7.25" customHeight="1">
      <c r="A777" s="1"/>
      <c r="B777" s="1"/>
      <c r="C777" s="2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7.25" customHeight="1">
      <c r="A778" s="1"/>
      <c r="B778" s="1"/>
      <c r="C778" s="2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7.25" customHeight="1">
      <c r="A779" s="1"/>
      <c r="B779" s="1"/>
      <c r="C779" s="2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7.25" customHeight="1">
      <c r="A780" s="1"/>
      <c r="B780" s="1"/>
      <c r="C780" s="2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7.25" customHeight="1">
      <c r="A781" s="1"/>
      <c r="B781" s="1"/>
      <c r="C781" s="2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7.25" customHeight="1">
      <c r="A782" s="1"/>
      <c r="B782" s="1"/>
      <c r="C782" s="2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7.25" customHeight="1">
      <c r="A783" s="1"/>
      <c r="B783" s="1"/>
      <c r="C783" s="2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7.25" customHeight="1">
      <c r="A784" s="1"/>
      <c r="B784" s="1"/>
      <c r="C784" s="2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7.25" customHeight="1">
      <c r="A785" s="1"/>
      <c r="B785" s="1"/>
      <c r="C785" s="2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7.25" customHeight="1">
      <c r="A786" s="1"/>
      <c r="B786" s="1"/>
      <c r="C786" s="2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7.25" customHeight="1">
      <c r="A787" s="1"/>
      <c r="B787" s="1"/>
      <c r="C787" s="2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7.25" customHeight="1">
      <c r="A788" s="1"/>
      <c r="B788" s="1"/>
      <c r="C788" s="2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7.25" customHeight="1">
      <c r="A789" s="1"/>
      <c r="B789" s="1"/>
      <c r="C789" s="2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7.25" customHeight="1">
      <c r="A790" s="1"/>
      <c r="B790" s="1"/>
      <c r="C790" s="2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7.25" customHeight="1">
      <c r="A791" s="1"/>
      <c r="B791" s="1"/>
      <c r="C791" s="2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7.25" customHeight="1">
      <c r="A792" s="1"/>
      <c r="B792" s="1"/>
      <c r="C792" s="2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7.25" customHeight="1">
      <c r="A793" s="1"/>
      <c r="B793" s="1"/>
      <c r="C793" s="2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7.25" customHeight="1">
      <c r="A794" s="1"/>
      <c r="B794" s="1"/>
      <c r="C794" s="2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7.25" customHeight="1">
      <c r="A795" s="1"/>
      <c r="B795" s="1"/>
      <c r="C795" s="2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7.25" customHeight="1">
      <c r="A796" s="1"/>
      <c r="B796" s="1"/>
      <c r="C796" s="2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7.25" customHeight="1">
      <c r="A797" s="1"/>
      <c r="B797" s="1"/>
      <c r="C797" s="2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7.25" customHeight="1">
      <c r="A798" s="1"/>
      <c r="B798" s="1"/>
      <c r="C798" s="2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7.25" customHeight="1">
      <c r="A799" s="1"/>
      <c r="B799" s="1"/>
      <c r="C799" s="2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7.25" customHeight="1">
      <c r="A800" s="1"/>
      <c r="B800" s="1"/>
      <c r="C800" s="2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7.25" customHeight="1">
      <c r="A801" s="1"/>
      <c r="B801" s="1"/>
      <c r="C801" s="2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7.25" customHeight="1">
      <c r="A802" s="1"/>
      <c r="B802" s="1"/>
      <c r="C802" s="2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7.25" customHeight="1">
      <c r="A803" s="1"/>
      <c r="B803" s="1"/>
      <c r="C803" s="2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7.25" customHeight="1">
      <c r="A804" s="1"/>
      <c r="B804" s="1"/>
      <c r="C804" s="2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7.25" customHeight="1">
      <c r="A805" s="1"/>
      <c r="B805" s="1"/>
      <c r="C805" s="2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7.25" customHeight="1">
      <c r="A806" s="1"/>
      <c r="B806" s="1"/>
      <c r="C806" s="2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7.25" customHeight="1">
      <c r="A807" s="1"/>
      <c r="B807" s="1"/>
      <c r="C807" s="2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7.25" customHeight="1">
      <c r="A808" s="1"/>
      <c r="B808" s="1"/>
      <c r="C808" s="2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7.25" customHeight="1">
      <c r="A809" s="1"/>
      <c r="B809" s="1"/>
      <c r="C809" s="2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7.25" customHeight="1">
      <c r="A810" s="1"/>
      <c r="B810" s="1"/>
      <c r="C810" s="2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7.25" customHeight="1">
      <c r="A811" s="1"/>
      <c r="B811" s="1"/>
      <c r="C811" s="2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7.25" customHeight="1">
      <c r="A812" s="1"/>
      <c r="B812" s="1"/>
      <c r="C812" s="2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7.25" customHeight="1">
      <c r="A813" s="1"/>
      <c r="B813" s="1"/>
      <c r="C813" s="2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7.25" customHeight="1">
      <c r="A814" s="1"/>
      <c r="B814" s="1"/>
      <c r="C814" s="2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7.25" customHeight="1">
      <c r="A815" s="1"/>
      <c r="B815" s="1"/>
      <c r="C815" s="2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7.25" customHeight="1">
      <c r="A816" s="1"/>
      <c r="B816" s="1"/>
      <c r="C816" s="2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7.25" customHeight="1">
      <c r="A817" s="1"/>
      <c r="B817" s="1"/>
      <c r="C817" s="2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7.25" customHeight="1">
      <c r="A818" s="1"/>
      <c r="B818" s="1"/>
      <c r="C818" s="2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7.25" customHeight="1">
      <c r="A819" s="1"/>
      <c r="B819" s="1"/>
      <c r="C819" s="2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7.25" customHeight="1">
      <c r="A820" s="1"/>
      <c r="B820" s="1"/>
      <c r="C820" s="2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7.25" customHeight="1">
      <c r="A821" s="1"/>
      <c r="B821" s="1"/>
      <c r="C821" s="2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7.25" customHeight="1">
      <c r="A822" s="1"/>
      <c r="B822" s="1"/>
      <c r="C822" s="2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7.25" customHeight="1">
      <c r="A823" s="1"/>
      <c r="B823" s="1"/>
      <c r="C823" s="2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7.25" customHeight="1">
      <c r="A824" s="1"/>
      <c r="B824" s="1"/>
      <c r="C824" s="2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7.25" customHeight="1">
      <c r="A825" s="1"/>
      <c r="B825" s="1"/>
      <c r="C825" s="2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7.25" customHeight="1">
      <c r="A826" s="1"/>
      <c r="B826" s="1"/>
      <c r="C826" s="2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7.25" customHeight="1">
      <c r="A827" s="1"/>
      <c r="B827" s="1"/>
      <c r="C827" s="2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7.25" customHeight="1">
      <c r="A828" s="1"/>
      <c r="B828" s="1"/>
      <c r="C828" s="2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7.25" customHeight="1">
      <c r="A829" s="1"/>
      <c r="B829" s="1"/>
      <c r="C829" s="2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7.25" customHeight="1">
      <c r="A830" s="1"/>
      <c r="B830" s="1"/>
      <c r="C830" s="2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7.25" customHeight="1">
      <c r="A831" s="1"/>
      <c r="B831" s="1"/>
      <c r="C831" s="2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7.25" customHeight="1">
      <c r="A832" s="1"/>
      <c r="B832" s="1"/>
      <c r="C832" s="2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7.25" customHeight="1">
      <c r="A833" s="1"/>
      <c r="B833" s="1"/>
      <c r="C833" s="2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7.25" customHeight="1">
      <c r="A834" s="1"/>
      <c r="B834" s="1"/>
      <c r="C834" s="2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7.25" customHeight="1">
      <c r="A835" s="1"/>
      <c r="B835" s="1"/>
      <c r="C835" s="2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7.25" customHeight="1">
      <c r="A836" s="1"/>
      <c r="B836" s="1"/>
      <c r="C836" s="2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7.25" customHeight="1">
      <c r="A837" s="1"/>
      <c r="B837" s="1"/>
      <c r="C837" s="2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7.25" customHeight="1">
      <c r="A838" s="1"/>
      <c r="B838" s="1"/>
      <c r="C838" s="2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7.25" customHeight="1">
      <c r="A839" s="1"/>
      <c r="B839" s="1"/>
      <c r="C839" s="2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7.25" customHeight="1">
      <c r="A840" s="1"/>
      <c r="B840" s="1"/>
      <c r="C840" s="2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7.25" customHeight="1">
      <c r="A841" s="1"/>
      <c r="B841" s="1"/>
      <c r="C841" s="2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7.25" customHeight="1">
      <c r="A842" s="1"/>
      <c r="B842" s="1"/>
      <c r="C842" s="2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7.25" customHeight="1">
      <c r="A843" s="1"/>
      <c r="B843" s="1"/>
      <c r="C843" s="2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7.25" customHeight="1">
      <c r="A844" s="1"/>
      <c r="B844" s="1"/>
      <c r="C844" s="2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7.25" customHeight="1">
      <c r="A845" s="1"/>
      <c r="B845" s="1"/>
      <c r="C845" s="2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7.25" customHeight="1">
      <c r="A846" s="1"/>
      <c r="B846" s="1"/>
      <c r="C846" s="2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7.25" customHeight="1">
      <c r="A847" s="1"/>
      <c r="B847" s="1"/>
      <c r="C847" s="2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7.25" customHeight="1">
      <c r="A848" s="1"/>
      <c r="B848" s="1"/>
      <c r="C848" s="2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7.25" customHeight="1">
      <c r="A849" s="1"/>
      <c r="B849" s="1"/>
      <c r="C849" s="2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7.25" customHeight="1">
      <c r="A850" s="1"/>
      <c r="B850" s="1"/>
      <c r="C850" s="2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7.25" customHeight="1">
      <c r="A851" s="1"/>
      <c r="B851" s="1"/>
      <c r="C851" s="2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7.25" customHeight="1">
      <c r="A852" s="1"/>
      <c r="B852" s="1"/>
      <c r="C852" s="2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7.25" customHeight="1">
      <c r="A853" s="1"/>
      <c r="B853" s="1"/>
      <c r="C853" s="2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7.25" customHeight="1">
      <c r="A854" s="1"/>
      <c r="B854" s="1"/>
      <c r="C854" s="2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7.25" customHeight="1">
      <c r="A855" s="1"/>
      <c r="B855" s="1"/>
      <c r="C855" s="2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7.25" customHeight="1">
      <c r="A856" s="1"/>
      <c r="B856" s="1"/>
      <c r="C856" s="2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7.25" customHeight="1">
      <c r="A857" s="1"/>
      <c r="B857" s="1"/>
      <c r="C857" s="2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7.25" customHeight="1">
      <c r="A858" s="1"/>
      <c r="B858" s="1"/>
      <c r="C858" s="2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7.25" customHeight="1">
      <c r="A859" s="1"/>
      <c r="B859" s="1"/>
      <c r="C859" s="2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7.25" customHeight="1">
      <c r="A860" s="1"/>
      <c r="B860" s="1"/>
      <c r="C860" s="2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7.25" customHeight="1">
      <c r="A861" s="1"/>
      <c r="B861" s="1"/>
      <c r="C861" s="2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7.25" customHeight="1">
      <c r="A862" s="1"/>
      <c r="B862" s="1"/>
      <c r="C862" s="2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7.25" customHeight="1">
      <c r="A863" s="1"/>
      <c r="B863" s="1"/>
      <c r="C863" s="2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7.25" customHeight="1">
      <c r="A864" s="1"/>
      <c r="B864" s="1"/>
      <c r="C864" s="2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7.25" customHeight="1">
      <c r="A865" s="1"/>
      <c r="B865" s="1"/>
      <c r="C865" s="2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7.25" customHeight="1">
      <c r="A866" s="1"/>
      <c r="B866" s="1"/>
      <c r="C866" s="2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7.25" customHeight="1">
      <c r="A867" s="1"/>
      <c r="B867" s="1"/>
      <c r="C867" s="2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7.25" customHeight="1">
      <c r="A868" s="1"/>
      <c r="B868" s="1"/>
      <c r="C868" s="2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7.25" customHeight="1">
      <c r="A869" s="1"/>
      <c r="B869" s="1"/>
      <c r="C869" s="2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7.25" customHeight="1">
      <c r="A870" s="1"/>
      <c r="B870" s="1"/>
      <c r="C870" s="2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7.25" customHeight="1">
      <c r="A871" s="1"/>
      <c r="B871" s="1"/>
      <c r="C871" s="2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7.25" customHeight="1">
      <c r="A872" s="1"/>
      <c r="B872" s="1"/>
      <c r="C872" s="2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7.25" customHeight="1">
      <c r="A873" s="1"/>
      <c r="B873" s="1"/>
      <c r="C873" s="2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7.25" customHeight="1">
      <c r="A874" s="1"/>
      <c r="B874" s="1"/>
      <c r="C874" s="2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7.25" customHeight="1">
      <c r="A875" s="1"/>
      <c r="B875" s="1"/>
      <c r="C875" s="2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7.25" customHeight="1">
      <c r="A876" s="1"/>
      <c r="B876" s="1"/>
      <c r="C876" s="2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7.25" customHeight="1">
      <c r="A877" s="1"/>
      <c r="B877" s="1"/>
      <c r="C877" s="2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7.25" customHeight="1">
      <c r="A878" s="1"/>
      <c r="B878" s="1"/>
      <c r="C878" s="2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7.25" customHeight="1">
      <c r="A879" s="1"/>
      <c r="B879" s="1"/>
      <c r="C879" s="2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7.25" customHeight="1">
      <c r="A880" s="1"/>
      <c r="B880" s="1"/>
      <c r="C880" s="2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7.25" customHeight="1">
      <c r="A881" s="1"/>
      <c r="B881" s="1"/>
      <c r="C881" s="2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7.25" customHeight="1">
      <c r="A882" s="1"/>
      <c r="B882" s="1"/>
      <c r="C882" s="2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7.25" customHeight="1">
      <c r="A883" s="1"/>
      <c r="B883" s="1"/>
      <c r="C883" s="2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7.25" customHeight="1">
      <c r="A884" s="1"/>
      <c r="B884" s="1"/>
      <c r="C884" s="2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7.25" customHeight="1">
      <c r="A885" s="1"/>
      <c r="B885" s="1"/>
      <c r="C885" s="2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7.25" customHeight="1">
      <c r="A886" s="1"/>
      <c r="B886" s="1"/>
      <c r="C886" s="2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7.25" customHeight="1">
      <c r="A887" s="1"/>
      <c r="B887" s="1"/>
      <c r="C887" s="2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7.25" customHeight="1">
      <c r="A888" s="1"/>
      <c r="B888" s="1"/>
      <c r="C888" s="2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7.25" customHeight="1">
      <c r="A889" s="1"/>
      <c r="B889" s="1"/>
      <c r="C889" s="2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7.25" customHeight="1">
      <c r="A890" s="1"/>
      <c r="B890" s="1"/>
      <c r="C890" s="2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7.25" customHeight="1">
      <c r="A891" s="1"/>
      <c r="B891" s="1"/>
      <c r="C891" s="2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7.25" customHeight="1">
      <c r="A892" s="1"/>
      <c r="B892" s="1"/>
      <c r="C892" s="2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7.25" customHeight="1">
      <c r="A893" s="1"/>
      <c r="B893" s="1"/>
      <c r="C893" s="2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7.25" customHeight="1">
      <c r="A894" s="1"/>
      <c r="B894" s="1"/>
      <c r="C894" s="2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7.25" customHeight="1">
      <c r="A895" s="1"/>
      <c r="B895" s="1"/>
      <c r="C895" s="2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7.25" customHeight="1">
      <c r="A896" s="1"/>
      <c r="B896" s="1"/>
      <c r="C896" s="2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7.25" customHeight="1">
      <c r="A897" s="1"/>
      <c r="B897" s="1"/>
      <c r="C897" s="2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7.25" customHeight="1">
      <c r="A898" s="1"/>
      <c r="B898" s="1"/>
      <c r="C898" s="2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7.25" customHeight="1">
      <c r="A899" s="1"/>
      <c r="B899" s="1"/>
      <c r="C899" s="2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7.25" customHeight="1">
      <c r="A900" s="1"/>
      <c r="B900" s="1"/>
      <c r="C900" s="2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7.25" customHeight="1">
      <c r="A901" s="1"/>
      <c r="B901" s="1"/>
      <c r="C901" s="2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7.25" customHeight="1">
      <c r="A902" s="1"/>
      <c r="B902" s="1"/>
      <c r="C902" s="2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7.25" customHeight="1">
      <c r="A903" s="1"/>
      <c r="B903" s="1"/>
      <c r="C903" s="2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7.25" customHeight="1">
      <c r="A904" s="1"/>
      <c r="B904" s="1"/>
      <c r="C904" s="2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7.25" customHeight="1">
      <c r="A905" s="1"/>
      <c r="B905" s="1"/>
      <c r="C905" s="2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7.25" customHeight="1">
      <c r="A906" s="1"/>
      <c r="B906" s="1"/>
      <c r="C906" s="2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7.25" customHeight="1">
      <c r="A907" s="1"/>
      <c r="B907" s="1"/>
      <c r="C907" s="2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7.25" customHeight="1">
      <c r="A908" s="1"/>
      <c r="B908" s="1"/>
      <c r="C908" s="2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7.25" customHeight="1">
      <c r="A909" s="1"/>
      <c r="B909" s="1"/>
      <c r="C909" s="2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7.25" customHeight="1">
      <c r="A910" s="1"/>
      <c r="B910" s="1"/>
      <c r="C910" s="2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7.25" customHeight="1">
      <c r="A911" s="1"/>
      <c r="B911" s="1"/>
      <c r="C911" s="2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7.25" customHeight="1">
      <c r="A912" s="1"/>
      <c r="B912" s="1"/>
      <c r="C912" s="2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7.25" customHeight="1">
      <c r="A913" s="1"/>
      <c r="B913" s="1"/>
      <c r="C913" s="2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7.25" customHeight="1">
      <c r="A914" s="1"/>
      <c r="B914" s="1"/>
      <c r="C914" s="2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7.25" customHeight="1">
      <c r="A915" s="1"/>
      <c r="B915" s="1"/>
      <c r="C915" s="2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7.25" customHeight="1">
      <c r="A916" s="1"/>
      <c r="B916" s="1"/>
      <c r="C916" s="2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7.25" customHeight="1">
      <c r="A917" s="1"/>
      <c r="B917" s="1"/>
      <c r="C917" s="2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7.25" customHeight="1">
      <c r="A918" s="1"/>
      <c r="B918" s="1"/>
      <c r="C918" s="2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7.25" customHeight="1">
      <c r="A919" s="1"/>
      <c r="B919" s="1"/>
      <c r="C919" s="2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7.25" customHeight="1">
      <c r="A920" s="1"/>
      <c r="B920" s="1"/>
      <c r="C920" s="2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7.25" customHeight="1">
      <c r="A921" s="1"/>
      <c r="B921" s="1"/>
      <c r="C921" s="2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7.25" customHeight="1">
      <c r="A922" s="1"/>
      <c r="B922" s="1"/>
      <c r="C922" s="2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7.25" customHeight="1">
      <c r="A923" s="1"/>
      <c r="B923" s="1"/>
      <c r="C923" s="2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7.25" customHeight="1">
      <c r="A924" s="1"/>
      <c r="B924" s="1"/>
      <c r="C924" s="2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7.25" customHeight="1">
      <c r="A925" s="1"/>
      <c r="B925" s="1"/>
      <c r="C925" s="2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7.25" customHeight="1">
      <c r="A926" s="1"/>
      <c r="B926" s="1"/>
      <c r="C926" s="2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7.25" customHeight="1">
      <c r="A927" s="1"/>
      <c r="B927" s="1"/>
      <c r="C927" s="2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7.25" customHeight="1">
      <c r="A928" s="1"/>
      <c r="B928" s="1"/>
      <c r="C928" s="2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7.25" customHeight="1">
      <c r="A929" s="1"/>
      <c r="B929" s="1"/>
      <c r="C929" s="2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7.25" customHeight="1">
      <c r="A930" s="1"/>
      <c r="B930" s="1"/>
      <c r="C930" s="2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7.25" customHeight="1">
      <c r="A931" s="1"/>
      <c r="B931" s="1"/>
      <c r="C931" s="2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7.25" customHeight="1">
      <c r="A932" s="1"/>
      <c r="B932" s="1"/>
      <c r="C932" s="2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7.25" customHeight="1">
      <c r="A933" s="1"/>
      <c r="B933" s="1"/>
      <c r="C933" s="2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7.25" customHeight="1">
      <c r="A934" s="1"/>
      <c r="B934" s="1"/>
      <c r="C934" s="2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7.25" customHeight="1">
      <c r="A935" s="1"/>
      <c r="B935" s="1"/>
      <c r="C935" s="2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7.25" customHeight="1">
      <c r="A936" s="1"/>
      <c r="B936" s="1"/>
      <c r="C936" s="2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7.25" customHeight="1">
      <c r="A937" s="1"/>
      <c r="B937" s="1"/>
      <c r="C937" s="2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7.25" customHeight="1">
      <c r="A938" s="1"/>
      <c r="B938" s="1"/>
      <c r="C938" s="2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7.25" customHeight="1">
      <c r="A939" s="1"/>
      <c r="B939" s="1"/>
      <c r="C939" s="2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7.25" customHeight="1">
      <c r="A940" s="1"/>
      <c r="B940" s="1"/>
      <c r="C940" s="2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7.25" customHeight="1">
      <c r="A941" s="1"/>
      <c r="B941" s="1"/>
      <c r="C941" s="2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7.25" customHeight="1">
      <c r="A942" s="1"/>
      <c r="B942" s="1"/>
      <c r="C942" s="2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7.25" customHeight="1">
      <c r="A943" s="1"/>
      <c r="B943" s="1"/>
      <c r="C943" s="2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7.25" customHeight="1">
      <c r="A944" s="1"/>
      <c r="B944" s="1"/>
      <c r="C944" s="2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7.25" customHeight="1">
      <c r="A945" s="1"/>
      <c r="B945" s="1"/>
      <c r="C945" s="2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7.25" customHeight="1">
      <c r="A946" s="1"/>
      <c r="B946" s="1"/>
      <c r="C946" s="2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7.25" customHeight="1">
      <c r="A947" s="1"/>
      <c r="B947" s="1"/>
      <c r="C947" s="2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7.25" customHeight="1">
      <c r="A948" s="1"/>
      <c r="B948" s="1"/>
      <c r="C948" s="2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7.25" customHeight="1">
      <c r="A949" s="1"/>
      <c r="B949" s="1"/>
      <c r="C949" s="2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7.25" customHeight="1">
      <c r="A950" s="1"/>
      <c r="B950" s="1"/>
      <c r="C950" s="2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7.25" customHeight="1">
      <c r="A951" s="1"/>
      <c r="B951" s="1"/>
      <c r="C951" s="2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7.25" customHeight="1">
      <c r="A952" s="1"/>
      <c r="B952" s="1"/>
      <c r="C952" s="2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7.25" customHeight="1">
      <c r="A953" s="1"/>
      <c r="B953" s="1"/>
      <c r="C953" s="2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7.25" customHeight="1">
      <c r="A954" s="1"/>
      <c r="B954" s="1"/>
      <c r="C954" s="2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7.25" customHeight="1">
      <c r="A955" s="1"/>
      <c r="B955" s="1"/>
      <c r="C955" s="2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7.25" customHeight="1">
      <c r="A956" s="1"/>
      <c r="B956" s="1"/>
      <c r="C956" s="2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7.25" customHeight="1">
      <c r="A957" s="1"/>
      <c r="B957" s="1"/>
      <c r="C957" s="2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7.25" customHeight="1">
      <c r="A958" s="1"/>
      <c r="B958" s="1"/>
      <c r="C958" s="2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7.25" customHeight="1">
      <c r="A959" s="1"/>
      <c r="B959" s="1"/>
      <c r="C959" s="2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7.25" customHeight="1">
      <c r="A960" s="1"/>
      <c r="B960" s="1"/>
      <c r="C960" s="2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7.25" customHeight="1">
      <c r="A961" s="1"/>
      <c r="B961" s="1"/>
      <c r="C961" s="2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7.25" customHeight="1">
      <c r="A962" s="1"/>
      <c r="B962" s="1"/>
      <c r="C962" s="2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7.25" customHeight="1">
      <c r="A963" s="1"/>
      <c r="B963" s="1"/>
      <c r="C963" s="2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7.25" customHeight="1">
      <c r="A964" s="1"/>
      <c r="B964" s="1"/>
      <c r="C964" s="2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7.25" customHeight="1">
      <c r="A965" s="1"/>
      <c r="B965" s="1"/>
      <c r="C965" s="2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7.25" customHeight="1">
      <c r="A966" s="1"/>
      <c r="B966" s="1"/>
      <c r="C966" s="2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7.25" customHeight="1">
      <c r="A967" s="1"/>
      <c r="B967" s="1"/>
      <c r="C967" s="2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7.25" customHeight="1">
      <c r="A968" s="1"/>
      <c r="B968" s="1"/>
      <c r="C968" s="2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7.25" customHeight="1">
      <c r="A969" s="1"/>
      <c r="B969" s="1"/>
      <c r="C969" s="2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7.25" customHeight="1">
      <c r="A970" s="1"/>
      <c r="B970" s="1"/>
      <c r="C970" s="2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7.25" customHeight="1">
      <c r="A971" s="1"/>
      <c r="B971" s="1"/>
      <c r="C971" s="2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7.25" customHeight="1">
      <c r="A972" s="1"/>
      <c r="B972" s="1"/>
      <c r="C972" s="2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7.25" customHeight="1">
      <c r="A973" s="1"/>
      <c r="B973" s="1"/>
      <c r="C973" s="2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7.25" customHeight="1">
      <c r="A974" s="1"/>
      <c r="B974" s="1"/>
      <c r="C974" s="2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7.25" customHeight="1">
      <c r="A975" s="1"/>
      <c r="B975" s="1"/>
      <c r="C975" s="2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7.25" customHeight="1">
      <c r="A976" s="1"/>
      <c r="B976" s="1"/>
      <c r="C976" s="2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7.25" customHeight="1">
      <c r="A977" s="1"/>
      <c r="B977" s="1"/>
      <c r="C977" s="2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7.25" customHeight="1">
      <c r="A978" s="1"/>
      <c r="B978" s="1"/>
      <c r="C978" s="2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7.25" customHeight="1">
      <c r="A979" s="1"/>
      <c r="B979" s="1"/>
      <c r="C979" s="2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7.25" customHeight="1">
      <c r="A980" s="1"/>
      <c r="B980" s="1"/>
      <c r="C980" s="2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7.25" customHeight="1">
      <c r="A981" s="1"/>
      <c r="B981" s="1"/>
      <c r="C981" s="2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7.25" customHeight="1">
      <c r="A982" s="1"/>
      <c r="B982" s="1"/>
      <c r="C982" s="2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7.25" customHeight="1">
      <c r="A983" s="1"/>
      <c r="B983" s="1"/>
      <c r="C983" s="2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7.25" customHeight="1">
      <c r="A984" s="1"/>
      <c r="B984" s="1"/>
      <c r="C984" s="2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7.25" customHeight="1">
      <c r="A985" s="1"/>
      <c r="B985" s="1"/>
      <c r="C985" s="2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7.25" customHeight="1">
      <c r="A986" s="1"/>
      <c r="B986" s="1"/>
      <c r="C986" s="2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7.25" customHeight="1">
      <c r="A987" s="1"/>
      <c r="B987" s="1"/>
      <c r="C987" s="2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7.25" customHeight="1">
      <c r="A988" s="1"/>
      <c r="B988" s="1"/>
      <c r="C988" s="2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7.25" customHeight="1">
      <c r="A989" s="1"/>
      <c r="B989" s="1"/>
      <c r="C989" s="2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7.25" customHeight="1">
      <c r="A990" s="1"/>
      <c r="B990" s="1"/>
      <c r="C990" s="2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7.25" customHeight="1">
      <c r="A991" s="1"/>
      <c r="B991" s="1"/>
      <c r="C991" s="2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7.25" customHeight="1">
      <c r="A992" s="1"/>
      <c r="B992" s="1"/>
      <c r="C992" s="2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7.25" customHeight="1">
      <c r="A993" s="1"/>
      <c r="B993" s="1"/>
      <c r="C993" s="2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7.25" customHeight="1">
      <c r="A994" s="1"/>
      <c r="B994" s="1"/>
      <c r="C994" s="2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7.25" customHeight="1">
      <c r="A995" s="1"/>
      <c r="B995" s="1"/>
      <c r="C995" s="2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7.25" customHeight="1">
      <c r="A996" s="1"/>
      <c r="B996" s="1"/>
      <c r="C996" s="2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7.25" customHeight="1">
      <c r="A997" s="1"/>
      <c r="B997" s="1"/>
      <c r="C997" s="2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7.25" customHeight="1">
      <c r="A998" s="1"/>
      <c r="B998" s="1"/>
      <c r="C998" s="2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7.25" customHeight="1">
      <c r="A999" s="1"/>
      <c r="B999" s="1"/>
      <c r="C999" s="2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7.25" customHeight="1">
      <c r="A1000" s="1"/>
      <c r="B1000" s="1"/>
      <c r="C1000" s="2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mergeCells count="18">
    <mergeCell ref="R12:S12"/>
    <mergeCell ref="N13:O13"/>
    <mergeCell ref="N14:O14"/>
    <mergeCell ref="D16:Q16"/>
    <mergeCell ref="D21:Q21"/>
    <mergeCell ref="D41:Q41"/>
    <mergeCell ref="D63:Q63"/>
    <mergeCell ref="O5:Q5"/>
    <mergeCell ref="D9:Q9"/>
    <mergeCell ref="M11:O11"/>
    <mergeCell ref="N12:O12"/>
    <mergeCell ref="D2:Q2"/>
    <mergeCell ref="D4:E4"/>
    <mergeCell ref="I4:J4"/>
    <mergeCell ref="L4:M4"/>
    <mergeCell ref="D5:E5"/>
    <mergeCell ref="I5:J5"/>
    <mergeCell ref="L5:M5"/>
  </mergeCells>
  <conditionalFormatting sqref="E66">
    <cfRule type="containsText" dxfId="2" priority="1" operator="containsText" text="Provento">
      <formula>NOT(ISERROR(SEARCH(("Provento"),(E66))))</formula>
    </cfRule>
  </conditionalFormatting>
  <conditionalFormatting sqref="E66">
    <cfRule type="containsText" dxfId="1" priority="2" operator="containsText" text="Venda">
      <formula>NOT(ISERROR(SEARCH(("Venda"),(E66))))</formula>
    </cfRule>
  </conditionalFormatting>
  <conditionalFormatting sqref="E66">
    <cfRule type="containsText" dxfId="0" priority="3" operator="containsText" text="Compra">
      <formula>NOT(ISERROR(SEARCH(("Compra"),(E66))))</formula>
    </cfRule>
  </conditionalFormatting>
  <pageMargins left="0.511811024" right="0.511811024" top="0.78740157499999996" bottom="0.78740157499999996" header="0" footer="0"/>
  <pageSetup paperSize="9" orientation="portrait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300-000000000000}">
          <x14:formula1>
            <xm:f>Auxiliar!$A$7:$A$10</xm:f>
          </x14:formula1>
          <xm:sqref>E11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AC1575"/>
  <sheetViews>
    <sheetView topLeftCell="B1" workbookViewId="0"/>
  </sheetViews>
  <sheetFormatPr defaultColWidth="12.625" defaultRowHeight="15" customHeight="1"/>
  <cols>
    <col min="1" max="1" width="9.875" hidden="1" customWidth="1"/>
    <col min="2" max="2" width="9.875" customWidth="1"/>
    <col min="3" max="3" width="11.25" customWidth="1"/>
    <col min="4" max="4" width="12.875" customWidth="1"/>
    <col min="5" max="5" width="11.25" customWidth="1"/>
    <col min="6" max="6" width="12" customWidth="1"/>
    <col min="7" max="8" width="10.25" customWidth="1"/>
    <col min="9" max="16" width="11.25" customWidth="1"/>
    <col min="17" max="17" width="18.125" customWidth="1"/>
    <col min="18" max="18" width="15.75" customWidth="1"/>
    <col min="19" max="19" width="15.875" customWidth="1"/>
    <col min="20" max="20" width="18" customWidth="1"/>
    <col min="21" max="21" width="10.25" customWidth="1"/>
    <col min="22" max="22" width="10.375" customWidth="1"/>
    <col min="23" max="23" width="10.25" customWidth="1"/>
    <col min="24" max="26" width="11.25" customWidth="1"/>
    <col min="27" max="27" width="11.375" customWidth="1"/>
    <col min="28" max="29" width="10.25" customWidth="1"/>
  </cols>
  <sheetData>
    <row r="1" spans="1:29" ht="17.25" customHeight="1">
      <c r="A1" s="107" t="s">
        <v>61</v>
      </c>
      <c r="B1" s="107" t="s">
        <v>61</v>
      </c>
      <c r="C1" s="107" t="s">
        <v>74</v>
      </c>
      <c r="D1" s="107" t="s">
        <v>75</v>
      </c>
      <c r="E1" s="107" t="s">
        <v>76</v>
      </c>
      <c r="F1" s="107" t="s">
        <v>77</v>
      </c>
      <c r="G1" s="107" t="s">
        <v>78</v>
      </c>
      <c r="H1" s="107" t="s">
        <v>79</v>
      </c>
      <c r="I1" s="107" t="s">
        <v>80</v>
      </c>
      <c r="J1" s="107" t="s">
        <v>81</v>
      </c>
      <c r="K1" s="107" t="s">
        <v>82</v>
      </c>
      <c r="L1" s="107" t="s">
        <v>83</v>
      </c>
      <c r="M1" s="107" t="s">
        <v>84</v>
      </c>
      <c r="N1" s="107" t="s">
        <v>85</v>
      </c>
      <c r="R1" s="107" t="s">
        <v>2</v>
      </c>
      <c r="S1" s="107" t="s">
        <v>86</v>
      </c>
      <c r="T1" s="107" t="s">
        <v>2</v>
      </c>
      <c r="U1" s="107" t="s">
        <v>86</v>
      </c>
      <c r="V1" s="107" t="s">
        <v>2</v>
      </c>
      <c r="W1" s="107" t="s">
        <v>86</v>
      </c>
      <c r="X1" s="107" t="s">
        <v>2</v>
      </c>
      <c r="Y1" s="107" t="s">
        <v>86</v>
      </c>
      <c r="Z1" s="107" t="s">
        <v>87</v>
      </c>
      <c r="AA1" s="107" t="s">
        <v>88</v>
      </c>
      <c r="AB1" s="107" t="s">
        <v>89</v>
      </c>
    </row>
    <row r="2" spans="1:29" ht="17.25" customHeight="1">
      <c r="A2" s="108">
        <v>44593</v>
      </c>
      <c r="B2" s="108">
        <f t="shared" ref="B2:B972" si="0">EOMONTH(A2,-1)</f>
        <v>44592</v>
      </c>
      <c r="C2" s="109"/>
      <c r="D2" s="109"/>
      <c r="E2" s="110"/>
      <c r="F2" s="110"/>
      <c r="G2" s="110"/>
      <c r="H2" s="110"/>
      <c r="I2" s="109">
        <f t="shared" ref="I2:J2" si="1">SUM(C2,E2,G2)</f>
        <v>0</v>
      </c>
      <c r="J2" s="109">
        <f t="shared" si="1"/>
        <v>0</v>
      </c>
      <c r="K2" s="109">
        <f>SUMIFS(Ações!$J$66,Ações!$N$66,Patrimônio!B2,Ações!$E$66,"Provento")</f>
        <v>0</v>
      </c>
      <c r="L2" s="109">
        <f>SUMIFS(BDRs!$J$66,BDRs!$E$66,"Provento",BDRs!$N$66,Patrimônio!B2)</f>
        <v>0</v>
      </c>
      <c r="M2" s="109">
        <f>SUMIFS(FIIs!$J$66,FIIs!$E$66,"Provento",FIIs!$N$66,Patrimônio!B2)</f>
        <v>0</v>
      </c>
      <c r="N2" s="109">
        <f t="shared" ref="N2:N972" si="2">SUM(K2:M2)</f>
        <v>0</v>
      </c>
      <c r="O2" s="111"/>
      <c r="P2" s="107">
        <v>2</v>
      </c>
      <c r="Q2" s="108">
        <f t="shared" ref="Q2:Q13" si="3">INDEX($B$1:$M$10835,$P2,Q$14)</f>
        <v>44592</v>
      </c>
      <c r="R2" s="109">
        <f t="shared" ref="R2:AB2" si="4">INDEX($B:$N,$P2,R$14)</f>
        <v>0</v>
      </c>
      <c r="S2" s="109">
        <f t="shared" si="4"/>
        <v>0</v>
      </c>
      <c r="T2" s="109">
        <f t="shared" si="4"/>
        <v>0</v>
      </c>
      <c r="U2" s="109">
        <f t="shared" si="4"/>
        <v>0</v>
      </c>
      <c r="V2" s="109">
        <f t="shared" si="4"/>
        <v>0</v>
      </c>
      <c r="W2" s="109">
        <f t="shared" si="4"/>
        <v>0</v>
      </c>
      <c r="X2" s="109">
        <f t="shared" si="4"/>
        <v>0</v>
      </c>
      <c r="Y2" s="109">
        <f t="shared" si="4"/>
        <v>0</v>
      </c>
      <c r="Z2" s="109">
        <f t="shared" si="4"/>
        <v>0</v>
      </c>
      <c r="AA2" s="109">
        <f t="shared" si="4"/>
        <v>0</v>
      </c>
      <c r="AB2" s="109">
        <f t="shared" si="4"/>
        <v>0</v>
      </c>
      <c r="AC2" s="109"/>
    </row>
    <row r="3" spans="1:29" ht="17.25" customHeight="1">
      <c r="A3" s="108">
        <v>44621</v>
      </c>
      <c r="B3" s="108">
        <f t="shared" si="0"/>
        <v>44620</v>
      </c>
      <c r="C3" s="109"/>
      <c r="D3" s="109"/>
      <c r="E3" s="109"/>
      <c r="F3" s="109"/>
      <c r="G3" s="109"/>
      <c r="H3" s="109"/>
      <c r="I3" s="109">
        <f t="shared" ref="I3:J3" si="5">SUM(C3,E3,G3)</f>
        <v>0</v>
      </c>
      <c r="J3" s="109">
        <f t="shared" si="5"/>
        <v>0</v>
      </c>
      <c r="K3" s="109">
        <f>SUMIFS(Ações!$J$66,Ações!$N$66,Patrimônio!B3,Ações!$E$66,"Provento")</f>
        <v>0</v>
      </c>
      <c r="L3" s="109">
        <f>SUMIFS(BDRs!$J$66,BDRs!$E$66,"Provento",BDRs!$N$66,Patrimônio!B3)</f>
        <v>0</v>
      </c>
      <c r="M3" s="109">
        <f>SUMIFS(FIIs!$J$66,FIIs!$E$66,"Provento",FIIs!$N$66,Patrimônio!B3)</f>
        <v>0</v>
      </c>
      <c r="N3" s="109">
        <f t="shared" si="2"/>
        <v>0</v>
      </c>
      <c r="O3" s="111"/>
      <c r="P3" s="107">
        <f t="shared" ref="P3:P13" si="6">P2+1</f>
        <v>3</v>
      </c>
      <c r="Q3" s="108">
        <f t="shared" si="3"/>
        <v>44620</v>
      </c>
      <c r="R3" s="109">
        <f t="shared" ref="R3:AB3" si="7">INDEX($B:$N,$P3,R$14)</f>
        <v>0</v>
      </c>
      <c r="S3" s="109">
        <f t="shared" si="7"/>
        <v>0</v>
      </c>
      <c r="T3" s="109">
        <f t="shared" si="7"/>
        <v>0</v>
      </c>
      <c r="U3" s="109">
        <f t="shared" si="7"/>
        <v>0</v>
      </c>
      <c r="V3" s="109">
        <f t="shared" si="7"/>
        <v>0</v>
      </c>
      <c r="W3" s="109">
        <f t="shared" si="7"/>
        <v>0</v>
      </c>
      <c r="X3" s="109">
        <f t="shared" si="7"/>
        <v>0</v>
      </c>
      <c r="Y3" s="109">
        <f t="shared" si="7"/>
        <v>0</v>
      </c>
      <c r="Z3" s="109">
        <f t="shared" si="7"/>
        <v>0</v>
      </c>
      <c r="AA3" s="109">
        <f t="shared" si="7"/>
        <v>0</v>
      </c>
      <c r="AB3" s="109">
        <f t="shared" si="7"/>
        <v>0</v>
      </c>
      <c r="AC3" s="109"/>
    </row>
    <row r="4" spans="1:29" ht="17.25" customHeight="1">
      <c r="A4" s="108">
        <v>44652</v>
      </c>
      <c r="B4" s="108">
        <f t="shared" si="0"/>
        <v>44651</v>
      </c>
      <c r="C4" s="109"/>
      <c r="D4" s="109"/>
      <c r="E4" s="109"/>
      <c r="F4" s="109"/>
      <c r="G4" s="109"/>
      <c r="H4" s="109"/>
      <c r="I4" s="109">
        <f t="shared" ref="I4:J4" si="8">SUM(C4,E4,G4)</f>
        <v>0</v>
      </c>
      <c r="J4" s="109">
        <f t="shared" si="8"/>
        <v>0</v>
      </c>
      <c r="K4" s="109">
        <f>SUMIFS(Ações!$J$66,Ações!$N$66,Patrimônio!B4,Ações!$E$66,"Provento")</f>
        <v>0</v>
      </c>
      <c r="L4" s="109">
        <f>SUMIFS(BDRs!$J$66,BDRs!$E$66,"Provento",BDRs!$N$66,Patrimônio!B4)</f>
        <v>0</v>
      </c>
      <c r="M4" s="109">
        <f>SUMIFS(FIIs!$J$66,FIIs!$E$66,"Provento",FIIs!$N$66,Patrimônio!B4)</f>
        <v>0</v>
      </c>
      <c r="N4" s="109">
        <f t="shared" si="2"/>
        <v>0</v>
      </c>
      <c r="O4" s="111"/>
      <c r="P4" s="107">
        <f t="shared" si="6"/>
        <v>4</v>
      </c>
      <c r="Q4" s="108">
        <f t="shared" si="3"/>
        <v>44651</v>
      </c>
      <c r="R4" s="109">
        <f t="shared" ref="R4:AB4" si="9">INDEX($B:$N,$P4,R$14)</f>
        <v>0</v>
      </c>
      <c r="S4" s="109">
        <f t="shared" si="9"/>
        <v>0</v>
      </c>
      <c r="T4" s="109">
        <f t="shared" si="9"/>
        <v>0</v>
      </c>
      <c r="U4" s="109">
        <f t="shared" si="9"/>
        <v>0</v>
      </c>
      <c r="V4" s="109">
        <f t="shared" si="9"/>
        <v>0</v>
      </c>
      <c r="W4" s="109">
        <f t="shared" si="9"/>
        <v>0</v>
      </c>
      <c r="X4" s="109">
        <f t="shared" si="9"/>
        <v>0</v>
      </c>
      <c r="Y4" s="109">
        <f t="shared" si="9"/>
        <v>0</v>
      </c>
      <c r="Z4" s="109">
        <f t="shared" si="9"/>
        <v>0</v>
      </c>
      <c r="AA4" s="109">
        <f t="shared" si="9"/>
        <v>0</v>
      </c>
      <c r="AB4" s="109">
        <f t="shared" si="9"/>
        <v>0</v>
      </c>
      <c r="AC4" s="109"/>
    </row>
    <row r="5" spans="1:29" ht="17.25" customHeight="1">
      <c r="A5" s="108">
        <v>44682</v>
      </c>
      <c r="B5" s="108">
        <f t="shared" si="0"/>
        <v>44681</v>
      </c>
      <c r="C5" s="109"/>
      <c r="D5" s="109"/>
      <c r="E5" s="109"/>
      <c r="F5" s="109"/>
      <c r="G5" s="109"/>
      <c r="H5" s="109"/>
      <c r="I5" s="109">
        <f t="shared" ref="I5:J5" si="10">SUM(C5,E5,G5)</f>
        <v>0</v>
      </c>
      <c r="J5" s="109">
        <f t="shared" si="10"/>
        <v>0</v>
      </c>
      <c r="K5" s="109">
        <f>SUMIFS(Ações!$J$66,Ações!$N$66,Patrimônio!B5,Ações!$E$66,"Provento")</f>
        <v>0</v>
      </c>
      <c r="L5" s="109">
        <f>SUMIFS(BDRs!$J$66,BDRs!$E$66,"Provento",BDRs!$N$66,Patrimônio!B5)</f>
        <v>0</v>
      </c>
      <c r="M5" s="109">
        <f>SUMIFS(FIIs!$J$66,FIIs!$E$66,"Provento",FIIs!$N$66,Patrimônio!B5)</f>
        <v>0</v>
      </c>
      <c r="N5" s="109">
        <f t="shared" si="2"/>
        <v>0</v>
      </c>
      <c r="O5" s="111"/>
      <c r="P5" s="107">
        <f t="shared" si="6"/>
        <v>5</v>
      </c>
      <c r="Q5" s="108">
        <f t="shared" si="3"/>
        <v>44681</v>
      </c>
      <c r="R5" s="109">
        <f t="shared" ref="R5:AB5" si="11">INDEX($B:$N,$P5,R$14)</f>
        <v>0</v>
      </c>
      <c r="S5" s="109">
        <f t="shared" si="11"/>
        <v>0</v>
      </c>
      <c r="T5" s="109">
        <f t="shared" si="11"/>
        <v>0</v>
      </c>
      <c r="U5" s="109">
        <f t="shared" si="11"/>
        <v>0</v>
      </c>
      <c r="V5" s="109">
        <f t="shared" si="11"/>
        <v>0</v>
      </c>
      <c r="W5" s="109">
        <f t="shared" si="11"/>
        <v>0</v>
      </c>
      <c r="X5" s="109">
        <f t="shared" si="11"/>
        <v>0</v>
      </c>
      <c r="Y5" s="109">
        <f t="shared" si="11"/>
        <v>0</v>
      </c>
      <c r="Z5" s="109">
        <f t="shared" si="11"/>
        <v>0</v>
      </c>
      <c r="AA5" s="109">
        <f t="shared" si="11"/>
        <v>0</v>
      </c>
      <c r="AB5" s="109">
        <f t="shared" si="11"/>
        <v>0</v>
      </c>
      <c r="AC5" s="109"/>
    </row>
    <row r="6" spans="1:29" ht="17.25" customHeight="1">
      <c r="A6" s="108">
        <v>44713</v>
      </c>
      <c r="B6" s="108">
        <f t="shared" si="0"/>
        <v>44712</v>
      </c>
      <c r="C6" s="109"/>
      <c r="D6" s="109"/>
      <c r="E6" s="109"/>
      <c r="F6" s="109"/>
      <c r="G6" s="109"/>
      <c r="H6" s="109"/>
      <c r="I6" s="109">
        <f t="shared" ref="I6:J6" si="12">SUM(C6,E6,G6)</f>
        <v>0</v>
      </c>
      <c r="J6" s="109">
        <f t="shared" si="12"/>
        <v>0</v>
      </c>
      <c r="K6" s="109">
        <f>SUMIFS(Ações!$J$66,Ações!$N$66,Patrimônio!B6,Ações!$E$66,"Provento")</f>
        <v>0</v>
      </c>
      <c r="L6" s="109">
        <f>SUMIFS(BDRs!$J$66,BDRs!$E$66,"Provento",BDRs!$N$66,Patrimônio!B6)</f>
        <v>0</v>
      </c>
      <c r="M6" s="109">
        <f>SUMIFS(FIIs!$J$66,FIIs!$E$66,"Provento",FIIs!$N$66,Patrimônio!B6)</f>
        <v>0</v>
      </c>
      <c r="N6" s="109">
        <f t="shared" si="2"/>
        <v>0</v>
      </c>
      <c r="O6" s="111"/>
      <c r="P6" s="107">
        <f t="shared" si="6"/>
        <v>6</v>
      </c>
      <c r="Q6" s="108">
        <f t="shared" si="3"/>
        <v>44712</v>
      </c>
      <c r="R6" s="109">
        <f t="shared" ref="R6:AB6" si="13">INDEX($B:$N,$P6,R$14)</f>
        <v>0</v>
      </c>
      <c r="S6" s="109">
        <f t="shared" si="13"/>
        <v>0</v>
      </c>
      <c r="T6" s="109">
        <f t="shared" si="13"/>
        <v>0</v>
      </c>
      <c r="U6" s="109">
        <f t="shared" si="13"/>
        <v>0</v>
      </c>
      <c r="V6" s="109">
        <f t="shared" si="13"/>
        <v>0</v>
      </c>
      <c r="W6" s="109">
        <f t="shared" si="13"/>
        <v>0</v>
      </c>
      <c r="X6" s="109">
        <f t="shared" si="13"/>
        <v>0</v>
      </c>
      <c r="Y6" s="109">
        <f t="shared" si="13"/>
        <v>0</v>
      </c>
      <c r="Z6" s="109">
        <f t="shared" si="13"/>
        <v>0</v>
      </c>
      <c r="AA6" s="109">
        <f t="shared" si="13"/>
        <v>0</v>
      </c>
      <c r="AB6" s="109">
        <f t="shared" si="13"/>
        <v>0</v>
      </c>
      <c r="AC6" s="109"/>
    </row>
    <row r="7" spans="1:29" ht="17.25" customHeight="1">
      <c r="A7" s="108">
        <v>44743</v>
      </c>
      <c r="B7" s="108">
        <f t="shared" si="0"/>
        <v>44742</v>
      </c>
      <c r="C7" s="109"/>
      <c r="D7" s="109"/>
      <c r="E7" s="109"/>
      <c r="F7" s="109"/>
      <c r="G7" s="109"/>
      <c r="H7" s="109"/>
      <c r="I7" s="109">
        <f t="shared" ref="I7:J7" si="14">SUM(C7,E7,G7)</f>
        <v>0</v>
      </c>
      <c r="J7" s="109">
        <f t="shared" si="14"/>
        <v>0</v>
      </c>
      <c r="K7" s="109">
        <f>SUMIFS(Ações!$J$66,Ações!$N$66,Patrimônio!B7,Ações!$E$66,"Provento")</f>
        <v>0</v>
      </c>
      <c r="L7" s="109">
        <f>SUMIFS(BDRs!$J$66,BDRs!$E$66,"Provento",BDRs!$N$66,Patrimônio!B7)</f>
        <v>0</v>
      </c>
      <c r="M7" s="109">
        <f>SUMIFS(FIIs!$J$66,FIIs!$E$66,"Provento",FIIs!$N$66,Patrimônio!B7)</f>
        <v>0</v>
      </c>
      <c r="N7" s="109">
        <f t="shared" si="2"/>
        <v>0</v>
      </c>
      <c r="O7" s="111"/>
      <c r="P7" s="107">
        <f t="shared" si="6"/>
        <v>7</v>
      </c>
      <c r="Q7" s="108">
        <f t="shared" si="3"/>
        <v>44742</v>
      </c>
      <c r="R7" s="109">
        <f t="shared" ref="R7:AB7" si="15">INDEX($B:$N,$P7,R$14)</f>
        <v>0</v>
      </c>
      <c r="S7" s="109">
        <f t="shared" si="15"/>
        <v>0</v>
      </c>
      <c r="T7" s="109">
        <f t="shared" si="15"/>
        <v>0</v>
      </c>
      <c r="U7" s="109">
        <f t="shared" si="15"/>
        <v>0</v>
      </c>
      <c r="V7" s="109">
        <f t="shared" si="15"/>
        <v>0</v>
      </c>
      <c r="W7" s="109">
        <f t="shared" si="15"/>
        <v>0</v>
      </c>
      <c r="X7" s="109">
        <f t="shared" si="15"/>
        <v>0</v>
      </c>
      <c r="Y7" s="109">
        <f t="shared" si="15"/>
        <v>0</v>
      </c>
      <c r="Z7" s="109">
        <f t="shared" si="15"/>
        <v>0</v>
      </c>
      <c r="AA7" s="109">
        <f t="shared" si="15"/>
        <v>0</v>
      </c>
      <c r="AB7" s="109">
        <f t="shared" si="15"/>
        <v>0</v>
      </c>
      <c r="AC7" s="109"/>
    </row>
    <row r="8" spans="1:29" ht="17.25" customHeight="1">
      <c r="A8" s="108">
        <v>44774</v>
      </c>
      <c r="B8" s="108">
        <f t="shared" si="0"/>
        <v>44773</v>
      </c>
      <c r="C8" s="109"/>
      <c r="D8" s="109"/>
      <c r="E8" s="109"/>
      <c r="F8" s="109"/>
      <c r="G8" s="109"/>
      <c r="H8" s="109"/>
      <c r="I8" s="109">
        <f t="shared" ref="I8:J8" si="16">SUM(C8,E8,G8)</f>
        <v>0</v>
      </c>
      <c r="J8" s="109">
        <f t="shared" si="16"/>
        <v>0</v>
      </c>
      <c r="K8" s="109">
        <f>SUMIFS(Ações!$J$66,Ações!$N$66,Patrimônio!B8,Ações!$E$66,"Provento")</f>
        <v>0</v>
      </c>
      <c r="L8" s="109">
        <f>SUMIFS(BDRs!$J$66,BDRs!$E$66,"Provento",BDRs!$N$66,Patrimônio!B8)</f>
        <v>0</v>
      </c>
      <c r="M8" s="109">
        <f>SUMIFS(FIIs!$J$66,FIIs!$E$66,"Provento",FIIs!$N$66,Patrimônio!B8)</f>
        <v>0</v>
      </c>
      <c r="N8" s="109">
        <f t="shared" si="2"/>
        <v>0</v>
      </c>
      <c r="O8" s="109"/>
      <c r="P8" s="107">
        <f t="shared" si="6"/>
        <v>8</v>
      </c>
      <c r="Q8" s="108">
        <f t="shared" si="3"/>
        <v>44773</v>
      </c>
      <c r="R8" s="109">
        <f t="shared" ref="R8:AB8" si="17">INDEX($B:$N,$P8,R$14)</f>
        <v>0</v>
      </c>
      <c r="S8" s="109">
        <f t="shared" si="17"/>
        <v>0</v>
      </c>
      <c r="T8" s="109">
        <f t="shared" si="17"/>
        <v>0</v>
      </c>
      <c r="U8" s="109">
        <f t="shared" si="17"/>
        <v>0</v>
      </c>
      <c r="V8" s="109">
        <f t="shared" si="17"/>
        <v>0</v>
      </c>
      <c r="W8" s="109">
        <f t="shared" si="17"/>
        <v>0</v>
      </c>
      <c r="X8" s="109">
        <f t="shared" si="17"/>
        <v>0</v>
      </c>
      <c r="Y8" s="109">
        <f t="shared" si="17"/>
        <v>0</v>
      </c>
      <c r="Z8" s="109">
        <f t="shared" si="17"/>
        <v>0</v>
      </c>
      <c r="AA8" s="109">
        <f t="shared" si="17"/>
        <v>0</v>
      </c>
      <c r="AB8" s="109">
        <f t="shared" si="17"/>
        <v>0</v>
      </c>
      <c r="AC8" s="109"/>
    </row>
    <row r="9" spans="1:29" ht="17.25" customHeight="1">
      <c r="A9" s="108">
        <v>44805</v>
      </c>
      <c r="B9" s="108">
        <f t="shared" si="0"/>
        <v>44804</v>
      </c>
      <c r="C9" s="109"/>
      <c r="D9" s="109"/>
      <c r="E9" s="109"/>
      <c r="F9" s="109"/>
      <c r="G9" s="109"/>
      <c r="H9" s="109"/>
      <c r="I9" s="109">
        <f t="shared" ref="I9:J9" si="18">SUM(C9,E9,G9)</f>
        <v>0</v>
      </c>
      <c r="J9" s="109">
        <f t="shared" si="18"/>
        <v>0</v>
      </c>
      <c r="K9" s="109">
        <f>SUMIFS(Ações!$J$66,Ações!$N$66,Patrimônio!B9,Ações!$E$66,"Provento")</f>
        <v>0</v>
      </c>
      <c r="L9" s="109">
        <f>SUMIFS(BDRs!$J$66,BDRs!$E$66,"Provento",BDRs!$N$66,Patrimônio!B9)</f>
        <v>0</v>
      </c>
      <c r="M9" s="109">
        <f>SUMIFS(FIIs!$J$66,FIIs!$E$66,"Provento",FIIs!$N$66,Patrimônio!B9)</f>
        <v>0</v>
      </c>
      <c r="N9" s="109">
        <f t="shared" si="2"/>
        <v>0</v>
      </c>
      <c r="O9" s="109"/>
      <c r="P9" s="107">
        <f t="shared" si="6"/>
        <v>9</v>
      </c>
      <c r="Q9" s="108">
        <f t="shared" si="3"/>
        <v>44804</v>
      </c>
      <c r="R9" s="109">
        <f t="shared" ref="R9:AB9" si="19">INDEX($B:$N,$P9,R$14)</f>
        <v>0</v>
      </c>
      <c r="S9" s="109">
        <f t="shared" si="19"/>
        <v>0</v>
      </c>
      <c r="T9" s="109">
        <f t="shared" si="19"/>
        <v>0</v>
      </c>
      <c r="U9" s="109">
        <f t="shared" si="19"/>
        <v>0</v>
      </c>
      <c r="V9" s="109">
        <f t="shared" si="19"/>
        <v>0</v>
      </c>
      <c r="W9" s="109">
        <f t="shared" si="19"/>
        <v>0</v>
      </c>
      <c r="X9" s="109">
        <f t="shared" si="19"/>
        <v>0</v>
      </c>
      <c r="Y9" s="109">
        <f t="shared" si="19"/>
        <v>0</v>
      </c>
      <c r="Z9" s="109">
        <f t="shared" si="19"/>
        <v>0</v>
      </c>
      <c r="AA9" s="109">
        <f t="shared" si="19"/>
        <v>0</v>
      </c>
      <c r="AB9" s="109">
        <f t="shared" si="19"/>
        <v>0</v>
      </c>
      <c r="AC9" s="109"/>
    </row>
    <row r="10" spans="1:29" ht="17.25" customHeight="1">
      <c r="A10" s="108">
        <v>44835</v>
      </c>
      <c r="B10" s="108">
        <f t="shared" si="0"/>
        <v>44834</v>
      </c>
      <c r="C10" s="109"/>
      <c r="D10" s="109"/>
      <c r="E10" s="109"/>
      <c r="F10" s="109"/>
      <c r="G10" s="109"/>
      <c r="H10" s="109"/>
      <c r="I10" s="109">
        <f t="shared" ref="I10:J10" si="20">SUM(C10,E10,G10)</f>
        <v>0</v>
      </c>
      <c r="J10" s="109">
        <f t="shared" si="20"/>
        <v>0</v>
      </c>
      <c r="K10" s="109">
        <f>SUMIFS(Ações!$J$66,Ações!$N$66,Patrimônio!B10,Ações!$E$66,"Provento")</f>
        <v>0</v>
      </c>
      <c r="L10" s="109">
        <f>SUMIFS(BDRs!$J$66,BDRs!$E$66,"Provento",BDRs!$N$66,Patrimônio!B10)</f>
        <v>0</v>
      </c>
      <c r="M10" s="109">
        <f>SUMIFS(FIIs!$J$66,FIIs!$E$66,"Provento",FIIs!$N$66,Patrimônio!B10)</f>
        <v>0</v>
      </c>
      <c r="N10" s="109">
        <f t="shared" si="2"/>
        <v>0</v>
      </c>
      <c r="O10" s="109"/>
      <c r="P10" s="107">
        <f t="shared" si="6"/>
        <v>10</v>
      </c>
      <c r="Q10" s="108">
        <f t="shared" si="3"/>
        <v>44834</v>
      </c>
      <c r="R10" s="109">
        <f t="shared" ref="R10:AB10" si="21">INDEX($B:$N,$P10,R$14)</f>
        <v>0</v>
      </c>
      <c r="S10" s="109">
        <f t="shared" si="21"/>
        <v>0</v>
      </c>
      <c r="T10" s="109">
        <f t="shared" si="21"/>
        <v>0</v>
      </c>
      <c r="U10" s="109">
        <f t="shared" si="21"/>
        <v>0</v>
      </c>
      <c r="V10" s="109">
        <f t="shared" si="21"/>
        <v>0</v>
      </c>
      <c r="W10" s="109">
        <f t="shared" si="21"/>
        <v>0</v>
      </c>
      <c r="X10" s="109">
        <f t="shared" si="21"/>
        <v>0</v>
      </c>
      <c r="Y10" s="109">
        <f t="shared" si="21"/>
        <v>0</v>
      </c>
      <c r="Z10" s="109">
        <f t="shared" si="21"/>
        <v>0</v>
      </c>
      <c r="AA10" s="109">
        <f t="shared" si="21"/>
        <v>0</v>
      </c>
      <c r="AB10" s="109">
        <f t="shared" si="21"/>
        <v>0</v>
      </c>
      <c r="AC10" s="109"/>
    </row>
    <row r="11" spans="1:29" ht="17.25" customHeight="1">
      <c r="A11" s="108">
        <v>44866</v>
      </c>
      <c r="B11" s="108">
        <f t="shared" si="0"/>
        <v>44865</v>
      </c>
      <c r="C11" s="109"/>
      <c r="D11" s="109"/>
      <c r="E11" s="109"/>
      <c r="F11" s="109"/>
      <c r="G11" s="109"/>
      <c r="H11" s="109"/>
      <c r="I11" s="109">
        <f t="shared" ref="I11:J11" si="22">SUM(C11,E11,G11)</f>
        <v>0</v>
      </c>
      <c r="J11" s="109">
        <f t="shared" si="22"/>
        <v>0</v>
      </c>
      <c r="K11" s="109">
        <f>SUMIFS(Ações!$J$66,Ações!$N$66,Patrimônio!B11,Ações!$E$66,"Provento")</f>
        <v>0</v>
      </c>
      <c r="L11" s="109">
        <f>SUMIFS(BDRs!$J$66,BDRs!$E$66,"Provento",BDRs!$N$66,Patrimônio!B11)</f>
        <v>0</v>
      </c>
      <c r="M11" s="109">
        <f>SUMIFS(FIIs!$J$66,FIIs!$E$66,"Provento",FIIs!$N$66,Patrimônio!B11)</f>
        <v>0</v>
      </c>
      <c r="N11" s="109">
        <f t="shared" si="2"/>
        <v>0</v>
      </c>
      <c r="O11" s="109"/>
      <c r="P11" s="107">
        <f t="shared" si="6"/>
        <v>11</v>
      </c>
      <c r="Q11" s="108">
        <f t="shared" si="3"/>
        <v>44865</v>
      </c>
      <c r="R11" s="109">
        <f t="shared" ref="R11:AB11" si="23">INDEX($B:$N,$P11,R$14)</f>
        <v>0</v>
      </c>
      <c r="S11" s="109">
        <f t="shared" si="23"/>
        <v>0</v>
      </c>
      <c r="T11" s="109">
        <f t="shared" si="23"/>
        <v>0</v>
      </c>
      <c r="U11" s="109">
        <f t="shared" si="23"/>
        <v>0</v>
      </c>
      <c r="V11" s="109">
        <f t="shared" si="23"/>
        <v>0</v>
      </c>
      <c r="W11" s="109">
        <f t="shared" si="23"/>
        <v>0</v>
      </c>
      <c r="X11" s="109">
        <f t="shared" si="23"/>
        <v>0</v>
      </c>
      <c r="Y11" s="109">
        <f t="shared" si="23"/>
        <v>0</v>
      </c>
      <c r="Z11" s="109">
        <f t="shared" si="23"/>
        <v>0</v>
      </c>
      <c r="AA11" s="109">
        <f t="shared" si="23"/>
        <v>0</v>
      </c>
      <c r="AB11" s="109">
        <f t="shared" si="23"/>
        <v>0</v>
      </c>
      <c r="AC11" s="109"/>
    </row>
    <row r="12" spans="1:29" ht="17.25" customHeight="1">
      <c r="A12" s="108">
        <v>44896</v>
      </c>
      <c r="B12" s="108">
        <f t="shared" si="0"/>
        <v>44895</v>
      </c>
      <c r="C12" s="109"/>
      <c r="D12" s="109"/>
      <c r="E12" s="109"/>
      <c r="F12" s="109"/>
      <c r="G12" s="109"/>
      <c r="H12" s="109"/>
      <c r="I12" s="109">
        <f t="shared" ref="I12:J12" si="24">SUM(C12,E12,G12)</f>
        <v>0</v>
      </c>
      <c r="J12" s="109">
        <f t="shared" si="24"/>
        <v>0</v>
      </c>
      <c r="K12" s="109">
        <f>SUMIFS(Ações!$J$66,Ações!$N$66,Patrimônio!B12,Ações!$E$66,"Provento")</f>
        <v>0</v>
      </c>
      <c r="L12" s="109">
        <f>SUMIFS(BDRs!$J$66,BDRs!$E$66,"Provento",BDRs!$N$66,Patrimônio!B12)</f>
        <v>0</v>
      </c>
      <c r="M12" s="109">
        <f>SUMIFS(FIIs!$J$66,FIIs!$E$66,"Provento",FIIs!$N$66,Patrimônio!B12)</f>
        <v>0</v>
      </c>
      <c r="N12" s="109">
        <f t="shared" si="2"/>
        <v>0</v>
      </c>
      <c r="O12" s="109"/>
      <c r="P12" s="107">
        <f t="shared" si="6"/>
        <v>12</v>
      </c>
      <c r="Q12" s="108">
        <f t="shared" si="3"/>
        <v>44895</v>
      </c>
      <c r="R12" s="109">
        <f t="shared" ref="R12:AB12" si="25">INDEX($B:$N,$P12,R$14)</f>
        <v>0</v>
      </c>
      <c r="S12" s="109">
        <f t="shared" si="25"/>
        <v>0</v>
      </c>
      <c r="T12" s="109">
        <f t="shared" si="25"/>
        <v>0</v>
      </c>
      <c r="U12" s="109">
        <f t="shared" si="25"/>
        <v>0</v>
      </c>
      <c r="V12" s="109">
        <f t="shared" si="25"/>
        <v>0</v>
      </c>
      <c r="W12" s="109">
        <f t="shared" si="25"/>
        <v>0</v>
      </c>
      <c r="X12" s="109">
        <f t="shared" si="25"/>
        <v>0</v>
      </c>
      <c r="Y12" s="109">
        <f t="shared" si="25"/>
        <v>0</v>
      </c>
      <c r="Z12" s="109">
        <f t="shared" si="25"/>
        <v>0</v>
      </c>
      <c r="AA12" s="109">
        <f t="shared" si="25"/>
        <v>0</v>
      </c>
      <c r="AB12" s="109">
        <f t="shared" si="25"/>
        <v>0</v>
      </c>
      <c r="AC12" s="109"/>
    </row>
    <row r="13" spans="1:29" ht="17.25" customHeight="1">
      <c r="A13" s="108">
        <v>44927</v>
      </c>
      <c r="B13" s="108">
        <f t="shared" si="0"/>
        <v>44926</v>
      </c>
      <c r="C13" s="109"/>
      <c r="D13" s="109"/>
      <c r="E13" s="109"/>
      <c r="F13" s="109"/>
      <c r="G13" s="109"/>
      <c r="H13" s="109"/>
      <c r="I13" s="109">
        <f t="shared" ref="I13:J13" si="26">SUM(C13,E13,G13)</f>
        <v>0</v>
      </c>
      <c r="J13" s="109">
        <f t="shared" si="26"/>
        <v>0</v>
      </c>
      <c r="K13" s="109">
        <f>SUMIFS(Ações!$J$66,Ações!$N$66,Patrimônio!B13,Ações!$E$66,"Provento")</f>
        <v>0</v>
      </c>
      <c r="L13" s="109">
        <f>SUMIFS(BDRs!$J$66,BDRs!$E$66,"Provento",BDRs!$N$66,Patrimônio!B13)</f>
        <v>0</v>
      </c>
      <c r="M13" s="109">
        <f>SUMIFS(FIIs!$J$66,FIIs!$E$66,"Provento",FIIs!$N$66,Patrimônio!B13)</f>
        <v>0</v>
      </c>
      <c r="N13" s="109">
        <f t="shared" si="2"/>
        <v>0</v>
      </c>
      <c r="O13" s="109"/>
      <c r="P13" s="107">
        <f t="shared" si="6"/>
        <v>13</v>
      </c>
      <c r="Q13" s="108">
        <f t="shared" si="3"/>
        <v>44926</v>
      </c>
      <c r="R13" s="109">
        <f t="shared" ref="R13:AB13" si="27">INDEX($B:$N,$P13,R$14)</f>
        <v>0</v>
      </c>
      <c r="S13" s="109">
        <f t="shared" si="27"/>
        <v>0</v>
      </c>
      <c r="T13" s="109">
        <f t="shared" si="27"/>
        <v>0</v>
      </c>
      <c r="U13" s="109">
        <f t="shared" si="27"/>
        <v>0</v>
      </c>
      <c r="V13" s="109">
        <f t="shared" si="27"/>
        <v>0</v>
      </c>
      <c r="W13" s="109">
        <f t="shared" si="27"/>
        <v>0</v>
      </c>
      <c r="X13" s="109">
        <f t="shared" si="27"/>
        <v>0</v>
      </c>
      <c r="Y13" s="109">
        <f t="shared" si="27"/>
        <v>0</v>
      </c>
      <c r="Z13" s="109">
        <f t="shared" si="27"/>
        <v>0</v>
      </c>
      <c r="AA13" s="109">
        <f t="shared" si="27"/>
        <v>0</v>
      </c>
      <c r="AB13" s="109">
        <f t="shared" si="27"/>
        <v>0</v>
      </c>
      <c r="AC13" s="109"/>
    </row>
    <row r="14" spans="1:29" ht="17.25" customHeight="1">
      <c r="A14" s="108">
        <v>44958</v>
      </c>
      <c r="B14" s="108">
        <f t="shared" si="0"/>
        <v>44957</v>
      </c>
      <c r="C14" s="109"/>
      <c r="D14" s="109"/>
      <c r="E14" s="109"/>
      <c r="F14" s="109"/>
      <c r="G14" s="109"/>
      <c r="H14" s="109"/>
      <c r="I14" s="109">
        <f t="shared" ref="I14:J14" si="28">SUM(C14,E14,G14)</f>
        <v>0</v>
      </c>
      <c r="J14" s="109">
        <f t="shared" si="28"/>
        <v>0</v>
      </c>
      <c r="K14" s="109">
        <f>SUMIFS(Ações!$J$66,Ações!$N$66,Patrimônio!B14,Ações!$E$66,"Provento")</f>
        <v>0</v>
      </c>
      <c r="L14" s="109">
        <f>SUMIFS(BDRs!$J$66,BDRs!$E$66,"Provento",BDRs!$N$66,Patrimônio!B14)</f>
        <v>0</v>
      </c>
      <c r="M14" s="109">
        <f>SUMIFS(FIIs!$J$66,FIIs!$E$66,"Provento",FIIs!$N$66,Patrimônio!B14)</f>
        <v>0</v>
      </c>
      <c r="N14" s="109">
        <f t="shared" si="2"/>
        <v>0</v>
      </c>
      <c r="O14" s="109"/>
      <c r="Q14" s="107">
        <v>1</v>
      </c>
      <c r="R14" s="107">
        <v>2</v>
      </c>
      <c r="S14" s="107">
        <v>3</v>
      </c>
      <c r="T14" s="107">
        <v>4</v>
      </c>
      <c r="U14" s="107">
        <v>5</v>
      </c>
      <c r="V14" s="107">
        <v>6</v>
      </c>
      <c r="W14" s="107">
        <v>7</v>
      </c>
      <c r="X14" s="107">
        <v>8</v>
      </c>
      <c r="Y14" s="107">
        <v>9</v>
      </c>
      <c r="Z14" s="107">
        <v>10</v>
      </c>
      <c r="AA14" s="107">
        <v>11</v>
      </c>
      <c r="AB14" s="107">
        <v>12</v>
      </c>
    </row>
    <row r="15" spans="1:29" ht="17.25" customHeight="1">
      <c r="A15" s="108">
        <v>44986</v>
      </c>
      <c r="B15" s="108">
        <f t="shared" si="0"/>
        <v>44985</v>
      </c>
      <c r="C15" s="109"/>
      <c r="D15" s="109"/>
      <c r="E15" s="109"/>
      <c r="F15" s="109"/>
      <c r="G15" s="109"/>
      <c r="H15" s="109"/>
      <c r="I15" s="109">
        <f t="shared" ref="I15:J15" si="29">SUM(C15,E15,G15)</f>
        <v>0</v>
      </c>
      <c r="J15" s="109">
        <f t="shared" si="29"/>
        <v>0</v>
      </c>
      <c r="K15" s="109">
        <f>SUMIFS(Ações!$J$66,Ações!$N$66,Patrimônio!B15,Ações!$E$66,"Provento")</f>
        <v>0</v>
      </c>
      <c r="L15" s="109">
        <f>SUMIFS(BDRs!$J$66,BDRs!$E$66,"Provento",BDRs!$N$66,Patrimônio!B15)</f>
        <v>0</v>
      </c>
      <c r="M15" s="109">
        <f>SUMIFS(FIIs!$J$66,FIIs!$E$66,"Provento",FIIs!$N$66,Patrimônio!B15)</f>
        <v>0</v>
      </c>
      <c r="N15" s="109">
        <f t="shared" si="2"/>
        <v>0</v>
      </c>
      <c r="O15" s="109"/>
    </row>
    <row r="16" spans="1:29" ht="17.25" customHeight="1">
      <c r="A16" s="108">
        <v>45017</v>
      </c>
      <c r="B16" s="108">
        <f t="shared" si="0"/>
        <v>45016</v>
      </c>
      <c r="C16" s="109"/>
      <c r="D16" s="109"/>
      <c r="E16" s="109"/>
      <c r="F16" s="109"/>
      <c r="G16" s="109"/>
      <c r="H16" s="109"/>
      <c r="I16" s="109">
        <f t="shared" ref="I16:J16" si="30">SUM(C16,E16,G16)</f>
        <v>0</v>
      </c>
      <c r="J16" s="109">
        <f t="shared" si="30"/>
        <v>0</v>
      </c>
      <c r="K16" s="109">
        <f>SUMIFS(Ações!$J$66,Ações!$N$66,Patrimônio!B16,Ações!$E$66,"Provento")</f>
        <v>0</v>
      </c>
      <c r="L16" s="109">
        <f>SUMIFS(BDRs!$J$66,BDRs!$E$66,"Provento",BDRs!$N$66,Patrimônio!B16)</f>
        <v>0</v>
      </c>
      <c r="M16" s="109">
        <f>SUMIFS(FIIs!$J$66,FIIs!$E$66,"Provento",FIIs!$N$66,Patrimônio!B16)</f>
        <v>0</v>
      </c>
      <c r="N16" s="109">
        <f t="shared" si="2"/>
        <v>0</v>
      </c>
      <c r="O16" s="109"/>
    </row>
    <row r="17" spans="1:25" ht="17.25" customHeight="1">
      <c r="A17" s="108">
        <v>45047</v>
      </c>
      <c r="B17" s="108">
        <f t="shared" si="0"/>
        <v>45046</v>
      </c>
      <c r="C17" s="109"/>
      <c r="D17" s="109"/>
      <c r="E17" s="109"/>
      <c r="F17" s="109"/>
      <c r="G17" s="109"/>
      <c r="H17" s="109"/>
      <c r="I17" s="109">
        <f t="shared" ref="I17:J17" si="31">SUM(C17,E17,G17)</f>
        <v>0</v>
      </c>
      <c r="J17" s="109">
        <f t="shared" si="31"/>
        <v>0</v>
      </c>
      <c r="K17" s="109">
        <f>SUMIFS(Ações!$J$66,Ações!$N$66,Patrimônio!B17,Ações!$E$66,"Provento")</f>
        <v>0</v>
      </c>
      <c r="L17" s="109">
        <f>SUMIFS(BDRs!$J$66,BDRs!$E$66,"Provento",BDRs!$N$66,Patrimônio!B17)</f>
        <v>0</v>
      </c>
      <c r="M17" s="109">
        <f>SUMIFS(FIIs!$J$66,FIIs!$E$66,"Provento",FIIs!$N$66,Patrimônio!B17)</f>
        <v>0</v>
      </c>
      <c r="N17" s="109">
        <f t="shared" si="2"/>
        <v>0</v>
      </c>
      <c r="O17" s="109"/>
      <c r="Y17" s="107">
        <v>0</v>
      </c>
    </row>
    <row r="18" spans="1:25" ht="17.25" customHeight="1">
      <c r="A18" s="108">
        <v>45078</v>
      </c>
      <c r="B18" s="108">
        <f t="shared" si="0"/>
        <v>45077</v>
      </c>
      <c r="C18" s="109"/>
      <c r="D18" s="109"/>
      <c r="E18" s="109"/>
      <c r="F18" s="109"/>
      <c r="G18" s="109"/>
      <c r="H18" s="109"/>
      <c r="I18" s="109">
        <f t="shared" ref="I18:J18" si="32">SUM(C18,E18,G18)</f>
        <v>0</v>
      </c>
      <c r="J18" s="109">
        <f t="shared" si="32"/>
        <v>0</v>
      </c>
      <c r="K18" s="109">
        <f>SUMIFS(Ações!$J$66,Ações!$N$66,Patrimônio!B18,Ações!$E$66,"Provento")</f>
        <v>0</v>
      </c>
      <c r="L18" s="109">
        <f>SUMIFS(BDRs!$J$66,BDRs!$E$66,"Provento",BDRs!$N$66,Patrimônio!B18)</f>
        <v>0</v>
      </c>
      <c r="M18" s="109">
        <f>SUMIFS(FIIs!$J$66,FIIs!$E$66,"Provento",FIIs!$N$66,Patrimônio!B18)</f>
        <v>0</v>
      </c>
      <c r="N18" s="109">
        <f t="shared" si="2"/>
        <v>0</v>
      </c>
      <c r="O18" s="109"/>
    </row>
    <row r="19" spans="1:25" ht="17.25" customHeight="1">
      <c r="A19" s="108">
        <v>45108</v>
      </c>
      <c r="B19" s="108">
        <f t="shared" si="0"/>
        <v>45107</v>
      </c>
      <c r="C19" s="109"/>
      <c r="D19" s="109"/>
      <c r="E19" s="109"/>
      <c r="F19" s="109"/>
      <c r="G19" s="109"/>
      <c r="H19" s="109"/>
      <c r="I19" s="109">
        <f t="shared" ref="I19:J19" si="33">SUM(C19,E19,G19)</f>
        <v>0</v>
      </c>
      <c r="J19" s="109">
        <f t="shared" si="33"/>
        <v>0</v>
      </c>
      <c r="K19" s="109">
        <f>SUMIFS(Ações!$J$66,Ações!$N$66,Patrimônio!B19,Ações!$E$66,"Provento")</f>
        <v>0</v>
      </c>
      <c r="L19" s="109">
        <f>SUMIFS(BDRs!$J$66,BDRs!$E$66,"Provento",BDRs!$N$66,Patrimônio!B19)</f>
        <v>0</v>
      </c>
      <c r="M19" s="109">
        <f>SUMIFS(FIIs!$J$66,FIIs!$E$66,"Provento",FIIs!$N$66,Patrimônio!B19)</f>
        <v>0</v>
      </c>
      <c r="N19" s="109">
        <f t="shared" si="2"/>
        <v>0</v>
      </c>
      <c r="O19" s="109"/>
    </row>
    <row r="20" spans="1:25" ht="17.25" customHeight="1">
      <c r="A20" s="108">
        <v>45139</v>
      </c>
      <c r="B20" s="108">
        <f t="shared" si="0"/>
        <v>45138</v>
      </c>
      <c r="C20" s="109"/>
      <c r="D20" s="109"/>
      <c r="E20" s="109"/>
      <c r="F20" s="109"/>
      <c r="G20" s="109"/>
      <c r="H20" s="109"/>
      <c r="I20" s="109">
        <f t="shared" ref="I20:J20" si="34">SUM(C20,E20,G20)</f>
        <v>0</v>
      </c>
      <c r="J20" s="109">
        <f t="shared" si="34"/>
        <v>0</v>
      </c>
      <c r="K20" s="109">
        <f>SUMIFS(Ações!$J$66,Ações!$N$66,Patrimônio!B20,Ações!$E$66,"Provento")</f>
        <v>0</v>
      </c>
      <c r="L20" s="109">
        <f>SUMIFS(BDRs!$J$66,BDRs!$E$66,"Provento",BDRs!$N$66,Patrimônio!B20)</f>
        <v>0</v>
      </c>
      <c r="M20" s="109">
        <f>SUMIFS(FIIs!$J$66,FIIs!$E$66,"Provento",FIIs!$N$66,Patrimônio!B20)</f>
        <v>0</v>
      </c>
      <c r="N20" s="109">
        <f t="shared" si="2"/>
        <v>0</v>
      </c>
      <c r="O20" s="109"/>
    </row>
    <row r="21" spans="1:25" ht="17.25" customHeight="1">
      <c r="A21" s="108">
        <v>45170</v>
      </c>
      <c r="B21" s="108">
        <f t="shared" si="0"/>
        <v>45169</v>
      </c>
      <c r="C21" s="109"/>
      <c r="D21" s="109"/>
      <c r="E21" s="109"/>
      <c r="F21" s="109"/>
      <c r="G21" s="109"/>
      <c r="H21" s="109"/>
      <c r="I21" s="109">
        <f t="shared" ref="I21:J21" si="35">SUM(C21,E21,G21)</f>
        <v>0</v>
      </c>
      <c r="J21" s="109">
        <f t="shared" si="35"/>
        <v>0</v>
      </c>
      <c r="K21" s="109">
        <f>SUMIFS(Ações!$J$66,Ações!$N$66,Patrimônio!B21,Ações!$E$66,"Provento")</f>
        <v>0</v>
      </c>
      <c r="L21" s="109">
        <f>SUMIFS(BDRs!$J$66,BDRs!$E$66,"Provento",BDRs!$N$66,Patrimônio!B21)</f>
        <v>0</v>
      </c>
      <c r="M21" s="109">
        <f>SUMIFS(FIIs!$J$66,FIIs!$E$66,"Provento",FIIs!$N$66,Patrimônio!B21)</f>
        <v>0</v>
      </c>
      <c r="N21" s="109">
        <f t="shared" si="2"/>
        <v>0</v>
      </c>
      <c r="O21" s="109"/>
    </row>
    <row r="22" spans="1:25" ht="17.25" customHeight="1">
      <c r="A22" s="108">
        <v>45200</v>
      </c>
      <c r="B22" s="108">
        <f t="shared" si="0"/>
        <v>45199</v>
      </c>
      <c r="C22" s="109"/>
      <c r="D22" s="109"/>
      <c r="E22" s="109"/>
      <c r="F22" s="109"/>
      <c r="G22" s="109"/>
      <c r="H22" s="109"/>
      <c r="I22" s="109">
        <f t="shared" ref="I22:J22" si="36">SUM(C22,E22,G22)</f>
        <v>0</v>
      </c>
      <c r="J22" s="109">
        <f t="shared" si="36"/>
        <v>0</v>
      </c>
      <c r="K22" s="109">
        <f>SUMIFS(Ações!$J$66,Ações!$N$66,Patrimônio!B22,Ações!$E$66,"Provento")</f>
        <v>0</v>
      </c>
      <c r="L22" s="109">
        <f>SUMIFS(BDRs!$J$66,BDRs!$E$66,"Provento",BDRs!$N$66,Patrimônio!B22)</f>
        <v>0</v>
      </c>
      <c r="M22" s="109">
        <f>SUMIFS(FIIs!$J$66,FIIs!$E$66,"Provento",FIIs!$N$66,Patrimônio!B22)</f>
        <v>0</v>
      </c>
      <c r="N22" s="109">
        <f t="shared" si="2"/>
        <v>0</v>
      </c>
      <c r="O22" s="109"/>
      <c r="Q22" s="149" t="s">
        <v>260</v>
      </c>
      <c r="R22" s="149" t="s">
        <v>61</v>
      </c>
      <c r="S22" s="150" t="s">
        <v>90</v>
      </c>
    </row>
    <row r="23" spans="1:25" ht="17.25" customHeight="1">
      <c r="A23" s="108">
        <v>45231</v>
      </c>
      <c r="B23" s="108">
        <f t="shared" si="0"/>
        <v>45230</v>
      </c>
      <c r="C23" s="109"/>
      <c r="D23" s="109"/>
      <c r="E23" s="109"/>
      <c r="F23" s="109"/>
      <c r="G23" s="109"/>
      <c r="H23" s="109"/>
      <c r="I23" s="109">
        <f t="shared" ref="I23:J23" si="37">SUM(C23,E23,G23)</f>
        <v>0</v>
      </c>
      <c r="J23" s="109">
        <f t="shared" si="37"/>
        <v>0</v>
      </c>
      <c r="K23" s="109">
        <f>SUMIFS(Ações!$J$66,Ações!$N$66,Patrimônio!B23,Ações!$E$66,"Provento")</f>
        <v>0</v>
      </c>
      <c r="L23" s="109">
        <f>SUMIFS(BDRs!$J$66,BDRs!$E$66,"Provento",BDRs!$N$66,Patrimônio!B23)</f>
        <v>0</v>
      </c>
      <c r="M23" s="109">
        <f>SUMIFS(FIIs!$J$66,FIIs!$E$66,"Provento",FIIs!$N$66,Patrimônio!B23)</f>
        <v>0</v>
      </c>
      <c r="N23" s="109">
        <f t="shared" si="2"/>
        <v>0</v>
      </c>
      <c r="O23" s="109"/>
      <c r="Q23" s="151" t="s">
        <v>91</v>
      </c>
      <c r="R23" s="152" t="s">
        <v>261</v>
      </c>
      <c r="S23" s="153">
        <v>0</v>
      </c>
    </row>
    <row r="24" spans="1:25" ht="17.25" customHeight="1">
      <c r="A24" s="108">
        <v>45261</v>
      </c>
      <c r="B24" s="108">
        <f t="shared" si="0"/>
        <v>45260</v>
      </c>
      <c r="C24" s="109"/>
      <c r="D24" s="109"/>
      <c r="E24" s="109"/>
      <c r="F24" s="109"/>
      <c r="G24" s="109"/>
      <c r="H24" s="109"/>
      <c r="I24" s="109">
        <f t="shared" ref="I24:J24" si="38">SUM(C24,E24,G24)</f>
        <v>0</v>
      </c>
      <c r="J24" s="109">
        <f t="shared" si="38"/>
        <v>0</v>
      </c>
      <c r="K24" s="109">
        <f>SUMIFS(Ações!$J$66,Ações!$N$66,Patrimônio!B24,Ações!$E$66,"Provento")</f>
        <v>0</v>
      </c>
      <c r="L24" s="109">
        <f>SUMIFS(BDRs!$J$66,BDRs!$E$66,"Provento",BDRs!$N$66,Patrimônio!B24)</f>
        <v>0</v>
      </c>
      <c r="M24" s="109">
        <f>SUMIFS(FIIs!$J$66,FIIs!$E$66,"Provento",FIIs!$N$66,Patrimônio!B24)</f>
        <v>0</v>
      </c>
      <c r="N24" s="109">
        <f t="shared" si="2"/>
        <v>0</v>
      </c>
      <c r="O24" s="109"/>
      <c r="Q24" s="154"/>
      <c r="R24" s="155" t="s">
        <v>262</v>
      </c>
      <c r="S24" s="156">
        <v>0</v>
      </c>
    </row>
    <row r="25" spans="1:25" ht="17.25" customHeight="1">
      <c r="A25" s="108">
        <v>45292</v>
      </c>
      <c r="B25" s="108">
        <f t="shared" si="0"/>
        <v>45291</v>
      </c>
      <c r="C25" s="109"/>
      <c r="D25" s="109"/>
      <c r="E25" s="109"/>
      <c r="F25" s="109"/>
      <c r="G25" s="109"/>
      <c r="H25" s="109"/>
      <c r="I25" s="109">
        <f t="shared" ref="I25:J25" si="39">SUM(C25,E25,G25)</f>
        <v>0</v>
      </c>
      <c r="J25" s="109">
        <f t="shared" si="39"/>
        <v>0</v>
      </c>
      <c r="K25" s="109">
        <f>SUMIFS(Ações!$J$66,Ações!$N$66,Patrimônio!B25,Ações!$E$66,"Provento")</f>
        <v>0</v>
      </c>
      <c r="L25" s="109">
        <f>SUMIFS(BDRs!$J$66,BDRs!$E$66,"Provento",BDRs!$N$66,Patrimônio!B25)</f>
        <v>0</v>
      </c>
      <c r="M25" s="109">
        <f>SUMIFS(FIIs!$J$66,FIIs!$E$66,"Provento",FIIs!$N$66,Patrimônio!B25)</f>
        <v>0</v>
      </c>
      <c r="N25" s="109">
        <f t="shared" si="2"/>
        <v>0</v>
      </c>
      <c r="O25" s="109"/>
      <c r="Q25" s="154"/>
      <c r="R25" s="155" t="s">
        <v>263</v>
      </c>
      <c r="S25" s="156">
        <v>0</v>
      </c>
    </row>
    <row r="26" spans="1:25" ht="17.25" customHeight="1">
      <c r="A26" s="108">
        <v>45323</v>
      </c>
      <c r="B26" s="108">
        <f t="shared" si="0"/>
        <v>45322</v>
      </c>
      <c r="C26" s="109"/>
      <c r="D26" s="109"/>
      <c r="E26" s="109"/>
      <c r="F26" s="109"/>
      <c r="G26" s="109"/>
      <c r="H26" s="109"/>
      <c r="I26" s="109">
        <f t="shared" ref="I26:J26" si="40">SUM(C26,E26,G26)</f>
        <v>0</v>
      </c>
      <c r="J26" s="109">
        <f t="shared" si="40"/>
        <v>0</v>
      </c>
      <c r="K26" s="109">
        <f>SUMIFS(Ações!$J$66,Ações!$N$66,Patrimônio!B26,Ações!$E$66,"Provento")</f>
        <v>0</v>
      </c>
      <c r="L26" s="109">
        <f>SUMIFS(BDRs!$J$66,BDRs!$E$66,"Provento",BDRs!$N$66,Patrimônio!B26)</f>
        <v>0</v>
      </c>
      <c r="M26" s="109">
        <f>SUMIFS(FIIs!$J$66,FIIs!$E$66,"Provento",FIIs!$N$66,Patrimônio!B26)</f>
        <v>0</v>
      </c>
      <c r="N26" s="109">
        <f t="shared" si="2"/>
        <v>0</v>
      </c>
      <c r="O26" s="109"/>
      <c r="Q26" s="154"/>
      <c r="R26" s="155" t="s">
        <v>264</v>
      </c>
      <c r="S26" s="156">
        <v>0</v>
      </c>
    </row>
    <row r="27" spans="1:25" ht="17.25" customHeight="1">
      <c r="A27" s="108">
        <v>45352</v>
      </c>
      <c r="B27" s="108">
        <f t="shared" si="0"/>
        <v>45351</v>
      </c>
      <c r="C27" s="109"/>
      <c r="D27" s="109"/>
      <c r="E27" s="109"/>
      <c r="F27" s="109"/>
      <c r="G27" s="109"/>
      <c r="H27" s="109"/>
      <c r="I27" s="109">
        <f t="shared" ref="I27:J27" si="41">SUM(C27,E27,G27)</f>
        <v>0</v>
      </c>
      <c r="J27" s="109">
        <f t="shared" si="41"/>
        <v>0</v>
      </c>
      <c r="K27" s="109">
        <f>SUMIFS(Ações!$J$66,Ações!$N$66,Patrimônio!B27,Ações!$E$66,"Provento")</f>
        <v>0</v>
      </c>
      <c r="L27" s="109">
        <f>SUMIFS(BDRs!$J$66,BDRs!$E$66,"Provento",BDRs!$N$66,Patrimônio!B27)</f>
        <v>0</v>
      </c>
      <c r="M27" s="109">
        <f>SUMIFS(FIIs!$J$66,FIIs!$E$66,"Provento",FIIs!$N$66,Patrimônio!B27)</f>
        <v>0</v>
      </c>
      <c r="N27" s="109">
        <f t="shared" si="2"/>
        <v>0</v>
      </c>
      <c r="O27" s="109"/>
      <c r="Q27" s="154"/>
      <c r="R27" s="155" t="s">
        <v>265</v>
      </c>
      <c r="S27" s="156">
        <v>0</v>
      </c>
    </row>
    <row r="28" spans="1:25" ht="17.25" customHeight="1">
      <c r="A28" s="108">
        <v>45383</v>
      </c>
      <c r="B28" s="108">
        <f t="shared" si="0"/>
        <v>45382</v>
      </c>
      <c r="C28" s="109"/>
      <c r="D28" s="109"/>
      <c r="E28" s="109"/>
      <c r="F28" s="109"/>
      <c r="G28" s="109"/>
      <c r="H28" s="109"/>
      <c r="I28" s="109">
        <f t="shared" ref="I28:J28" si="42">SUM(C28,E28,G28)</f>
        <v>0</v>
      </c>
      <c r="J28" s="109">
        <f t="shared" si="42"/>
        <v>0</v>
      </c>
      <c r="K28" s="109">
        <f>SUMIFS(Ações!$J$66,Ações!$N$66,Patrimônio!B28,Ações!$E$66,"Provento")</f>
        <v>0</v>
      </c>
      <c r="L28" s="109">
        <f>SUMIFS(BDRs!$J$66,BDRs!$E$66,"Provento",BDRs!$N$66,Patrimônio!B28)</f>
        <v>0</v>
      </c>
      <c r="M28" s="109">
        <f>SUMIFS(FIIs!$J$66,FIIs!$E$66,"Provento",FIIs!$N$66,Patrimônio!B28)</f>
        <v>0</v>
      </c>
      <c r="N28" s="109">
        <f t="shared" si="2"/>
        <v>0</v>
      </c>
      <c r="O28" s="109"/>
      <c r="Q28" s="154"/>
      <c r="R28" s="155" t="s">
        <v>266</v>
      </c>
      <c r="S28" s="156">
        <v>0</v>
      </c>
    </row>
    <row r="29" spans="1:25" ht="17.25" customHeight="1">
      <c r="A29" s="108">
        <v>45413</v>
      </c>
      <c r="B29" s="108">
        <f t="shared" si="0"/>
        <v>45412</v>
      </c>
      <c r="C29" s="109"/>
      <c r="D29" s="109"/>
      <c r="E29" s="109"/>
      <c r="F29" s="109"/>
      <c r="G29" s="109"/>
      <c r="H29" s="109"/>
      <c r="I29" s="109">
        <f t="shared" ref="I29:J29" si="43">SUM(C29,E29,G29)</f>
        <v>0</v>
      </c>
      <c r="J29" s="109">
        <f t="shared" si="43"/>
        <v>0</v>
      </c>
      <c r="K29" s="109">
        <f>SUMIFS(Ações!$J$66,Ações!$N$66,Patrimônio!B29,Ações!$E$66,"Provento")</f>
        <v>0</v>
      </c>
      <c r="L29" s="109">
        <f>SUMIFS(BDRs!$J$66,BDRs!$E$66,"Provento",BDRs!$N$66,Patrimônio!B29)</f>
        <v>0</v>
      </c>
      <c r="M29" s="109">
        <f>SUMIFS(FIIs!$J$66,FIIs!$E$66,"Provento",FIIs!$N$66,Patrimônio!B29)</f>
        <v>0</v>
      </c>
      <c r="N29" s="109">
        <f t="shared" si="2"/>
        <v>0</v>
      </c>
      <c r="O29" s="109"/>
      <c r="Q29" s="154"/>
      <c r="R29" s="155" t="s">
        <v>267</v>
      </c>
      <c r="S29" s="156">
        <v>0</v>
      </c>
    </row>
    <row r="30" spans="1:25" ht="17.25" customHeight="1">
      <c r="A30" s="108">
        <v>45444</v>
      </c>
      <c r="B30" s="108">
        <f t="shared" si="0"/>
        <v>45443</v>
      </c>
      <c r="C30" s="109"/>
      <c r="D30" s="109"/>
      <c r="E30" s="109"/>
      <c r="F30" s="109"/>
      <c r="G30" s="109"/>
      <c r="H30" s="109"/>
      <c r="I30" s="109">
        <f t="shared" ref="I30:J30" si="44">SUM(C30,E30,G30)</f>
        <v>0</v>
      </c>
      <c r="J30" s="109">
        <f t="shared" si="44"/>
        <v>0</v>
      </c>
      <c r="K30" s="109">
        <f>SUMIFS(Ações!$J$66,Ações!$N$66,Patrimônio!B30,Ações!$E$66,"Provento")</f>
        <v>0</v>
      </c>
      <c r="L30" s="109">
        <f>SUMIFS(BDRs!$J$66,BDRs!$E$66,"Provento",BDRs!$N$66,Patrimônio!B30)</f>
        <v>0</v>
      </c>
      <c r="M30" s="109">
        <f>SUMIFS(FIIs!$J$66,FIIs!$E$66,"Provento",FIIs!$N$66,Patrimônio!B30)</f>
        <v>0</v>
      </c>
      <c r="N30" s="109">
        <f t="shared" si="2"/>
        <v>0</v>
      </c>
      <c r="O30" s="109"/>
      <c r="Q30" s="154"/>
      <c r="R30" s="155" t="s">
        <v>268</v>
      </c>
      <c r="S30" s="156">
        <v>0</v>
      </c>
    </row>
    <row r="31" spans="1:25" ht="17.25" customHeight="1">
      <c r="A31" s="108">
        <v>45474</v>
      </c>
      <c r="B31" s="108">
        <f t="shared" si="0"/>
        <v>45473</v>
      </c>
      <c r="C31" s="109"/>
      <c r="D31" s="109"/>
      <c r="E31" s="109"/>
      <c r="F31" s="109"/>
      <c r="G31" s="109"/>
      <c r="H31" s="109"/>
      <c r="I31" s="109">
        <f t="shared" ref="I31:J31" si="45">SUM(C31,E31,G31)</f>
        <v>0</v>
      </c>
      <c r="J31" s="109">
        <f t="shared" si="45"/>
        <v>0</v>
      </c>
      <c r="K31" s="109">
        <f>SUMIFS(Ações!$J$66,Ações!$N$66,Patrimônio!B31,Ações!$E$66,"Provento")</f>
        <v>0</v>
      </c>
      <c r="L31" s="109">
        <f>SUMIFS(BDRs!$J$66,BDRs!$E$66,"Provento",BDRs!$N$66,Patrimônio!B31)</f>
        <v>0</v>
      </c>
      <c r="M31" s="109">
        <f>SUMIFS(FIIs!$J$66,FIIs!$E$66,"Provento",FIIs!$N$66,Patrimônio!B31)</f>
        <v>0</v>
      </c>
      <c r="N31" s="109">
        <f t="shared" si="2"/>
        <v>0</v>
      </c>
      <c r="O31" s="109"/>
      <c r="Q31" s="154"/>
      <c r="R31" s="155" t="s">
        <v>269</v>
      </c>
      <c r="S31" s="156">
        <v>0</v>
      </c>
    </row>
    <row r="32" spans="1:25" ht="17.25" customHeight="1">
      <c r="A32" s="108">
        <v>45505</v>
      </c>
      <c r="B32" s="108">
        <f t="shared" si="0"/>
        <v>45504</v>
      </c>
      <c r="C32" s="109"/>
      <c r="D32" s="109"/>
      <c r="E32" s="109"/>
      <c r="F32" s="109"/>
      <c r="G32" s="109"/>
      <c r="H32" s="109"/>
      <c r="I32" s="109">
        <f t="shared" ref="I32:J32" si="46">SUM(C32,E32,G32)</f>
        <v>0</v>
      </c>
      <c r="J32" s="109">
        <f t="shared" si="46"/>
        <v>0</v>
      </c>
      <c r="K32" s="109">
        <f>SUMIFS(Ações!$J$66,Ações!$N$66,Patrimônio!B32,Ações!$E$66,"Provento")</f>
        <v>0</v>
      </c>
      <c r="L32" s="109">
        <f>SUMIFS(BDRs!$J$66,BDRs!$E$66,"Provento",BDRs!$N$66,Patrimônio!B32)</f>
        <v>0</v>
      </c>
      <c r="M32" s="109">
        <f>SUMIFS(FIIs!$J$66,FIIs!$E$66,"Provento",FIIs!$N$66,Patrimônio!B32)</f>
        <v>0</v>
      </c>
      <c r="N32" s="109">
        <f t="shared" si="2"/>
        <v>0</v>
      </c>
      <c r="O32" s="109"/>
      <c r="Q32" s="154"/>
      <c r="R32" s="155" t="s">
        <v>270</v>
      </c>
      <c r="S32" s="156">
        <v>0</v>
      </c>
    </row>
    <row r="33" spans="1:19" ht="17.25" customHeight="1">
      <c r="A33" s="108">
        <v>45536</v>
      </c>
      <c r="B33" s="108">
        <f t="shared" si="0"/>
        <v>45535</v>
      </c>
      <c r="C33" s="109"/>
      <c r="D33" s="109"/>
      <c r="E33" s="109"/>
      <c r="F33" s="109"/>
      <c r="G33" s="109"/>
      <c r="H33" s="109"/>
      <c r="I33" s="109">
        <f t="shared" ref="I33:J33" si="47">SUM(C33,E33,G33)</f>
        <v>0</v>
      </c>
      <c r="J33" s="109">
        <f t="shared" si="47"/>
        <v>0</v>
      </c>
      <c r="K33" s="109">
        <f>SUMIFS(Ações!$J$66,Ações!$N$66,Patrimônio!B33,Ações!$E$66,"Provento")</f>
        <v>0</v>
      </c>
      <c r="L33" s="109">
        <f>SUMIFS(BDRs!$J$66,BDRs!$E$66,"Provento",BDRs!$N$66,Patrimônio!B33)</f>
        <v>0</v>
      </c>
      <c r="M33" s="109">
        <f>SUMIFS(FIIs!$J$66,FIIs!$E$66,"Provento",FIIs!$N$66,Patrimônio!B33)</f>
        <v>0</v>
      </c>
      <c r="N33" s="109">
        <f t="shared" si="2"/>
        <v>0</v>
      </c>
      <c r="O33" s="109"/>
      <c r="Q33" s="154"/>
      <c r="R33" s="155" t="s">
        <v>271</v>
      </c>
      <c r="S33" s="156">
        <v>0</v>
      </c>
    </row>
    <row r="34" spans="1:19" ht="17.25" customHeight="1">
      <c r="A34" s="108">
        <v>45566</v>
      </c>
      <c r="B34" s="108">
        <f t="shared" si="0"/>
        <v>45565</v>
      </c>
      <c r="C34" s="109"/>
      <c r="D34" s="109"/>
      <c r="E34" s="109"/>
      <c r="F34" s="109"/>
      <c r="G34" s="109"/>
      <c r="H34" s="109"/>
      <c r="I34" s="109">
        <f t="shared" ref="I34:J34" si="48">SUM(C34,E34,G34)</f>
        <v>0</v>
      </c>
      <c r="J34" s="109">
        <f t="shared" si="48"/>
        <v>0</v>
      </c>
      <c r="K34" s="109">
        <f>SUMIFS(Ações!$J$66,Ações!$N$66,Patrimônio!B34,Ações!$E$66,"Provento")</f>
        <v>0</v>
      </c>
      <c r="L34" s="109">
        <f>SUMIFS(BDRs!$J$66,BDRs!$E$66,"Provento",BDRs!$N$66,Patrimônio!B34)</f>
        <v>0</v>
      </c>
      <c r="M34" s="109">
        <f>SUMIFS(FIIs!$J$66,FIIs!$E$66,"Provento",FIIs!$N$66,Patrimônio!B34)</f>
        <v>0</v>
      </c>
      <c r="N34" s="109">
        <f t="shared" si="2"/>
        <v>0</v>
      </c>
      <c r="O34" s="109"/>
      <c r="Q34" s="154"/>
      <c r="R34" s="155" t="s">
        <v>272</v>
      </c>
      <c r="S34" s="156">
        <v>0</v>
      </c>
    </row>
    <row r="35" spans="1:19" ht="17.25" customHeight="1">
      <c r="A35" s="108">
        <v>45597</v>
      </c>
      <c r="B35" s="108">
        <f t="shared" si="0"/>
        <v>45596</v>
      </c>
      <c r="C35" s="109"/>
      <c r="D35" s="109"/>
      <c r="E35" s="109"/>
      <c r="F35" s="109"/>
      <c r="G35" s="109"/>
      <c r="H35" s="109"/>
      <c r="I35" s="109">
        <f t="shared" ref="I35:J35" si="49">SUM(C35,E35,G35)</f>
        <v>0</v>
      </c>
      <c r="J35" s="109">
        <f t="shared" si="49"/>
        <v>0</v>
      </c>
      <c r="K35" s="109">
        <f>SUMIFS(Ações!$J$66,Ações!$N$66,Patrimônio!B35,Ações!$E$66,"Provento")</f>
        <v>0</v>
      </c>
      <c r="L35" s="109">
        <f>SUMIFS(BDRs!$J$66,BDRs!$E$66,"Provento",BDRs!$N$66,Patrimônio!B35)</f>
        <v>0</v>
      </c>
      <c r="M35" s="109">
        <f>SUMIFS(FIIs!$J$66,FIIs!$E$66,"Provento",FIIs!$N$66,Patrimônio!B35)</f>
        <v>0</v>
      </c>
      <c r="N35" s="109">
        <f t="shared" si="2"/>
        <v>0</v>
      </c>
      <c r="O35" s="109"/>
      <c r="Q35" s="151" t="s">
        <v>92</v>
      </c>
      <c r="R35" s="157"/>
      <c r="S35" s="153">
        <v>0</v>
      </c>
    </row>
    <row r="36" spans="1:19" ht="17.25" customHeight="1">
      <c r="A36" s="108">
        <v>45627</v>
      </c>
      <c r="B36" s="108">
        <f t="shared" si="0"/>
        <v>45626</v>
      </c>
      <c r="C36" s="109"/>
      <c r="D36" s="109"/>
      <c r="E36" s="109"/>
      <c r="F36" s="109"/>
      <c r="G36" s="109"/>
      <c r="H36" s="109"/>
      <c r="I36" s="109">
        <f t="shared" ref="I36:J36" si="50">SUM(C36,E36,G36)</f>
        <v>0</v>
      </c>
      <c r="J36" s="109">
        <f t="shared" si="50"/>
        <v>0</v>
      </c>
      <c r="K36" s="109">
        <f>SUMIFS(Ações!$J$66,Ações!$N$66,Patrimônio!B36,Ações!$E$66,"Provento")</f>
        <v>0</v>
      </c>
      <c r="L36" s="109">
        <f>SUMIFS(BDRs!$J$66,BDRs!$E$66,"Provento",BDRs!$N$66,Patrimônio!B36)</f>
        <v>0</v>
      </c>
      <c r="M36" s="109">
        <f>SUMIFS(FIIs!$J$66,FIIs!$E$66,"Provento",FIIs!$N$66,Patrimônio!B36)</f>
        <v>0</v>
      </c>
      <c r="N36" s="109">
        <f t="shared" si="2"/>
        <v>0</v>
      </c>
      <c r="O36" s="109"/>
      <c r="Q36" s="151" t="s">
        <v>93</v>
      </c>
      <c r="R36" s="152" t="s">
        <v>261</v>
      </c>
      <c r="S36" s="153">
        <v>0</v>
      </c>
    </row>
    <row r="37" spans="1:19" ht="17.25" customHeight="1">
      <c r="A37" s="108">
        <v>45658</v>
      </c>
      <c r="B37" s="108">
        <f t="shared" si="0"/>
        <v>45657</v>
      </c>
      <c r="C37" s="109"/>
      <c r="D37" s="109"/>
      <c r="E37" s="109"/>
      <c r="F37" s="109"/>
      <c r="G37" s="109"/>
      <c r="H37" s="109"/>
      <c r="I37" s="109">
        <f t="shared" ref="I37:J37" si="51">SUM(C37,E37,G37)</f>
        <v>0</v>
      </c>
      <c r="J37" s="109">
        <f t="shared" si="51"/>
        <v>0</v>
      </c>
      <c r="K37" s="109">
        <f>SUMIFS(Ações!$J$66,Ações!$N$66,Patrimônio!B37,Ações!$E$66,"Provento")</f>
        <v>0</v>
      </c>
      <c r="L37" s="109">
        <f>SUMIFS(BDRs!$J$66,BDRs!$E$66,"Provento",BDRs!$N$66,Patrimônio!B37)</f>
        <v>0</v>
      </c>
      <c r="M37" s="109">
        <f>SUMIFS(FIIs!$J$66,FIIs!$E$66,"Provento",FIIs!$N$66,Patrimônio!B37)</f>
        <v>0</v>
      </c>
      <c r="N37" s="109">
        <f t="shared" si="2"/>
        <v>0</v>
      </c>
      <c r="O37" s="109"/>
      <c r="Q37" s="154"/>
      <c r="R37" s="155" t="s">
        <v>262</v>
      </c>
      <c r="S37" s="156">
        <v>0</v>
      </c>
    </row>
    <row r="38" spans="1:19" ht="17.25" customHeight="1">
      <c r="A38" s="108">
        <v>45689</v>
      </c>
      <c r="B38" s="108">
        <f t="shared" si="0"/>
        <v>45688</v>
      </c>
      <c r="C38" s="109"/>
      <c r="D38" s="109"/>
      <c r="E38" s="109"/>
      <c r="F38" s="109"/>
      <c r="G38" s="109"/>
      <c r="H38" s="109"/>
      <c r="I38" s="109">
        <f t="shared" ref="I38:J38" si="52">SUM(C38,E38,G38)</f>
        <v>0</v>
      </c>
      <c r="J38" s="109">
        <f t="shared" si="52"/>
        <v>0</v>
      </c>
      <c r="K38" s="109">
        <f>SUMIFS(Ações!$J$66,Ações!$N$66,Patrimônio!B38,Ações!$E$66,"Provento")</f>
        <v>0</v>
      </c>
      <c r="L38" s="109">
        <f>SUMIFS(BDRs!$J$66,BDRs!$E$66,"Provento",BDRs!$N$66,Patrimônio!B38)</f>
        <v>0</v>
      </c>
      <c r="M38" s="109">
        <f>SUMIFS(FIIs!$J$66,FIIs!$E$66,"Provento",FIIs!$N$66,Patrimônio!B38)</f>
        <v>0</v>
      </c>
      <c r="N38" s="109">
        <f t="shared" si="2"/>
        <v>0</v>
      </c>
      <c r="O38" s="109"/>
      <c r="Q38" s="154"/>
      <c r="R38" s="155" t="s">
        <v>263</v>
      </c>
      <c r="S38" s="156">
        <v>0</v>
      </c>
    </row>
    <row r="39" spans="1:19" ht="17.25" customHeight="1">
      <c r="A39" s="108">
        <v>45717</v>
      </c>
      <c r="B39" s="108">
        <f t="shared" si="0"/>
        <v>45716</v>
      </c>
      <c r="C39" s="109"/>
      <c r="D39" s="109"/>
      <c r="E39" s="109"/>
      <c r="F39" s="109"/>
      <c r="G39" s="109"/>
      <c r="H39" s="109"/>
      <c r="I39" s="109">
        <f t="shared" ref="I39:J39" si="53">SUM(C39,E39,G39)</f>
        <v>0</v>
      </c>
      <c r="J39" s="109">
        <f t="shared" si="53"/>
        <v>0</v>
      </c>
      <c r="K39" s="109">
        <f>SUMIFS(Ações!$J$66,Ações!$N$66,Patrimônio!B39,Ações!$E$66,"Provento")</f>
        <v>0</v>
      </c>
      <c r="L39" s="109">
        <f>SUMIFS(BDRs!$J$66,BDRs!$E$66,"Provento",BDRs!$N$66,Patrimônio!B39)</f>
        <v>0</v>
      </c>
      <c r="M39" s="109">
        <f>SUMIFS(FIIs!$J$66,FIIs!$E$66,"Provento",FIIs!$N$66,Patrimônio!B39)</f>
        <v>0</v>
      </c>
      <c r="N39" s="109">
        <f t="shared" si="2"/>
        <v>0</v>
      </c>
      <c r="O39" s="109"/>
      <c r="Q39" s="154"/>
      <c r="R39" s="155" t="s">
        <v>264</v>
      </c>
      <c r="S39" s="156">
        <v>0</v>
      </c>
    </row>
    <row r="40" spans="1:19" ht="17.25" customHeight="1">
      <c r="A40" s="108">
        <v>45748</v>
      </c>
      <c r="B40" s="108">
        <f t="shared" si="0"/>
        <v>45747</v>
      </c>
      <c r="C40" s="109"/>
      <c r="D40" s="109"/>
      <c r="E40" s="109"/>
      <c r="F40" s="109"/>
      <c r="G40" s="109"/>
      <c r="H40" s="109"/>
      <c r="I40" s="109">
        <f t="shared" ref="I40:J40" si="54">SUM(C40,E40,G40)</f>
        <v>0</v>
      </c>
      <c r="J40" s="109">
        <f t="shared" si="54"/>
        <v>0</v>
      </c>
      <c r="K40" s="109">
        <f>SUMIFS(Ações!$J$66,Ações!$N$66,Patrimônio!B40,Ações!$E$66,"Provento")</f>
        <v>0</v>
      </c>
      <c r="L40" s="109">
        <f>SUMIFS(BDRs!$J$66,BDRs!$E$66,"Provento",BDRs!$N$66,Patrimônio!B40)</f>
        <v>0</v>
      </c>
      <c r="M40" s="109">
        <f>SUMIFS(FIIs!$J$66,FIIs!$E$66,"Provento",FIIs!$N$66,Patrimônio!B40)</f>
        <v>0</v>
      </c>
      <c r="N40" s="109">
        <f t="shared" si="2"/>
        <v>0</v>
      </c>
      <c r="O40" s="109"/>
      <c r="Q40" s="154"/>
      <c r="R40" s="155" t="s">
        <v>265</v>
      </c>
      <c r="S40" s="156">
        <v>0</v>
      </c>
    </row>
    <row r="41" spans="1:19" ht="17.25" customHeight="1">
      <c r="A41" s="108">
        <v>45778</v>
      </c>
      <c r="B41" s="108">
        <f t="shared" si="0"/>
        <v>45777</v>
      </c>
      <c r="C41" s="109"/>
      <c r="D41" s="109"/>
      <c r="E41" s="109"/>
      <c r="F41" s="109"/>
      <c r="G41" s="109"/>
      <c r="H41" s="109"/>
      <c r="I41" s="109">
        <f t="shared" ref="I41:J41" si="55">SUM(C41,E41,G41)</f>
        <v>0</v>
      </c>
      <c r="J41" s="109">
        <f t="shared" si="55"/>
        <v>0</v>
      </c>
      <c r="K41" s="109">
        <f>SUMIFS(Ações!$J$66,Ações!$N$66,Patrimônio!B41,Ações!$E$66,"Provento")</f>
        <v>0</v>
      </c>
      <c r="L41" s="109">
        <f>SUMIFS(BDRs!$J$66,BDRs!$E$66,"Provento",BDRs!$N$66,Patrimônio!B41)</f>
        <v>0</v>
      </c>
      <c r="M41" s="109">
        <f>SUMIFS(FIIs!$J$66,FIIs!$E$66,"Provento",FIIs!$N$66,Patrimônio!B41)</f>
        <v>0</v>
      </c>
      <c r="N41" s="109">
        <f t="shared" si="2"/>
        <v>0</v>
      </c>
      <c r="O41" s="109"/>
      <c r="Q41" s="154"/>
      <c r="R41" s="155" t="s">
        <v>266</v>
      </c>
      <c r="S41" s="156">
        <v>0</v>
      </c>
    </row>
    <row r="42" spans="1:19" ht="17.25" customHeight="1">
      <c r="A42" s="108">
        <v>45809</v>
      </c>
      <c r="B42" s="108">
        <f t="shared" si="0"/>
        <v>45808</v>
      </c>
      <c r="C42" s="109"/>
      <c r="D42" s="109"/>
      <c r="E42" s="109"/>
      <c r="F42" s="109"/>
      <c r="G42" s="109"/>
      <c r="H42" s="109"/>
      <c r="I42" s="109">
        <f t="shared" ref="I42:J42" si="56">SUM(C42,E42,G42)</f>
        <v>0</v>
      </c>
      <c r="J42" s="109">
        <f t="shared" si="56"/>
        <v>0</v>
      </c>
      <c r="K42" s="109">
        <f>SUMIFS(Ações!$J$66,Ações!$N$66,Patrimônio!B42,Ações!$E$66,"Provento")</f>
        <v>0</v>
      </c>
      <c r="L42" s="109">
        <f>SUMIFS(BDRs!$J$66,BDRs!$E$66,"Provento",BDRs!$N$66,Patrimônio!B42)</f>
        <v>0</v>
      </c>
      <c r="M42" s="109">
        <f>SUMIFS(FIIs!$J$66,FIIs!$E$66,"Provento",FIIs!$N$66,Patrimônio!B42)</f>
        <v>0</v>
      </c>
      <c r="N42" s="109">
        <f t="shared" si="2"/>
        <v>0</v>
      </c>
      <c r="O42" s="109"/>
      <c r="Q42" s="154"/>
      <c r="R42" s="155" t="s">
        <v>267</v>
      </c>
      <c r="S42" s="156">
        <v>0</v>
      </c>
    </row>
    <row r="43" spans="1:19" ht="17.25" customHeight="1">
      <c r="A43" s="108">
        <v>45839</v>
      </c>
      <c r="B43" s="108">
        <f t="shared" si="0"/>
        <v>45838</v>
      </c>
      <c r="C43" s="109"/>
      <c r="D43" s="109"/>
      <c r="E43" s="109"/>
      <c r="F43" s="109"/>
      <c r="G43" s="109"/>
      <c r="H43" s="109"/>
      <c r="I43" s="109">
        <f t="shared" ref="I43:J43" si="57">SUM(C43,E43,G43)</f>
        <v>0</v>
      </c>
      <c r="J43" s="109">
        <f t="shared" si="57"/>
        <v>0</v>
      </c>
      <c r="K43" s="109">
        <f>SUMIFS(Ações!$J$66,Ações!$N$66,Patrimônio!B43,Ações!$E$66,"Provento")</f>
        <v>0</v>
      </c>
      <c r="L43" s="109">
        <f>SUMIFS(BDRs!$J$66,BDRs!$E$66,"Provento",BDRs!$N$66,Patrimônio!B43)</f>
        <v>0</v>
      </c>
      <c r="M43" s="109">
        <f>SUMIFS(FIIs!$J$66,FIIs!$E$66,"Provento",FIIs!$N$66,Patrimônio!B43)</f>
        <v>0</v>
      </c>
      <c r="N43" s="109">
        <f t="shared" si="2"/>
        <v>0</v>
      </c>
      <c r="O43" s="109"/>
      <c r="Q43" s="154"/>
      <c r="R43" s="155" t="s">
        <v>268</v>
      </c>
      <c r="S43" s="156">
        <v>0</v>
      </c>
    </row>
    <row r="44" spans="1:19" ht="17.25" customHeight="1">
      <c r="A44" s="108">
        <v>45870</v>
      </c>
      <c r="B44" s="108">
        <f t="shared" si="0"/>
        <v>45869</v>
      </c>
      <c r="C44" s="109"/>
      <c r="D44" s="109"/>
      <c r="E44" s="109"/>
      <c r="F44" s="109"/>
      <c r="G44" s="109"/>
      <c r="H44" s="109"/>
      <c r="I44" s="109">
        <f t="shared" ref="I44:J44" si="58">SUM(C44,E44,G44)</f>
        <v>0</v>
      </c>
      <c r="J44" s="109">
        <f t="shared" si="58"/>
        <v>0</v>
      </c>
      <c r="K44" s="109">
        <f>SUMIFS(Ações!$J$66,Ações!$N$66,Patrimônio!B44,Ações!$E$66,"Provento")</f>
        <v>0</v>
      </c>
      <c r="L44" s="109">
        <f>SUMIFS(BDRs!$J$66,BDRs!$E$66,"Provento",BDRs!$N$66,Patrimônio!B44)</f>
        <v>0</v>
      </c>
      <c r="M44" s="109">
        <f>SUMIFS(FIIs!$J$66,FIIs!$E$66,"Provento",FIIs!$N$66,Patrimônio!B44)</f>
        <v>0</v>
      </c>
      <c r="N44" s="109">
        <f t="shared" si="2"/>
        <v>0</v>
      </c>
      <c r="O44" s="109"/>
      <c r="Q44" s="154"/>
      <c r="R44" s="155" t="s">
        <v>269</v>
      </c>
      <c r="S44" s="156">
        <v>0</v>
      </c>
    </row>
    <row r="45" spans="1:19" ht="17.25" customHeight="1">
      <c r="A45" s="108">
        <v>45901</v>
      </c>
      <c r="B45" s="108">
        <f t="shared" si="0"/>
        <v>45900</v>
      </c>
      <c r="C45" s="109"/>
      <c r="D45" s="109"/>
      <c r="E45" s="109"/>
      <c r="F45" s="109"/>
      <c r="G45" s="109"/>
      <c r="H45" s="109"/>
      <c r="I45" s="109">
        <f t="shared" ref="I45:J45" si="59">SUM(C45,E45,G45)</f>
        <v>0</v>
      </c>
      <c r="J45" s="109">
        <f t="shared" si="59"/>
        <v>0</v>
      </c>
      <c r="K45" s="109">
        <f>SUMIFS(Ações!$J$66,Ações!$N$66,Patrimônio!B45,Ações!$E$66,"Provento")</f>
        <v>0</v>
      </c>
      <c r="L45" s="109">
        <f>SUMIFS(BDRs!$J$66,BDRs!$E$66,"Provento",BDRs!$N$66,Patrimônio!B45)</f>
        <v>0</v>
      </c>
      <c r="M45" s="109">
        <f>SUMIFS(FIIs!$J$66,FIIs!$E$66,"Provento",FIIs!$N$66,Patrimônio!B45)</f>
        <v>0</v>
      </c>
      <c r="N45" s="109">
        <f t="shared" si="2"/>
        <v>0</v>
      </c>
      <c r="O45" s="109"/>
      <c r="Q45" s="154"/>
      <c r="R45" s="155" t="s">
        <v>270</v>
      </c>
      <c r="S45" s="156">
        <v>0</v>
      </c>
    </row>
    <row r="46" spans="1:19" ht="17.25" customHeight="1">
      <c r="A46" s="108">
        <v>45931</v>
      </c>
      <c r="B46" s="108">
        <f t="shared" si="0"/>
        <v>45930</v>
      </c>
      <c r="C46" s="109"/>
      <c r="D46" s="109"/>
      <c r="E46" s="109"/>
      <c r="F46" s="109"/>
      <c r="G46" s="109"/>
      <c r="H46" s="109"/>
      <c r="I46" s="109">
        <f t="shared" ref="I46:J46" si="60">SUM(C46,E46,G46)</f>
        <v>0</v>
      </c>
      <c r="J46" s="109">
        <f t="shared" si="60"/>
        <v>0</v>
      </c>
      <c r="K46" s="109">
        <f>SUMIFS(Ações!$J$66,Ações!$N$66,Patrimônio!B46,Ações!$E$66,"Provento")</f>
        <v>0</v>
      </c>
      <c r="L46" s="109">
        <f>SUMIFS(BDRs!$J$66,BDRs!$E$66,"Provento",BDRs!$N$66,Patrimônio!B46)</f>
        <v>0</v>
      </c>
      <c r="M46" s="109">
        <f>SUMIFS(FIIs!$J$66,FIIs!$E$66,"Provento",FIIs!$N$66,Patrimônio!B46)</f>
        <v>0</v>
      </c>
      <c r="N46" s="109">
        <f t="shared" si="2"/>
        <v>0</v>
      </c>
      <c r="O46" s="109"/>
      <c r="Q46" s="154"/>
      <c r="R46" s="155" t="s">
        <v>271</v>
      </c>
      <c r="S46" s="156">
        <v>0</v>
      </c>
    </row>
    <row r="47" spans="1:19" ht="17.25" customHeight="1">
      <c r="A47" s="108">
        <v>45962</v>
      </c>
      <c r="B47" s="108">
        <f t="shared" si="0"/>
        <v>45961</v>
      </c>
      <c r="C47" s="109"/>
      <c r="D47" s="109"/>
      <c r="E47" s="109"/>
      <c r="F47" s="109"/>
      <c r="G47" s="109"/>
      <c r="H47" s="109"/>
      <c r="I47" s="109">
        <f t="shared" ref="I47:J47" si="61">SUM(C47,E47,G47)</f>
        <v>0</v>
      </c>
      <c r="J47" s="109">
        <f t="shared" si="61"/>
        <v>0</v>
      </c>
      <c r="K47" s="109">
        <f>SUMIFS(Ações!$J$66,Ações!$N$66,Patrimônio!B47,Ações!$E$66,"Provento")</f>
        <v>0</v>
      </c>
      <c r="L47" s="109">
        <f>SUMIFS(BDRs!$J$66,BDRs!$E$66,"Provento",BDRs!$N$66,Patrimônio!B47)</f>
        <v>0</v>
      </c>
      <c r="M47" s="109">
        <f>SUMIFS(FIIs!$J$66,FIIs!$E$66,"Provento",FIIs!$N$66,Patrimônio!B47)</f>
        <v>0</v>
      </c>
      <c r="N47" s="109">
        <f t="shared" si="2"/>
        <v>0</v>
      </c>
      <c r="O47" s="109"/>
      <c r="Q47" s="154"/>
      <c r="R47" s="155" t="s">
        <v>272</v>
      </c>
      <c r="S47" s="156">
        <v>0</v>
      </c>
    </row>
    <row r="48" spans="1:19" ht="17.25" customHeight="1">
      <c r="A48" s="108">
        <v>45992</v>
      </c>
      <c r="B48" s="108">
        <f t="shared" si="0"/>
        <v>45991</v>
      </c>
      <c r="C48" s="109"/>
      <c r="D48" s="109"/>
      <c r="E48" s="109"/>
      <c r="F48" s="109"/>
      <c r="G48" s="109"/>
      <c r="H48" s="109"/>
      <c r="I48" s="109">
        <f t="shared" ref="I48:J48" si="62">SUM(C48,E48,G48)</f>
        <v>0</v>
      </c>
      <c r="J48" s="109">
        <f t="shared" si="62"/>
        <v>0</v>
      </c>
      <c r="K48" s="109">
        <f>SUMIFS(Ações!$J$66,Ações!$N$66,Patrimônio!B48,Ações!$E$66,"Provento")</f>
        <v>0</v>
      </c>
      <c r="L48" s="109">
        <f>SUMIFS(BDRs!$J$66,BDRs!$E$66,"Provento",BDRs!$N$66,Patrimônio!B48)</f>
        <v>0</v>
      </c>
      <c r="M48" s="109">
        <f>SUMIFS(FIIs!$J$66,FIIs!$E$66,"Provento",FIIs!$N$66,Patrimônio!B48)</f>
        <v>0</v>
      </c>
      <c r="N48" s="109">
        <f t="shared" si="2"/>
        <v>0</v>
      </c>
      <c r="O48" s="109"/>
      <c r="Q48" s="151" t="s">
        <v>94</v>
      </c>
      <c r="R48" s="157"/>
      <c r="S48" s="153">
        <v>0</v>
      </c>
    </row>
    <row r="49" spans="1:19" ht="17.25" customHeight="1">
      <c r="A49" s="108">
        <v>46023</v>
      </c>
      <c r="B49" s="108">
        <f t="shared" si="0"/>
        <v>46022</v>
      </c>
      <c r="C49" s="109"/>
      <c r="D49" s="109"/>
      <c r="E49" s="109"/>
      <c r="F49" s="109"/>
      <c r="G49" s="109"/>
      <c r="H49" s="109"/>
      <c r="I49" s="109">
        <f t="shared" ref="I49:J49" si="63">SUM(C49,E49,G49)</f>
        <v>0</v>
      </c>
      <c r="J49" s="109">
        <f t="shared" si="63"/>
        <v>0</v>
      </c>
      <c r="K49" s="109">
        <f>SUMIFS(Ações!$J$66,Ações!$N$66,Patrimônio!B49,Ações!$E$66,"Provento")</f>
        <v>0</v>
      </c>
      <c r="L49" s="109">
        <f>SUMIFS(BDRs!$J$66,BDRs!$E$66,"Provento",BDRs!$N$66,Patrimônio!B49)</f>
        <v>0</v>
      </c>
      <c r="M49" s="109">
        <f>SUMIFS(FIIs!$J$66,FIIs!$E$66,"Provento",FIIs!$N$66,Patrimônio!B49)</f>
        <v>0</v>
      </c>
      <c r="N49" s="109">
        <f t="shared" si="2"/>
        <v>0</v>
      </c>
      <c r="O49" s="109"/>
      <c r="Q49" s="151" t="s">
        <v>95</v>
      </c>
      <c r="R49" s="152" t="s">
        <v>261</v>
      </c>
      <c r="S49" s="153">
        <v>0</v>
      </c>
    </row>
    <row r="50" spans="1:19" ht="17.25" customHeight="1">
      <c r="A50" s="108">
        <v>46054</v>
      </c>
      <c r="B50" s="108">
        <f t="shared" si="0"/>
        <v>46053</v>
      </c>
      <c r="C50" s="109"/>
      <c r="D50" s="109"/>
      <c r="E50" s="109"/>
      <c r="F50" s="109"/>
      <c r="G50" s="109"/>
      <c r="H50" s="109"/>
      <c r="I50" s="109">
        <f t="shared" ref="I50:J50" si="64">SUM(C50,E50,G50)</f>
        <v>0</v>
      </c>
      <c r="J50" s="109">
        <f t="shared" si="64"/>
        <v>0</v>
      </c>
      <c r="K50" s="109">
        <f>SUMIFS(Ações!$J$66,Ações!$N$66,Patrimônio!B50,Ações!$E$66,"Provento")</f>
        <v>0</v>
      </c>
      <c r="L50" s="109">
        <f>SUMIFS(BDRs!$J$66,BDRs!$E$66,"Provento",BDRs!$N$66,Patrimônio!B50)</f>
        <v>0</v>
      </c>
      <c r="M50" s="109">
        <f>SUMIFS(FIIs!$J$66,FIIs!$E$66,"Provento",FIIs!$N$66,Patrimônio!B50)</f>
        <v>0</v>
      </c>
      <c r="N50" s="109">
        <f t="shared" si="2"/>
        <v>0</v>
      </c>
      <c r="O50" s="109"/>
      <c r="Q50" s="154"/>
      <c r="R50" s="155" t="s">
        <v>262</v>
      </c>
      <c r="S50" s="156">
        <v>0</v>
      </c>
    </row>
    <row r="51" spans="1:19" ht="17.25" customHeight="1">
      <c r="A51" s="108">
        <v>46082</v>
      </c>
      <c r="B51" s="108">
        <f t="shared" si="0"/>
        <v>46081</v>
      </c>
      <c r="C51" s="109"/>
      <c r="D51" s="109"/>
      <c r="E51" s="109"/>
      <c r="F51" s="109"/>
      <c r="G51" s="109"/>
      <c r="H51" s="109"/>
      <c r="I51" s="109">
        <f t="shared" ref="I51:J51" si="65">SUM(C51,E51,G51)</f>
        <v>0</v>
      </c>
      <c r="J51" s="109">
        <f t="shared" si="65"/>
        <v>0</v>
      </c>
      <c r="K51" s="109">
        <f>SUMIFS(Ações!$J$66,Ações!$N$66,Patrimônio!B51,Ações!$E$66,"Provento")</f>
        <v>0</v>
      </c>
      <c r="L51" s="109">
        <f>SUMIFS(BDRs!$J$66,BDRs!$E$66,"Provento",BDRs!$N$66,Patrimônio!B51)</f>
        <v>0</v>
      </c>
      <c r="M51" s="109">
        <f>SUMIFS(FIIs!$J$66,FIIs!$E$66,"Provento",FIIs!$N$66,Patrimônio!B51)</f>
        <v>0</v>
      </c>
      <c r="N51" s="109">
        <f t="shared" si="2"/>
        <v>0</v>
      </c>
      <c r="O51" s="109"/>
      <c r="Q51" s="154"/>
      <c r="R51" s="155" t="s">
        <v>263</v>
      </c>
      <c r="S51" s="156">
        <v>0</v>
      </c>
    </row>
    <row r="52" spans="1:19" ht="17.25" customHeight="1">
      <c r="A52" s="108">
        <v>46113</v>
      </c>
      <c r="B52" s="108">
        <f t="shared" si="0"/>
        <v>46112</v>
      </c>
      <c r="C52" s="109"/>
      <c r="D52" s="109"/>
      <c r="E52" s="109"/>
      <c r="F52" s="109"/>
      <c r="G52" s="109"/>
      <c r="H52" s="109"/>
      <c r="I52" s="109">
        <f t="shared" ref="I52:J52" si="66">SUM(C52,E52,G52)</f>
        <v>0</v>
      </c>
      <c r="J52" s="109">
        <f t="shared" si="66"/>
        <v>0</v>
      </c>
      <c r="K52" s="109">
        <f>SUMIFS(Ações!$J$66,Ações!$N$66,Patrimônio!B52,Ações!$E$66,"Provento")</f>
        <v>0</v>
      </c>
      <c r="L52" s="109">
        <f>SUMIFS(BDRs!$J$66,BDRs!$E$66,"Provento",BDRs!$N$66,Patrimônio!B52)</f>
        <v>0</v>
      </c>
      <c r="M52" s="109">
        <f>SUMIFS(FIIs!$J$66,FIIs!$E$66,"Provento",FIIs!$N$66,Patrimônio!B52)</f>
        <v>0</v>
      </c>
      <c r="N52" s="109">
        <f t="shared" si="2"/>
        <v>0</v>
      </c>
      <c r="O52" s="109"/>
      <c r="Q52" s="154"/>
      <c r="R52" s="155" t="s">
        <v>264</v>
      </c>
      <c r="S52" s="156">
        <v>0</v>
      </c>
    </row>
    <row r="53" spans="1:19" ht="17.25" customHeight="1">
      <c r="A53" s="108">
        <v>46143</v>
      </c>
      <c r="B53" s="108">
        <f t="shared" si="0"/>
        <v>46142</v>
      </c>
      <c r="C53" s="109"/>
      <c r="D53" s="109"/>
      <c r="E53" s="109"/>
      <c r="F53" s="109"/>
      <c r="G53" s="109"/>
      <c r="H53" s="109"/>
      <c r="I53" s="109">
        <f t="shared" ref="I53:J53" si="67">SUM(C53,E53,G53)</f>
        <v>0</v>
      </c>
      <c r="J53" s="109">
        <f t="shared" si="67"/>
        <v>0</v>
      </c>
      <c r="K53" s="109">
        <f>SUMIFS(Ações!$J$66,Ações!$N$66,Patrimônio!B53,Ações!$E$66,"Provento")</f>
        <v>0</v>
      </c>
      <c r="L53" s="109">
        <f>SUMIFS(BDRs!$J$66,BDRs!$E$66,"Provento",BDRs!$N$66,Patrimônio!B53)</f>
        <v>0</v>
      </c>
      <c r="M53" s="109">
        <f>SUMIFS(FIIs!$J$66,FIIs!$E$66,"Provento",FIIs!$N$66,Patrimônio!B53)</f>
        <v>0</v>
      </c>
      <c r="N53" s="109">
        <f t="shared" si="2"/>
        <v>0</v>
      </c>
      <c r="O53" s="109"/>
      <c r="Q53" s="154"/>
      <c r="R53" s="155" t="s">
        <v>265</v>
      </c>
      <c r="S53" s="156">
        <v>0</v>
      </c>
    </row>
    <row r="54" spans="1:19" ht="17.25" customHeight="1">
      <c r="A54" s="108">
        <v>46174</v>
      </c>
      <c r="B54" s="108">
        <f t="shared" si="0"/>
        <v>46173</v>
      </c>
      <c r="C54" s="109"/>
      <c r="D54" s="109"/>
      <c r="E54" s="109"/>
      <c r="F54" s="109"/>
      <c r="G54" s="109"/>
      <c r="H54" s="109"/>
      <c r="I54" s="109">
        <f t="shared" ref="I54:J54" si="68">SUM(C54,E54,G54)</f>
        <v>0</v>
      </c>
      <c r="J54" s="109">
        <f t="shared" si="68"/>
        <v>0</v>
      </c>
      <c r="K54" s="109">
        <f>SUMIFS(Ações!$J$66,Ações!$N$66,Patrimônio!B54,Ações!$E$66,"Provento")</f>
        <v>0</v>
      </c>
      <c r="L54" s="109">
        <f>SUMIFS(BDRs!$J$66,BDRs!$E$66,"Provento",BDRs!$N$66,Patrimônio!B54)</f>
        <v>0</v>
      </c>
      <c r="M54" s="109">
        <f>SUMIFS(FIIs!$J$66,FIIs!$E$66,"Provento",FIIs!$N$66,Patrimônio!B54)</f>
        <v>0</v>
      </c>
      <c r="N54" s="109">
        <f t="shared" si="2"/>
        <v>0</v>
      </c>
      <c r="O54" s="109"/>
      <c r="Q54" s="154"/>
      <c r="R54" s="155" t="s">
        <v>266</v>
      </c>
      <c r="S54" s="156">
        <v>0</v>
      </c>
    </row>
    <row r="55" spans="1:19" ht="17.25" customHeight="1">
      <c r="A55" s="108">
        <v>46204</v>
      </c>
      <c r="B55" s="108">
        <f t="shared" si="0"/>
        <v>46203</v>
      </c>
      <c r="C55" s="109"/>
      <c r="D55" s="109"/>
      <c r="E55" s="109"/>
      <c r="F55" s="109"/>
      <c r="G55" s="109"/>
      <c r="H55" s="109"/>
      <c r="I55" s="109">
        <f t="shared" ref="I55:J55" si="69">SUM(C55,E55,G55)</f>
        <v>0</v>
      </c>
      <c r="J55" s="109">
        <f t="shared" si="69"/>
        <v>0</v>
      </c>
      <c r="K55" s="109">
        <f>SUMIFS(Ações!$J$66,Ações!$N$66,Patrimônio!B55,Ações!$E$66,"Provento")</f>
        <v>0</v>
      </c>
      <c r="L55" s="109">
        <f>SUMIFS(BDRs!$J$66,BDRs!$E$66,"Provento",BDRs!$N$66,Patrimônio!B55)</f>
        <v>0</v>
      </c>
      <c r="M55" s="109">
        <f>SUMIFS(FIIs!$J$66,FIIs!$E$66,"Provento",FIIs!$N$66,Patrimônio!B55)</f>
        <v>0</v>
      </c>
      <c r="N55" s="109">
        <f t="shared" si="2"/>
        <v>0</v>
      </c>
      <c r="O55" s="109"/>
      <c r="Q55" s="154"/>
      <c r="R55" s="155" t="s">
        <v>267</v>
      </c>
      <c r="S55" s="156">
        <v>0</v>
      </c>
    </row>
    <row r="56" spans="1:19" ht="17.25" customHeight="1">
      <c r="A56" s="108">
        <v>46235</v>
      </c>
      <c r="B56" s="108">
        <f t="shared" si="0"/>
        <v>46234</v>
      </c>
      <c r="C56" s="109"/>
      <c r="D56" s="109"/>
      <c r="E56" s="109"/>
      <c r="F56" s="109"/>
      <c r="G56" s="109"/>
      <c r="H56" s="109"/>
      <c r="I56" s="109">
        <f t="shared" ref="I56:J56" si="70">SUM(C56,E56,G56)</f>
        <v>0</v>
      </c>
      <c r="J56" s="109">
        <f t="shared" si="70"/>
        <v>0</v>
      </c>
      <c r="K56" s="109">
        <f>SUMIFS(Ações!$J$66,Ações!$N$66,Patrimônio!B56,Ações!$E$66,"Provento")</f>
        <v>0</v>
      </c>
      <c r="L56" s="109">
        <f>SUMIFS(BDRs!$J$66,BDRs!$E$66,"Provento",BDRs!$N$66,Patrimônio!B56)</f>
        <v>0</v>
      </c>
      <c r="M56" s="109">
        <f>SUMIFS(FIIs!$J$66,FIIs!$E$66,"Provento",FIIs!$N$66,Patrimônio!B56)</f>
        <v>0</v>
      </c>
      <c r="N56" s="109">
        <f t="shared" si="2"/>
        <v>0</v>
      </c>
      <c r="O56" s="109"/>
      <c r="Q56" s="154"/>
      <c r="R56" s="155" t="s">
        <v>268</v>
      </c>
      <c r="S56" s="156">
        <v>0</v>
      </c>
    </row>
    <row r="57" spans="1:19" ht="17.25" customHeight="1">
      <c r="A57" s="108">
        <v>46266</v>
      </c>
      <c r="B57" s="108">
        <f t="shared" si="0"/>
        <v>46265</v>
      </c>
      <c r="C57" s="109"/>
      <c r="D57" s="109"/>
      <c r="E57" s="109"/>
      <c r="F57" s="109"/>
      <c r="G57" s="109"/>
      <c r="H57" s="109"/>
      <c r="I57" s="109">
        <f t="shared" ref="I57:J57" si="71">SUM(C57,E57,G57)</f>
        <v>0</v>
      </c>
      <c r="J57" s="109">
        <f t="shared" si="71"/>
        <v>0</v>
      </c>
      <c r="K57" s="109">
        <f>SUMIFS(Ações!$J$66,Ações!$N$66,Patrimônio!B57,Ações!$E$66,"Provento")</f>
        <v>0</v>
      </c>
      <c r="L57" s="109">
        <f>SUMIFS(BDRs!$J$66,BDRs!$E$66,"Provento",BDRs!$N$66,Patrimônio!B57)</f>
        <v>0</v>
      </c>
      <c r="M57" s="109">
        <f>SUMIFS(FIIs!$J$66,FIIs!$E$66,"Provento",FIIs!$N$66,Patrimônio!B57)</f>
        <v>0</v>
      </c>
      <c r="N57" s="109">
        <f t="shared" si="2"/>
        <v>0</v>
      </c>
      <c r="O57" s="109"/>
      <c r="Q57" s="154"/>
      <c r="R57" s="155" t="s">
        <v>269</v>
      </c>
      <c r="S57" s="156">
        <v>0</v>
      </c>
    </row>
    <row r="58" spans="1:19" ht="17.25" customHeight="1">
      <c r="A58" s="108">
        <v>46296</v>
      </c>
      <c r="B58" s="108">
        <f t="shared" si="0"/>
        <v>46295</v>
      </c>
      <c r="C58" s="109"/>
      <c r="D58" s="109"/>
      <c r="E58" s="109"/>
      <c r="F58" s="109"/>
      <c r="G58" s="109"/>
      <c r="H58" s="109"/>
      <c r="I58" s="109">
        <f t="shared" ref="I58:J58" si="72">SUM(C58,E58,G58)</f>
        <v>0</v>
      </c>
      <c r="J58" s="109">
        <f t="shared" si="72"/>
        <v>0</v>
      </c>
      <c r="K58" s="109">
        <f>SUMIFS(Ações!$J$66,Ações!$N$66,Patrimônio!B58,Ações!$E$66,"Provento")</f>
        <v>0</v>
      </c>
      <c r="L58" s="109">
        <f>SUMIFS(BDRs!$J$66,BDRs!$E$66,"Provento",BDRs!$N$66,Patrimônio!B58)</f>
        <v>0</v>
      </c>
      <c r="M58" s="109">
        <f>SUMIFS(FIIs!$J$66,FIIs!$E$66,"Provento",FIIs!$N$66,Patrimônio!B58)</f>
        <v>0</v>
      </c>
      <c r="N58" s="109">
        <f t="shared" si="2"/>
        <v>0</v>
      </c>
      <c r="O58" s="109"/>
      <c r="Q58" s="154"/>
      <c r="R58" s="155" t="s">
        <v>270</v>
      </c>
      <c r="S58" s="156">
        <v>0</v>
      </c>
    </row>
    <row r="59" spans="1:19" ht="17.25" customHeight="1">
      <c r="A59" s="108">
        <v>46327</v>
      </c>
      <c r="B59" s="108">
        <f t="shared" si="0"/>
        <v>46326</v>
      </c>
      <c r="C59" s="109"/>
      <c r="D59" s="109"/>
      <c r="E59" s="109"/>
      <c r="F59" s="109"/>
      <c r="G59" s="109"/>
      <c r="H59" s="109"/>
      <c r="I59" s="109">
        <f t="shared" ref="I59:J59" si="73">SUM(C59,E59,G59)</f>
        <v>0</v>
      </c>
      <c r="J59" s="109">
        <f t="shared" si="73"/>
        <v>0</v>
      </c>
      <c r="K59" s="109">
        <f>SUMIFS(Ações!$J$66,Ações!$N$66,Patrimônio!B59,Ações!$E$66,"Provento")</f>
        <v>0</v>
      </c>
      <c r="L59" s="109">
        <f>SUMIFS(BDRs!$J$66,BDRs!$E$66,"Provento",BDRs!$N$66,Patrimônio!B59)</f>
        <v>0</v>
      </c>
      <c r="M59" s="109">
        <f>SUMIFS(FIIs!$J$66,FIIs!$E$66,"Provento",FIIs!$N$66,Patrimônio!B59)</f>
        <v>0</v>
      </c>
      <c r="N59" s="109">
        <f t="shared" si="2"/>
        <v>0</v>
      </c>
      <c r="O59" s="109"/>
      <c r="Q59" s="154"/>
      <c r="R59" s="155" t="s">
        <v>271</v>
      </c>
      <c r="S59" s="156">
        <v>0</v>
      </c>
    </row>
    <row r="60" spans="1:19" ht="17.25" customHeight="1">
      <c r="A60" s="108">
        <v>46357</v>
      </c>
      <c r="B60" s="108">
        <f t="shared" si="0"/>
        <v>46356</v>
      </c>
      <c r="C60" s="109"/>
      <c r="D60" s="109"/>
      <c r="E60" s="109"/>
      <c r="F60" s="109"/>
      <c r="G60" s="109"/>
      <c r="H60" s="109"/>
      <c r="I60" s="109">
        <f t="shared" ref="I60:J60" si="74">SUM(C60,E60,G60)</f>
        <v>0</v>
      </c>
      <c r="J60" s="109">
        <f t="shared" si="74"/>
        <v>0</v>
      </c>
      <c r="K60" s="109">
        <f>SUMIFS(Ações!$J$66,Ações!$N$66,Patrimônio!B60,Ações!$E$66,"Provento")</f>
        <v>0</v>
      </c>
      <c r="L60" s="109">
        <f>SUMIFS(BDRs!$J$66,BDRs!$E$66,"Provento",BDRs!$N$66,Patrimônio!B60)</f>
        <v>0</v>
      </c>
      <c r="M60" s="109">
        <f>SUMIFS(FIIs!$J$66,FIIs!$E$66,"Provento",FIIs!$N$66,Patrimônio!B60)</f>
        <v>0</v>
      </c>
      <c r="N60" s="109">
        <f t="shared" si="2"/>
        <v>0</v>
      </c>
      <c r="O60" s="109"/>
      <c r="Q60" s="154"/>
      <c r="R60" s="155" t="s">
        <v>272</v>
      </c>
      <c r="S60" s="156">
        <v>0</v>
      </c>
    </row>
    <row r="61" spans="1:19" ht="17.25" customHeight="1">
      <c r="A61" s="108">
        <v>46388</v>
      </c>
      <c r="B61" s="108">
        <f t="shared" si="0"/>
        <v>46387</v>
      </c>
      <c r="C61" s="109"/>
      <c r="D61" s="109"/>
      <c r="E61" s="109"/>
      <c r="F61" s="109"/>
      <c r="G61" s="109"/>
      <c r="H61" s="109"/>
      <c r="I61" s="109">
        <f t="shared" ref="I61:J61" si="75">SUM(C61,E61,G61)</f>
        <v>0</v>
      </c>
      <c r="J61" s="109">
        <f t="shared" si="75"/>
        <v>0</v>
      </c>
      <c r="K61" s="109">
        <f>SUMIFS(Ações!$J$66,Ações!$N$66,Patrimônio!B61,Ações!$E$66,"Provento")</f>
        <v>0</v>
      </c>
      <c r="L61" s="109">
        <f>SUMIFS(BDRs!$J$66,BDRs!$E$66,"Provento",BDRs!$N$66,Patrimônio!B61)</f>
        <v>0</v>
      </c>
      <c r="M61" s="109">
        <f>SUMIFS(FIIs!$J$66,FIIs!$E$66,"Provento",FIIs!$N$66,Patrimônio!B61)</f>
        <v>0</v>
      </c>
      <c r="N61" s="109">
        <f t="shared" si="2"/>
        <v>0</v>
      </c>
      <c r="O61" s="109"/>
      <c r="Q61" s="151" t="s">
        <v>96</v>
      </c>
      <c r="R61" s="157"/>
      <c r="S61" s="153">
        <v>0</v>
      </c>
    </row>
    <row r="62" spans="1:19" ht="17.25" customHeight="1">
      <c r="A62" s="108">
        <v>46419</v>
      </c>
      <c r="B62" s="108">
        <f t="shared" si="0"/>
        <v>46418</v>
      </c>
      <c r="C62" s="109"/>
      <c r="D62" s="109"/>
      <c r="E62" s="109"/>
      <c r="F62" s="109"/>
      <c r="G62" s="109"/>
      <c r="H62" s="109"/>
      <c r="I62" s="109">
        <f t="shared" ref="I62:J62" si="76">SUM(C62,E62,G62)</f>
        <v>0</v>
      </c>
      <c r="J62" s="109">
        <f t="shared" si="76"/>
        <v>0</v>
      </c>
      <c r="K62" s="109">
        <f>SUMIFS(Ações!$J$66,Ações!$N$66,Patrimônio!B62,Ações!$E$66,"Provento")</f>
        <v>0</v>
      </c>
      <c r="L62" s="109">
        <f>SUMIFS(BDRs!$J$66,BDRs!$E$66,"Provento",BDRs!$N$66,Patrimônio!B62)</f>
        <v>0</v>
      </c>
      <c r="M62" s="109">
        <f>SUMIFS(FIIs!$J$66,FIIs!$E$66,"Provento",FIIs!$N$66,Patrimônio!B62)</f>
        <v>0</v>
      </c>
      <c r="N62" s="109">
        <f t="shared" si="2"/>
        <v>0</v>
      </c>
      <c r="O62" s="109"/>
      <c r="Q62" s="151" t="s">
        <v>97</v>
      </c>
      <c r="R62" s="152" t="s">
        <v>261</v>
      </c>
      <c r="S62" s="153">
        <v>0</v>
      </c>
    </row>
    <row r="63" spans="1:19" ht="17.25" customHeight="1">
      <c r="A63" s="108">
        <v>46447</v>
      </c>
      <c r="B63" s="108">
        <f t="shared" si="0"/>
        <v>46446</v>
      </c>
      <c r="C63" s="109"/>
      <c r="D63" s="109"/>
      <c r="E63" s="109"/>
      <c r="F63" s="109"/>
      <c r="G63" s="109"/>
      <c r="H63" s="109"/>
      <c r="I63" s="109">
        <f t="shared" ref="I63:J63" si="77">SUM(C63,E63,G63)</f>
        <v>0</v>
      </c>
      <c r="J63" s="109">
        <f t="shared" si="77"/>
        <v>0</v>
      </c>
      <c r="K63" s="109">
        <f>SUMIFS(Ações!$J$66,Ações!$N$66,Patrimônio!B63,Ações!$E$66,"Provento")</f>
        <v>0</v>
      </c>
      <c r="L63" s="109">
        <f>SUMIFS(BDRs!$J$66,BDRs!$E$66,"Provento",BDRs!$N$66,Patrimônio!B63)</f>
        <v>0</v>
      </c>
      <c r="M63" s="109">
        <f>SUMIFS(FIIs!$J$66,FIIs!$E$66,"Provento",FIIs!$N$66,Patrimônio!B63)</f>
        <v>0</v>
      </c>
      <c r="N63" s="109">
        <f t="shared" si="2"/>
        <v>0</v>
      </c>
      <c r="O63" s="109"/>
      <c r="Q63" s="154"/>
      <c r="R63" s="155" t="s">
        <v>262</v>
      </c>
      <c r="S63" s="156">
        <v>0</v>
      </c>
    </row>
    <row r="64" spans="1:19" ht="17.25" customHeight="1">
      <c r="A64" s="108">
        <v>46478</v>
      </c>
      <c r="B64" s="108">
        <f t="shared" si="0"/>
        <v>46477</v>
      </c>
      <c r="C64" s="109"/>
      <c r="D64" s="109"/>
      <c r="E64" s="109"/>
      <c r="F64" s="109"/>
      <c r="G64" s="109"/>
      <c r="H64" s="109"/>
      <c r="I64" s="109">
        <f t="shared" ref="I64:J64" si="78">SUM(C64,E64,G64)</f>
        <v>0</v>
      </c>
      <c r="J64" s="109">
        <f t="shared" si="78"/>
        <v>0</v>
      </c>
      <c r="K64" s="109">
        <f>SUMIFS(Ações!$J$66,Ações!$N$66,Patrimônio!B64,Ações!$E$66,"Provento")</f>
        <v>0</v>
      </c>
      <c r="L64" s="109">
        <f>SUMIFS(BDRs!$J$66,BDRs!$E$66,"Provento",BDRs!$N$66,Patrimônio!B64)</f>
        <v>0</v>
      </c>
      <c r="M64" s="109">
        <f>SUMIFS(FIIs!$J$66,FIIs!$E$66,"Provento",FIIs!$N$66,Patrimônio!B64)</f>
        <v>0</v>
      </c>
      <c r="N64" s="109">
        <f t="shared" si="2"/>
        <v>0</v>
      </c>
      <c r="O64" s="109"/>
      <c r="Q64" s="154"/>
      <c r="R64" s="155" t="s">
        <v>263</v>
      </c>
      <c r="S64" s="156">
        <v>0</v>
      </c>
    </row>
    <row r="65" spans="1:19" ht="17.25" customHeight="1">
      <c r="A65" s="108">
        <v>46508</v>
      </c>
      <c r="B65" s="108">
        <f t="shared" si="0"/>
        <v>46507</v>
      </c>
      <c r="C65" s="109"/>
      <c r="D65" s="109"/>
      <c r="E65" s="109"/>
      <c r="F65" s="109"/>
      <c r="G65" s="109"/>
      <c r="H65" s="109"/>
      <c r="I65" s="109">
        <f t="shared" ref="I65:J65" si="79">SUM(C65,E65,G65)</f>
        <v>0</v>
      </c>
      <c r="J65" s="109">
        <f t="shared" si="79"/>
        <v>0</v>
      </c>
      <c r="K65" s="109">
        <f>SUMIFS(Ações!$J$66,Ações!$N$66,Patrimônio!B65,Ações!$E$66,"Provento")</f>
        <v>0</v>
      </c>
      <c r="L65" s="109">
        <f>SUMIFS(BDRs!$J$66,BDRs!$E$66,"Provento",BDRs!$N$66,Patrimônio!B65)</f>
        <v>0</v>
      </c>
      <c r="M65" s="109">
        <f>SUMIFS(FIIs!$J$66,FIIs!$E$66,"Provento",FIIs!$N$66,Patrimônio!B65)</f>
        <v>0</v>
      </c>
      <c r="N65" s="109">
        <f t="shared" si="2"/>
        <v>0</v>
      </c>
      <c r="O65" s="109"/>
      <c r="Q65" s="154"/>
      <c r="R65" s="155" t="s">
        <v>264</v>
      </c>
      <c r="S65" s="156">
        <v>0</v>
      </c>
    </row>
    <row r="66" spans="1:19" ht="17.25" customHeight="1">
      <c r="A66" s="108">
        <v>46539</v>
      </c>
      <c r="B66" s="108">
        <f t="shared" si="0"/>
        <v>46538</v>
      </c>
      <c r="C66" s="109"/>
      <c r="D66" s="109"/>
      <c r="E66" s="109"/>
      <c r="F66" s="109"/>
      <c r="G66" s="109"/>
      <c r="H66" s="109"/>
      <c r="I66" s="109">
        <f t="shared" ref="I66:J66" si="80">SUM(C66,E66,G66)</f>
        <v>0</v>
      </c>
      <c r="J66" s="109">
        <f t="shared" si="80"/>
        <v>0</v>
      </c>
      <c r="K66" s="109">
        <f>SUMIFS(Ações!$J$66,Ações!$N$66,Patrimônio!B66,Ações!$E$66,"Provento")</f>
        <v>0</v>
      </c>
      <c r="L66" s="109">
        <f>SUMIFS(BDRs!$J$66,BDRs!$E$66,"Provento",BDRs!$N$66,Patrimônio!B66)</f>
        <v>0</v>
      </c>
      <c r="M66" s="109">
        <f>SUMIFS(FIIs!$J$66,FIIs!$E$66,"Provento",FIIs!$N$66,Patrimônio!B66)</f>
        <v>0</v>
      </c>
      <c r="N66" s="109">
        <f t="shared" si="2"/>
        <v>0</v>
      </c>
      <c r="O66" s="109"/>
      <c r="Q66" s="154"/>
      <c r="R66" s="155" t="s">
        <v>265</v>
      </c>
      <c r="S66" s="156">
        <v>0</v>
      </c>
    </row>
    <row r="67" spans="1:19" ht="17.25" customHeight="1">
      <c r="A67" s="108">
        <v>46569</v>
      </c>
      <c r="B67" s="108">
        <f t="shared" si="0"/>
        <v>46568</v>
      </c>
      <c r="C67" s="109"/>
      <c r="D67" s="109"/>
      <c r="E67" s="109"/>
      <c r="F67" s="109"/>
      <c r="G67" s="109"/>
      <c r="H67" s="109"/>
      <c r="I67" s="109">
        <f t="shared" ref="I67:J67" si="81">SUM(C67,E67,G67)</f>
        <v>0</v>
      </c>
      <c r="J67" s="109">
        <f t="shared" si="81"/>
        <v>0</v>
      </c>
      <c r="K67" s="109">
        <f>SUMIFS(Ações!$J$66,Ações!$N$66,Patrimônio!B67,Ações!$E$66,"Provento")</f>
        <v>0</v>
      </c>
      <c r="L67" s="109">
        <f>SUMIFS(BDRs!$J$66,BDRs!$E$66,"Provento",BDRs!$N$66,Patrimônio!B67)</f>
        <v>0</v>
      </c>
      <c r="M67" s="109">
        <f>SUMIFS(FIIs!$J$66,FIIs!$E$66,"Provento",FIIs!$N$66,Patrimônio!B67)</f>
        <v>0</v>
      </c>
      <c r="N67" s="109">
        <f t="shared" si="2"/>
        <v>0</v>
      </c>
      <c r="O67" s="109"/>
      <c r="Q67" s="154"/>
      <c r="R67" s="155" t="s">
        <v>266</v>
      </c>
      <c r="S67" s="156">
        <v>0</v>
      </c>
    </row>
    <row r="68" spans="1:19" ht="17.25" customHeight="1">
      <c r="A68" s="108">
        <v>46600</v>
      </c>
      <c r="B68" s="108">
        <f t="shared" si="0"/>
        <v>46599</v>
      </c>
      <c r="C68" s="109"/>
      <c r="D68" s="109"/>
      <c r="E68" s="109"/>
      <c r="F68" s="109"/>
      <c r="G68" s="109"/>
      <c r="H68" s="109"/>
      <c r="I68" s="109">
        <f t="shared" ref="I68:J68" si="82">SUM(C68,E68,G68)</f>
        <v>0</v>
      </c>
      <c r="J68" s="109">
        <f t="shared" si="82"/>
        <v>0</v>
      </c>
      <c r="K68" s="109">
        <f>SUMIFS(Ações!$J$66,Ações!$N$66,Patrimônio!B68,Ações!$E$66,"Provento")</f>
        <v>0</v>
      </c>
      <c r="L68" s="109">
        <f>SUMIFS(BDRs!$J$66,BDRs!$E$66,"Provento",BDRs!$N$66,Patrimônio!B68)</f>
        <v>0</v>
      </c>
      <c r="M68" s="109">
        <f>SUMIFS(FIIs!$J$66,FIIs!$E$66,"Provento",FIIs!$N$66,Patrimônio!B68)</f>
        <v>0</v>
      </c>
      <c r="N68" s="109">
        <f t="shared" si="2"/>
        <v>0</v>
      </c>
      <c r="O68" s="109"/>
      <c r="Q68" s="154"/>
      <c r="R68" s="155" t="s">
        <v>267</v>
      </c>
      <c r="S68" s="156">
        <v>0</v>
      </c>
    </row>
    <row r="69" spans="1:19" ht="17.25" customHeight="1">
      <c r="A69" s="108">
        <v>46631</v>
      </c>
      <c r="B69" s="108">
        <f t="shared" si="0"/>
        <v>46630</v>
      </c>
      <c r="C69" s="109"/>
      <c r="D69" s="109"/>
      <c r="E69" s="109"/>
      <c r="F69" s="109"/>
      <c r="G69" s="109"/>
      <c r="H69" s="109"/>
      <c r="I69" s="109">
        <f t="shared" ref="I69:J69" si="83">SUM(C69,E69,G69)</f>
        <v>0</v>
      </c>
      <c r="J69" s="109">
        <f t="shared" si="83"/>
        <v>0</v>
      </c>
      <c r="K69" s="109">
        <f>SUMIFS(Ações!$J$66,Ações!$N$66,Patrimônio!B69,Ações!$E$66,"Provento")</f>
        <v>0</v>
      </c>
      <c r="L69" s="109">
        <f>SUMIFS(BDRs!$J$66,BDRs!$E$66,"Provento",BDRs!$N$66,Patrimônio!B69)</f>
        <v>0</v>
      </c>
      <c r="M69" s="109">
        <f>SUMIFS(FIIs!$J$66,FIIs!$E$66,"Provento",FIIs!$N$66,Patrimônio!B69)</f>
        <v>0</v>
      </c>
      <c r="N69" s="109">
        <f t="shared" si="2"/>
        <v>0</v>
      </c>
      <c r="O69" s="109"/>
      <c r="Q69" s="154"/>
      <c r="R69" s="155" t="s">
        <v>268</v>
      </c>
      <c r="S69" s="156">
        <v>0</v>
      </c>
    </row>
    <row r="70" spans="1:19" ht="17.25" customHeight="1">
      <c r="A70" s="108">
        <v>46661</v>
      </c>
      <c r="B70" s="108">
        <f t="shared" si="0"/>
        <v>46660</v>
      </c>
      <c r="C70" s="109"/>
      <c r="D70" s="109"/>
      <c r="E70" s="109"/>
      <c r="F70" s="109"/>
      <c r="G70" s="109"/>
      <c r="H70" s="109"/>
      <c r="I70" s="109">
        <f t="shared" ref="I70:J70" si="84">SUM(C70,E70,G70)</f>
        <v>0</v>
      </c>
      <c r="J70" s="109">
        <f t="shared" si="84"/>
        <v>0</v>
      </c>
      <c r="K70" s="109">
        <f>SUMIFS(Ações!$J$66,Ações!$N$66,Patrimônio!B70,Ações!$E$66,"Provento")</f>
        <v>0</v>
      </c>
      <c r="L70" s="109">
        <f>SUMIFS(BDRs!$J$66,BDRs!$E$66,"Provento",BDRs!$N$66,Patrimônio!B70)</f>
        <v>0</v>
      </c>
      <c r="M70" s="109">
        <f>SUMIFS(FIIs!$J$66,FIIs!$E$66,"Provento",FIIs!$N$66,Patrimônio!B70)</f>
        <v>0</v>
      </c>
      <c r="N70" s="109">
        <f t="shared" si="2"/>
        <v>0</v>
      </c>
      <c r="O70" s="109"/>
      <c r="Q70" s="154"/>
      <c r="R70" s="155" t="s">
        <v>269</v>
      </c>
      <c r="S70" s="156">
        <v>0</v>
      </c>
    </row>
    <row r="71" spans="1:19" ht="17.25" customHeight="1">
      <c r="A71" s="108">
        <v>46692</v>
      </c>
      <c r="B71" s="108">
        <f t="shared" si="0"/>
        <v>46691</v>
      </c>
      <c r="C71" s="109"/>
      <c r="D71" s="109"/>
      <c r="E71" s="109"/>
      <c r="F71" s="109"/>
      <c r="G71" s="109"/>
      <c r="H71" s="109"/>
      <c r="I71" s="109">
        <f t="shared" ref="I71:J71" si="85">SUM(C71,E71,G71)</f>
        <v>0</v>
      </c>
      <c r="J71" s="109">
        <f t="shared" si="85"/>
        <v>0</v>
      </c>
      <c r="K71" s="109">
        <f>SUMIFS(Ações!$J$66,Ações!$N$66,Patrimônio!B71,Ações!$E$66,"Provento")</f>
        <v>0</v>
      </c>
      <c r="L71" s="109">
        <f>SUMIFS(BDRs!$J$66,BDRs!$E$66,"Provento",BDRs!$N$66,Patrimônio!B71)</f>
        <v>0</v>
      </c>
      <c r="M71" s="109">
        <f>SUMIFS(FIIs!$J$66,FIIs!$E$66,"Provento",FIIs!$N$66,Patrimônio!B71)</f>
        <v>0</v>
      </c>
      <c r="N71" s="109">
        <f t="shared" si="2"/>
        <v>0</v>
      </c>
      <c r="O71" s="109"/>
      <c r="Q71" s="154"/>
      <c r="R71" s="155" t="s">
        <v>270</v>
      </c>
      <c r="S71" s="156">
        <v>0</v>
      </c>
    </row>
    <row r="72" spans="1:19" ht="17.25" customHeight="1">
      <c r="A72" s="108">
        <v>46722</v>
      </c>
      <c r="B72" s="108">
        <f t="shared" si="0"/>
        <v>46721</v>
      </c>
      <c r="C72" s="109"/>
      <c r="D72" s="109"/>
      <c r="E72" s="109"/>
      <c r="F72" s="109"/>
      <c r="G72" s="109"/>
      <c r="H72" s="109"/>
      <c r="I72" s="109">
        <f t="shared" ref="I72:J72" si="86">SUM(C72,E72,G72)</f>
        <v>0</v>
      </c>
      <c r="J72" s="109">
        <f t="shared" si="86"/>
        <v>0</v>
      </c>
      <c r="K72" s="109">
        <f>SUMIFS(Ações!$J$66,Ações!$N$66,Patrimônio!B72,Ações!$E$66,"Provento")</f>
        <v>0</v>
      </c>
      <c r="L72" s="109">
        <f>SUMIFS(BDRs!$J$66,BDRs!$E$66,"Provento",BDRs!$N$66,Patrimônio!B72)</f>
        <v>0</v>
      </c>
      <c r="M72" s="109">
        <f>SUMIFS(FIIs!$J$66,FIIs!$E$66,"Provento",FIIs!$N$66,Patrimônio!B72)</f>
        <v>0</v>
      </c>
      <c r="N72" s="109">
        <f t="shared" si="2"/>
        <v>0</v>
      </c>
      <c r="O72" s="109"/>
      <c r="Q72" s="154"/>
      <c r="R72" s="155" t="s">
        <v>271</v>
      </c>
      <c r="S72" s="156">
        <v>0</v>
      </c>
    </row>
    <row r="73" spans="1:19" ht="17.25" customHeight="1">
      <c r="A73" s="108">
        <v>46753</v>
      </c>
      <c r="B73" s="108">
        <f t="shared" si="0"/>
        <v>46752</v>
      </c>
      <c r="C73" s="109"/>
      <c r="D73" s="109"/>
      <c r="E73" s="109"/>
      <c r="F73" s="109"/>
      <c r="G73" s="109"/>
      <c r="H73" s="109"/>
      <c r="I73" s="109">
        <f t="shared" ref="I73:J73" si="87">SUM(C73,E73,G73)</f>
        <v>0</v>
      </c>
      <c r="J73" s="109">
        <f t="shared" si="87"/>
        <v>0</v>
      </c>
      <c r="K73" s="109">
        <f>SUMIFS(Ações!$J$66,Ações!$N$66,Patrimônio!B73,Ações!$E$66,"Provento")</f>
        <v>0</v>
      </c>
      <c r="L73" s="109">
        <f>SUMIFS(BDRs!$J$66,BDRs!$E$66,"Provento",BDRs!$N$66,Patrimônio!B73)</f>
        <v>0</v>
      </c>
      <c r="M73" s="109">
        <f>SUMIFS(FIIs!$J$66,FIIs!$E$66,"Provento",FIIs!$N$66,Patrimônio!B73)</f>
        <v>0</v>
      </c>
      <c r="N73" s="109">
        <f t="shared" si="2"/>
        <v>0</v>
      </c>
      <c r="O73" s="109"/>
      <c r="Q73" s="154"/>
      <c r="R73" s="155" t="s">
        <v>272</v>
      </c>
      <c r="S73" s="156">
        <v>0</v>
      </c>
    </row>
    <row r="74" spans="1:19" ht="17.25" customHeight="1">
      <c r="A74" s="108">
        <v>46784</v>
      </c>
      <c r="B74" s="108">
        <f t="shared" si="0"/>
        <v>46783</v>
      </c>
      <c r="C74" s="109"/>
      <c r="D74" s="109"/>
      <c r="E74" s="109"/>
      <c r="F74" s="109"/>
      <c r="G74" s="109"/>
      <c r="H74" s="109"/>
      <c r="I74" s="109">
        <f t="shared" ref="I74:J74" si="88">SUM(C74,E74,G74)</f>
        <v>0</v>
      </c>
      <c r="J74" s="109">
        <f t="shared" si="88"/>
        <v>0</v>
      </c>
      <c r="K74" s="109">
        <f>SUMIFS(Ações!$J$66,Ações!$N$66,Patrimônio!B74,Ações!$E$66,"Provento")</f>
        <v>0</v>
      </c>
      <c r="L74" s="109">
        <f>SUMIFS(BDRs!$J$66,BDRs!$E$66,"Provento",BDRs!$N$66,Patrimônio!B74)</f>
        <v>0</v>
      </c>
      <c r="M74" s="109">
        <f>SUMIFS(FIIs!$J$66,FIIs!$E$66,"Provento",FIIs!$N$66,Patrimônio!B74)</f>
        <v>0</v>
      </c>
      <c r="N74" s="109">
        <f t="shared" si="2"/>
        <v>0</v>
      </c>
      <c r="O74" s="109"/>
      <c r="Q74" s="151" t="s">
        <v>98</v>
      </c>
      <c r="R74" s="157"/>
      <c r="S74" s="153">
        <v>0</v>
      </c>
    </row>
    <row r="75" spans="1:19" ht="17.25" customHeight="1">
      <c r="A75" s="108">
        <v>46813</v>
      </c>
      <c r="B75" s="108">
        <f t="shared" si="0"/>
        <v>46812</v>
      </c>
      <c r="C75" s="109"/>
      <c r="D75" s="109"/>
      <c r="E75" s="109"/>
      <c r="F75" s="109"/>
      <c r="G75" s="109"/>
      <c r="H75" s="109"/>
      <c r="I75" s="109">
        <f t="shared" ref="I75:J75" si="89">SUM(C75,E75,G75)</f>
        <v>0</v>
      </c>
      <c r="J75" s="109">
        <f t="shared" si="89"/>
        <v>0</v>
      </c>
      <c r="K75" s="109">
        <f>SUMIFS(Ações!$J$66,Ações!$N$66,Patrimônio!B75,Ações!$E$66,"Provento")</f>
        <v>0</v>
      </c>
      <c r="L75" s="109">
        <f>SUMIFS(BDRs!$J$66,BDRs!$E$66,"Provento",BDRs!$N$66,Patrimônio!B75)</f>
        <v>0</v>
      </c>
      <c r="M75" s="109">
        <f>SUMIFS(FIIs!$J$66,FIIs!$E$66,"Provento",FIIs!$N$66,Patrimônio!B75)</f>
        <v>0</v>
      </c>
      <c r="N75" s="109">
        <f t="shared" si="2"/>
        <v>0</v>
      </c>
      <c r="O75" s="109"/>
      <c r="Q75" s="151" t="s">
        <v>99</v>
      </c>
      <c r="R75" s="152" t="s">
        <v>261</v>
      </c>
      <c r="S75" s="153">
        <v>0</v>
      </c>
    </row>
    <row r="76" spans="1:19" ht="17.25" customHeight="1">
      <c r="A76" s="108">
        <v>46844</v>
      </c>
      <c r="B76" s="108">
        <f t="shared" si="0"/>
        <v>46843</v>
      </c>
      <c r="C76" s="109"/>
      <c r="D76" s="109"/>
      <c r="E76" s="109"/>
      <c r="F76" s="109"/>
      <c r="G76" s="109"/>
      <c r="H76" s="109"/>
      <c r="I76" s="109">
        <f t="shared" ref="I76:J76" si="90">SUM(C76,E76,G76)</f>
        <v>0</v>
      </c>
      <c r="J76" s="109">
        <f t="shared" si="90"/>
        <v>0</v>
      </c>
      <c r="K76" s="109">
        <f>SUMIFS(Ações!$J$66,Ações!$N$66,Patrimônio!B76,Ações!$E$66,"Provento")</f>
        <v>0</v>
      </c>
      <c r="L76" s="109">
        <f>SUMIFS(BDRs!$J$66,BDRs!$E$66,"Provento",BDRs!$N$66,Patrimônio!B76)</f>
        <v>0</v>
      </c>
      <c r="M76" s="109">
        <f>SUMIFS(FIIs!$J$66,FIIs!$E$66,"Provento",FIIs!$N$66,Patrimônio!B76)</f>
        <v>0</v>
      </c>
      <c r="N76" s="109">
        <f t="shared" si="2"/>
        <v>0</v>
      </c>
      <c r="O76" s="109"/>
      <c r="Q76" s="154"/>
      <c r="R76" s="155" t="s">
        <v>262</v>
      </c>
      <c r="S76" s="156">
        <v>0</v>
      </c>
    </row>
    <row r="77" spans="1:19" ht="17.25" customHeight="1">
      <c r="A77" s="108">
        <v>46874</v>
      </c>
      <c r="B77" s="108">
        <f t="shared" si="0"/>
        <v>46873</v>
      </c>
      <c r="C77" s="109"/>
      <c r="D77" s="109"/>
      <c r="E77" s="109"/>
      <c r="F77" s="109"/>
      <c r="G77" s="109"/>
      <c r="H77" s="109"/>
      <c r="I77" s="109">
        <f t="shared" ref="I77:J77" si="91">SUM(C77,E77,G77)</f>
        <v>0</v>
      </c>
      <c r="J77" s="109">
        <f t="shared" si="91"/>
        <v>0</v>
      </c>
      <c r="K77" s="109">
        <f>SUMIFS(Ações!$J$66,Ações!$N$66,Patrimônio!B77,Ações!$E$66,"Provento")</f>
        <v>0</v>
      </c>
      <c r="L77" s="109">
        <f>SUMIFS(BDRs!$J$66,BDRs!$E$66,"Provento",BDRs!$N$66,Patrimônio!B77)</f>
        <v>0</v>
      </c>
      <c r="M77" s="109">
        <f>SUMIFS(FIIs!$J$66,FIIs!$E$66,"Provento",FIIs!$N$66,Patrimônio!B77)</f>
        <v>0</v>
      </c>
      <c r="N77" s="109">
        <f t="shared" si="2"/>
        <v>0</v>
      </c>
      <c r="O77" s="109"/>
      <c r="Q77" s="154"/>
      <c r="R77" s="155" t="s">
        <v>263</v>
      </c>
      <c r="S77" s="156">
        <v>0</v>
      </c>
    </row>
    <row r="78" spans="1:19" ht="17.25" customHeight="1">
      <c r="A78" s="108">
        <v>46905</v>
      </c>
      <c r="B78" s="108">
        <f t="shared" si="0"/>
        <v>46904</v>
      </c>
      <c r="C78" s="109"/>
      <c r="D78" s="109"/>
      <c r="E78" s="109"/>
      <c r="F78" s="109"/>
      <c r="G78" s="109"/>
      <c r="H78" s="109"/>
      <c r="I78" s="109">
        <f t="shared" ref="I78:J78" si="92">SUM(C78,E78,G78)</f>
        <v>0</v>
      </c>
      <c r="J78" s="109">
        <f t="shared" si="92"/>
        <v>0</v>
      </c>
      <c r="K78" s="109">
        <f>SUMIFS(Ações!$J$66,Ações!$N$66,Patrimônio!B78,Ações!$E$66,"Provento")</f>
        <v>0</v>
      </c>
      <c r="L78" s="109">
        <f>SUMIFS(BDRs!$J$66,BDRs!$E$66,"Provento",BDRs!$N$66,Patrimônio!B78)</f>
        <v>0</v>
      </c>
      <c r="M78" s="109">
        <f>SUMIFS(FIIs!$J$66,FIIs!$E$66,"Provento",FIIs!$N$66,Patrimônio!B78)</f>
        <v>0</v>
      </c>
      <c r="N78" s="109">
        <f t="shared" si="2"/>
        <v>0</v>
      </c>
      <c r="O78" s="109"/>
      <c r="Q78" s="154"/>
      <c r="R78" s="155" t="s">
        <v>264</v>
      </c>
      <c r="S78" s="156">
        <v>0</v>
      </c>
    </row>
    <row r="79" spans="1:19" ht="17.25" customHeight="1">
      <c r="A79" s="108">
        <v>46935</v>
      </c>
      <c r="B79" s="108">
        <f t="shared" si="0"/>
        <v>46934</v>
      </c>
      <c r="C79" s="109"/>
      <c r="D79" s="109"/>
      <c r="E79" s="109"/>
      <c r="F79" s="109"/>
      <c r="G79" s="109"/>
      <c r="H79" s="109"/>
      <c r="I79" s="109">
        <f t="shared" ref="I79:J79" si="93">SUM(C79,E79,G79)</f>
        <v>0</v>
      </c>
      <c r="J79" s="109">
        <f t="shared" si="93"/>
        <v>0</v>
      </c>
      <c r="K79" s="109">
        <f>SUMIFS(Ações!$J$66,Ações!$N$66,Patrimônio!B79,Ações!$E$66,"Provento")</f>
        <v>0</v>
      </c>
      <c r="L79" s="109">
        <f>SUMIFS(BDRs!$J$66,BDRs!$E$66,"Provento",BDRs!$N$66,Patrimônio!B79)</f>
        <v>0</v>
      </c>
      <c r="M79" s="109">
        <f>SUMIFS(FIIs!$J$66,FIIs!$E$66,"Provento",FIIs!$N$66,Patrimônio!B79)</f>
        <v>0</v>
      </c>
      <c r="N79" s="109">
        <f t="shared" si="2"/>
        <v>0</v>
      </c>
      <c r="O79" s="109"/>
      <c r="Q79" s="154"/>
      <c r="R79" s="155" t="s">
        <v>265</v>
      </c>
      <c r="S79" s="156">
        <v>0</v>
      </c>
    </row>
    <row r="80" spans="1:19" ht="17.25" customHeight="1">
      <c r="A80" s="108">
        <v>46966</v>
      </c>
      <c r="B80" s="108">
        <f t="shared" si="0"/>
        <v>46965</v>
      </c>
      <c r="C80" s="109"/>
      <c r="D80" s="109"/>
      <c r="E80" s="109"/>
      <c r="F80" s="109"/>
      <c r="G80" s="109"/>
      <c r="H80" s="109"/>
      <c r="I80" s="109">
        <f t="shared" ref="I80:J80" si="94">SUM(C80,E80,G80)</f>
        <v>0</v>
      </c>
      <c r="J80" s="109">
        <f t="shared" si="94"/>
        <v>0</v>
      </c>
      <c r="K80" s="109">
        <f>SUMIFS(Ações!$J$66,Ações!$N$66,Patrimônio!B80,Ações!$E$66,"Provento")</f>
        <v>0</v>
      </c>
      <c r="L80" s="109">
        <f>SUMIFS(BDRs!$J$66,BDRs!$E$66,"Provento",BDRs!$N$66,Patrimônio!B80)</f>
        <v>0</v>
      </c>
      <c r="M80" s="109">
        <f>SUMIFS(FIIs!$J$66,FIIs!$E$66,"Provento",FIIs!$N$66,Patrimônio!B80)</f>
        <v>0</v>
      </c>
      <c r="N80" s="109">
        <f t="shared" si="2"/>
        <v>0</v>
      </c>
      <c r="O80" s="109"/>
      <c r="Q80" s="154"/>
      <c r="R80" s="155" t="s">
        <v>266</v>
      </c>
      <c r="S80" s="156">
        <v>0</v>
      </c>
    </row>
    <row r="81" spans="1:19" ht="17.25" customHeight="1">
      <c r="A81" s="108">
        <v>46997</v>
      </c>
      <c r="B81" s="108">
        <f t="shared" si="0"/>
        <v>46996</v>
      </c>
      <c r="C81" s="109"/>
      <c r="D81" s="109"/>
      <c r="E81" s="109"/>
      <c r="F81" s="109"/>
      <c r="G81" s="109"/>
      <c r="H81" s="109"/>
      <c r="I81" s="109">
        <f t="shared" ref="I81:J81" si="95">SUM(C81,E81,G81)</f>
        <v>0</v>
      </c>
      <c r="J81" s="109">
        <f t="shared" si="95"/>
        <v>0</v>
      </c>
      <c r="K81" s="109">
        <f>SUMIFS(Ações!$J$66,Ações!$N$66,Patrimônio!B81,Ações!$E$66,"Provento")</f>
        <v>0</v>
      </c>
      <c r="L81" s="109">
        <f>SUMIFS(BDRs!$J$66,BDRs!$E$66,"Provento",BDRs!$N$66,Patrimônio!B81)</f>
        <v>0</v>
      </c>
      <c r="M81" s="109">
        <f>SUMIFS(FIIs!$J$66,FIIs!$E$66,"Provento",FIIs!$N$66,Patrimônio!B81)</f>
        <v>0</v>
      </c>
      <c r="N81" s="109">
        <f t="shared" si="2"/>
        <v>0</v>
      </c>
      <c r="O81" s="109"/>
      <c r="Q81" s="154"/>
      <c r="R81" s="155" t="s">
        <v>267</v>
      </c>
      <c r="S81" s="156">
        <v>0</v>
      </c>
    </row>
    <row r="82" spans="1:19" ht="17.25" customHeight="1">
      <c r="A82" s="108">
        <v>47027</v>
      </c>
      <c r="B82" s="108">
        <f t="shared" si="0"/>
        <v>47026</v>
      </c>
      <c r="C82" s="109"/>
      <c r="D82" s="109"/>
      <c r="E82" s="109"/>
      <c r="F82" s="109"/>
      <c r="G82" s="109"/>
      <c r="H82" s="109"/>
      <c r="I82" s="109">
        <f t="shared" ref="I82:J82" si="96">SUM(C82,E82,G82)</f>
        <v>0</v>
      </c>
      <c r="J82" s="109">
        <f t="shared" si="96"/>
        <v>0</v>
      </c>
      <c r="K82" s="109">
        <f>SUMIFS(Ações!$J$66,Ações!$N$66,Patrimônio!B82,Ações!$E$66,"Provento")</f>
        <v>0</v>
      </c>
      <c r="L82" s="109">
        <f>SUMIFS(BDRs!$J$66,BDRs!$E$66,"Provento",BDRs!$N$66,Patrimônio!B82)</f>
        <v>0</v>
      </c>
      <c r="M82" s="109">
        <f>SUMIFS(FIIs!$J$66,FIIs!$E$66,"Provento",FIIs!$N$66,Patrimônio!B82)</f>
        <v>0</v>
      </c>
      <c r="N82" s="109">
        <f t="shared" si="2"/>
        <v>0</v>
      </c>
      <c r="O82" s="109"/>
      <c r="Q82" s="154"/>
      <c r="R82" s="155" t="s">
        <v>268</v>
      </c>
      <c r="S82" s="156">
        <v>0</v>
      </c>
    </row>
    <row r="83" spans="1:19" ht="17.25" customHeight="1">
      <c r="A83" s="108">
        <v>47058</v>
      </c>
      <c r="B83" s="108">
        <f t="shared" si="0"/>
        <v>47057</v>
      </c>
      <c r="C83" s="109"/>
      <c r="D83" s="109"/>
      <c r="E83" s="109"/>
      <c r="F83" s="109"/>
      <c r="G83" s="109"/>
      <c r="H83" s="109"/>
      <c r="I83" s="109">
        <f t="shared" ref="I83:J83" si="97">SUM(C83,E83,G83)</f>
        <v>0</v>
      </c>
      <c r="J83" s="109">
        <f t="shared" si="97"/>
        <v>0</v>
      </c>
      <c r="K83" s="109">
        <f>SUMIFS(Ações!$J$66,Ações!$N$66,Patrimônio!B83,Ações!$E$66,"Provento")</f>
        <v>0</v>
      </c>
      <c r="L83" s="109">
        <f>SUMIFS(BDRs!$J$66,BDRs!$E$66,"Provento",BDRs!$N$66,Patrimônio!B83)</f>
        <v>0</v>
      </c>
      <c r="M83" s="109">
        <f>SUMIFS(FIIs!$J$66,FIIs!$E$66,"Provento",FIIs!$N$66,Patrimônio!B83)</f>
        <v>0</v>
      </c>
      <c r="N83" s="109">
        <f t="shared" si="2"/>
        <v>0</v>
      </c>
      <c r="O83" s="109"/>
      <c r="Q83" s="154"/>
      <c r="R83" s="155" t="s">
        <v>269</v>
      </c>
      <c r="S83" s="156">
        <v>0</v>
      </c>
    </row>
    <row r="84" spans="1:19" ht="17.25" customHeight="1">
      <c r="A84" s="108">
        <v>47088</v>
      </c>
      <c r="B84" s="108">
        <f t="shared" si="0"/>
        <v>47087</v>
      </c>
      <c r="C84" s="109"/>
      <c r="D84" s="109"/>
      <c r="E84" s="109"/>
      <c r="F84" s="109"/>
      <c r="G84" s="109"/>
      <c r="H84" s="109"/>
      <c r="I84" s="109">
        <f t="shared" ref="I84:J84" si="98">SUM(C84,E84,G84)</f>
        <v>0</v>
      </c>
      <c r="J84" s="109">
        <f t="shared" si="98"/>
        <v>0</v>
      </c>
      <c r="K84" s="109">
        <f>SUMIFS(Ações!$J$66,Ações!$N$66,Patrimônio!B84,Ações!$E$66,"Provento")</f>
        <v>0</v>
      </c>
      <c r="L84" s="109">
        <f>SUMIFS(BDRs!$J$66,BDRs!$E$66,"Provento",BDRs!$N$66,Patrimônio!B84)</f>
        <v>0</v>
      </c>
      <c r="M84" s="109">
        <f>SUMIFS(FIIs!$J$66,FIIs!$E$66,"Provento",FIIs!$N$66,Patrimônio!B84)</f>
        <v>0</v>
      </c>
      <c r="N84" s="109">
        <f t="shared" si="2"/>
        <v>0</v>
      </c>
      <c r="O84" s="109"/>
      <c r="Q84" s="154"/>
      <c r="R84" s="155" t="s">
        <v>270</v>
      </c>
      <c r="S84" s="156">
        <v>0</v>
      </c>
    </row>
    <row r="85" spans="1:19" ht="17.25" customHeight="1">
      <c r="A85" s="108">
        <v>47119</v>
      </c>
      <c r="B85" s="108">
        <f t="shared" si="0"/>
        <v>47118</v>
      </c>
      <c r="C85" s="109"/>
      <c r="D85" s="109"/>
      <c r="E85" s="109"/>
      <c r="F85" s="109"/>
      <c r="G85" s="109"/>
      <c r="H85" s="109"/>
      <c r="I85" s="109">
        <f t="shared" ref="I85:J85" si="99">SUM(C85,E85,G85)</f>
        <v>0</v>
      </c>
      <c r="J85" s="109">
        <f t="shared" si="99"/>
        <v>0</v>
      </c>
      <c r="K85" s="109">
        <f>SUMIFS(Ações!$J$66,Ações!$N$66,Patrimônio!B85,Ações!$E$66,"Provento")</f>
        <v>0</v>
      </c>
      <c r="L85" s="109">
        <f>SUMIFS(BDRs!$J$66,BDRs!$E$66,"Provento",BDRs!$N$66,Patrimônio!B85)</f>
        <v>0</v>
      </c>
      <c r="M85" s="109">
        <f>SUMIFS(FIIs!$J$66,FIIs!$E$66,"Provento",FIIs!$N$66,Patrimônio!B85)</f>
        <v>0</v>
      </c>
      <c r="N85" s="109">
        <f t="shared" si="2"/>
        <v>0</v>
      </c>
      <c r="O85" s="109"/>
      <c r="Q85" s="154"/>
      <c r="R85" s="155" t="s">
        <v>271</v>
      </c>
      <c r="S85" s="156">
        <v>0</v>
      </c>
    </row>
    <row r="86" spans="1:19" ht="17.25" customHeight="1">
      <c r="A86" s="108">
        <v>47150</v>
      </c>
      <c r="B86" s="108">
        <f t="shared" si="0"/>
        <v>47149</v>
      </c>
      <c r="C86" s="109"/>
      <c r="D86" s="109"/>
      <c r="E86" s="109"/>
      <c r="F86" s="109"/>
      <c r="G86" s="109"/>
      <c r="H86" s="109"/>
      <c r="I86" s="109">
        <f t="shared" ref="I86:J86" si="100">SUM(C86,E86,G86)</f>
        <v>0</v>
      </c>
      <c r="J86" s="109">
        <f t="shared" si="100"/>
        <v>0</v>
      </c>
      <c r="K86" s="109">
        <f>SUMIFS(Ações!$J$66,Ações!$N$66,Patrimônio!B86,Ações!$E$66,"Provento")</f>
        <v>0</v>
      </c>
      <c r="L86" s="109">
        <f>SUMIFS(BDRs!$J$66,BDRs!$E$66,"Provento",BDRs!$N$66,Patrimônio!B86)</f>
        <v>0</v>
      </c>
      <c r="M86" s="109">
        <f>SUMIFS(FIIs!$J$66,FIIs!$E$66,"Provento",FIIs!$N$66,Patrimônio!B86)</f>
        <v>0</v>
      </c>
      <c r="N86" s="109">
        <f t="shared" si="2"/>
        <v>0</v>
      </c>
      <c r="O86" s="109"/>
      <c r="Q86" s="154"/>
      <c r="R86" s="155" t="s">
        <v>272</v>
      </c>
      <c r="S86" s="156">
        <v>0</v>
      </c>
    </row>
    <row r="87" spans="1:19" ht="17.25" customHeight="1">
      <c r="A87" s="108">
        <v>47178</v>
      </c>
      <c r="B87" s="108">
        <f t="shared" si="0"/>
        <v>47177</v>
      </c>
      <c r="C87" s="109"/>
      <c r="D87" s="109"/>
      <c r="E87" s="109"/>
      <c r="F87" s="109"/>
      <c r="G87" s="109"/>
      <c r="H87" s="109"/>
      <c r="I87" s="109">
        <f t="shared" ref="I87:J87" si="101">SUM(C87,E87,G87)</f>
        <v>0</v>
      </c>
      <c r="J87" s="109">
        <f t="shared" si="101"/>
        <v>0</v>
      </c>
      <c r="K87" s="109">
        <f>SUMIFS(Ações!$J$66,Ações!$N$66,Patrimônio!B87,Ações!$E$66,"Provento")</f>
        <v>0</v>
      </c>
      <c r="L87" s="109">
        <f>SUMIFS(BDRs!$J$66,BDRs!$E$66,"Provento",BDRs!$N$66,Patrimônio!B87)</f>
        <v>0</v>
      </c>
      <c r="M87" s="109">
        <f>SUMIFS(FIIs!$J$66,FIIs!$E$66,"Provento",FIIs!$N$66,Patrimônio!B87)</f>
        <v>0</v>
      </c>
      <c r="N87" s="109">
        <f t="shared" si="2"/>
        <v>0</v>
      </c>
      <c r="O87" s="109"/>
      <c r="Q87" s="151" t="s">
        <v>100</v>
      </c>
      <c r="R87" s="157"/>
      <c r="S87" s="153">
        <v>0</v>
      </c>
    </row>
    <row r="88" spans="1:19" ht="17.25" customHeight="1">
      <c r="A88" s="108">
        <v>47209</v>
      </c>
      <c r="B88" s="108">
        <f t="shared" si="0"/>
        <v>47208</v>
      </c>
      <c r="C88" s="109"/>
      <c r="D88" s="109"/>
      <c r="E88" s="109"/>
      <c r="F88" s="109"/>
      <c r="G88" s="109"/>
      <c r="H88" s="109"/>
      <c r="I88" s="109">
        <f t="shared" ref="I88:J88" si="102">SUM(C88,E88,G88)</f>
        <v>0</v>
      </c>
      <c r="J88" s="109">
        <f t="shared" si="102"/>
        <v>0</v>
      </c>
      <c r="K88" s="109">
        <f>SUMIFS(Ações!$J$66,Ações!$N$66,Patrimônio!B88,Ações!$E$66,"Provento")</f>
        <v>0</v>
      </c>
      <c r="L88" s="109">
        <f>SUMIFS(BDRs!$J$66,BDRs!$E$66,"Provento",BDRs!$N$66,Patrimônio!B88)</f>
        <v>0</v>
      </c>
      <c r="M88" s="109">
        <f>SUMIFS(FIIs!$J$66,FIIs!$E$66,"Provento",FIIs!$N$66,Patrimônio!B88)</f>
        <v>0</v>
      </c>
      <c r="N88" s="109">
        <f t="shared" si="2"/>
        <v>0</v>
      </c>
      <c r="O88" s="109"/>
      <c r="Q88" s="151" t="s">
        <v>101</v>
      </c>
      <c r="R88" s="152" t="s">
        <v>261</v>
      </c>
      <c r="S88" s="153">
        <v>0</v>
      </c>
    </row>
    <row r="89" spans="1:19" ht="17.25" customHeight="1">
      <c r="A89" s="108">
        <v>47239</v>
      </c>
      <c r="B89" s="108">
        <f t="shared" si="0"/>
        <v>47238</v>
      </c>
      <c r="C89" s="109"/>
      <c r="D89" s="109"/>
      <c r="E89" s="109"/>
      <c r="F89" s="109"/>
      <c r="G89" s="109"/>
      <c r="H89" s="109"/>
      <c r="I89" s="109">
        <f t="shared" ref="I89:J89" si="103">SUM(C89,E89,G89)</f>
        <v>0</v>
      </c>
      <c r="J89" s="109">
        <f t="shared" si="103"/>
        <v>0</v>
      </c>
      <c r="K89" s="109">
        <f>SUMIFS(Ações!$J$66,Ações!$N$66,Patrimônio!B89,Ações!$E$66,"Provento")</f>
        <v>0</v>
      </c>
      <c r="L89" s="109">
        <f>SUMIFS(BDRs!$J$66,BDRs!$E$66,"Provento",BDRs!$N$66,Patrimônio!B89)</f>
        <v>0</v>
      </c>
      <c r="M89" s="109">
        <f>SUMIFS(FIIs!$J$66,FIIs!$E$66,"Provento",FIIs!$N$66,Patrimônio!B89)</f>
        <v>0</v>
      </c>
      <c r="N89" s="109">
        <f t="shared" si="2"/>
        <v>0</v>
      </c>
      <c r="O89" s="109"/>
      <c r="Q89" s="154"/>
      <c r="R89" s="155" t="s">
        <v>262</v>
      </c>
      <c r="S89" s="156">
        <v>0</v>
      </c>
    </row>
    <row r="90" spans="1:19" ht="17.25" customHeight="1">
      <c r="A90" s="108">
        <v>47270</v>
      </c>
      <c r="B90" s="108">
        <f t="shared" si="0"/>
        <v>47269</v>
      </c>
      <c r="C90" s="109"/>
      <c r="D90" s="109"/>
      <c r="E90" s="109"/>
      <c r="F90" s="109"/>
      <c r="G90" s="109"/>
      <c r="H90" s="109"/>
      <c r="I90" s="109">
        <f t="shared" ref="I90:J90" si="104">SUM(C90,E90,G90)</f>
        <v>0</v>
      </c>
      <c r="J90" s="109">
        <f t="shared" si="104"/>
        <v>0</v>
      </c>
      <c r="K90" s="109">
        <f>SUMIFS(Ações!$J$66,Ações!$N$66,Patrimônio!B90,Ações!$E$66,"Provento")</f>
        <v>0</v>
      </c>
      <c r="L90" s="109">
        <f>SUMIFS(BDRs!$J$66,BDRs!$E$66,"Provento",BDRs!$N$66,Patrimônio!B90)</f>
        <v>0</v>
      </c>
      <c r="M90" s="109">
        <f>SUMIFS(FIIs!$J$66,FIIs!$E$66,"Provento",FIIs!$N$66,Patrimônio!B90)</f>
        <v>0</v>
      </c>
      <c r="N90" s="109">
        <f t="shared" si="2"/>
        <v>0</v>
      </c>
      <c r="O90" s="109"/>
      <c r="Q90" s="154"/>
      <c r="R90" s="155" t="s">
        <v>263</v>
      </c>
      <c r="S90" s="156">
        <v>0</v>
      </c>
    </row>
    <row r="91" spans="1:19" ht="17.25" customHeight="1">
      <c r="A91" s="108">
        <v>47300</v>
      </c>
      <c r="B91" s="108">
        <f t="shared" si="0"/>
        <v>47299</v>
      </c>
      <c r="C91" s="109"/>
      <c r="D91" s="109"/>
      <c r="E91" s="109"/>
      <c r="F91" s="109"/>
      <c r="G91" s="109"/>
      <c r="H91" s="109"/>
      <c r="I91" s="109">
        <f t="shared" ref="I91:J91" si="105">SUM(C91,E91,G91)</f>
        <v>0</v>
      </c>
      <c r="J91" s="109">
        <f t="shared" si="105"/>
        <v>0</v>
      </c>
      <c r="K91" s="109">
        <f>SUMIFS(Ações!$J$66,Ações!$N$66,Patrimônio!B91,Ações!$E$66,"Provento")</f>
        <v>0</v>
      </c>
      <c r="L91" s="109">
        <f>SUMIFS(BDRs!$J$66,BDRs!$E$66,"Provento",BDRs!$N$66,Patrimônio!B91)</f>
        <v>0</v>
      </c>
      <c r="M91" s="109">
        <f>SUMIFS(FIIs!$J$66,FIIs!$E$66,"Provento",FIIs!$N$66,Patrimônio!B91)</f>
        <v>0</v>
      </c>
      <c r="N91" s="109">
        <f t="shared" si="2"/>
        <v>0</v>
      </c>
      <c r="O91" s="109"/>
      <c r="Q91" s="154"/>
      <c r="R91" s="155" t="s">
        <v>264</v>
      </c>
      <c r="S91" s="156">
        <v>0</v>
      </c>
    </row>
    <row r="92" spans="1:19" ht="17.25" customHeight="1">
      <c r="A92" s="108">
        <v>47331</v>
      </c>
      <c r="B92" s="108">
        <f t="shared" si="0"/>
        <v>47330</v>
      </c>
      <c r="C92" s="109"/>
      <c r="D92" s="109"/>
      <c r="E92" s="109"/>
      <c r="F92" s="109"/>
      <c r="G92" s="109"/>
      <c r="H92" s="109"/>
      <c r="I92" s="109">
        <f t="shared" ref="I92:J92" si="106">SUM(C92,E92,G92)</f>
        <v>0</v>
      </c>
      <c r="J92" s="109">
        <f t="shared" si="106"/>
        <v>0</v>
      </c>
      <c r="K92" s="109">
        <f>SUMIFS(Ações!$J$66,Ações!$N$66,Patrimônio!B92,Ações!$E$66,"Provento")</f>
        <v>0</v>
      </c>
      <c r="L92" s="109">
        <f>SUMIFS(BDRs!$J$66,BDRs!$E$66,"Provento",BDRs!$N$66,Patrimônio!B92)</f>
        <v>0</v>
      </c>
      <c r="M92" s="109">
        <f>SUMIFS(FIIs!$J$66,FIIs!$E$66,"Provento",FIIs!$N$66,Patrimônio!B92)</f>
        <v>0</v>
      </c>
      <c r="N92" s="109">
        <f t="shared" si="2"/>
        <v>0</v>
      </c>
      <c r="O92" s="109"/>
      <c r="Q92" s="154"/>
      <c r="R92" s="155" t="s">
        <v>265</v>
      </c>
      <c r="S92" s="156">
        <v>0</v>
      </c>
    </row>
    <row r="93" spans="1:19" ht="17.25" customHeight="1">
      <c r="A93" s="108">
        <v>47362</v>
      </c>
      <c r="B93" s="108">
        <f t="shared" si="0"/>
        <v>47361</v>
      </c>
      <c r="C93" s="109"/>
      <c r="D93" s="109"/>
      <c r="E93" s="109"/>
      <c r="F93" s="109"/>
      <c r="G93" s="109"/>
      <c r="H93" s="109"/>
      <c r="I93" s="109">
        <f t="shared" ref="I93:J93" si="107">SUM(C93,E93,G93)</f>
        <v>0</v>
      </c>
      <c r="J93" s="109">
        <f t="shared" si="107"/>
        <v>0</v>
      </c>
      <c r="K93" s="109">
        <f>SUMIFS(Ações!$J$66,Ações!$N$66,Patrimônio!B93,Ações!$E$66,"Provento")</f>
        <v>0</v>
      </c>
      <c r="L93" s="109">
        <f>SUMIFS(BDRs!$J$66,BDRs!$E$66,"Provento",BDRs!$N$66,Patrimônio!B93)</f>
        <v>0</v>
      </c>
      <c r="M93" s="109">
        <f>SUMIFS(FIIs!$J$66,FIIs!$E$66,"Provento",FIIs!$N$66,Patrimônio!B93)</f>
        <v>0</v>
      </c>
      <c r="N93" s="109">
        <f t="shared" si="2"/>
        <v>0</v>
      </c>
      <c r="O93" s="109"/>
      <c r="Q93" s="154"/>
      <c r="R93" s="155" t="s">
        <v>266</v>
      </c>
      <c r="S93" s="156">
        <v>0</v>
      </c>
    </row>
    <row r="94" spans="1:19" ht="17.25" customHeight="1">
      <c r="A94" s="108">
        <v>47392</v>
      </c>
      <c r="B94" s="108">
        <f t="shared" si="0"/>
        <v>47391</v>
      </c>
      <c r="C94" s="109"/>
      <c r="D94" s="109"/>
      <c r="E94" s="109"/>
      <c r="F94" s="109"/>
      <c r="G94" s="109"/>
      <c r="H94" s="109"/>
      <c r="I94" s="109">
        <f t="shared" ref="I94:J94" si="108">SUM(C94,E94,G94)</f>
        <v>0</v>
      </c>
      <c r="J94" s="109">
        <f t="shared" si="108"/>
        <v>0</v>
      </c>
      <c r="K94" s="109">
        <f>SUMIFS(Ações!$J$66,Ações!$N$66,Patrimônio!B94,Ações!$E$66,"Provento")</f>
        <v>0</v>
      </c>
      <c r="L94" s="109">
        <f>SUMIFS(BDRs!$J$66,BDRs!$E$66,"Provento",BDRs!$N$66,Patrimônio!B94)</f>
        <v>0</v>
      </c>
      <c r="M94" s="109">
        <f>SUMIFS(FIIs!$J$66,FIIs!$E$66,"Provento",FIIs!$N$66,Patrimônio!B94)</f>
        <v>0</v>
      </c>
      <c r="N94" s="109">
        <f t="shared" si="2"/>
        <v>0</v>
      </c>
      <c r="O94" s="109"/>
      <c r="Q94" s="154"/>
      <c r="R94" s="155" t="s">
        <v>267</v>
      </c>
      <c r="S94" s="156">
        <v>0</v>
      </c>
    </row>
    <row r="95" spans="1:19" ht="17.25" customHeight="1">
      <c r="A95" s="108">
        <v>47423</v>
      </c>
      <c r="B95" s="108">
        <f t="shared" si="0"/>
        <v>47422</v>
      </c>
      <c r="C95" s="109"/>
      <c r="D95" s="109"/>
      <c r="E95" s="109"/>
      <c r="F95" s="109"/>
      <c r="G95" s="109"/>
      <c r="H95" s="109"/>
      <c r="I95" s="109">
        <f t="shared" ref="I95:J95" si="109">SUM(C95,E95,G95)</f>
        <v>0</v>
      </c>
      <c r="J95" s="109">
        <f t="shared" si="109"/>
        <v>0</v>
      </c>
      <c r="K95" s="109">
        <f>SUMIFS(Ações!$J$66,Ações!$N$66,Patrimônio!B95,Ações!$E$66,"Provento")</f>
        <v>0</v>
      </c>
      <c r="L95" s="109">
        <f>SUMIFS(BDRs!$J$66,BDRs!$E$66,"Provento",BDRs!$N$66,Patrimônio!B95)</f>
        <v>0</v>
      </c>
      <c r="M95" s="109">
        <f>SUMIFS(FIIs!$J$66,FIIs!$E$66,"Provento",FIIs!$N$66,Patrimônio!B95)</f>
        <v>0</v>
      </c>
      <c r="N95" s="109">
        <f t="shared" si="2"/>
        <v>0</v>
      </c>
      <c r="O95" s="109"/>
      <c r="Q95" s="154"/>
      <c r="R95" s="155" t="s">
        <v>268</v>
      </c>
      <c r="S95" s="156">
        <v>0</v>
      </c>
    </row>
    <row r="96" spans="1:19" ht="17.25" customHeight="1">
      <c r="A96" s="108">
        <v>47453</v>
      </c>
      <c r="B96" s="108">
        <f t="shared" si="0"/>
        <v>47452</v>
      </c>
      <c r="C96" s="109"/>
      <c r="D96" s="109"/>
      <c r="E96" s="109"/>
      <c r="F96" s="109"/>
      <c r="G96" s="109"/>
      <c r="H96" s="109"/>
      <c r="I96" s="109">
        <f t="shared" ref="I96:J96" si="110">SUM(C96,E96,G96)</f>
        <v>0</v>
      </c>
      <c r="J96" s="109">
        <f t="shared" si="110"/>
        <v>0</v>
      </c>
      <c r="K96" s="109">
        <f>SUMIFS(Ações!$J$66,Ações!$N$66,Patrimônio!B96,Ações!$E$66,"Provento")</f>
        <v>0</v>
      </c>
      <c r="L96" s="109">
        <f>SUMIFS(BDRs!$J$66,BDRs!$E$66,"Provento",BDRs!$N$66,Patrimônio!B96)</f>
        <v>0</v>
      </c>
      <c r="M96" s="109">
        <f>SUMIFS(FIIs!$J$66,FIIs!$E$66,"Provento",FIIs!$N$66,Patrimônio!B96)</f>
        <v>0</v>
      </c>
      <c r="N96" s="109">
        <f t="shared" si="2"/>
        <v>0</v>
      </c>
      <c r="O96" s="109"/>
      <c r="Q96" s="154"/>
      <c r="R96" s="155" t="s">
        <v>269</v>
      </c>
      <c r="S96" s="156">
        <v>0</v>
      </c>
    </row>
    <row r="97" spans="1:19" ht="17.25" customHeight="1">
      <c r="A97" s="108">
        <v>47484</v>
      </c>
      <c r="B97" s="108">
        <f t="shared" si="0"/>
        <v>47483</v>
      </c>
      <c r="C97" s="109"/>
      <c r="D97" s="109"/>
      <c r="E97" s="109"/>
      <c r="F97" s="109"/>
      <c r="G97" s="109"/>
      <c r="H97" s="109"/>
      <c r="I97" s="109">
        <f t="shared" ref="I97:J97" si="111">SUM(C97,E97,G97)</f>
        <v>0</v>
      </c>
      <c r="J97" s="109">
        <f t="shared" si="111"/>
        <v>0</v>
      </c>
      <c r="K97" s="109">
        <f>SUMIFS(Ações!$J$66,Ações!$N$66,Patrimônio!B97,Ações!$E$66,"Provento")</f>
        <v>0</v>
      </c>
      <c r="L97" s="109">
        <f>SUMIFS(BDRs!$J$66,BDRs!$E$66,"Provento",BDRs!$N$66,Patrimônio!B97)</f>
        <v>0</v>
      </c>
      <c r="M97" s="109">
        <f>SUMIFS(FIIs!$J$66,FIIs!$E$66,"Provento",FIIs!$N$66,Patrimônio!B97)</f>
        <v>0</v>
      </c>
      <c r="N97" s="109">
        <f t="shared" si="2"/>
        <v>0</v>
      </c>
      <c r="O97" s="109"/>
      <c r="Q97" s="154"/>
      <c r="R97" s="155" t="s">
        <v>270</v>
      </c>
      <c r="S97" s="156">
        <v>0</v>
      </c>
    </row>
    <row r="98" spans="1:19" ht="17.25" customHeight="1">
      <c r="A98" s="108">
        <v>47515</v>
      </c>
      <c r="B98" s="108">
        <f t="shared" si="0"/>
        <v>47514</v>
      </c>
      <c r="C98" s="109"/>
      <c r="D98" s="109"/>
      <c r="E98" s="109"/>
      <c r="F98" s="109"/>
      <c r="G98" s="109"/>
      <c r="H98" s="109"/>
      <c r="I98" s="109">
        <f t="shared" ref="I98:J98" si="112">SUM(C98,E98,G98)</f>
        <v>0</v>
      </c>
      <c r="J98" s="109">
        <f t="shared" si="112"/>
        <v>0</v>
      </c>
      <c r="K98" s="109">
        <f>SUMIFS(Ações!$J$66,Ações!$N$66,Patrimônio!B98,Ações!$E$66,"Provento")</f>
        <v>0</v>
      </c>
      <c r="L98" s="109">
        <f>SUMIFS(BDRs!$J$66,BDRs!$E$66,"Provento",BDRs!$N$66,Patrimônio!B98)</f>
        <v>0</v>
      </c>
      <c r="M98" s="109">
        <f>SUMIFS(FIIs!$J$66,FIIs!$E$66,"Provento",FIIs!$N$66,Patrimônio!B98)</f>
        <v>0</v>
      </c>
      <c r="N98" s="109">
        <f t="shared" si="2"/>
        <v>0</v>
      </c>
      <c r="O98" s="109"/>
      <c r="Q98" s="154"/>
      <c r="R98" s="155" t="s">
        <v>271</v>
      </c>
      <c r="S98" s="156">
        <v>0</v>
      </c>
    </row>
    <row r="99" spans="1:19" ht="17.25" customHeight="1">
      <c r="A99" s="108">
        <v>47543</v>
      </c>
      <c r="B99" s="108">
        <f t="shared" si="0"/>
        <v>47542</v>
      </c>
      <c r="C99" s="109"/>
      <c r="D99" s="109"/>
      <c r="E99" s="109"/>
      <c r="F99" s="109"/>
      <c r="G99" s="109"/>
      <c r="H99" s="109"/>
      <c r="I99" s="109">
        <f t="shared" ref="I99:J99" si="113">SUM(C99,E99,G99)</f>
        <v>0</v>
      </c>
      <c r="J99" s="109">
        <f t="shared" si="113"/>
        <v>0</v>
      </c>
      <c r="K99" s="109">
        <f>SUMIFS(Ações!$J$66,Ações!$N$66,Patrimônio!B99,Ações!$E$66,"Provento")</f>
        <v>0</v>
      </c>
      <c r="L99" s="109">
        <f>SUMIFS(BDRs!$J$66,BDRs!$E$66,"Provento",BDRs!$N$66,Patrimônio!B99)</f>
        <v>0</v>
      </c>
      <c r="M99" s="109">
        <f>SUMIFS(FIIs!$J$66,FIIs!$E$66,"Provento",FIIs!$N$66,Patrimônio!B99)</f>
        <v>0</v>
      </c>
      <c r="N99" s="109">
        <f t="shared" si="2"/>
        <v>0</v>
      </c>
      <c r="O99" s="109"/>
      <c r="Q99" s="154"/>
      <c r="R99" s="155" t="s">
        <v>272</v>
      </c>
      <c r="S99" s="156">
        <v>0</v>
      </c>
    </row>
    <row r="100" spans="1:19" ht="17.25" customHeight="1">
      <c r="A100" s="108">
        <v>47574</v>
      </c>
      <c r="B100" s="108">
        <f t="shared" si="0"/>
        <v>47573</v>
      </c>
      <c r="C100" s="109"/>
      <c r="D100" s="109"/>
      <c r="E100" s="109"/>
      <c r="F100" s="109"/>
      <c r="G100" s="109"/>
      <c r="H100" s="109"/>
      <c r="I100" s="109">
        <f t="shared" ref="I100:J100" si="114">SUM(C100,E100,G100)</f>
        <v>0</v>
      </c>
      <c r="J100" s="109">
        <f t="shared" si="114"/>
        <v>0</v>
      </c>
      <c r="K100" s="109">
        <f>SUMIFS(Ações!$J$66,Ações!$N$66,Patrimônio!B100,Ações!$E$66,"Provento")</f>
        <v>0</v>
      </c>
      <c r="L100" s="109">
        <f>SUMIFS(BDRs!$J$66,BDRs!$E$66,"Provento",BDRs!$N$66,Patrimônio!B100)</f>
        <v>0</v>
      </c>
      <c r="M100" s="109">
        <f>SUMIFS(FIIs!$J$66,FIIs!$E$66,"Provento",FIIs!$N$66,Patrimônio!B100)</f>
        <v>0</v>
      </c>
      <c r="N100" s="109">
        <f t="shared" si="2"/>
        <v>0</v>
      </c>
      <c r="O100" s="109"/>
      <c r="Q100" s="151" t="s">
        <v>102</v>
      </c>
      <c r="R100" s="157"/>
      <c r="S100" s="153">
        <v>0</v>
      </c>
    </row>
    <row r="101" spans="1:19" ht="17.25" customHeight="1">
      <c r="A101" s="108">
        <v>47604</v>
      </c>
      <c r="B101" s="108">
        <f t="shared" si="0"/>
        <v>47603</v>
      </c>
      <c r="C101" s="109"/>
      <c r="D101" s="109"/>
      <c r="E101" s="109"/>
      <c r="F101" s="109"/>
      <c r="G101" s="109"/>
      <c r="H101" s="109"/>
      <c r="I101" s="109">
        <f t="shared" ref="I101:J101" si="115">SUM(C101,E101,G101)</f>
        <v>0</v>
      </c>
      <c r="J101" s="109">
        <f t="shared" si="115"/>
        <v>0</v>
      </c>
      <c r="K101" s="109">
        <f>SUMIFS(Ações!$J$66,Ações!$N$66,Patrimônio!B101,Ações!$E$66,"Provento")</f>
        <v>0</v>
      </c>
      <c r="L101" s="109">
        <f>SUMIFS(BDRs!$J$66,BDRs!$E$66,"Provento",BDRs!$N$66,Patrimônio!B101)</f>
        <v>0</v>
      </c>
      <c r="M101" s="109">
        <f>SUMIFS(FIIs!$J$66,FIIs!$E$66,"Provento",FIIs!$N$66,Patrimônio!B101)</f>
        <v>0</v>
      </c>
      <c r="N101" s="109">
        <f t="shared" si="2"/>
        <v>0</v>
      </c>
      <c r="O101" s="109"/>
      <c r="Q101" s="151" t="s">
        <v>103</v>
      </c>
      <c r="R101" s="152" t="s">
        <v>261</v>
      </c>
      <c r="S101" s="153">
        <v>0</v>
      </c>
    </row>
    <row r="102" spans="1:19" ht="17.25" customHeight="1">
      <c r="A102" s="108">
        <v>47635</v>
      </c>
      <c r="B102" s="108">
        <f t="shared" si="0"/>
        <v>47634</v>
      </c>
      <c r="C102" s="109"/>
      <c r="D102" s="109"/>
      <c r="E102" s="109"/>
      <c r="F102" s="109"/>
      <c r="G102" s="109"/>
      <c r="H102" s="109"/>
      <c r="I102" s="109">
        <f t="shared" ref="I102:J102" si="116">SUM(C102,E102,G102)</f>
        <v>0</v>
      </c>
      <c r="J102" s="109">
        <f t="shared" si="116"/>
        <v>0</v>
      </c>
      <c r="K102" s="109">
        <f>SUMIFS(Ações!$J$66,Ações!$N$66,Patrimônio!B102,Ações!$E$66,"Provento")</f>
        <v>0</v>
      </c>
      <c r="L102" s="109">
        <f>SUMIFS(BDRs!$J$66,BDRs!$E$66,"Provento",BDRs!$N$66,Patrimônio!B102)</f>
        <v>0</v>
      </c>
      <c r="M102" s="109">
        <f>SUMIFS(FIIs!$J$66,FIIs!$E$66,"Provento",FIIs!$N$66,Patrimônio!B102)</f>
        <v>0</v>
      </c>
      <c r="N102" s="109">
        <f t="shared" si="2"/>
        <v>0</v>
      </c>
      <c r="O102" s="109"/>
      <c r="Q102" s="154"/>
      <c r="R102" s="155" t="s">
        <v>262</v>
      </c>
      <c r="S102" s="156">
        <v>0</v>
      </c>
    </row>
    <row r="103" spans="1:19" ht="17.25" customHeight="1">
      <c r="A103" s="108">
        <v>47665</v>
      </c>
      <c r="B103" s="108">
        <f t="shared" si="0"/>
        <v>47664</v>
      </c>
      <c r="C103" s="109"/>
      <c r="D103" s="109"/>
      <c r="E103" s="109"/>
      <c r="F103" s="109"/>
      <c r="G103" s="109"/>
      <c r="H103" s="109"/>
      <c r="I103" s="109">
        <f t="shared" ref="I103:J103" si="117">SUM(C103,E103,G103)</f>
        <v>0</v>
      </c>
      <c r="J103" s="109">
        <f t="shared" si="117"/>
        <v>0</v>
      </c>
      <c r="K103" s="109">
        <f>SUMIFS(Ações!$J$66,Ações!$N$66,Patrimônio!B103,Ações!$E$66,"Provento")</f>
        <v>0</v>
      </c>
      <c r="L103" s="109">
        <f>SUMIFS(BDRs!$J$66,BDRs!$E$66,"Provento",BDRs!$N$66,Patrimônio!B103)</f>
        <v>0</v>
      </c>
      <c r="M103" s="109">
        <f>SUMIFS(FIIs!$J$66,FIIs!$E$66,"Provento",FIIs!$N$66,Patrimônio!B103)</f>
        <v>0</v>
      </c>
      <c r="N103" s="109">
        <f t="shared" si="2"/>
        <v>0</v>
      </c>
      <c r="O103" s="109"/>
      <c r="Q103" s="154"/>
      <c r="R103" s="155" t="s">
        <v>263</v>
      </c>
      <c r="S103" s="156">
        <v>0</v>
      </c>
    </row>
    <row r="104" spans="1:19" ht="17.25" customHeight="1">
      <c r="A104" s="108">
        <v>47696</v>
      </c>
      <c r="B104" s="108">
        <f t="shared" si="0"/>
        <v>47695</v>
      </c>
      <c r="C104" s="109"/>
      <c r="D104" s="109"/>
      <c r="E104" s="109"/>
      <c r="F104" s="109"/>
      <c r="G104" s="109"/>
      <c r="H104" s="109"/>
      <c r="I104" s="109">
        <f t="shared" ref="I104:J104" si="118">SUM(C104,E104,G104)</f>
        <v>0</v>
      </c>
      <c r="J104" s="109">
        <f t="shared" si="118"/>
        <v>0</v>
      </c>
      <c r="K104" s="109">
        <f>SUMIFS(Ações!$J$66,Ações!$N$66,Patrimônio!B104,Ações!$E$66,"Provento")</f>
        <v>0</v>
      </c>
      <c r="L104" s="109">
        <f>SUMIFS(BDRs!$J$66,BDRs!$E$66,"Provento",BDRs!$N$66,Patrimônio!B104)</f>
        <v>0</v>
      </c>
      <c r="M104" s="109">
        <f>SUMIFS(FIIs!$J$66,FIIs!$E$66,"Provento",FIIs!$N$66,Patrimônio!B104)</f>
        <v>0</v>
      </c>
      <c r="N104" s="109">
        <f t="shared" si="2"/>
        <v>0</v>
      </c>
      <c r="O104" s="109"/>
      <c r="Q104" s="154"/>
      <c r="R104" s="155" t="s">
        <v>264</v>
      </c>
      <c r="S104" s="156">
        <v>0</v>
      </c>
    </row>
    <row r="105" spans="1:19" ht="17.25" customHeight="1">
      <c r="A105" s="108">
        <v>47727</v>
      </c>
      <c r="B105" s="108">
        <f t="shared" si="0"/>
        <v>47726</v>
      </c>
      <c r="C105" s="109"/>
      <c r="D105" s="109"/>
      <c r="E105" s="109"/>
      <c r="F105" s="109"/>
      <c r="G105" s="109"/>
      <c r="H105" s="109"/>
      <c r="I105" s="109">
        <f t="shared" ref="I105:J105" si="119">SUM(C105,E105,G105)</f>
        <v>0</v>
      </c>
      <c r="J105" s="109">
        <f t="shared" si="119"/>
        <v>0</v>
      </c>
      <c r="K105" s="109">
        <f>SUMIFS(Ações!$J$66,Ações!$N$66,Patrimônio!B105,Ações!$E$66,"Provento")</f>
        <v>0</v>
      </c>
      <c r="L105" s="109">
        <f>SUMIFS(BDRs!$J$66,BDRs!$E$66,"Provento",BDRs!$N$66,Patrimônio!B105)</f>
        <v>0</v>
      </c>
      <c r="M105" s="109">
        <f>SUMIFS(FIIs!$J$66,FIIs!$E$66,"Provento",FIIs!$N$66,Patrimônio!B105)</f>
        <v>0</v>
      </c>
      <c r="N105" s="109">
        <f t="shared" si="2"/>
        <v>0</v>
      </c>
      <c r="O105" s="109"/>
      <c r="Q105" s="154"/>
      <c r="R105" s="155" t="s">
        <v>265</v>
      </c>
      <c r="S105" s="156">
        <v>0</v>
      </c>
    </row>
    <row r="106" spans="1:19" ht="17.25" customHeight="1">
      <c r="A106" s="108">
        <v>47757</v>
      </c>
      <c r="B106" s="108">
        <f t="shared" si="0"/>
        <v>47756</v>
      </c>
      <c r="C106" s="109"/>
      <c r="D106" s="109"/>
      <c r="E106" s="109"/>
      <c r="F106" s="109"/>
      <c r="G106" s="109"/>
      <c r="H106" s="109"/>
      <c r="I106" s="109">
        <f t="shared" ref="I106:J106" si="120">SUM(C106,E106,G106)</f>
        <v>0</v>
      </c>
      <c r="J106" s="109">
        <f t="shared" si="120"/>
        <v>0</v>
      </c>
      <c r="K106" s="109">
        <f>SUMIFS(Ações!$J$66,Ações!$N$66,Patrimônio!B106,Ações!$E$66,"Provento")</f>
        <v>0</v>
      </c>
      <c r="L106" s="109">
        <f>SUMIFS(BDRs!$J$66,BDRs!$E$66,"Provento",BDRs!$N$66,Patrimônio!B106)</f>
        <v>0</v>
      </c>
      <c r="M106" s="109">
        <f>SUMIFS(FIIs!$J$66,FIIs!$E$66,"Provento",FIIs!$N$66,Patrimônio!B106)</f>
        <v>0</v>
      </c>
      <c r="N106" s="109">
        <f t="shared" si="2"/>
        <v>0</v>
      </c>
      <c r="O106" s="109"/>
      <c r="Q106" s="154"/>
      <c r="R106" s="155" t="s">
        <v>266</v>
      </c>
      <c r="S106" s="156">
        <v>0</v>
      </c>
    </row>
    <row r="107" spans="1:19" ht="17.25" customHeight="1">
      <c r="A107" s="108">
        <v>47788</v>
      </c>
      <c r="B107" s="108">
        <f t="shared" si="0"/>
        <v>47787</v>
      </c>
      <c r="C107" s="109"/>
      <c r="D107" s="109"/>
      <c r="E107" s="109"/>
      <c r="F107" s="109"/>
      <c r="G107" s="109"/>
      <c r="H107" s="109"/>
      <c r="I107" s="109">
        <f t="shared" ref="I107:J107" si="121">SUM(C107,E107,G107)</f>
        <v>0</v>
      </c>
      <c r="J107" s="109">
        <f t="shared" si="121"/>
        <v>0</v>
      </c>
      <c r="K107" s="109">
        <f>SUMIFS(Ações!$J$66,Ações!$N$66,Patrimônio!B107,Ações!$E$66,"Provento")</f>
        <v>0</v>
      </c>
      <c r="L107" s="109">
        <f>SUMIFS(BDRs!$J$66,BDRs!$E$66,"Provento",BDRs!$N$66,Patrimônio!B107)</f>
        <v>0</v>
      </c>
      <c r="M107" s="109">
        <f>SUMIFS(FIIs!$J$66,FIIs!$E$66,"Provento",FIIs!$N$66,Patrimônio!B107)</f>
        <v>0</v>
      </c>
      <c r="N107" s="109">
        <f t="shared" si="2"/>
        <v>0</v>
      </c>
      <c r="O107" s="109"/>
      <c r="Q107" s="154"/>
      <c r="R107" s="155" t="s">
        <v>267</v>
      </c>
      <c r="S107" s="156">
        <v>0</v>
      </c>
    </row>
    <row r="108" spans="1:19" ht="17.25" customHeight="1">
      <c r="A108" s="108">
        <v>47818</v>
      </c>
      <c r="B108" s="108">
        <f t="shared" si="0"/>
        <v>47817</v>
      </c>
      <c r="C108" s="109"/>
      <c r="D108" s="109"/>
      <c r="E108" s="109"/>
      <c r="F108" s="109"/>
      <c r="G108" s="109"/>
      <c r="H108" s="109"/>
      <c r="I108" s="109">
        <f t="shared" ref="I108:J108" si="122">SUM(C108,E108,G108)</f>
        <v>0</v>
      </c>
      <c r="J108" s="109">
        <f t="shared" si="122"/>
        <v>0</v>
      </c>
      <c r="K108" s="109">
        <f>SUMIFS(Ações!$J$66,Ações!$N$66,Patrimônio!B108,Ações!$E$66,"Provento")</f>
        <v>0</v>
      </c>
      <c r="L108" s="109">
        <f>SUMIFS(BDRs!$J$66,BDRs!$E$66,"Provento",BDRs!$N$66,Patrimônio!B108)</f>
        <v>0</v>
      </c>
      <c r="M108" s="109">
        <f>SUMIFS(FIIs!$J$66,FIIs!$E$66,"Provento",FIIs!$N$66,Patrimônio!B108)</f>
        <v>0</v>
      </c>
      <c r="N108" s="109">
        <f t="shared" si="2"/>
        <v>0</v>
      </c>
      <c r="O108" s="109"/>
      <c r="Q108" s="154"/>
      <c r="R108" s="155" t="s">
        <v>268</v>
      </c>
      <c r="S108" s="156">
        <v>0</v>
      </c>
    </row>
    <row r="109" spans="1:19" ht="17.25" customHeight="1">
      <c r="A109" s="108">
        <v>47849</v>
      </c>
      <c r="B109" s="108">
        <f t="shared" si="0"/>
        <v>47848</v>
      </c>
      <c r="C109" s="109"/>
      <c r="D109" s="109"/>
      <c r="E109" s="109"/>
      <c r="F109" s="109"/>
      <c r="G109" s="109"/>
      <c r="H109" s="109"/>
      <c r="I109" s="109">
        <f t="shared" ref="I109:J109" si="123">SUM(C109,E109,G109)</f>
        <v>0</v>
      </c>
      <c r="J109" s="109">
        <f t="shared" si="123"/>
        <v>0</v>
      </c>
      <c r="K109" s="109">
        <f>SUMIFS(Ações!$J$66,Ações!$N$66,Patrimônio!B109,Ações!$E$66,"Provento")</f>
        <v>0</v>
      </c>
      <c r="L109" s="109">
        <f>SUMIFS(BDRs!$J$66,BDRs!$E$66,"Provento",BDRs!$N$66,Patrimônio!B109)</f>
        <v>0</v>
      </c>
      <c r="M109" s="109">
        <f>SUMIFS(FIIs!$J$66,FIIs!$E$66,"Provento",FIIs!$N$66,Patrimônio!B109)</f>
        <v>0</v>
      </c>
      <c r="N109" s="109">
        <f t="shared" si="2"/>
        <v>0</v>
      </c>
      <c r="O109" s="109"/>
      <c r="Q109" s="154"/>
      <c r="R109" s="155" t="s">
        <v>269</v>
      </c>
      <c r="S109" s="156">
        <v>0</v>
      </c>
    </row>
    <row r="110" spans="1:19" ht="17.25" customHeight="1">
      <c r="A110" s="108">
        <v>47880</v>
      </c>
      <c r="B110" s="108">
        <f t="shared" si="0"/>
        <v>47879</v>
      </c>
      <c r="C110" s="109"/>
      <c r="D110" s="109"/>
      <c r="E110" s="109"/>
      <c r="F110" s="109"/>
      <c r="G110" s="109"/>
      <c r="H110" s="109"/>
      <c r="I110" s="109">
        <f t="shared" ref="I110:J110" si="124">SUM(C110,E110,G110)</f>
        <v>0</v>
      </c>
      <c r="J110" s="109">
        <f t="shared" si="124"/>
        <v>0</v>
      </c>
      <c r="K110" s="109">
        <f>SUMIFS(Ações!$J$66,Ações!$N$66,Patrimônio!B110,Ações!$E$66,"Provento")</f>
        <v>0</v>
      </c>
      <c r="L110" s="109">
        <f>SUMIFS(BDRs!$J$66,BDRs!$E$66,"Provento",BDRs!$N$66,Patrimônio!B110)</f>
        <v>0</v>
      </c>
      <c r="M110" s="109">
        <f>SUMIFS(FIIs!$J$66,FIIs!$E$66,"Provento",FIIs!$N$66,Patrimônio!B110)</f>
        <v>0</v>
      </c>
      <c r="N110" s="109">
        <f t="shared" si="2"/>
        <v>0</v>
      </c>
      <c r="O110" s="109"/>
      <c r="Q110" s="154"/>
      <c r="R110" s="155" t="s">
        <v>270</v>
      </c>
      <c r="S110" s="156">
        <v>0</v>
      </c>
    </row>
    <row r="111" spans="1:19" ht="17.25" customHeight="1">
      <c r="A111" s="108">
        <v>47908</v>
      </c>
      <c r="B111" s="108">
        <f t="shared" si="0"/>
        <v>47907</v>
      </c>
      <c r="C111" s="109"/>
      <c r="D111" s="109"/>
      <c r="E111" s="109"/>
      <c r="F111" s="109"/>
      <c r="G111" s="109"/>
      <c r="H111" s="109"/>
      <c r="I111" s="109">
        <f t="shared" ref="I111:J111" si="125">SUM(C111,E111,G111)</f>
        <v>0</v>
      </c>
      <c r="J111" s="109">
        <f t="shared" si="125"/>
        <v>0</v>
      </c>
      <c r="K111" s="109">
        <f>SUMIFS(Ações!$J$66,Ações!$N$66,Patrimônio!B111,Ações!$E$66,"Provento")</f>
        <v>0</v>
      </c>
      <c r="L111" s="109">
        <f>SUMIFS(BDRs!$J$66,BDRs!$E$66,"Provento",BDRs!$N$66,Patrimônio!B111)</f>
        <v>0</v>
      </c>
      <c r="M111" s="109">
        <f>SUMIFS(FIIs!$J$66,FIIs!$E$66,"Provento",FIIs!$N$66,Patrimônio!B111)</f>
        <v>0</v>
      </c>
      <c r="N111" s="109">
        <f t="shared" si="2"/>
        <v>0</v>
      </c>
      <c r="O111" s="109"/>
      <c r="Q111" s="154"/>
      <c r="R111" s="155" t="s">
        <v>271</v>
      </c>
      <c r="S111" s="156">
        <v>0</v>
      </c>
    </row>
    <row r="112" spans="1:19" ht="17.25" customHeight="1">
      <c r="A112" s="108">
        <v>47939</v>
      </c>
      <c r="B112" s="108">
        <f t="shared" si="0"/>
        <v>47938</v>
      </c>
      <c r="C112" s="109"/>
      <c r="D112" s="109"/>
      <c r="E112" s="109"/>
      <c r="F112" s="109"/>
      <c r="G112" s="109"/>
      <c r="H112" s="109"/>
      <c r="I112" s="109">
        <f t="shared" ref="I112:J112" si="126">SUM(C112,E112,G112)</f>
        <v>0</v>
      </c>
      <c r="J112" s="109">
        <f t="shared" si="126"/>
        <v>0</v>
      </c>
      <c r="K112" s="109">
        <f>SUMIFS(Ações!$J$66,Ações!$N$66,Patrimônio!B112,Ações!$E$66,"Provento")</f>
        <v>0</v>
      </c>
      <c r="L112" s="109">
        <f>SUMIFS(BDRs!$J$66,BDRs!$E$66,"Provento",BDRs!$N$66,Patrimônio!B112)</f>
        <v>0</v>
      </c>
      <c r="M112" s="109">
        <f>SUMIFS(FIIs!$J$66,FIIs!$E$66,"Provento",FIIs!$N$66,Patrimônio!B112)</f>
        <v>0</v>
      </c>
      <c r="N112" s="109">
        <f t="shared" si="2"/>
        <v>0</v>
      </c>
      <c r="O112" s="109"/>
      <c r="Q112" s="154"/>
      <c r="R112" s="155" t="s">
        <v>272</v>
      </c>
      <c r="S112" s="156">
        <v>0</v>
      </c>
    </row>
    <row r="113" spans="1:19" ht="17.25" customHeight="1">
      <c r="A113" s="108">
        <v>47969</v>
      </c>
      <c r="B113" s="108">
        <f t="shared" si="0"/>
        <v>47968</v>
      </c>
      <c r="C113" s="109"/>
      <c r="D113" s="109"/>
      <c r="E113" s="109"/>
      <c r="F113" s="109"/>
      <c r="G113" s="109"/>
      <c r="H113" s="109"/>
      <c r="I113" s="109">
        <f t="shared" ref="I113:J113" si="127">SUM(C113,E113,G113)</f>
        <v>0</v>
      </c>
      <c r="J113" s="109">
        <f t="shared" si="127"/>
        <v>0</v>
      </c>
      <c r="K113" s="109">
        <f>SUMIFS(Ações!$J$66,Ações!$N$66,Patrimônio!B113,Ações!$E$66,"Provento")</f>
        <v>0</v>
      </c>
      <c r="L113" s="109">
        <f>SUMIFS(BDRs!$J$66,BDRs!$E$66,"Provento",BDRs!$N$66,Patrimônio!B113)</f>
        <v>0</v>
      </c>
      <c r="M113" s="109">
        <f>SUMIFS(FIIs!$J$66,FIIs!$E$66,"Provento",FIIs!$N$66,Patrimônio!B113)</f>
        <v>0</v>
      </c>
      <c r="N113" s="109">
        <f t="shared" si="2"/>
        <v>0</v>
      </c>
      <c r="O113" s="109"/>
      <c r="Q113" s="151" t="s">
        <v>104</v>
      </c>
      <c r="R113" s="157"/>
      <c r="S113" s="153">
        <v>0</v>
      </c>
    </row>
    <row r="114" spans="1:19" ht="17.25" customHeight="1">
      <c r="A114" s="108">
        <v>48000</v>
      </c>
      <c r="B114" s="108">
        <f t="shared" si="0"/>
        <v>47999</v>
      </c>
      <c r="C114" s="109"/>
      <c r="D114" s="109"/>
      <c r="E114" s="109"/>
      <c r="F114" s="109"/>
      <c r="G114" s="109"/>
      <c r="H114" s="109"/>
      <c r="I114" s="109">
        <f t="shared" ref="I114:J114" si="128">SUM(C114,E114,G114)</f>
        <v>0</v>
      </c>
      <c r="J114" s="109">
        <f t="shared" si="128"/>
        <v>0</v>
      </c>
      <c r="K114" s="109">
        <f>SUMIFS(Ações!$J$66,Ações!$N$66,Patrimônio!B114,Ações!$E$66,"Provento")</f>
        <v>0</v>
      </c>
      <c r="L114" s="109">
        <f>SUMIFS(BDRs!$J$66,BDRs!$E$66,"Provento",BDRs!$N$66,Patrimônio!B114)</f>
        <v>0</v>
      </c>
      <c r="M114" s="109">
        <f>SUMIFS(FIIs!$J$66,FIIs!$E$66,"Provento",FIIs!$N$66,Patrimônio!B114)</f>
        <v>0</v>
      </c>
      <c r="N114" s="109">
        <f t="shared" si="2"/>
        <v>0</v>
      </c>
      <c r="O114" s="109"/>
      <c r="Q114" s="151" t="s">
        <v>105</v>
      </c>
      <c r="R114" s="152" t="s">
        <v>261</v>
      </c>
      <c r="S114" s="153">
        <v>0</v>
      </c>
    </row>
    <row r="115" spans="1:19" ht="17.25" customHeight="1">
      <c r="A115" s="108">
        <v>48030</v>
      </c>
      <c r="B115" s="108">
        <f t="shared" si="0"/>
        <v>48029</v>
      </c>
      <c r="C115" s="109"/>
      <c r="D115" s="109"/>
      <c r="E115" s="109"/>
      <c r="F115" s="109"/>
      <c r="G115" s="109"/>
      <c r="H115" s="109"/>
      <c r="I115" s="109">
        <f t="shared" ref="I115:J115" si="129">SUM(C115,E115,G115)</f>
        <v>0</v>
      </c>
      <c r="J115" s="109">
        <f t="shared" si="129"/>
        <v>0</v>
      </c>
      <c r="K115" s="109">
        <f>SUMIFS(Ações!$J$66,Ações!$N$66,Patrimônio!B115,Ações!$E$66,"Provento")</f>
        <v>0</v>
      </c>
      <c r="L115" s="109">
        <f>SUMIFS(BDRs!$J$66,BDRs!$E$66,"Provento",BDRs!$N$66,Patrimônio!B115)</f>
        <v>0</v>
      </c>
      <c r="M115" s="109">
        <f>SUMIFS(FIIs!$J$66,FIIs!$E$66,"Provento",FIIs!$N$66,Patrimônio!B115)</f>
        <v>0</v>
      </c>
      <c r="N115" s="109">
        <f t="shared" si="2"/>
        <v>0</v>
      </c>
      <c r="O115" s="109"/>
      <c r="Q115" s="154"/>
      <c r="R115" s="155" t="s">
        <v>262</v>
      </c>
      <c r="S115" s="156">
        <v>0</v>
      </c>
    </row>
    <row r="116" spans="1:19" ht="17.25" customHeight="1">
      <c r="A116" s="108">
        <v>48061</v>
      </c>
      <c r="B116" s="108">
        <f t="shared" si="0"/>
        <v>48060</v>
      </c>
      <c r="C116" s="109"/>
      <c r="D116" s="109"/>
      <c r="E116" s="109"/>
      <c r="F116" s="109"/>
      <c r="G116" s="109"/>
      <c r="H116" s="109"/>
      <c r="I116" s="109">
        <f t="shared" ref="I116:J116" si="130">SUM(C116,E116,G116)</f>
        <v>0</v>
      </c>
      <c r="J116" s="109">
        <f t="shared" si="130"/>
        <v>0</v>
      </c>
      <c r="K116" s="109">
        <f>SUMIFS(Ações!$J$66,Ações!$N$66,Patrimônio!B116,Ações!$E$66,"Provento")</f>
        <v>0</v>
      </c>
      <c r="L116" s="109">
        <f>SUMIFS(BDRs!$J$66,BDRs!$E$66,"Provento",BDRs!$N$66,Patrimônio!B116)</f>
        <v>0</v>
      </c>
      <c r="M116" s="109">
        <f>SUMIFS(FIIs!$J$66,FIIs!$E$66,"Provento",FIIs!$N$66,Patrimônio!B116)</f>
        <v>0</v>
      </c>
      <c r="N116" s="109">
        <f t="shared" si="2"/>
        <v>0</v>
      </c>
      <c r="O116" s="109"/>
      <c r="Q116" s="154"/>
      <c r="R116" s="155" t="s">
        <v>263</v>
      </c>
      <c r="S116" s="156">
        <v>0</v>
      </c>
    </row>
    <row r="117" spans="1:19" ht="17.25" customHeight="1">
      <c r="A117" s="108">
        <v>48092</v>
      </c>
      <c r="B117" s="108">
        <f t="shared" si="0"/>
        <v>48091</v>
      </c>
      <c r="C117" s="109"/>
      <c r="D117" s="109"/>
      <c r="E117" s="109"/>
      <c r="F117" s="109"/>
      <c r="G117" s="109"/>
      <c r="H117" s="109"/>
      <c r="I117" s="109">
        <f t="shared" ref="I117:J117" si="131">SUM(C117,E117,G117)</f>
        <v>0</v>
      </c>
      <c r="J117" s="109">
        <f t="shared" si="131"/>
        <v>0</v>
      </c>
      <c r="K117" s="109">
        <f>SUMIFS(Ações!$J$66,Ações!$N$66,Patrimônio!B117,Ações!$E$66,"Provento")</f>
        <v>0</v>
      </c>
      <c r="L117" s="109">
        <f>SUMIFS(BDRs!$J$66,BDRs!$E$66,"Provento",BDRs!$N$66,Patrimônio!B117)</f>
        <v>0</v>
      </c>
      <c r="M117" s="109">
        <f>SUMIFS(FIIs!$J$66,FIIs!$E$66,"Provento",FIIs!$N$66,Patrimônio!B117)</f>
        <v>0</v>
      </c>
      <c r="N117" s="109">
        <f t="shared" si="2"/>
        <v>0</v>
      </c>
      <c r="O117" s="109"/>
      <c r="Q117" s="154"/>
      <c r="R117" s="155" t="s">
        <v>264</v>
      </c>
      <c r="S117" s="156">
        <v>0</v>
      </c>
    </row>
    <row r="118" spans="1:19" ht="17.25" customHeight="1">
      <c r="A118" s="108">
        <v>48122</v>
      </c>
      <c r="B118" s="108">
        <f t="shared" si="0"/>
        <v>48121</v>
      </c>
      <c r="C118" s="109"/>
      <c r="D118" s="109"/>
      <c r="E118" s="109"/>
      <c r="F118" s="109"/>
      <c r="G118" s="109"/>
      <c r="H118" s="109"/>
      <c r="I118" s="109">
        <f t="shared" ref="I118:J118" si="132">SUM(C118,E118,G118)</f>
        <v>0</v>
      </c>
      <c r="J118" s="109">
        <f t="shared" si="132"/>
        <v>0</v>
      </c>
      <c r="K118" s="109">
        <f>SUMIFS(Ações!$J$66,Ações!$N$66,Patrimônio!B118,Ações!$E$66,"Provento")</f>
        <v>0</v>
      </c>
      <c r="L118" s="109">
        <f>SUMIFS(BDRs!$J$66,BDRs!$E$66,"Provento",BDRs!$N$66,Patrimônio!B118)</f>
        <v>0</v>
      </c>
      <c r="M118" s="109">
        <f>SUMIFS(FIIs!$J$66,FIIs!$E$66,"Provento",FIIs!$N$66,Patrimônio!B118)</f>
        <v>0</v>
      </c>
      <c r="N118" s="109">
        <f t="shared" si="2"/>
        <v>0</v>
      </c>
      <c r="O118" s="109"/>
      <c r="Q118" s="154"/>
      <c r="R118" s="155" t="s">
        <v>265</v>
      </c>
      <c r="S118" s="156">
        <v>0</v>
      </c>
    </row>
    <row r="119" spans="1:19" ht="17.25" customHeight="1">
      <c r="A119" s="108">
        <v>48153</v>
      </c>
      <c r="B119" s="108">
        <f t="shared" si="0"/>
        <v>48152</v>
      </c>
      <c r="C119" s="109"/>
      <c r="D119" s="109"/>
      <c r="E119" s="109"/>
      <c r="F119" s="109"/>
      <c r="G119" s="109"/>
      <c r="H119" s="109"/>
      <c r="I119" s="109">
        <f t="shared" ref="I119:J119" si="133">SUM(C119,E119,G119)</f>
        <v>0</v>
      </c>
      <c r="J119" s="109">
        <f t="shared" si="133"/>
        <v>0</v>
      </c>
      <c r="K119" s="109">
        <f>SUMIFS(Ações!$J$66,Ações!$N$66,Patrimônio!B119,Ações!$E$66,"Provento")</f>
        <v>0</v>
      </c>
      <c r="L119" s="109">
        <f>SUMIFS(BDRs!$J$66,BDRs!$E$66,"Provento",BDRs!$N$66,Patrimônio!B119)</f>
        <v>0</v>
      </c>
      <c r="M119" s="109">
        <f>SUMIFS(FIIs!$J$66,FIIs!$E$66,"Provento",FIIs!$N$66,Patrimônio!B119)</f>
        <v>0</v>
      </c>
      <c r="N119" s="109">
        <f t="shared" si="2"/>
        <v>0</v>
      </c>
      <c r="O119" s="109"/>
      <c r="Q119" s="154"/>
      <c r="R119" s="155" t="s">
        <v>266</v>
      </c>
      <c r="S119" s="156">
        <v>0</v>
      </c>
    </row>
    <row r="120" spans="1:19" ht="17.25" customHeight="1">
      <c r="A120" s="108">
        <v>48183</v>
      </c>
      <c r="B120" s="108">
        <f t="shared" si="0"/>
        <v>48182</v>
      </c>
      <c r="C120" s="109"/>
      <c r="D120" s="109"/>
      <c r="E120" s="109"/>
      <c r="F120" s="109"/>
      <c r="G120" s="109"/>
      <c r="H120" s="109"/>
      <c r="I120" s="109">
        <f t="shared" ref="I120:J120" si="134">SUM(C120,E120,G120)</f>
        <v>0</v>
      </c>
      <c r="J120" s="109">
        <f t="shared" si="134"/>
        <v>0</v>
      </c>
      <c r="K120" s="109">
        <f>SUMIFS(Ações!$J$66,Ações!$N$66,Patrimônio!B120,Ações!$E$66,"Provento")</f>
        <v>0</v>
      </c>
      <c r="L120" s="109">
        <f>SUMIFS(BDRs!$J$66,BDRs!$E$66,"Provento",BDRs!$N$66,Patrimônio!B120)</f>
        <v>0</v>
      </c>
      <c r="M120" s="109">
        <f>SUMIFS(FIIs!$J$66,FIIs!$E$66,"Provento",FIIs!$N$66,Patrimônio!B120)</f>
        <v>0</v>
      </c>
      <c r="N120" s="109">
        <f t="shared" si="2"/>
        <v>0</v>
      </c>
      <c r="O120" s="109"/>
      <c r="Q120" s="154"/>
      <c r="R120" s="155" t="s">
        <v>267</v>
      </c>
      <c r="S120" s="156">
        <v>0</v>
      </c>
    </row>
    <row r="121" spans="1:19" ht="17.25" customHeight="1">
      <c r="A121" s="108">
        <v>48214</v>
      </c>
      <c r="B121" s="108">
        <f t="shared" si="0"/>
        <v>48213</v>
      </c>
      <c r="C121" s="109"/>
      <c r="D121" s="109"/>
      <c r="E121" s="109"/>
      <c r="F121" s="109"/>
      <c r="G121" s="109"/>
      <c r="H121" s="109"/>
      <c r="I121" s="109">
        <f t="shared" ref="I121:J121" si="135">SUM(C121,E121,G121)</f>
        <v>0</v>
      </c>
      <c r="J121" s="109">
        <f t="shared" si="135"/>
        <v>0</v>
      </c>
      <c r="K121" s="109">
        <f>SUMIFS(Ações!$J$66,Ações!$N$66,Patrimônio!B121,Ações!$E$66,"Provento")</f>
        <v>0</v>
      </c>
      <c r="L121" s="109">
        <f>SUMIFS(BDRs!$J$66,BDRs!$E$66,"Provento",BDRs!$N$66,Patrimônio!B121)</f>
        <v>0</v>
      </c>
      <c r="M121" s="109">
        <f>SUMIFS(FIIs!$J$66,FIIs!$E$66,"Provento",FIIs!$N$66,Patrimônio!B121)</f>
        <v>0</v>
      </c>
      <c r="N121" s="109">
        <f t="shared" si="2"/>
        <v>0</v>
      </c>
      <c r="O121" s="109"/>
      <c r="Q121" s="154"/>
      <c r="R121" s="155" t="s">
        <v>268</v>
      </c>
      <c r="S121" s="156">
        <v>0</v>
      </c>
    </row>
    <row r="122" spans="1:19" ht="17.25" customHeight="1">
      <c r="A122" s="108">
        <v>48245</v>
      </c>
      <c r="B122" s="108">
        <f t="shared" si="0"/>
        <v>48244</v>
      </c>
      <c r="C122" s="109"/>
      <c r="D122" s="109"/>
      <c r="E122" s="109"/>
      <c r="F122" s="109"/>
      <c r="G122" s="109"/>
      <c r="H122" s="109"/>
      <c r="I122" s="109">
        <f t="shared" ref="I122:J122" si="136">SUM(C122,E122,G122)</f>
        <v>0</v>
      </c>
      <c r="J122" s="109">
        <f t="shared" si="136"/>
        <v>0</v>
      </c>
      <c r="K122" s="109">
        <f>SUMIFS(Ações!$J$66,Ações!$N$66,Patrimônio!B122,Ações!$E$66,"Provento")</f>
        <v>0</v>
      </c>
      <c r="L122" s="109">
        <f>SUMIFS(BDRs!$J$66,BDRs!$E$66,"Provento",BDRs!$N$66,Patrimônio!B122)</f>
        <v>0</v>
      </c>
      <c r="M122" s="109">
        <f>SUMIFS(FIIs!$J$66,FIIs!$E$66,"Provento",FIIs!$N$66,Patrimônio!B122)</f>
        <v>0</v>
      </c>
      <c r="N122" s="109">
        <f t="shared" si="2"/>
        <v>0</v>
      </c>
      <c r="O122" s="109"/>
      <c r="Q122" s="154"/>
      <c r="R122" s="155" t="s">
        <v>269</v>
      </c>
      <c r="S122" s="156">
        <v>0</v>
      </c>
    </row>
    <row r="123" spans="1:19" ht="17.25" customHeight="1">
      <c r="A123" s="108">
        <v>48274</v>
      </c>
      <c r="B123" s="108">
        <f t="shared" si="0"/>
        <v>48273</v>
      </c>
      <c r="C123" s="109"/>
      <c r="D123" s="109"/>
      <c r="E123" s="109"/>
      <c r="F123" s="109"/>
      <c r="G123" s="109"/>
      <c r="H123" s="109"/>
      <c r="I123" s="109">
        <f t="shared" ref="I123:J123" si="137">SUM(C123,E123,G123)</f>
        <v>0</v>
      </c>
      <c r="J123" s="109">
        <f t="shared" si="137"/>
        <v>0</v>
      </c>
      <c r="K123" s="109">
        <f>SUMIFS(Ações!$J$66,Ações!$N$66,Patrimônio!B123,Ações!$E$66,"Provento")</f>
        <v>0</v>
      </c>
      <c r="L123" s="109">
        <f>SUMIFS(BDRs!$J$66,BDRs!$E$66,"Provento",BDRs!$N$66,Patrimônio!B123)</f>
        <v>0</v>
      </c>
      <c r="M123" s="109">
        <f>SUMIFS(FIIs!$J$66,FIIs!$E$66,"Provento",FIIs!$N$66,Patrimônio!B123)</f>
        <v>0</v>
      </c>
      <c r="N123" s="109">
        <f t="shared" si="2"/>
        <v>0</v>
      </c>
      <c r="O123" s="109"/>
      <c r="Q123" s="154"/>
      <c r="R123" s="155" t="s">
        <v>270</v>
      </c>
      <c r="S123" s="156">
        <v>0</v>
      </c>
    </row>
    <row r="124" spans="1:19" ht="17.25" customHeight="1">
      <c r="A124" s="108">
        <v>48305</v>
      </c>
      <c r="B124" s="108">
        <f t="shared" si="0"/>
        <v>48304</v>
      </c>
      <c r="C124" s="109"/>
      <c r="D124" s="109"/>
      <c r="E124" s="109"/>
      <c r="F124" s="109"/>
      <c r="G124" s="109"/>
      <c r="H124" s="109"/>
      <c r="I124" s="109">
        <f t="shared" ref="I124:J124" si="138">SUM(C124,E124,G124)</f>
        <v>0</v>
      </c>
      <c r="J124" s="109">
        <f t="shared" si="138"/>
        <v>0</v>
      </c>
      <c r="K124" s="109">
        <f>SUMIFS(Ações!$J$66,Ações!$N$66,Patrimônio!B124,Ações!$E$66,"Provento")</f>
        <v>0</v>
      </c>
      <c r="L124" s="109">
        <f>SUMIFS(BDRs!$J$66,BDRs!$E$66,"Provento",BDRs!$N$66,Patrimônio!B124)</f>
        <v>0</v>
      </c>
      <c r="M124" s="109">
        <f>SUMIFS(FIIs!$J$66,FIIs!$E$66,"Provento",FIIs!$N$66,Patrimônio!B124)</f>
        <v>0</v>
      </c>
      <c r="N124" s="109">
        <f t="shared" si="2"/>
        <v>0</v>
      </c>
      <c r="O124" s="109"/>
      <c r="Q124" s="154"/>
      <c r="R124" s="155" t="s">
        <v>271</v>
      </c>
      <c r="S124" s="156">
        <v>0</v>
      </c>
    </row>
    <row r="125" spans="1:19" ht="17.25" customHeight="1">
      <c r="A125" s="108">
        <v>48335</v>
      </c>
      <c r="B125" s="108">
        <f t="shared" si="0"/>
        <v>48334</v>
      </c>
      <c r="C125" s="109"/>
      <c r="D125" s="109"/>
      <c r="E125" s="109"/>
      <c r="F125" s="109"/>
      <c r="G125" s="109"/>
      <c r="H125" s="109"/>
      <c r="I125" s="109">
        <f t="shared" ref="I125:J125" si="139">SUM(C125,E125,G125)</f>
        <v>0</v>
      </c>
      <c r="J125" s="109">
        <f t="shared" si="139"/>
        <v>0</v>
      </c>
      <c r="K125" s="109">
        <f>SUMIFS(Ações!$J$66,Ações!$N$66,Patrimônio!B125,Ações!$E$66,"Provento")</f>
        <v>0</v>
      </c>
      <c r="L125" s="109">
        <f>SUMIFS(BDRs!$J$66,BDRs!$E$66,"Provento",BDRs!$N$66,Patrimônio!B125)</f>
        <v>0</v>
      </c>
      <c r="M125" s="109">
        <f>SUMIFS(FIIs!$J$66,FIIs!$E$66,"Provento",FIIs!$N$66,Patrimônio!B125)</f>
        <v>0</v>
      </c>
      <c r="N125" s="109">
        <f t="shared" si="2"/>
        <v>0</v>
      </c>
      <c r="O125" s="109"/>
      <c r="Q125" s="154"/>
      <c r="R125" s="155" t="s">
        <v>272</v>
      </c>
      <c r="S125" s="156">
        <v>0</v>
      </c>
    </row>
    <row r="126" spans="1:19" ht="17.25" customHeight="1">
      <c r="A126" s="108">
        <v>48366</v>
      </c>
      <c r="B126" s="108">
        <f t="shared" si="0"/>
        <v>48365</v>
      </c>
      <c r="C126" s="109"/>
      <c r="D126" s="109"/>
      <c r="E126" s="109"/>
      <c r="F126" s="109"/>
      <c r="G126" s="109"/>
      <c r="H126" s="109"/>
      <c r="I126" s="109">
        <f t="shared" ref="I126:J126" si="140">SUM(C126,E126,G126)</f>
        <v>0</v>
      </c>
      <c r="J126" s="109">
        <f t="shared" si="140"/>
        <v>0</v>
      </c>
      <c r="K126" s="109">
        <f>SUMIFS(Ações!$J$66,Ações!$N$66,Patrimônio!B126,Ações!$E$66,"Provento")</f>
        <v>0</v>
      </c>
      <c r="L126" s="109">
        <f>SUMIFS(BDRs!$J$66,BDRs!$E$66,"Provento",BDRs!$N$66,Patrimônio!B126)</f>
        <v>0</v>
      </c>
      <c r="M126" s="109">
        <f>SUMIFS(FIIs!$J$66,FIIs!$E$66,"Provento",FIIs!$N$66,Patrimônio!B126)</f>
        <v>0</v>
      </c>
      <c r="N126" s="109">
        <f t="shared" si="2"/>
        <v>0</v>
      </c>
      <c r="O126" s="109"/>
      <c r="Q126" s="151" t="s">
        <v>106</v>
      </c>
      <c r="R126" s="157"/>
      <c r="S126" s="153">
        <v>0</v>
      </c>
    </row>
    <row r="127" spans="1:19" ht="17.25" customHeight="1">
      <c r="A127" s="108">
        <v>48396</v>
      </c>
      <c r="B127" s="108">
        <f t="shared" si="0"/>
        <v>48395</v>
      </c>
      <c r="C127" s="109"/>
      <c r="D127" s="109"/>
      <c r="E127" s="109"/>
      <c r="F127" s="109"/>
      <c r="G127" s="109"/>
      <c r="H127" s="109"/>
      <c r="I127" s="109">
        <f t="shared" ref="I127:J127" si="141">SUM(C127,E127,G127)</f>
        <v>0</v>
      </c>
      <c r="J127" s="109">
        <f t="shared" si="141"/>
        <v>0</v>
      </c>
      <c r="K127" s="109">
        <f>SUMIFS(Ações!$J$66,Ações!$N$66,Patrimônio!B127,Ações!$E$66,"Provento")</f>
        <v>0</v>
      </c>
      <c r="L127" s="109">
        <f>SUMIFS(BDRs!$J$66,BDRs!$E$66,"Provento",BDRs!$N$66,Patrimônio!B127)</f>
        <v>0</v>
      </c>
      <c r="M127" s="109">
        <f>SUMIFS(FIIs!$J$66,FIIs!$E$66,"Provento",FIIs!$N$66,Patrimônio!B127)</f>
        <v>0</v>
      </c>
      <c r="N127" s="109">
        <f t="shared" si="2"/>
        <v>0</v>
      </c>
      <c r="O127" s="109"/>
      <c r="Q127" s="151" t="s">
        <v>107</v>
      </c>
      <c r="R127" s="152" t="s">
        <v>261</v>
      </c>
      <c r="S127" s="153">
        <v>0</v>
      </c>
    </row>
    <row r="128" spans="1:19" ht="17.25" customHeight="1">
      <c r="A128" s="108">
        <v>48427</v>
      </c>
      <c r="B128" s="108">
        <f t="shared" si="0"/>
        <v>48426</v>
      </c>
      <c r="C128" s="109"/>
      <c r="D128" s="109"/>
      <c r="E128" s="109"/>
      <c r="F128" s="109"/>
      <c r="G128" s="109"/>
      <c r="H128" s="109"/>
      <c r="I128" s="109">
        <f t="shared" ref="I128:J128" si="142">SUM(C128,E128,G128)</f>
        <v>0</v>
      </c>
      <c r="J128" s="109">
        <f t="shared" si="142"/>
        <v>0</v>
      </c>
      <c r="K128" s="109">
        <f>SUMIFS(Ações!$J$66,Ações!$N$66,Patrimônio!B128,Ações!$E$66,"Provento")</f>
        <v>0</v>
      </c>
      <c r="L128" s="109">
        <f>SUMIFS(BDRs!$J$66,BDRs!$E$66,"Provento",BDRs!$N$66,Patrimônio!B128)</f>
        <v>0</v>
      </c>
      <c r="M128" s="109">
        <f>SUMIFS(FIIs!$J$66,FIIs!$E$66,"Provento",FIIs!$N$66,Patrimônio!B128)</f>
        <v>0</v>
      </c>
      <c r="N128" s="109">
        <f t="shared" si="2"/>
        <v>0</v>
      </c>
      <c r="O128" s="109"/>
      <c r="Q128" s="154"/>
      <c r="R128" s="155" t="s">
        <v>262</v>
      </c>
      <c r="S128" s="156">
        <v>0</v>
      </c>
    </row>
    <row r="129" spans="1:19" ht="17.25" customHeight="1">
      <c r="A129" s="108">
        <v>48458</v>
      </c>
      <c r="B129" s="108">
        <f t="shared" si="0"/>
        <v>48457</v>
      </c>
      <c r="C129" s="109"/>
      <c r="D129" s="109"/>
      <c r="E129" s="109"/>
      <c r="F129" s="109"/>
      <c r="G129" s="109"/>
      <c r="H129" s="109"/>
      <c r="I129" s="109">
        <f t="shared" ref="I129:J129" si="143">SUM(C129,E129,G129)</f>
        <v>0</v>
      </c>
      <c r="J129" s="109">
        <f t="shared" si="143"/>
        <v>0</v>
      </c>
      <c r="K129" s="109">
        <f>SUMIFS(Ações!$J$66,Ações!$N$66,Patrimônio!B129,Ações!$E$66,"Provento")</f>
        <v>0</v>
      </c>
      <c r="L129" s="109">
        <f>SUMIFS(BDRs!$J$66,BDRs!$E$66,"Provento",BDRs!$N$66,Patrimônio!B129)</f>
        <v>0</v>
      </c>
      <c r="M129" s="109">
        <f>SUMIFS(FIIs!$J$66,FIIs!$E$66,"Provento",FIIs!$N$66,Patrimônio!B129)</f>
        <v>0</v>
      </c>
      <c r="N129" s="109">
        <f t="shared" si="2"/>
        <v>0</v>
      </c>
      <c r="O129" s="109"/>
      <c r="Q129" s="154"/>
      <c r="R129" s="155" t="s">
        <v>263</v>
      </c>
      <c r="S129" s="156">
        <v>0</v>
      </c>
    </row>
    <row r="130" spans="1:19" ht="17.25" customHeight="1">
      <c r="A130" s="108">
        <v>48488</v>
      </c>
      <c r="B130" s="108">
        <f t="shared" si="0"/>
        <v>48487</v>
      </c>
      <c r="C130" s="109"/>
      <c r="D130" s="109"/>
      <c r="E130" s="109"/>
      <c r="F130" s="109"/>
      <c r="G130" s="109"/>
      <c r="H130" s="109"/>
      <c r="I130" s="109">
        <f t="shared" ref="I130:J130" si="144">SUM(C130,E130,G130)</f>
        <v>0</v>
      </c>
      <c r="J130" s="109">
        <f t="shared" si="144"/>
        <v>0</v>
      </c>
      <c r="K130" s="109">
        <f>SUMIFS(Ações!$J$66,Ações!$N$66,Patrimônio!B130,Ações!$E$66,"Provento")</f>
        <v>0</v>
      </c>
      <c r="L130" s="109">
        <f>SUMIFS(BDRs!$J$66,BDRs!$E$66,"Provento",BDRs!$N$66,Patrimônio!B130)</f>
        <v>0</v>
      </c>
      <c r="M130" s="109">
        <f>SUMIFS(FIIs!$J$66,FIIs!$E$66,"Provento",FIIs!$N$66,Patrimônio!B130)</f>
        <v>0</v>
      </c>
      <c r="N130" s="109">
        <f t="shared" si="2"/>
        <v>0</v>
      </c>
      <c r="O130" s="109"/>
      <c r="Q130" s="154"/>
      <c r="R130" s="155" t="s">
        <v>264</v>
      </c>
      <c r="S130" s="156">
        <v>0</v>
      </c>
    </row>
    <row r="131" spans="1:19" ht="17.25" customHeight="1">
      <c r="A131" s="108">
        <v>48519</v>
      </c>
      <c r="B131" s="108">
        <f t="shared" si="0"/>
        <v>48518</v>
      </c>
      <c r="C131" s="109"/>
      <c r="D131" s="109"/>
      <c r="E131" s="109"/>
      <c r="F131" s="109"/>
      <c r="G131" s="109"/>
      <c r="H131" s="109"/>
      <c r="I131" s="109">
        <f t="shared" ref="I131:J131" si="145">SUM(C131,E131,G131)</f>
        <v>0</v>
      </c>
      <c r="J131" s="109">
        <f t="shared" si="145"/>
        <v>0</v>
      </c>
      <c r="K131" s="109">
        <f>SUMIFS(Ações!$J$66,Ações!$N$66,Patrimônio!B131,Ações!$E$66,"Provento")</f>
        <v>0</v>
      </c>
      <c r="L131" s="109">
        <f>SUMIFS(BDRs!$J$66,BDRs!$E$66,"Provento",BDRs!$N$66,Patrimônio!B131)</f>
        <v>0</v>
      </c>
      <c r="M131" s="109">
        <f>SUMIFS(FIIs!$J$66,FIIs!$E$66,"Provento",FIIs!$N$66,Patrimônio!B131)</f>
        <v>0</v>
      </c>
      <c r="N131" s="109">
        <f t="shared" si="2"/>
        <v>0</v>
      </c>
      <c r="O131" s="109"/>
      <c r="Q131" s="154"/>
      <c r="R131" s="155" t="s">
        <v>265</v>
      </c>
      <c r="S131" s="156">
        <v>0</v>
      </c>
    </row>
    <row r="132" spans="1:19" ht="17.25" customHeight="1">
      <c r="A132" s="108">
        <v>48549</v>
      </c>
      <c r="B132" s="108">
        <f t="shared" si="0"/>
        <v>48548</v>
      </c>
      <c r="C132" s="109"/>
      <c r="D132" s="109"/>
      <c r="E132" s="109"/>
      <c r="F132" s="109"/>
      <c r="G132" s="109"/>
      <c r="H132" s="109"/>
      <c r="I132" s="109">
        <f t="shared" ref="I132:J132" si="146">SUM(C132,E132,G132)</f>
        <v>0</v>
      </c>
      <c r="J132" s="109">
        <f t="shared" si="146"/>
        <v>0</v>
      </c>
      <c r="K132" s="109">
        <f>SUMIFS(Ações!$J$66,Ações!$N$66,Patrimônio!B132,Ações!$E$66,"Provento")</f>
        <v>0</v>
      </c>
      <c r="L132" s="109">
        <f>SUMIFS(BDRs!$J$66,BDRs!$E$66,"Provento",BDRs!$N$66,Patrimônio!B132)</f>
        <v>0</v>
      </c>
      <c r="M132" s="109">
        <f>SUMIFS(FIIs!$J$66,FIIs!$E$66,"Provento",FIIs!$N$66,Patrimônio!B132)</f>
        <v>0</v>
      </c>
      <c r="N132" s="109">
        <f t="shared" si="2"/>
        <v>0</v>
      </c>
      <c r="O132" s="109"/>
      <c r="Q132" s="154"/>
      <c r="R132" s="155" t="s">
        <v>266</v>
      </c>
      <c r="S132" s="156">
        <v>0</v>
      </c>
    </row>
    <row r="133" spans="1:19" ht="17.25" customHeight="1">
      <c r="A133" s="108">
        <v>48580</v>
      </c>
      <c r="B133" s="108">
        <f t="shared" si="0"/>
        <v>48579</v>
      </c>
      <c r="C133" s="109"/>
      <c r="D133" s="109"/>
      <c r="E133" s="109"/>
      <c r="F133" s="109"/>
      <c r="G133" s="109"/>
      <c r="H133" s="109"/>
      <c r="I133" s="109">
        <f t="shared" ref="I133:J133" si="147">SUM(C133,E133,G133)</f>
        <v>0</v>
      </c>
      <c r="J133" s="109">
        <f t="shared" si="147"/>
        <v>0</v>
      </c>
      <c r="K133" s="109">
        <f>SUMIFS(Ações!$J$66,Ações!$N$66,Patrimônio!B133,Ações!$E$66,"Provento")</f>
        <v>0</v>
      </c>
      <c r="L133" s="109">
        <f>SUMIFS(BDRs!$J$66,BDRs!$E$66,"Provento",BDRs!$N$66,Patrimônio!B133)</f>
        <v>0</v>
      </c>
      <c r="M133" s="109">
        <f>SUMIFS(FIIs!$J$66,FIIs!$E$66,"Provento",FIIs!$N$66,Patrimônio!B133)</f>
        <v>0</v>
      </c>
      <c r="N133" s="109">
        <f t="shared" si="2"/>
        <v>0</v>
      </c>
      <c r="O133" s="109"/>
      <c r="Q133" s="154"/>
      <c r="R133" s="155" t="s">
        <v>267</v>
      </c>
      <c r="S133" s="156">
        <v>0</v>
      </c>
    </row>
    <row r="134" spans="1:19" ht="17.25" customHeight="1">
      <c r="A134" s="108">
        <v>48611</v>
      </c>
      <c r="B134" s="108">
        <f t="shared" si="0"/>
        <v>48610</v>
      </c>
      <c r="C134" s="109"/>
      <c r="D134" s="109"/>
      <c r="E134" s="109"/>
      <c r="F134" s="109"/>
      <c r="G134" s="109"/>
      <c r="H134" s="109"/>
      <c r="I134" s="109">
        <f t="shared" ref="I134:J134" si="148">SUM(C134,E134,G134)</f>
        <v>0</v>
      </c>
      <c r="J134" s="109">
        <f t="shared" si="148"/>
        <v>0</v>
      </c>
      <c r="K134" s="109">
        <f>SUMIFS(Ações!$J$66,Ações!$N$66,Patrimônio!B134,Ações!$E$66,"Provento")</f>
        <v>0</v>
      </c>
      <c r="L134" s="109">
        <f>SUMIFS(BDRs!$J$66,BDRs!$E$66,"Provento",BDRs!$N$66,Patrimônio!B134)</f>
        <v>0</v>
      </c>
      <c r="M134" s="109">
        <f>SUMIFS(FIIs!$J$66,FIIs!$E$66,"Provento",FIIs!$N$66,Patrimônio!B134)</f>
        <v>0</v>
      </c>
      <c r="N134" s="109">
        <f t="shared" si="2"/>
        <v>0</v>
      </c>
      <c r="O134" s="109"/>
      <c r="Q134" s="154"/>
      <c r="R134" s="155" t="s">
        <v>268</v>
      </c>
      <c r="S134" s="156">
        <v>0</v>
      </c>
    </row>
    <row r="135" spans="1:19" ht="17.25" customHeight="1">
      <c r="A135" s="108">
        <v>48639</v>
      </c>
      <c r="B135" s="108">
        <f t="shared" si="0"/>
        <v>48638</v>
      </c>
      <c r="C135" s="109"/>
      <c r="D135" s="109"/>
      <c r="E135" s="109"/>
      <c r="F135" s="109"/>
      <c r="G135" s="109"/>
      <c r="H135" s="109"/>
      <c r="I135" s="109">
        <f t="shared" ref="I135:J135" si="149">SUM(C135,E135,G135)</f>
        <v>0</v>
      </c>
      <c r="J135" s="109">
        <f t="shared" si="149"/>
        <v>0</v>
      </c>
      <c r="K135" s="109">
        <f>SUMIFS(Ações!$J$66,Ações!$N$66,Patrimônio!B135,Ações!$E$66,"Provento")</f>
        <v>0</v>
      </c>
      <c r="L135" s="109">
        <f>SUMIFS(BDRs!$J$66,BDRs!$E$66,"Provento",BDRs!$N$66,Patrimônio!B135)</f>
        <v>0</v>
      </c>
      <c r="M135" s="109">
        <f>SUMIFS(FIIs!$J$66,FIIs!$E$66,"Provento",FIIs!$N$66,Patrimônio!B135)</f>
        <v>0</v>
      </c>
      <c r="N135" s="109">
        <f t="shared" si="2"/>
        <v>0</v>
      </c>
      <c r="O135" s="109"/>
      <c r="Q135" s="154"/>
      <c r="R135" s="155" t="s">
        <v>269</v>
      </c>
      <c r="S135" s="156">
        <v>0</v>
      </c>
    </row>
    <row r="136" spans="1:19" ht="17.25" customHeight="1">
      <c r="A136" s="108">
        <v>48670</v>
      </c>
      <c r="B136" s="108">
        <f t="shared" si="0"/>
        <v>48669</v>
      </c>
      <c r="C136" s="109"/>
      <c r="D136" s="109"/>
      <c r="E136" s="109"/>
      <c r="F136" s="109"/>
      <c r="G136" s="109"/>
      <c r="H136" s="109"/>
      <c r="I136" s="109">
        <f t="shared" ref="I136:J136" si="150">SUM(C136,E136,G136)</f>
        <v>0</v>
      </c>
      <c r="J136" s="109">
        <f t="shared" si="150"/>
        <v>0</v>
      </c>
      <c r="K136" s="109">
        <f>SUMIFS(Ações!$J$66,Ações!$N$66,Patrimônio!B136,Ações!$E$66,"Provento")</f>
        <v>0</v>
      </c>
      <c r="L136" s="109">
        <f>SUMIFS(BDRs!$J$66,BDRs!$E$66,"Provento",BDRs!$N$66,Patrimônio!B136)</f>
        <v>0</v>
      </c>
      <c r="M136" s="109">
        <f>SUMIFS(FIIs!$J$66,FIIs!$E$66,"Provento",FIIs!$N$66,Patrimônio!B136)</f>
        <v>0</v>
      </c>
      <c r="N136" s="109">
        <f t="shared" si="2"/>
        <v>0</v>
      </c>
      <c r="O136" s="109"/>
      <c r="Q136" s="154"/>
      <c r="R136" s="155" t="s">
        <v>270</v>
      </c>
      <c r="S136" s="156">
        <v>0</v>
      </c>
    </row>
    <row r="137" spans="1:19" ht="17.25" customHeight="1">
      <c r="A137" s="108">
        <v>48700</v>
      </c>
      <c r="B137" s="108">
        <f t="shared" si="0"/>
        <v>48699</v>
      </c>
      <c r="C137" s="109"/>
      <c r="D137" s="109"/>
      <c r="E137" s="109"/>
      <c r="F137" s="109"/>
      <c r="G137" s="109"/>
      <c r="H137" s="109"/>
      <c r="I137" s="109">
        <f t="shared" ref="I137:J137" si="151">SUM(C137,E137,G137)</f>
        <v>0</v>
      </c>
      <c r="J137" s="109">
        <f t="shared" si="151"/>
        <v>0</v>
      </c>
      <c r="K137" s="109">
        <f>SUMIFS(Ações!$J$66,Ações!$N$66,Patrimônio!B137,Ações!$E$66,"Provento")</f>
        <v>0</v>
      </c>
      <c r="L137" s="109">
        <f>SUMIFS(BDRs!$J$66,BDRs!$E$66,"Provento",BDRs!$N$66,Patrimônio!B137)</f>
        <v>0</v>
      </c>
      <c r="M137" s="109">
        <f>SUMIFS(FIIs!$J$66,FIIs!$E$66,"Provento",FIIs!$N$66,Patrimônio!B137)</f>
        <v>0</v>
      </c>
      <c r="N137" s="109">
        <f t="shared" si="2"/>
        <v>0</v>
      </c>
      <c r="O137" s="109"/>
      <c r="Q137" s="154"/>
      <c r="R137" s="155" t="s">
        <v>271</v>
      </c>
      <c r="S137" s="156">
        <v>0</v>
      </c>
    </row>
    <row r="138" spans="1:19" ht="17.25" customHeight="1">
      <c r="A138" s="108">
        <v>48731</v>
      </c>
      <c r="B138" s="108">
        <f t="shared" si="0"/>
        <v>48730</v>
      </c>
      <c r="C138" s="109"/>
      <c r="D138" s="109"/>
      <c r="E138" s="109"/>
      <c r="F138" s="109"/>
      <c r="G138" s="109"/>
      <c r="H138" s="109"/>
      <c r="I138" s="109">
        <f t="shared" ref="I138:J138" si="152">SUM(C138,E138,G138)</f>
        <v>0</v>
      </c>
      <c r="J138" s="109">
        <f t="shared" si="152"/>
        <v>0</v>
      </c>
      <c r="K138" s="109">
        <f>SUMIFS(Ações!$J$66,Ações!$N$66,Patrimônio!B138,Ações!$E$66,"Provento")</f>
        <v>0</v>
      </c>
      <c r="L138" s="109">
        <f>SUMIFS(BDRs!$J$66,BDRs!$E$66,"Provento",BDRs!$N$66,Patrimônio!B138)</f>
        <v>0</v>
      </c>
      <c r="M138" s="109">
        <f>SUMIFS(FIIs!$J$66,FIIs!$E$66,"Provento",FIIs!$N$66,Patrimônio!B138)</f>
        <v>0</v>
      </c>
      <c r="N138" s="109">
        <f t="shared" si="2"/>
        <v>0</v>
      </c>
      <c r="O138" s="109"/>
      <c r="Q138" s="154"/>
      <c r="R138" s="155" t="s">
        <v>272</v>
      </c>
      <c r="S138" s="156">
        <v>0</v>
      </c>
    </row>
    <row r="139" spans="1:19" ht="17.25" customHeight="1">
      <c r="A139" s="108">
        <v>48761</v>
      </c>
      <c r="B139" s="108">
        <f t="shared" si="0"/>
        <v>48760</v>
      </c>
      <c r="C139" s="109"/>
      <c r="D139" s="109"/>
      <c r="E139" s="109"/>
      <c r="F139" s="109"/>
      <c r="G139" s="109"/>
      <c r="H139" s="109"/>
      <c r="I139" s="109">
        <f t="shared" ref="I139:J139" si="153">SUM(C139,E139,G139)</f>
        <v>0</v>
      </c>
      <c r="J139" s="109">
        <f t="shared" si="153"/>
        <v>0</v>
      </c>
      <c r="K139" s="109">
        <f>SUMIFS(Ações!$J$66,Ações!$N$66,Patrimônio!B139,Ações!$E$66,"Provento")</f>
        <v>0</v>
      </c>
      <c r="L139" s="109">
        <f>SUMIFS(BDRs!$J$66,BDRs!$E$66,"Provento",BDRs!$N$66,Patrimônio!B139)</f>
        <v>0</v>
      </c>
      <c r="M139" s="109">
        <f>SUMIFS(FIIs!$J$66,FIIs!$E$66,"Provento",FIIs!$N$66,Patrimônio!B139)</f>
        <v>0</v>
      </c>
      <c r="N139" s="109">
        <f t="shared" si="2"/>
        <v>0</v>
      </c>
      <c r="O139" s="109"/>
      <c r="Q139" s="151" t="s">
        <v>108</v>
      </c>
      <c r="R139" s="157"/>
      <c r="S139" s="153">
        <v>0</v>
      </c>
    </row>
    <row r="140" spans="1:19" ht="17.25" customHeight="1">
      <c r="A140" s="108">
        <v>48792</v>
      </c>
      <c r="B140" s="108">
        <f t="shared" si="0"/>
        <v>48791</v>
      </c>
      <c r="C140" s="109"/>
      <c r="D140" s="109"/>
      <c r="E140" s="109"/>
      <c r="F140" s="109"/>
      <c r="G140" s="109"/>
      <c r="H140" s="109"/>
      <c r="I140" s="109">
        <f t="shared" ref="I140:J140" si="154">SUM(C140,E140,G140)</f>
        <v>0</v>
      </c>
      <c r="J140" s="109">
        <f t="shared" si="154"/>
        <v>0</v>
      </c>
      <c r="K140" s="109">
        <f>SUMIFS(Ações!$J$66,Ações!$N$66,Patrimônio!B140,Ações!$E$66,"Provento")</f>
        <v>0</v>
      </c>
      <c r="L140" s="109">
        <f>SUMIFS(BDRs!$J$66,BDRs!$E$66,"Provento",BDRs!$N$66,Patrimônio!B140)</f>
        <v>0</v>
      </c>
      <c r="M140" s="109">
        <f>SUMIFS(FIIs!$J$66,FIIs!$E$66,"Provento",FIIs!$N$66,Patrimônio!B140)</f>
        <v>0</v>
      </c>
      <c r="N140" s="109">
        <f t="shared" si="2"/>
        <v>0</v>
      </c>
      <c r="O140" s="109"/>
      <c r="Q140" s="151" t="s">
        <v>109</v>
      </c>
      <c r="R140" s="152" t="s">
        <v>261</v>
      </c>
      <c r="S140" s="153">
        <v>0</v>
      </c>
    </row>
    <row r="141" spans="1:19" ht="17.25" customHeight="1">
      <c r="A141" s="108">
        <v>48823</v>
      </c>
      <c r="B141" s="108">
        <f t="shared" si="0"/>
        <v>48822</v>
      </c>
      <c r="C141" s="109"/>
      <c r="D141" s="109"/>
      <c r="E141" s="109"/>
      <c r="F141" s="109"/>
      <c r="G141" s="109"/>
      <c r="H141" s="109"/>
      <c r="I141" s="109">
        <f t="shared" ref="I141:J141" si="155">SUM(C141,E141,G141)</f>
        <v>0</v>
      </c>
      <c r="J141" s="109">
        <f t="shared" si="155"/>
        <v>0</v>
      </c>
      <c r="K141" s="109">
        <f>SUMIFS(Ações!$J$66,Ações!$N$66,Patrimônio!B141,Ações!$E$66,"Provento")</f>
        <v>0</v>
      </c>
      <c r="L141" s="109">
        <f>SUMIFS(BDRs!$J$66,BDRs!$E$66,"Provento",BDRs!$N$66,Patrimônio!B141)</f>
        <v>0</v>
      </c>
      <c r="M141" s="109">
        <f>SUMIFS(FIIs!$J$66,FIIs!$E$66,"Provento",FIIs!$N$66,Patrimônio!B141)</f>
        <v>0</v>
      </c>
      <c r="N141" s="109">
        <f t="shared" si="2"/>
        <v>0</v>
      </c>
      <c r="O141" s="109"/>
      <c r="Q141" s="154"/>
      <c r="R141" s="155" t="s">
        <v>262</v>
      </c>
      <c r="S141" s="156">
        <v>0</v>
      </c>
    </row>
    <row r="142" spans="1:19" ht="17.25" customHeight="1">
      <c r="A142" s="108">
        <v>48853</v>
      </c>
      <c r="B142" s="108">
        <f t="shared" si="0"/>
        <v>48852</v>
      </c>
      <c r="C142" s="109"/>
      <c r="D142" s="109"/>
      <c r="E142" s="109"/>
      <c r="F142" s="109"/>
      <c r="G142" s="109"/>
      <c r="H142" s="109"/>
      <c r="I142" s="109">
        <f t="shared" ref="I142:J142" si="156">SUM(C142,E142,G142)</f>
        <v>0</v>
      </c>
      <c r="J142" s="109">
        <f t="shared" si="156"/>
        <v>0</v>
      </c>
      <c r="K142" s="109">
        <f>SUMIFS(Ações!$J$66,Ações!$N$66,Patrimônio!B142,Ações!$E$66,"Provento")</f>
        <v>0</v>
      </c>
      <c r="L142" s="109">
        <f>SUMIFS(BDRs!$J$66,BDRs!$E$66,"Provento",BDRs!$N$66,Patrimônio!B142)</f>
        <v>0</v>
      </c>
      <c r="M142" s="109">
        <f>SUMIFS(FIIs!$J$66,FIIs!$E$66,"Provento",FIIs!$N$66,Patrimônio!B142)</f>
        <v>0</v>
      </c>
      <c r="N142" s="109">
        <f t="shared" si="2"/>
        <v>0</v>
      </c>
      <c r="O142" s="109"/>
      <c r="Q142" s="154"/>
      <c r="R142" s="155" t="s">
        <v>263</v>
      </c>
      <c r="S142" s="156">
        <v>0</v>
      </c>
    </row>
    <row r="143" spans="1:19" ht="17.25" customHeight="1">
      <c r="A143" s="108">
        <v>48884</v>
      </c>
      <c r="B143" s="108">
        <f t="shared" si="0"/>
        <v>48883</v>
      </c>
      <c r="C143" s="109"/>
      <c r="D143" s="109"/>
      <c r="E143" s="109"/>
      <c r="F143" s="109"/>
      <c r="G143" s="109"/>
      <c r="H143" s="109"/>
      <c r="I143" s="109">
        <f t="shared" ref="I143:J143" si="157">SUM(C143,E143,G143)</f>
        <v>0</v>
      </c>
      <c r="J143" s="109">
        <f t="shared" si="157"/>
        <v>0</v>
      </c>
      <c r="K143" s="109">
        <f>SUMIFS(Ações!$J$66,Ações!$N$66,Patrimônio!B143,Ações!$E$66,"Provento")</f>
        <v>0</v>
      </c>
      <c r="L143" s="109">
        <f>SUMIFS(BDRs!$J$66,BDRs!$E$66,"Provento",BDRs!$N$66,Patrimônio!B143)</f>
        <v>0</v>
      </c>
      <c r="M143" s="109">
        <f>SUMIFS(FIIs!$J$66,FIIs!$E$66,"Provento",FIIs!$N$66,Patrimônio!B143)</f>
        <v>0</v>
      </c>
      <c r="N143" s="109">
        <f t="shared" si="2"/>
        <v>0</v>
      </c>
      <c r="O143" s="109"/>
      <c r="Q143" s="154"/>
      <c r="R143" s="155" t="s">
        <v>264</v>
      </c>
      <c r="S143" s="156">
        <v>0</v>
      </c>
    </row>
    <row r="144" spans="1:19" ht="17.25" customHeight="1">
      <c r="A144" s="108">
        <v>48914</v>
      </c>
      <c r="B144" s="108">
        <f t="shared" si="0"/>
        <v>48913</v>
      </c>
      <c r="C144" s="109"/>
      <c r="D144" s="109"/>
      <c r="E144" s="109"/>
      <c r="F144" s="109"/>
      <c r="G144" s="109"/>
      <c r="H144" s="109"/>
      <c r="I144" s="109">
        <f t="shared" ref="I144:J144" si="158">SUM(C144,E144,G144)</f>
        <v>0</v>
      </c>
      <c r="J144" s="109">
        <f t="shared" si="158"/>
        <v>0</v>
      </c>
      <c r="K144" s="109">
        <f>SUMIFS(Ações!$J$66,Ações!$N$66,Patrimônio!B144,Ações!$E$66,"Provento")</f>
        <v>0</v>
      </c>
      <c r="L144" s="109">
        <f>SUMIFS(BDRs!$J$66,BDRs!$E$66,"Provento",BDRs!$N$66,Patrimônio!B144)</f>
        <v>0</v>
      </c>
      <c r="M144" s="109">
        <f>SUMIFS(FIIs!$J$66,FIIs!$E$66,"Provento",FIIs!$N$66,Patrimônio!B144)</f>
        <v>0</v>
      </c>
      <c r="N144" s="109">
        <f t="shared" si="2"/>
        <v>0</v>
      </c>
      <c r="O144" s="109"/>
      <c r="Q144" s="154"/>
      <c r="R144" s="155" t="s">
        <v>265</v>
      </c>
      <c r="S144" s="156">
        <v>0</v>
      </c>
    </row>
    <row r="145" spans="1:19" ht="17.25" customHeight="1">
      <c r="A145" s="108">
        <v>48945</v>
      </c>
      <c r="B145" s="108">
        <f t="shared" si="0"/>
        <v>48944</v>
      </c>
      <c r="C145" s="109"/>
      <c r="D145" s="109"/>
      <c r="E145" s="109"/>
      <c r="F145" s="109"/>
      <c r="G145" s="109"/>
      <c r="H145" s="109"/>
      <c r="I145" s="109">
        <f t="shared" ref="I145:J145" si="159">SUM(C145,E145,G145)</f>
        <v>0</v>
      </c>
      <c r="J145" s="109">
        <f t="shared" si="159"/>
        <v>0</v>
      </c>
      <c r="K145" s="109">
        <f>SUMIFS(Ações!$J$66,Ações!$N$66,Patrimônio!B145,Ações!$E$66,"Provento")</f>
        <v>0</v>
      </c>
      <c r="L145" s="109">
        <f>SUMIFS(BDRs!$J$66,BDRs!$E$66,"Provento",BDRs!$N$66,Patrimônio!B145)</f>
        <v>0</v>
      </c>
      <c r="M145" s="109">
        <f>SUMIFS(FIIs!$J$66,FIIs!$E$66,"Provento",FIIs!$N$66,Patrimônio!B145)</f>
        <v>0</v>
      </c>
      <c r="N145" s="109">
        <f t="shared" si="2"/>
        <v>0</v>
      </c>
      <c r="O145" s="109"/>
      <c r="Q145" s="154"/>
      <c r="R145" s="155" t="s">
        <v>266</v>
      </c>
      <c r="S145" s="156">
        <v>0</v>
      </c>
    </row>
    <row r="146" spans="1:19" ht="17.25" customHeight="1">
      <c r="A146" s="108">
        <v>48976</v>
      </c>
      <c r="B146" s="108">
        <f t="shared" si="0"/>
        <v>48975</v>
      </c>
      <c r="C146" s="109"/>
      <c r="D146" s="109"/>
      <c r="E146" s="109"/>
      <c r="F146" s="109"/>
      <c r="G146" s="109"/>
      <c r="H146" s="109"/>
      <c r="I146" s="109">
        <f t="shared" ref="I146:J146" si="160">SUM(C146,E146,G146)</f>
        <v>0</v>
      </c>
      <c r="J146" s="109">
        <f t="shared" si="160"/>
        <v>0</v>
      </c>
      <c r="K146" s="109">
        <f>SUMIFS(Ações!$J$66,Ações!$N$66,Patrimônio!B146,Ações!$E$66,"Provento")</f>
        <v>0</v>
      </c>
      <c r="L146" s="109">
        <f>SUMIFS(BDRs!$J$66,BDRs!$E$66,"Provento",BDRs!$N$66,Patrimônio!B146)</f>
        <v>0</v>
      </c>
      <c r="M146" s="109">
        <f>SUMIFS(FIIs!$J$66,FIIs!$E$66,"Provento",FIIs!$N$66,Patrimônio!B146)</f>
        <v>0</v>
      </c>
      <c r="N146" s="109">
        <f t="shared" si="2"/>
        <v>0</v>
      </c>
      <c r="O146" s="109"/>
      <c r="Q146" s="154"/>
      <c r="R146" s="155" t="s">
        <v>267</v>
      </c>
      <c r="S146" s="156">
        <v>0</v>
      </c>
    </row>
    <row r="147" spans="1:19" ht="17.25" customHeight="1">
      <c r="A147" s="108">
        <v>49004</v>
      </c>
      <c r="B147" s="108">
        <f t="shared" si="0"/>
        <v>49003</v>
      </c>
      <c r="C147" s="109"/>
      <c r="D147" s="109"/>
      <c r="E147" s="109"/>
      <c r="F147" s="109"/>
      <c r="G147" s="109"/>
      <c r="H147" s="109"/>
      <c r="I147" s="109">
        <f t="shared" ref="I147:J147" si="161">SUM(C147,E147,G147)</f>
        <v>0</v>
      </c>
      <c r="J147" s="109">
        <f t="shared" si="161"/>
        <v>0</v>
      </c>
      <c r="K147" s="109">
        <f>SUMIFS(Ações!$J$66,Ações!$N$66,Patrimônio!B147,Ações!$E$66,"Provento")</f>
        <v>0</v>
      </c>
      <c r="L147" s="109">
        <f>SUMIFS(BDRs!$J$66,BDRs!$E$66,"Provento",BDRs!$N$66,Patrimônio!B147)</f>
        <v>0</v>
      </c>
      <c r="M147" s="109">
        <f>SUMIFS(FIIs!$J$66,FIIs!$E$66,"Provento",FIIs!$N$66,Patrimônio!B147)</f>
        <v>0</v>
      </c>
      <c r="N147" s="109">
        <f t="shared" si="2"/>
        <v>0</v>
      </c>
      <c r="O147" s="109"/>
      <c r="Q147" s="154"/>
      <c r="R147" s="155" t="s">
        <v>268</v>
      </c>
      <c r="S147" s="156">
        <v>0</v>
      </c>
    </row>
    <row r="148" spans="1:19" ht="17.25" customHeight="1">
      <c r="A148" s="108">
        <v>49035</v>
      </c>
      <c r="B148" s="108">
        <f t="shared" si="0"/>
        <v>49034</v>
      </c>
      <c r="C148" s="109"/>
      <c r="D148" s="109"/>
      <c r="E148" s="109"/>
      <c r="F148" s="109"/>
      <c r="G148" s="109"/>
      <c r="H148" s="109"/>
      <c r="I148" s="109">
        <f t="shared" ref="I148:J148" si="162">SUM(C148,E148,G148)</f>
        <v>0</v>
      </c>
      <c r="J148" s="109">
        <f t="shared" si="162"/>
        <v>0</v>
      </c>
      <c r="K148" s="109">
        <f>SUMIFS(Ações!$J$66,Ações!$N$66,Patrimônio!B148,Ações!$E$66,"Provento")</f>
        <v>0</v>
      </c>
      <c r="L148" s="109">
        <f>SUMIFS(BDRs!$J$66,BDRs!$E$66,"Provento",BDRs!$N$66,Patrimônio!B148)</f>
        <v>0</v>
      </c>
      <c r="M148" s="109">
        <f>SUMIFS(FIIs!$J$66,FIIs!$E$66,"Provento",FIIs!$N$66,Patrimônio!B148)</f>
        <v>0</v>
      </c>
      <c r="N148" s="109">
        <f t="shared" si="2"/>
        <v>0</v>
      </c>
      <c r="O148" s="109"/>
      <c r="Q148" s="154"/>
      <c r="R148" s="155" t="s">
        <v>269</v>
      </c>
      <c r="S148" s="156">
        <v>0</v>
      </c>
    </row>
    <row r="149" spans="1:19" ht="17.25" customHeight="1">
      <c r="A149" s="108">
        <v>49065</v>
      </c>
      <c r="B149" s="108">
        <f t="shared" si="0"/>
        <v>49064</v>
      </c>
      <c r="C149" s="109"/>
      <c r="D149" s="109"/>
      <c r="E149" s="109"/>
      <c r="F149" s="109"/>
      <c r="G149" s="109"/>
      <c r="H149" s="109"/>
      <c r="I149" s="109">
        <f t="shared" ref="I149:J149" si="163">SUM(C149,E149,G149)</f>
        <v>0</v>
      </c>
      <c r="J149" s="109">
        <f t="shared" si="163"/>
        <v>0</v>
      </c>
      <c r="K149" s="109">
        <f>SUMIFS(Ações!$J$66,Ações!$N$66,Patrimônio!B149,Ações!$E$66,"Provento")</f>
        <v>0</v>
      </c>
      <c r="L149" s="109">
        <f>SUMIFS(BDRs!$J$66,BDRs!$E$66,"Provento",BDRs!$N$66,Patrimônio!B149)</f>
        <v>0</v>
      </c>
      <c r="M149" s="109">
        <f>SUMIFS(FIIs!$J$66,FIIs!$E$66,"Provento",FIIs!$N$66,Patrimônio!B149)</f>
        <v>0</v>
      </c>
      <c r="N149" s="109">
        <f t="shared" si="2"/>
        <v>0</v>
      </c>
      <c r="O149" s="109"/>
      <c r="Q149" s="154"/>
      <c r="R149" s="155" t="s">
        <v>270</v>
      </c>
      <c r="S149" s="156">
        <v>0</v>
      </c>
    </row>
    <row r="150" spans="1:19" ht="17.25" customHeight="1">
      <c r="A150" s="108">
        <v>49096</v>
      </c>
      <c r="B150" s="108">
        <f t="shared" si="0"/>
        <v>49095</v>
      </c>
      <c r="C150" s="109"/>
      <c r="D150" s="109"/>
      <c r="E150" s="109"/>
      <c r="F150" s="109"/>
      <c r="G150" s="109"/>
      <c r="H150" s="109"/>
      <c r="I150" s="109">
        <f t="shared" ref="I150:J150" si="164">SUM(C150,E150,G150)</f>
        <v>0</v>
      </c>
      <c r="J150" s="109">
        <f t="shared" si="164"/>
        <v>0</v>
      </c>
      <c r="K150" s="109">
        <f>SUMIFS(Ações!$J$66,Ações!$N$66,Patrimônio!B150,Ações!$E$66,"Provento")</f>
        <v>0</v>
      </c>
      <c r="L150" s="109">
        <f>SUMIFS(BDRs!$J$66,BDRs!$E$66,"Provento",BDRs!$N$66,Patrimônio!B150)</f>
        <v>0</v>
      </c>
      <c r="M150" s="109">
        <f>SUMIFS(FIIs!$J$66,FIIs!$E$66,"Provento",FIIs!$N$66,Patrimônio!B150)</f>
        <v>0</v>
      </c>
      <c r="N150" s="109">
        <f t="shared" si="2"/>
        <v>0</v>
      </c>
      <c r="O150" s="109"/>
      <c r="Q150" s="154"/>
      <c r="R150" s="155" t="s">
        <v>271</v>
      </c>
      <c r="S150" s="156">
        <v>0</v>
      </c>
    </row>
    <row r="151" spans="1:19" ht="17.25" customHeight="1">
      <c r="A151" s="108">
        <v>49126</v>
      </c>
      <c r="B151" s="108">
        <f t="shared" si="0"/>
        <v>49125</v>
      </c>
      <c r="C151" s="109"/>
      <c r="D151" s="109"/>
      <c r="E151" s="109"/>
      <c r="F151" s="109"/>
      <c r="G151" s="109"/>
      <c r="H151" s="109"/>
      <c r="I151" s="109">
        <f t="shared" ref="I151:J151" si="165">SUM(C151,E151,G151)</f>
        <v>0</v>
      </c>
      <c r="J151" s="109">
        <f t="shared" si="165"/>
        <v>0</v>
      </c>
      <c r="K151" s="109">
        <f>SUMIFS(Ações!$J$66,Ações!$N$66,Patrimônio!B151,Ações!$E$66,"Provento")</f>
        <v>0</v>
      </c>
      <c r="L151" s="109">
        <f>SUMIFS(BDRs!$J$66,BDRs!$E$66,"Provento",BDRs!$N$66,Patrimônio!B151)</f>
        <v>0</v>
      </c>
      <c r="M151" s="109">
        <f>SUMIFS(FIIs!$J$66,FIIs!$E$66,"Provento",FIIs!$N$66,Patrimônio!B151)</f>
        <v>0</v>
      </c>
      <c r="N151" s="109">
        <f t="shared" si="2"/>
        <v>0</v>
      </c>
      <c r="O151" s="109"/>
      <c r="Q151" s="154"/>
      <c r="R151" s="155" t="s">
        <v>272</v>
      </c>
      <c r="S151" s="156">
        <v>0</v>
      </c>
    </row>
    <row r="152" spans="1:19" ht="17.25" customHeight="1">
      <c r="A152" s="108">
        <v>49157</v>
      </c>
      <c r="B152" s="108">
        <f t="shared" si="0"/>
        <v>49156</v>
      </c>
      <c r="C152" s="109"/>
      <c r="D152" s="109"/>
      <c r="E152" s="109"/>
      <c r="F152" s="109"/>
      <c r="G152" s="109"/>
      <c r="H152" s="109"/>
      <c r="I152" s="109">
        <f t="shared" ref="I152:J152" si="166">SUM(C152,E152,G152)</f>
        <v>0</v>
      </c>
      <c r="J152" s="109">
        <f t="shared" si="166"/>
        <v>0</v>
      </c>
      <c r="K152" s="109">
        <f>SUMIFS(Ações!$J$66,Ações!$N$66,Patrimônio!B152,Ações!$E$66,"Provento")</f>
        <v>0</v>
      </c>
      <c r="L152" s="109">
        <f>SUMIFS(BDRs!$J$66,BDRs!$E$66,"Provento",BDRs!$N$66,Patrimônio!B152)</f>
        <v>0</v>
      </c>
      <c r="M152" s="109">
        <f>SUMIFS(FIIs!$J$66,FIIs!$E$66,"Provento",FIIs!$N$66,Patrimônio!B152)</f>
        <v>0</v>
      </c>
      <c r="N152" s="109">
        <f t="shared" si="2"/>
        <v>0</v>
      </c>
      <c r="O152" s="109"/>
      <c r="Q152" s="151" t="s">
        <v>110</v>
      </c>
      <c r="R152" s="157"/>
      <c r="S152" s="153">
        <v>0</v>
      </c>
    </row>
    <row r="153" spans="1:19" ht="17.25" customHeight="1">
      <c r="A153" s="108">
        <v>49188</v>
      </c>
      <c r="B153" s="108">
        <f t="shared" si="0"/>
        <v>49187</v>
      </c>
      <c r="C153" s="109"/>
      <c r="D153" s="109"/>
      <c r="E153" s="109"/>
      <c r="F153" s="109"/>
      <c r="G153" s="109"/>
      <c r="H153" s="109"/>
      <c r="I153" s="109">
        <f t="shared" ref="I153:J153" si="167">SUM(C153,E153,G153)</f>
        <v>0</v>
      </c>
      <c r="J153" s="109">
        <f t="shared" si="167"/>
        <v>0</v>
      </c>
      <c r="K153" s="109">
        <f>SUMIFS(Ações!$J$66,Ações!$N$66,Patrimônio!B153,Ações!$E$66,"Provento")</f>
        <v>0</v>
      </c>
      <c r="L153" s="109">
        <f>SUMIFS(BDRs!$J$66,BDRs!$E$66,"Provento",BDRs!$N$66,Patrimônio!B153)</f>
        <v>0</v>
      </c>
      <c r="M153" s="109">
        <f>SUMIFS(FIIs!$J$66,FIIs!$E$66,"Provento",FIIs!$N$66,Patrimônio!B153)</f>
        <v>0</v>
      </c>
      <c r="N153" s="109">
        <f t="shared" si="2"/>
        <v>0</v>
      </c>
      <c r="O153" s="109"/>
      <c r="Q153" s="151" t="s">
        <v>111</v>
      </c>
      <c r="R153" s="152" t="s">
        <v>261</v>
      </c>
      <c r="S153" s="153">
        <v>0</v>
      </c>
    </row>
    <row r="154" spans="1:19" ht="17.25" customHeight="1">
      <c r="A154" s="108">
        <v>49218</v>
      </c>
      <c r="B154" s="108">
        <f t="shared" si="0"/>
        <v>49217</v>
      </c>
      <c r="C154" s="109"/>
      <c r="D154" s="109"/>
      <c r="E154" s="109"/>
      <c r="F154" s="109"/>
      <c r="G154" s="109"/>
      <c r="H154" s="109"/>
      <c r="I154" s="109">
        <f t="shared" ref="I154:J154" si="168">SUM(C154,E154,G154)</f>
        <v>0</v>
      </c>
      <c r="J154" s="109">
        <f t="shared" si="168"/>
        <v>0</v>
      </c>
      <c r="K154" s="109">
        <f>SUMIFS(Ações!$J$66,Ações!$N$66,Patrimônio!B154,Ações!$E$66,"Provento")</f>
        <v>0</v>
      </c>
      <c r="L154" s="109">
        <f>SUMIFS(BDRs!$J$66,BDRs!$E$66,"Provento",BDRs!$N$66,Patrimônio!B154)</f>
        <v>0</v>
      </c>
      <c r="M154" s="109">
        <f>SUMIFS(FIIs!$J$66,FIIs!$E$66,"Provento",FIIs!$N$66,Patrimônio!B154)</f>
        <v>0</v>
      </c>
      <c r="N154" s="109">
        <f t="shared" si="2"/>
        <v>0</v>
      </c>
      <c r="O154" s="109"/>
      <c r="Q154" s="154"/>
      <c r="R154" s="155" t="s">
        <v>262</v>
      </c>
      <c r="S154" s="156">
        <v>0</v>
      </c>
    </row>
    <row r="155" spans="1:19" ht="17.25" customHeight="1">
      <c r="A155" s="108">
        <v>49249</v>
      </c>
      <c r="B155" s="108">
        <f t="shared" si="0"/>
        <v>49248</v>
      </c>
      <c r="C155" s="109"/>
      <c r="D155" s="109"/>
      <c r="E155" s="109"/>
      <c r="F155" s="109"/>
      <c r="G155" s="109"/>
      <c r="H155" s="109"/>
      <c r="I155" s="109">
        <f t="shared" ref="I155:J155" si="169">SUM(C155,E155,G155)</f>
        <v>0</v>
      </c>
      <c r="J155" s="109">
        <f t="shared" si="169"/>
        <v>0</v>
      </c>
      <c r="K155" s="109">
        <f>SUMIFS(Ações!$J$66,Ações!$N$66,Patrimônio!B155,Ações!$E$66,"Provento")</f>
        <v>0</v>
      </c>
      <c r="L155" s="109">
        <f>SUMIFS(BDRs!$J$66,BDRs!$E$66,"Provento",BDRs!$N$66,Patrimônio!B155)</f>
        <v>0</v>
      </c>
      <c r="M155" s="109">
        <f>SUMIFS(FIIs!$J$66,FIIs!$E$66,"Provento",FIIs!$N$66,Patrimônio!B155)</f>
        <v>0</v>
      </c>
      <c r="N155" s="109">
        <f t="shared" si="2"/>
        <v>0</v>
      </c>
      <c r="O155" s="109"/>
      <c r="Q155" s="154"/>
      <c r="R155" s="155" t="s">
        <v>263</v>
      </c>
      <c r="S155" s="156">
        <v>0</v>
      </c>
    </row>
    <row r="156" spans="1:19" ht="17.25" customHeight="1">
      <c r="A156" s="108">
        <v>49279</v>
      </c>
      <c r="B156" s="108">
        <f t="shared" si="0"/>
        <v>49278</v>
      </c>
      <c r="C156" s="109"/>
      <c r="D156" s="109"/>
      <c r="E156" s="109"/>
      <c r="F156" s="109"/>
      <c r="G156" s="109"/>
      <c r="H156" s="109"/>
      <c r="I156" s="109">
        <f t="shared" ref="I156:J156" si="170">SUM(C156,E156,G156)</f>
        <v>0</v>
      </c>
      <c r="J156" s="109">
        <f t="shared" si="170"/>
        <v>0</v>
      </c>
      <c r="K156" s="109">
        <f>SUMIFS(Ações!$J$66,Ações!$N$66,Patrimônio!B156,Ações!$E$66,"Provento")</f>
        <v>0</v>
      </c>
      <c r="L156" s="109">
        <f>SUMIFS(BDRs!$J$66,BDRs!$E$66,"Provento",BDRs!$N$66,Patrimônio!B156)</f>
        <v>0</v>
      </c>
      <c r="M156" s="109">
        <f>SUMIFS(FIIs!$J$66,FIIs!$E$66,"Provento",FIIs!$N$66,Patrimônio!B156)</f>
        <v>0</v>
      </c>
      <c r="N156" s="109">
        <f t="shared" si="2"/>
        <v>0</v>
      </c>
      <c r="O156" s="109"/>
      <c r="Q156" s="154"/>
      <c r="R156" s="155" t="s">
        <v>264</v>
      </c>
      <c r="S156" s="156">
        <v>0</v>
      </c>
    </row>
    <row r="157" spans="1:19" ht="17.25" customHeight="1">
      <c r="A157" s="108">
        <v>49310</v>
      </c>
      <c r="B157" s="108">
        <f t="shared" si="0"/>
        <v>49309</v>
      </c>
      <c r="C157" s="109"/>
      <c r="D157" s="109"/>
      <c r="E157" s="109"/>
      <c r="F157" s="109"/>
      <c r="G157" s="109"/>
      <c r="H157" s="109"/>
      <c r="I157" s="109">
        <f t="shared" ref="I157:J157" si="171">SUM(C157,E157,G157)</f>
        <v>0</v>
      </c>
      <c r="J157" s="109">
        <f t="shared" si="171"/>
        <v>0</v>
      </c>
      <c r="K157" s="109">
        <f>SUMIFS(Ações!$J$66,Ações!$N$66,Patrimônio!B157,Ações!$E$66,"Provento")</f>
        <v>0</v>
      </c>
      <c r="L157" s="109">
        <f>SUMIFS(BDRs!$J$66,BDRs!$E$66,"Provento",BDRs!$N$66,Patrimônio!B157)</f>
        <v>0</v>
      </c>
      <c r="M157" s="109">
        <f>SUMIFS(FIIs!$J$66,FIIs!$E$66,"Provento",FIIs!$N$66,Patrimônio!B157)</f>
        <v>0</v>
      </c>
      <c r="N157" s="109">
        <f t="shared" si="2"/>
        <v>0</v>
      </c>
      <c r="O157" s="109"/>
      <c r="Q157" s="154"/>
      <c r="R157" s="155" t="s">
        <v>265</v>
      </c>
      <c r="S157" s="156">
        <v>0</v>
      </c>
    </row>
    <row r="158" spans="1:19" ht="17.25" customHeight="1">
      <c r="A158" s="108">
        <v>49341</v>
      </c>
      <c r="B158" s="108">
        <f t="shared" si="0"/>
        <v>49340</v>
      </c>
      <c r="C158" s="109"/>
      <c r="D158" s="109"/>
      <c r="E158" s="109"/>
      <c r="F158" s="109"/>
      <c r="G158" s="109"/>
      <c r="H158" s="109"/>
      <c r="I158" s="109">
        <f t="shared" ref="I158:J158" si="172">SUM(C158,E158,G158)</f>
        <v>0</v>
      </c>
      <c r="J158" s="109">
        <f t="shared" si="172"/>
        <v>0</v>
      </c>
      <c r="K158" s="109">
        <f>SUMIFS(Ações!$J$66,Ações!$N$66,Patrimônio!B158,Ações!$E$66,"Provento")</f>
        <v>0</v>
      </c>
      <c r="L158" s="109">
        <f>SUMIFS(BDRs!$J$66,BDRs!$E$66,"Provento",BDRs!$N$66,Patrimônio!B158)</f>
        <v>0</v>
      </c>
      <c r="M158" s="109">
        <f>SUMIFS(FIIs!$J$66,FIIs!$E$66,"Provento",FIIs!$N$66,Patrimônio!B158)</f>
        <v>0</v>
      </c>
      <c r="N158" s="109">
        <f t="shared" si="2"/>
        <v>0</v>
      </c>
      <c r="O158" s="109"/>
      <c r="Q158" s="154"/>
      <c r="R158" s="155" t="s">
        <v>266</v>
      </c>
      <c r="S158" s="156">
        <v>0</v>
      </c>
    </row>
    <row r="159" spans="1:19" ht="17.25" customHeight="1">
      <c r="A159" s="108">
        <v>49369</v>
      </c>
      <c r="B159" s="108">
        <f t="shared" si="0"/>
        <v>49368</v>
      </c>
      <c r="C159" s="109"/>
      <c r="D159" s="109"/>
      <c r="E159" s="109"/>
      <c r="F159" s="109"/>
      <c r="G159" s="109"/>
      <c r="H159" s="109"/>
      <c r="I159" s="109">
        <f t="shared" ref="I159:J159" si="173">SUM(C159,E159,G159)</f>
        <v>0</v>
      </c>
      <c r="J159" s="109">
        <f t="shared" si="173"/>
        <v>0</v>
      </c>
      <c r="K159" s="109">
        <f>SUMIFS(Ações!$J$66,Ações!$N$66,Patrimônio!B159,Ações!$E$66,"Provento")</f>
        <v>0</v>
      </c>
      <c r="L159" s="109">
        <f>SUMIFS(BDRs!$J$66,BDRs!$E$66,"Provento",BDRs!$N$66,Patrimônio!B159)</f>
        <v>0</v>
      </c>
      <c r="M159" s="109">
        <f>SUMIFS(FIIs!$J$66,FIIs!$E$66,"Provento",FIIs!$N$66,Patrimônio!B159)</f>
        <v>0</v>
      </c>
      <c r="N159" s="109">
        <f t="shared" si="2"/>
        <v>0</v>
      </c>
      <c r="O159" s="109"/>
      <c r="Q159" s="154"/>
      <c r="R159" s="155" t="s">
        <v>267</v>
      </c>
      <c r="S159" s="156">
        <v>0</v>
      </c>
    </row>
    <row r="160" spans="1:19" ht="17.25" customHeight="1">
      <c r="A160" s="108">
        <v>49400</v>
      </c>
      <c r="B160" s="108">
        <f t="shared" si="0"/>
        <v>49399</v>
      </c>
      <c r="C160" s="109"/>
      <c r="D160" s="109"/>
      <c r="E160" s="109"/>
      <c r="F160" s="109"/>
      <c r="G160" s="109"/>
      <c r="H160" s="109"/>
      <c r="I160" s="109">
        <f t="shared" ref="I160:J160" si="174">SUM(C160,E160,G160)</f>
        <v>0</v>
      </c>
      <c r="J160" s="109">
        <f t="shared" si="174"/>
        <v>0</v>
      </c>
      <c r="K160" s="109">
        <f>SUMIFS(Ações!$J$66,Ações!$N$66,Patrimônio!B160,Ações!$E$66,"Provento")</f>
        <v>0</v>
      </c>
      <c r="L160" s="109">
        <f>SUMIFS(BDRs!$J$66,BDRs!$E$66,"Provento",BDRs!$N$66,Patrimônio!B160)</f>
        <v>0</v>
      </c>
      <c r="M160" s="109">
        <f>SUMIFS(FIIs!$J$66,FIIs!$E$66,"Provento",FIIs!$N$66,Patrimônio!B160)</f>
        <v>0</v>
      </c>
      <c r="N160" s="109">
        <f t="shared" si="2"/>
        <v>0</v>
      </c>
      <c r="O160" s="109"/>
      <c r="Q160" s="154"/>
      <c r="R160" s="155" t="s">
        <v>268</v>
      </c>
      <c r="S160" s="156">
        <v>0</v>
      </c>
    </row>
    <row r="161" spans="1:19" ht="17.25" customHeight="1">
      <c r="A161" s="108">
        <v>49430</v>
      </c>
      <c r="B161" s="108">
        <f t="shared" si="0"/>
        <v>49429</v>
      </c>
      <c r="C161" s="109"/>
      <c r="D161" s="109"/>
      <c r="E161" s="109"/>
      <c r="F161" s="109"/>
      <c r="G161" s="109"/>
      <c r="H161" s="109"/>
      <c r="I161" s="109">
        <f t="shared" ref="I161:J161" si="175">SUM(C161,E161,G161)</f>
        <v>0</v>
      </c>
      <c r="J161" s="109">
        <f t="shared" si="175"/>
        <v>0</v>
      </c>
      <c r="K161" s="109">
        <f>SUMIFS(Ações!$J$66,Ações!$N$66,Patrimônio!B161,Ações!$E$66,"Provento")</f>
        <v>0</v>
      </c>
      <c r="L161" s="109">
        <f>SUMIFS(BDRs!$J$66,BDRs!$E$66,"Provento",BDRs!$N$66,Patrimônio!B161)</f>
        <v>0</v>
      </c>
      <c r="M161" s="109">
        <f>SUMIFS(FIIs!$J$66,FIIs!$E$66,"Provento",FIIs!$N$66,Patrimônio!B161)</f>
        <v>0</v>
      </c>
      <c r="N161" s="109">
        <f t="shared" si="2"/>
        <v>0</v>
      </c>
      <c r="O161" s="109"/>
      <c r="Q161" s="154"/>
      <c r="R161" s="155" t="s">
        <v>269</v>
      </c>
      <c r="S161" s="156">
        <v>0</v>
      </c>
    </row>
    <row r="162" spans="1:19" ht="17.25" customHeight="1">
      <c r="A162" s="108">
        <v>49461</v>
      </c>
      <c r="B162" s="108">
        <f t="shared" si="0"/>
        <v>49460</v>
      </c>
      <c r="C162" s="109"/>
      <c r="D162" s="109"/>
      <c r="E162" s="109"/>
      <c r="F162" s="109"/>
      <c r="G162" s="109"/>
      <c r="H162" s="109"/>
      <c r="I162" s="109">
        <f t="shared" ref="I162:J162" si="176">SUM(C162,E162,G162)</f>
        <v>0</v>
      </c>
      <c r="J162" s="109">
        <f t="shared" si="176"/>
        <v>0</v>
      </c>
      <c r="K162" s="109">
        <f>SUMIFS(Ações!$J$66,Ações!$N$66,Patrimônio!B162,Ações!$E$66,"Provento")</f>
        <v>0</v>
      </c>
      <c r="L162" s="109">
        <f>SUMIFS(BDRs!$J$66,BDRs!$E$66,"Provento",BDRs!$N$66,Patrimônio!B162)</f>
        <v>0</v>
      </c>
      <c r="M162" s="109">
        <f>SUMIFS(FIIs!$J$66,FIIs!$E$66,"Provento",FIIs!$N$66,Patrimônio!B162)</f>
        <v>0</v>
      </c>
      <c r="N162" s="109">
        <f t="shared" si="2"/>
        <v>0</v>
      </c>
      <c r="O162" s="109"/>
      <c r="Q162" s="154"/>
      <c r="R162" s="155" t="s">
        <v>270</v>
      </c>
      <c r="S162" s="156">
        <v>0</v>
      </c>
    </row>
    <row r="163" spans="1:19" ht="17.25" customHeight="1">
      <c r="A163" s="108">
        <v>49491</v>
      </c>
      <c r="B163" s="108">
        <f t="shared" si="0"/>
        <v>49490</v>
      </c>
      <c r="C163" s="109"/>
      <c r="D163" s="109"/>
      <c r="E163" s="109"/>
      <c r="F163" s="109"/>
      <c r="G163" s="109"/>
      <c r="H163" s="109"/>
      <c r="I163" s="109">
        <f t="shared" ref="I163:J163" si="177">SUM(C163,E163,G163)</f>
        <v>0</v>
      </c>
      <c r="J163" s="109">
        <f t="shared" si="177"/>
        <v>0</v>
      </c>
      <c r="K163" s="109">
        <f>SUMIFS(Ações!$J$66,Ações!$N$66,Patrimônio!B163,Ações!$E$66,"Provento")</f>
        <v>0</v>
      </c>
      <c r="L163" s="109">
        <f>SUMIFS(BDRs!$J$66,BDRs!$E$66,"Provento",BDRs!$N$66,Patrimônio!B163)</f>
        <v>0</v>
      </c>
      <c r="M163" s="109">
        <f>SUMIFS(FIIs!$J$66,FIIs!$E$66,"Provento",FIIs!$N$66,Patrimônio!B163)</f>
        <v>0</v>
      </c>
      <c r="N163" s="109">
        <f t="shared" si="2"/>
        <v>0</v>
      </c>
      <c r="O163" s="109"/>
      <c r="Q163" s="154"/>
      <c r="R163" s="155" t="s">
        <v>271</v>
      </c>
      <c r="S163" s="156">
        <v>0</v>
      </c>
    </row>
    <row r="164" spans="1:19" ht="17.25" customHeight="1">
      <c r="A164" s="108">
        <v>49522</v>
      </c>
      <c r="B164" s="108">
        <f t="shared" si="0"/>
        <v>49521</v>
      </c>
      <c r="C164" s="109"/>
      <c r="D164" s="109"/>
      <c r="E164" s="109"/>
      <c r="F164" s="109"/>
      <c r="G164" s="109"/>
      <c r="H164" s="109"/>
      <c r="I164" s="109">
        <f t="shared" ref="I164:J164" si="178">SUM(C164,E164,G164)</f>
        <v>0</v>
      </c>
      <c r="J164" s="109">
        <f t="shared" si="178"/>
        <v>0</v>
      </c>
      <c r="K164" s="109">
        <f>SUMIFS(Ações!$J$66,Ações!$N$66,Patrimônio!B164,Ações!$E$66,"Provento")</f>
        <v>0</v>
      </c>
      <c r="L164" s="109">
        <f>SUMIFS(BDRs!$J$66,BDRs!$E$66,"Provento",BDRs!$N$66,Patrimônio!B164)</f>
        <v>0</v>
      </c>
      <c r="M164" s="109">
        <f>SUMIFS(FIIs!$J$66,FIIs!$E$66,"Provento",FIIs!$N$66,Patrimônio!B164)</f>
        <v>0</v>
      </c>
      <c r="N164" s="109">
        <f t="shared" si="2"/>
        <v>0</v>
      </c>
      <c r="O164" s="109"/>
      <c r="Q164" s="154"/>
      <c r="R164" s="155" t="s">
        <v>272</v>
      </c>
      <c r="S164" s="156">
        <v>0</v>
      </c>
    </row>
    <row r="165" spans="1:19" ht="17.25" customHeight="1">
      <c r="A165" s="108">
        <v>49553</v>
      </c>
      <c r="B165" s="108">
        <f t="shared" si="0"/>
        <v>49552</v>
      </c>
      <c r="C165" s="109"/>
      <c r="D165" s="109"/>
      <c r="E165" s="109"/>
      <c r="F165" s="109"/>
      <c r="G165" s="109"/>
      <c r="H165" s="109"/>
      <c r="I165" s="109">
        <f t="shared" ref="I165:J165" si="179">SUM(C165,E165,G165)</f>
        <v>0</v>
      </c>
      <c r="J165" s="109">
        <f t="shared" si="179"/>
        <v>0</v>
      </c>
      <c r="K165" s="109">
        <f>SUMIFS(Ações!$J$66,Ações!$N$66,Patrimônio!B165,Ações!$E$66,"Provento")</f>
        <v>0</v>
      </c>
      <c r="L165" s="109">
        <f>SUMIFS(BDRs!$J$66,BDRs!$E$66,"Provento",BDRs!$N$66,Patrimônio!B165)</f>
        <v>0</v>
      </c>
      <c r="M165" s="109">
        <f>SUMIFS(FIIs!$J$66,FIIs!$E$66,"Provento",FIIs!$N$66,Patrimônio!B165)</f>
        <v>0</v>
      </c>
      <c r="N165" s="109">
        <f t="shared" si="2"/>
        <v>0</v>
      </c>
      <c r="O165" s="109"/>
      <c r="Q165" s="151" t="s">
        <v>112</v>
      </c>
      <c r="R165" s="157"/>
      <c r="S165" s="153">
        <v>0</v>
      </c>
    </row>
    <row r="166" spans="1:19" ht="17.25" customHeight="1">
      <c r="A166" s="108">
        <v>49583</v>
      </c>
      <c r="B166" s="108">
        <f t="shared" si="0"/>
        <v>49582</v>
      </c>
      <c r="C166" s="109"/>
      <c r="D166" s="109"/>
      <c r="E166" s="109"/>
      <c r="F166" s="109"/>
      <c r="G166" s="109"/>
      <c r="H166" s="109"/>
      <c r="I166" s="109">
        <f t="shared" ref="I166:J166" si="180">SUM(C166,E166,G166)</f>
        <v>0</v>
      </c>
      <c r="J166" s="109">
        <f t="shared" si="180"/>
        <v>0</v>
      </c>
      <c r="K166" s="109">
        <f>SUMIFS(Ações!$J$66,Ações!$N$66,Patrimônio!B166,Ações!$E$66,"Provento")</f>
        <v>0</v>
      </c>
      <c r="L166" s="109">
        <f>SUMIFS(BDRs!$J$66,BDRs!$E$66,"Provento",BDRs!$N$66,Patrimônio!B166)</f>
        <v>0</v>
      </c>
      <c r="M166" s="109">
        <f>SUMIFS(FIIs!$J$66,FIIs!$E$66,"Provento",FIIs!$N$66,Patrimônio!B166)</f>
        <v>0</v>
      </c>
      <c r="N166" s="109">
        <f t="shared" si="2"/>
        <v>0</v>
      </c>
      <c r="O166" s="109"/>
      <c r="Q166" s="151" t="s">
        <v>113</v>
      </c>
      <c r="R166" s="152" t="s">
        <v>261</v>
      </c>
      <c r="S166" s="153">
        <v>0</v>
      </c>
    </row>
    <row r="167" spans="1:19" ht="17.25" customHeight="1">
      <c r="A167" s="108">
        <v>49614</v>
      </c>
      <c r="B167" s="108">
        <f t="shared" si="0"/>
        <v>49613</v>
      </c>
      <c r="C167" s="109"/>
      <c r="D167" s="109"/>
      <c r="E167" s="109"/>
      <c r="F167" s="109"/>
      <c r="G167" s="109"/>
      <c r="H167" s="109"/>
      <c r="I167" s="109">
        <f t="shared" ref="I167:J167" si="181">SUM(C167,E167,G167)</f>
        <v>0</v>
      </c>
      <c r="J167" s="109">
        <f t="shared" si="181"/>
        <v>0</v>
      </c>
      <c r="K167" s="109">
        <f>SUMIFS(Ações!$J$66,Ações!$N$66,Patrimônio!B167,Ações!$E$66,"Provento")</f>
        <v>0</v>
      </c>
      <c r="L167" s="109">
        <f>SUMIFS(BDRs!$J$66,BDRs!$E$66,"Provento",BDRs!$N$66,Patrimônio!B167)</f>
        <v>0</v>
      </c>
      <c r="M167" s="109">
        <f>SUMIFS(FIIs!$J$66,FIIs!$E$66,"Provento",FIIs!$N$66,Patrimônio!B167)</f>
        <v>0</v>
      </c>
      <c r="N167" s="109">
        <f t="shared" si="2"/>
        <v>0</v>
      </c>
      <c r="O167" s="109"/>
      <c r="Q167" s="154"/>
      <c r="R167" s="155" t="s">
        <v>262</v>
      </c>
      <c r="S167" s="156">
        <v>0</v>
      </c>
    </row>
    <row r="168" spans="1:19" ht="17.25" customHeight="1">
      <c r="A168" s="108">
        <v>49644</v>
      </c>
      <c r="B168" s="108">
        <f t="shared" si="0"/>
        <v>49643</v>
      </c>
      <c r="C168" s="109"/>
      <c r="D168" s="109"/>
      <c r="E168" s="109"/>
      <c r="F168" s="109"/>
      <c r="G168" s="109"/>
      <c r="H168" s="109"/>
      <c r="I168" s="109">
        <f t="shared" ref="I168:J168" si="182">SUM(C168,E168,G168)</f>
        <v>0</v>
      </c>
      <c r="J168" s="109">
        <f t="shared" si="182"/>
        <v>0</v>
      </c>
      <c r="K168" s="109">
        <f>SUMIFS(Ações!$J$66,Ações!$N$66,Patrimônio!B168,Ações!$E$66,"Provento")</f>
        <v>0</v>
      </c>
      <c r="L168" s="109">
        <f>SUMIFS(BDRs!$J$66,BDRs!$E$66,"Provento",BDRs!$N$66,Patrimônio!B168)</f>
        <v>0</v>
      </c>
      <c r="M168" s="109">
        <f>SUMIFS(FIIs!$J$66,FIIs!$E$66,"Provento",FIIs!$N$66,Patrimônio!B168)</f>
        <v>0</v>
      </c>
      <c r="N168" s="109">
        <f t="shared" si="2"/>
        <v>0</v>
      </c>
      <c r="O168" s="109"/>
      <c r="Q168" s="154"/>
      <c r="R168" s="155" t="s">
        <v>263</v>
      </c>
      <c r="S168" s="156">
        <v>0</v>
      </c>
    </row>
    <row r="169" spans="1:19" ht="17.25" customHeight="1">
      <c r="A169" s="108">
        <v>49675</v>
      </c>
      <c r="B169" s="108">
        <f t="shared" si="0"/>
        <v>49674</v>
      </c>
      <c r="C169" s="109"/>
      <c r="D169" s="109"/>
      <c r="E169" s="109"/>
      <c r="F169" s="109"/>
      <c r="G169" s="109"/>
      <c r="H169" s="109"/>
      <c r="I169" s="109">
        <f t="shared" ref="I169:J169" si="183">SUM(C169,E169,G169)</f>
        <v>0</v>
      </c>
      <c r="J169" s="109">
        <f t="shared" si="183"/>
        <v>0</v>
      </c>
      <c r="K169" s="109">
        <f>SUMIFS(Ações!$J$66,Ações!$N$66,Patrimônio!B169,Ações!$E$66,"Provento")</f>
        <v>0</v>
      </c>
      <c r="L169" s="109">
        <f>SUMIFS(BDRs!$J$66,BDRs!$E$66,"Provento",BDRs!$N$66,Patrimônio!B169)</f>
        <v>0</v>
      </c>
      <c r="M169" s="109">
        <f>SUMIFS(FIIs!$J$66,FIIs!$E$66,"Provento",FIIs!$N$66,Patrimônio!B169)</f>
        <v>0</v>
      </c>
      <c r="N169" s="109">
        <f t="shared" si="2"/>
        <v>0</v>
      </c>
      <c r="O169" s="109"/>
      <c r="Q169" s="154"/>
      <c r="R169" s="155" t="s">
        <v>264</v>
      </c>
      <c r="S169" s="156">
        <v>0</v>
      </c>
    </row>
    <row r="170" spans="1:19" ht="17.25" customHeight="1">
      <c r="A170" s="108">
        <v>49706</v>
      </c>
      <c r="B170" s="108">
        <f t="shared" si="0"/>
        <v>49705</v>
      </c>
      <c r="C170" s="109"/>
      <c r="D170" s="109"/>
      <c r="E170" s="109"/>
      <c r="F170" s="109"/>
      <c r="G170" s="109"/>
      <c r="H170" s="109"/>
      <c r="I170" s="109">
        <f t="shared" ref="I170:J170" si="184">SUM(C170,E170,G170)</f>
        <v>0</v>
      </c>
      <c r="J170" s="109">
        <f t="shared" si="184"/>
        <v>0</v>
      </c>
      <c r="K170" s="109">
        <f>SUMIFS(Ações!$J$66,Ações!$N$66,Patrimônio!B170,Ações!$E$66,"Provento")</f>
        <v>0</v>
      </c>
      <c r="L170" s="109">
        <f>SUMIFS(BDRs!$J$66,BDRs!$E$66,"Provento",BDRs!$N$66,Patrimônio!B170)</f>
        <v>0</v>
      </c>
      <c r="M170" s="109">
        <f>SUMIFS(FIIs!$J$66,FIIs!$E$66,"Provento",FIIs!$N$66,Patrimônio!B170)</f>
        <v>0</v>
      </c>
      <c r="N170" s="109">
        <f t="shared" si="2"/>
        <v>0</v>
      </c>
      <c r="O170" s="109"/>
      <c r="Q170" s="154"/>
      <c r="R170" s="155" t="s">
        <v>265</v>
      </c>
      <c r="S170" s="156">
        <v>0</v>
      </c>
    </row>
    <row r="171" spans="1:19" ht="17.25" customHeight="1">
      <c r="A171" s="108">
        <v>49735</v>
      </c>
      <c r="B171" s="108">
        <f t="shared" si="0"/>
        <v>49734</v>
      </c>
      <c r="C171" s="109"/>
      <c r="D171" s="109"/>
      <c r="E171" s="109"/>
      <c r="F171" s="109"/>
      <c r="G171" s="109"/>
      <c r="H171" s="109"/>
      <c r="I171" s="109">
        <f t="shared" ref="I171:J171" si="185">SUM(C171,E171,G171)</f>
        <v>0</v>
      </c>
      <c r="J171" s="109">
        <f t="shared" si="185"/>
        <v>0</v>
      </c>
      <c r="K171" s="109">
        <f>SUMIFS(Ações!$J$66,Ações!$N$66,Patrimônio!B171,Ações!$E$66,"Provento")</f>
        <v>0</v>
      </c>
      <c r="L171" s="109">
        <f>SUMIFS(BDRs!$J$66,BDRs!$E$66,"Provento",BDRs!$N$66,Patrimônio!B171)</f>
        <v>0</v>
      </c>
      <c r="M171" s="109">
        <f>SUMIFS(FIIs!$J$66,FIIs!$E$66,"Provento",FIIs!$N$66,Patrimônio!B171)</f>
        <v>0</v>
      </c>
      <c r="N171" s="109">
        <f t="shared" si="2"/>
        <v>0</v>
      </c>
      <c r="O171" s="109"/>
      <c r="Q171" s="154"/>
      <c r="R171" s="155" t="s">
        <v>266</v>
      </c>
      <c r="S171" s="156">
        <v>0</v>
      </c>
    </row>
    <row r="172" spans="1:19" ht="17.25" customHeight="1">
      <c r="A172" s="108">
        <v>49766</v>
      </c>
      <c r="B172" s="108">
        <f t="shared" si="0"/>
        <v>49765</v>
      </c>
      <c r="C172" s="109"/>
      <c r="D172" s="109"/>
      <c r="E172" s="109"/>
      <c r="F172" s="109"/>
      <c r="G172" s="109"/>
      <c r="H172" s="109"/>
      <c r="I172" s="109">
        <f t="shared" ref="I172:J172" si="186">SUM(C172,E172,G172)</f>
        <v>0</v>
      </c>
      <c r="J172" s="109">
        <f t="shared" si="186"/>
        <v>0</v>
      </c>
      <c r="K172" s="109">
        <f>SUMIFS(Ações!$J$66,Ações!$N$66,Patrimônio!B172,Ações!$E$66,"Provento")</f>
        <v>0</v>
      </c>
      <c r="L172" s="109">
        <f>SUMIFS(BDRs!$J$66,BDRs!$E$66,"Provento",BDRs!$N$66,Patrimônio!B172)</f>
        <v>0</v>
      </c>
      <c r="M172" s="109">
        <f>SUMIFS(FIIs!$J$66,FIIs!$E$66,"Provento",FIIs!$N$66,Patrimônio!B172)</f>
        <v>0</v>
      </c>
      <c r="N172" s="109">
        <f t="shared" si="2"/>
        <v>0</v>
      </c>
      <c r="O172" s="109"/>
      <c r="Q172" s="154"/>
      <c r="R172" s="155" t="s">
        <v>267</v>
      </c>
      <c r="S172" s="156">
        <v>0</v>
      </c>
    </row>
    <row r="173" spans="1:19" ht="17.25" customHeight="1">
      <c r="A173" s="108">
        <v>49796</v>
      </c>
      <c r="B173" s="108">
        <f t="shared" si="0"/>
        <v>49795</v>
      </c>
      <c r="C173" s="109"/>
      <c r="D173" s="109"/>
      <c r="E173" s="109"/>
      <c r="F173" s="109"/>
      <c r="G173" s="109"/>
      <c r="H173" s="109"/>
      <c r="I173" s="109">
        <f t="shared" ref="I173:J173" si="187">SUM(C173,E173,G173)</f>
        <v>0</v>
      </c>
      <c r="J173" s="109">
        <f t="shared" si="187"/>
        <v>0</v>
      </c>
      <c r="K173" s="109">
        <f>SUMIFS(Ações!$J$66,Ações!$N$66,Patrimônio!B173,Ações!$E$66,"Provento")</f>
        <v>0</v>
      </c>
      <c r="L173" s="109">
        <f>SUMIFS(BDRs!$J$66,BDRs!$E$66,"Provento",BDRs!$N$66,Patrimônio!B173)</f>
        <v>0</v>
      </c>
      <c r="M173" s="109">
        <f>SUMIFS(FIIs!$J$66,FIIs!$E$66,"Provento",FIIs!$N$66,Patrimônio!B173)</f>
        <v>0</v>
      </c>
      <c r="N173" s="109">
        <f t="shared" si="2"/>
        <v>0</v>
      </c>
      <c r="O173" s="109"/>
      <c r="Q173" s="154"/>
      <c r="R173" s="155" t="s">
        <v>268</v>
      </c>
      <c r="S173" s="156">
        <v>0</v>
      </c>
    </row>
    <row r="174" spans="1:19" ht="17.25" customHeight="1">
      <c r="A174" s="108">
        <v>49827</v>
      </c>
      <c r="B174" s="108">
        <f t="shared" si="0"/>
        <v>49826</v>
      </c>
      <c r="C174" s="109"/>
      <c r="D174" s="109"/>
      <c r="E174" s="109"/>
      <c r="F174" s="109"/>
      <c r="G174" s="109"/>
      <c r="H174" s="109"/>
      <c r="I174" s="109">
        <f t="shared" ref="I174:J174" si="188">SUM(C174,E174,G174)</f>
        <v>0</v>
      </c>
      <c r="J174" s="109">
        <f t="shared" si="188"/>
        <v>0</v>
      </c>
      <c r="K174" s="109">
        <f>SUMIFS(Ações!$J$66,Ações!$N$66,Patrimônio!B174,Ações!$E$66,"Provento")</f>
        <v>0</v>
      </c>
      <c r="L174" s="109">
        <f>SUMIFS(BDRs!$J$66,BDRs!$E$66,"Provento",BDRs!$N$66,Patrimônio!B174)</f>
        <v>0</v>
      </c>
      <c r="M174" s="109">
        <f>SUMIFS(FIIs!$J$66,FIIs!$E$66,"Provento",FIIs!$N$66,Patrimônio!B174)</f>
        <v>0</v>
      </c>
      <c r="N174" s="109">
        <f t="shared" si="2"/>
        <v>0</v>
      </c>
      <c r="O174" s="109"/>
      <c r="Q174" s="154"/>
      <c r="R174" s="155" t="s">
        <v>269</v>
      </c>
      <c r="S174" s="156">
        <v>0</v>
      </c>
    </row>
    <row r="175" spans="1:19" ht="17.25" customHeight="1">
      <c r="A175" s="108">
        <v>49857</v>
      </c>
      <c r="B175" s="108">
        <f t="shared" si="0"/>
        <v>49856</v>
      </c>
      <c r="C175" s="109"/>
      <c r="D175" s="109"/>
      <c r="E175" s="109"/>
      <c r="F175" s="109"/>
      <c r="G175" s="109"/>
      <c r="H175" s="109"/>
      <c r="I175" s="109">
        <f t="shared" ref="I175:J175" si="189">SUM(C175,E175,G175)</f>
        <v>0</v>
      </c>
      <c r="J175" s="109">
        <f t="shared" si="189"/>
        <v>0</v>
      </c>
      <c r="K175" s="109">
        <f>SUMIFS(Ações!$J$66,Ações!$N$66,Patrimônio!B175,Ações!$E$66,"Provento")</f>
        <v>0</v>
      </c>
      <c r="L175" s="109">
        <f>SUMIFS(BDRs!$J$66,BDRs!$E$66,"Provento",BDRs!$N$66,Patrimônio!B175)</f>
        <v>0</v>
      </c>
      <c r="M175" s="109">
        <f>SUMIFS(FIIs!$J$66,FIIs!$E$66,"Provento",FIIs!$N$66,Patrimônio!B175)</f>
        <v>0</v>
      </c>
      <c r="N175" s="109">
        <f t="shared" si="2"/>
        <v>0</v>
      </c>
      <c r="O175" s="109"/>
      <c r="Q175" s="154"/>
      <c r="R175" s="155" t="s">
        <v>270</v>
      </c>
      <c r="S175" s="156">
        <v>0</v>
      </c>
    </row>
    <row r="176" spans="1:19" ht="17.25" customHeight="1">
      <c r="A176" s="108">
        <v>49888</v>
      </c>
      <c r="B176" s="108">
        <f t="shared" si="0"/>
        <v>49887</v>
      </c>
      <c r="C176" s="109"/>
      <c r="D176" s="109"/>
      <c r="E176" s="109"/>
      <c r="F176" s="109"/>
      <c r="G176" s="109"/>
      <c r="H176" s="109"/>
      <c r="I176" s="109">
        <f t="shared" ref="I176:J176" si="190">SUM(C176,E176,G176)</f>
        <v>0</v>
      </c>
      <c r="J176" s="109">
        <f t="shared" si="190"/>
        <v>0</v>
      </c>
      <c r="K176" s="109">
        <f>SUMIFS(Ações!$J$66,Ações!$N$66,Patrimônio!B176,Ações!$E$66,"Provento")</f>
        <v>0</v>
      </c>
      <c r="L176" s="109">
        <f>SUMIFS(BDRs!$J$66,BDRs!$E$66,"Provento",BDRs!$N$66,Patrimônio!B176)</f>
        <v>0</v>
      </c>
      <c r="M176" s="109">
        <f>SUMIFS(FIIs!$J$66,FIIs!$E$66,"Provento",FIIs!$N$66,Patrimônio!B176)</f>
        <v>0</v>
      </c>
      <c r="N176" s="109">
        <f t="shared" si="2"/>
        <v>0</v>
      </c>
      <c r="O176" s="109"/>
      <c r="Q176" s="154"/>
      <c r="R176" s="155" t="s">
        <v>271</v>
      </c>
      <c r="S176" s="156">
        <v>0</v>
      </c>
    </row>
    <row r="177" spans="1:19" ht="17.25" customHeight="1">
      <c r="A177" s="108">
        <v>49919</v>
      </c>
      <c r="B177" s="108">
        <f t="shared" si="0"/>
        <v>49918</v>
      </c>
      <c r="C177" s="109"/>
      <c r="D177" s="109"/>
      <c r="E177" s="109"/>
      <c r="F177" s="109"/>
      <c r="G177" s="109"/>
      <c r="H177" s="109"/>
      <c r="I177" s="109">
        <f t="shared" ref="I177:J177" si="191">SUM(C177,E177,G177)</f>
        <v>0</v>
      </c>
      <c r="J177" s="109">
        <f t="shared" si="191"/>
        <v>0</v>
      </c>
      <c r="K177" s="109">
        <f>SUMIFS(Ações!$J$66,Ações!$N$66,Patrimônio!B177,Ações!$E$66,"Provento")</f>
        <v>0</v>
      </c>
      <c r="L177" s="109">
        <f>SUMIFS(BDRs!$J$66,BDRs!$E$66,"Provento",BDRs!$N$66,Patrimônio!B177)</f>
        <v>0</v>
      </c>
      <c r="M177" s="109">
        <f>SUMIFS(FIIs!$J$66,FIIs!$E$66,"Provento",FIIs!$N$66,Patrimônio!B177)</f>
        <v>0</v>
      </c>
      <c r="N177" s="109">
        <f t="shared" si="2"/>
        <v>0</v>
      </c>
      <c r="O177" s="109"/>
      <c r="Q177" s="154"/>
      <c r="R177" s="155" t="s">
        <v>272</v>
      </c>
      <c r="S177" s="156">
        <v>0</v>
      </c>
    </row>
    <row r="178" spans="1:19" ht="17.25" customHeight="1">
      <c r="A178" s="108">
        <v>49949</v>
      </c>
      <c r="B178" s="108">
        <f t="shared" si="0"/>
        <v>49948</v>
      </c>
      <c r="C178" s="109"/>
      <c r="D178" s="109"/>
      <c r="E178" s="109"/>
      <c r="F178" s="109"/>
      <c r="G178" s="109"/>
      <c r="H178" s="109"/>
      <c r="I178" s="109">
        <f t="shared" ref="I178:J178" si="192">SUM(C178,E178,G178)</f>
        <v>0</v>
      </c>
      <c r="J178" s="109">
        <f t="shared" si="192"/>
        <v>0</v>
      </c>
      <c r="K178" s="109">
        <f>SUMIFS(Ações!$J$66,Ações!$N$66,Patrimônio!B178,Ações!$E$66,"Provento")</f>
        <v>0</v>
      </c>
      <c r="L178" s="109">
        <f>SUMIFS(BDRs!$J$66,BDRs!$E$66,"Provento",BDRs!$N$66,Patrimônio!B178)</f>
        <v>0</v>
      </c>
      <c r="M178" s="109">
        <f>SUMIFS(FIIs!$J$66,FIIs!$E$66,"Provento",FIIs!$N$66,Patrimônio!B178)</f>
        <v>0</v>
      </c>
      <c r="N178" s="109">
        <f t="shared" si="2"/>
        <v>0</v>
      </c>
      <c r="O178" s="109"/>
      <c r="Q178" s="151" t="s">
        <v>114</v>
      </c>
      <c r="R178" s="157"/>
      <c r="S178" s="153">
        <v>0</v>
      </c>
    </row>
    <row r="179" spans="1:19" ht="17.25" customHeight="1">
      <c r="A179" s="108">
        <v>49980</v>
      </c>
      <c r="B179" s="108">
        <f t="shared" si="0"/>
        <v>49979</v>
      </c>
      <c r="C179" s="109"/>
      <c r="D179" s="109"/>
      <c r="E179" s="109"/>
      <c r="F179" s="109"/>
      <c r="G179" s="109"/>
      <c r="H179" s="109"/>
      <c r="I179" s="109">
        <f t="shared" ref="I179:J179" si="193">SUM(C179,E179,G179)</f>
        <v>0</v>
      </c>
      <c r="J179" s="109">
        <f t="shared" si="193"/>
        <v>0</v>
      </c>
      <c r="K179" s="109">
        <f>SUMIFS(Ações!$J$66,Ações!$N$66,Patrimônio!B179,Ações!$E$66,"Provento")</f>
        <v>0</v>
      </c>
      <c r="L179" s="109">
        <f>SUMIFS(BDRs!$J$66,BDRs!$E$66,"Provento",BDRs!$N$66,Patrimônio!B179)</f>
        <v>0</v>
      </c>
      <c r="M179" s="109">
        <f>SUMIFS(FIIs!$J$66,FIIs!$E$66,"Provento",FIIs!$N$66,Patrimônio!B179)</f>
        <v>0</v>
      </c>
      <c r="N179" s="109">
        <f t="shared" si="2"/>
        <v>0</v>
      </c>
      <c r="O179" s="109"/>
      <c r="Q179" s="151" t="s">
        <v>115</v>
      </c>
      <c r="R179" s="152" t="s">
        <v>261</v>
      </c>
      <c r="S179" s="153">
        <v>0</v>
      </c>
    </row>
    <row r="180" spans="1:19" ht="17.25" customHeight="1">
      <c r="A180" s="108">
        <v>50010</v>
      </c>
      <c r="B180" s="108">
        <f t="shared" si="0"/>
        <v>50009</v>
      </c>
      <c r="C180" s="109"/>
      <c r="D180" s="109"/>
      <c r="E180" s="109"/>
      <c r="F180" s="109"/>
      <c r="G180" s="109"/>
      <c r="H180" s="109"/>
      <c r="I180" s="109">
        <f t="shared" ref="I180:J180" si="194">SUM(C180,E180,G180)</f>
        <v>0</v>
      </c>
      <c r="J180" s="109">
        <f t="shared" si="194"/>
        <v>0</v>
      </c>
      <c r="K180" s="109">
        <f>SUMIFS(Ações!$J$66,Ações!$N$66,Patrimônio!B180,Ações!$E$66,"Provento")</f>
        <v>0</v>
      </c>
      <c r="L180" s="109">
        <f>SUMIFS(BDRs!$J$66,BDRs!$E$66,"Provento",BDRs!$N$66,Patrimônio!B180)</f>
        <v>0</v>
      </c>
      <c r="M180" s="109">
        <f>SUMIFS(FIIs!$J$66,FIIs!$E$66,"Provento",FIIs!$N$66,Patrimônio!B180)</f>
        <v>0</v>
      </c>
      <c r="N180" s="109">
        <f t="shared" si="2"/>
        <v>0</v>
      </c>
      <c r="O180" s="109"/>
      <c r="Q180" s="154"/>
      <c r="R180" s="155" t="s">
        <v>262</v>
      </c>
      <c r="S180" s="156">
        <v>0</v>
      </c>
    </row>
    <row r="181" spans="1:19" ht="17.25" customHeight="1">
      <c r="A181" s="108">
        <v>50041</v>
      </c>
      <c r="B181" s="108">
        <f t="shared" si="0"/>
        <v>50040</v>
      </c>
      <c r="C181" s="109"/>
      <c r="D181" s="109"/>
      <c r="E181" s="109"/>
      <c r="F181" s="109"/>
      <c r="G181" s="109"/>
      <c r="H181" s="109"/>
      <c r="I181" s="109">
        <f t="shared" ref="I181:J181" si="195">SUM(C181,E181,G181)</f>
        <v>0</v>
      </c>
      <c r="J181" s="109">
        <f t="shared" si="195"/>
        <v>0</v>
      </c>
      <c r="K181" s="109">
        <f>SUMIFS(Ações!$J$66,Ações!$N$66,Patrimônio!B181,Ações!$E$66,"Provento")</f>
        <v>0</v>
      </c>
      <c r="L181" s="109">
        <f>SUMIFS(BDRs!$J$66,BDRs!$E$66,"Provento",BDRs!$N$66,Patrimônio!B181)</f>
        <v>0</v>
      </c>
      <c r="M181" s="109">
        <f>SUMIFS(FIIs!$J$66,FIIs!$E$66,"Provento",FIIs!$N$66,Patrimônio!B181)</f>
        <v>0</v>
      </c>
      <c r="N181" s="109">
        <f t="shared" si="2"/>
        <v>0</v>
      </c>
      <c r="O181" s="109"/>
      <c r="Q181" s="154"/>
      <c r="R181" s="155" t="s">
        <v>263</v>
      </c>
      <c r="S181" s="156">
        <v>0</v>
      </c>
    </row>
    <row r="182" spans="1:19" ht="17.25" customHeight="1">
      <c r="A182" s="108">
        <v>50072</v>
      </c>
      <c r="B182" s="108">
        <f t="shared" si="0"/>
        <v>50071</v>
      </c>
      <c r="C182" s="109"/>
      <c r="D182" s="109"/>
      <c r="E182" s="109"/>
      <c r="F182" s="109"/>
      <c r="G182" s="109"/>
      <c r="H182" s="109"/>
      <c r="I182" s="109">
        <f t="shared" ref="I182:J182" si="196">SUM(C182,E182,G182)</f>
        <v>0</v>
      </c>
      <c r="J182" s="109">
        <f t="shared" si="196"/>
        <v>0</v>
      </c>
      <c r="K182" s="109">
        <f>SUMIFS(Ações!$J$66,Ações!$N$66,Patrimônio!B182,Ações!$E$66,"Provento")</f>
        <v>0</v>
      </c>
      <c r="L182" s="109">
        <f>SUMIFS(BDRs!$J$66,BDRs!$E$66,"Provento",BDRs!$N$66,Patrimônio!B182)</f>
        <v>0</v>
      </c>
      <c r="M182" s="109">
        <f>SUMIFS(FIIs!$J$66,FIIs!$E$66,"Provento",FIIs!$N$66,Patrimônio!B182)</f>
        <v>0</v>
      </c>
      <c r="N182" s="109">
        <f t="shared" si="2"/>
        <v>0</v>
      </c>
      <c r="O182" s="109"/>
      <c r="Q182" s="154"/>
      <c r="R182" s="155" t="s">
        <v>264</v>
      </c>
      <c r="S182" s="156">
        <v>0</v>
      </c>
    </row>
    <row r="183" spans="1:19" ht="17.25" customHeight="1">
      <c r="A183" s="108">
        <v>50100</v>
      </c>
      <c r="B183" s="108">
        <f t="shared" si="0"/>
        <v>50099</v>
      </c>
      <c r="C183" s="109"/>
      <c r="D183" s="109"/>
      <c r="E183" s="109"/>
      <c r="F183" s="109"/>
      <c r="G183" s="109"/>
      <c r="H183" s="109"/>
      <c r="I183" s="109">
        <f t="shared" ref="I183:J183" si="197">SUM(C183,E183,G183)</f>
        <v>0</v>
      </c>
      <c r="J183" s="109">
        <f t="shared" si="197"/>
        <v>0</v>
      </c>
      <c r="K183" s="109">
        <f>SUMIFS(Ações!$J$66,Ações!$N$66,Patrimônio!B183,Ações!$E$66,"Provento")</f>
        <v>0</v>
      </c>
      <c r="L183" s="109">
        <f>SUMIFS(BDRs!$J$66,BDRs!$E$66,"Provento",BDRs!$N$66,Patrimônio!B183)</f>
        <v>0</v>
      </c>
      <c r="M183" s="109">
        <f>SUMIFS(FIIs!$J$66,FIIs!$E$66,"Provento",FIIs!$N$66,Patrimônio!B183)</f>
        <v>0</v>
      </c>
      <c r="N183" s="109">
        <f t="shared" si="2"/>
        <v>0</v>
      </c>
      <c r="O183" s="109"/>
      <c r="Q183" s="154"/>
      <c r="R183" s="155" t="s">
        <v>265</v>
      </c>
      <c r="S183" s="156">
        <v>0</v>
      </c>
    </row>
    <row r="184" spans="1:19" ht="17.25" customHeight="1">
      <c r="A184" s="108">
        <v>50131</v>
      </c>
      <c r="B184" s="108">
        <f t="shared" si="0"/>
        <v>50130</v>
      </c>
      <c r="C184" s="109"/>
      <c r="D184" s="109"/>
      <c r="E184" s="109"/>
      <c r="F184" s="109"/>
      <c r="G184" s="109"/>
      <c r="H184" s="109"/>
      <c r="I184" s="109">
        <f t="shared" ref="I184:J184" si="198">SUM(C184,E184,G184)</f>
        <v>0</v>
      </c>
      <c r="J184" s="109">
        <f t="shared" si="198"/>
        <v>0</v>
      </c>
      <c r="K184" s="109">
        <f>SUMIFS(Ações!$J$66,Ações!$N$66,Patrimônio!B184,Ações!$E$66,"Provento")</f>
        <v>0</v>
      </c>
      <c r="L184" s="109">
        <f>SUMIFS(BDRs!$J$66,BDRs!$E$66,"Provento",BDRs!$N$66,Patrimônio!B184)</f>
        <v>0</v>
      </c>
      <c r="M184" s="109">
        <f>SUMIFS(FIIs!$J$66,FIIs!$E$66,"Provento",FIIs!$N$66,Patrimônio!B184)</f>
        <v>0</v>
      </c>
      <c r="N184" s="109">
        <f t="shared" si="2"/>
        <v>0</v>
      </c>
      <c r="O184" s="109"/>
      <c r="Q184" s="154"/>
      <c r="R184" s="155" t="s">
        <v>266</v>
      </c>
      <c r="S184" s="156">
        <v>0</v>
      </c>
    </row>
    <row r="185" spans="1:19" ht="17.25" customHeight="1">
      <c r="A185" s="108">
        <v>50161</v>
      </c>
      <c r="B185" s="108">
        <f t="shared" si="0"/>
        <v>50160</v>
      </c>
      <c r="C185" s="109"/>
      <c r="D185" s="109"/>
      <c r="E185" s="109"/>
      <c r="F185" s="109"/>
      <c r="G185" s="109"/>
      <c r="H185" s="109"/>
      <c r="I185" s="109">
        <f t="shared" ref="I185:J185" si="199">SUM(C185,E185,G185)</f>
        <v>0</v>
      </c>
      <c r="J185" s="109">
        <f t="shared" si="199"/>
        <v>0</v>
      </c>
      <c r="K185" s="109">
        <f>SUMIFS(Ações!$J$66,Ações!$N$66,Patrimônio!B185,Ações!$E$66,"Provento")</f>
        <v>0</v>
      </c>
      <c r="L185" s="109">
        <f>SUMIFS(BDRs!$J$66,BDRs!$E$66,"Provento",BDRs!$N$66,Patrimônio!B185)</f>
        <v>0</v>
      </c>
      <c r="M185" s="109">
        <f>SUMIFS(FIIs!$J$66,FIIs!$E$66,"Provento",FIIs!$N$66,Patrimônio!B185)</f>
        <v>0</v>
      </c>
      <c r="N185" s="109">
        <f t="shared" si="2"/>
        <v>0</v>
      </c>
      <c r="O185" s="109"/>
      <c r="Q185" s="154"/>
      <c r="R185" s="155" t="s">
        <v>267</v>
      </c>
      <c r="S185" s="156">
        <v>0</v>
      </c>
    </row>
    <row r="186" spans="1:19" ht="17.25" customHeight="1">
      <c r="A186" s="108">
        <v>50192</v>
      </c>
      <c r="B186" s="108">
        <f t="shared" si="0"/>
        <v>50191</v>
      </c>
      <c r="C186" s="109"/>
      <c r="D186" s="109"/>
      <c r="E186" s="109"/>
      <c r="F186" s="109"/>
      <c r="G186" s="109"/>
      <c r="H186" s="109"/>
      <c r="I186" s="109">
        <f t="shared" ref="I186:J186" si="200">SUM(C186,E186,G186)</f>
        <v>0</v>
      </c>
      <c r="J186" s="109">
        <f t="shared" si="200"/>
        <v>0</v>
      </c>
      <c r="K186" s="109">
        <f>SUMIFS(Ações!$J$66,Ações!$N$66,Patrimônio!B186,Ações!$E$66,"Provento")</f>
        <v>0</v>
      </c>
      <c r="L186" s="109">
        <f>SUMIFS(BDRs!$J$66,BDRs!$E$66,"Provento",BDRs!$N$66,Patrimônio!B186)</f>
        <v>0</v>
      </c>
      <c r="M186" s="109">
        <f>SUMIFS(FIIs!$J$66,FIIs!$E$66,"Provento",FIIs!$N$66,Patrimônio!B186)</f>
        <v>0</v>
      </c>
      <c r="N186" s="109">
        <f t="shared" si="2"/>
        <v>0</v>
      </c>
      <c r="O186" s="109"/>
      <c r="Q186" s="154"/>
      <c r="R186" s="155" t="s">
        <v>268</v>
      </c>
      <c r="S186" s="156">
        <v>0</v>
      </c>
    </row>
    <row r="187" spans="1:19" ht="17.25" customHeight="1">
      <c r="A187" s="108">
        <v>50222</v>
      </c>
      <c r="B187" s="108">
        <f t="shared" si="0"/>
        <v>50221</v>
      </c>
      <c r="C187" s="109"/>
      <c r="D187" s="109"/>
      <c r="E187" s="109"/>
      <c r="F187" s="109"/>
      <c r="G187" s="109"/>
      <c r="H187" s="109"/>
      <c r="I187" s="109">
        <f t="shared" ref="I187:J187" si="201">SUM(C187,E187,G187)</f>
        <v>0</v>
      </c>
      <c r="J187" s="109">
        <f t="shared" si="201"/>
        <v>0</v>
      </c>
      <c r="K187" s="109">
        <f>SUMIFS(Ações!$J$66,Ações!$N$66,Patrimônio!B187,Ações!$E$66,"Provento")</f>
        <v>0</v>
      </c>
      <c r="L187" s="109">
        <f>SUMIFS(BDRs!$J$66,BDRs!$E$66,"Provento",BDRs!$N$66,Patrimônio!B187)</f>
        <v>0</v>
      </c>
      <c r="M187" s="109">
        <f>SUMIFS(FIIs!$J$66,FIIs!$E$66,"Provento",FIIs!$N$66,Patrimônio!B187)</f>
        <v>0</v>
      </c>
      <c r="N187" s="109">
        <f t="shared" si="2"/>
        <v>0</v>
      </c>
      <c r="O187" s="109"/>
      <c r="Q187" s="154"/>
      <c r="R187" s="155" t="s">
        <v>269</v>
      </c>
      <c r="S187" s="156">
        <v>0</v>
      </c>
    </row>
    <row r="188" spans="1:19" ht="17.25" customHeight="1">
      <c r="A188" s="108">
        <v>50253</v>
      </c>
      <c r="B188" s="108">
        <f t="shared" si="0"/>
        <v>50252</v>
      </c>
      <c r="C188" s="109"/>
      <c r="D188" s="109"/>
      <c r="E188" s="109"/>
      <c r="F188" s="109"/>
      <c r="G188" s="109"/>
      <c r="H188" s="109"/>
      <c r="I188" s="109">
        <f t="shared" ref="I188:J188" si="202">SUM(C188,E188,G188)</f>
        <v>0</v>
      </c>
      <c r="J188" s="109">
        <f t="shared" si="202"/>
        <v>0</v>
      </c>
      <c r="K188" s="109">
        <f>SUMIFS(Ações!$J$66,Ações!$N$66,Patrimônio!B188,Ações!$E$66,"Provento")</f>
        <v>0</v>
      </c>
      <c r="L188" s="109">
        <f>SUMIFS(BDRs!$J$66,BDRs!$E$66,"Provento",BDRs!$N$66,Patrimônio!B188)</f>
        <v>0</v>
      </c>
      <c r="M188" s="109">
        <f>SUMIFS(FIIs!$J$66,FIIs!$E$66,"Provento",FIIs!$N$66,Patrimônio!B188)</f>
        <v>0</v>
      </c>
      <c r="N188" s="109">
        <f t="shared" si="2"/>
        <v>0</v>
      </c>
      <c r="O188" s="109"/>
      <c r="Q188" s="154"/>
      <c r="R188" s="155" t="s">
        <v>270</v>
      </c>
      <c r="S188" s="156">
        <v>0</v>
      </c>
    </row>
    <row r="189" spans="1:19" ht="17.25" customHeight="1">
      <c r="A189" s="108">
        <v>50284</v>
      </c>
      <c r="B189" s="108">
        <f t="shared" si="0"/>
        <v>50283</v>
      </c>
      <c r="C189" s="109"/>
      <c r="D189" s="109"/>
      <c r="E189" s="109"/>
      <c r="F189" s="109"/>
      <c r="G189" s="109"/>
      <c r="H189" s="109"/>
      <c r="I189" s="109">
        <f t="shared" ref="I189:J189" si="203">SUM(C189,E189,G189)</f>
        <v>0</v>
      </c>
      <c r="J189" s="109">
        <f t="shared" si="203"/>
        <v>0</v>
      </c>
      <c r="K189" s="109">
        <f>SUMIFS(Ações!$J$66,Ações!$N$66,Patrimônio!B189,Ações!$E$66,"Provento")</f>
        <v>0</v>
      </c>
      <c r="L189" s="109">
        <f>SUMIFS(BDRs!$J$66,BDRs!$E$66,"Provento",BDRs!$N$66,Patrimônio!B189)</f>
        <v>0</v>
      </c>
      <c r="M189" s="109">
        <f>SUMIFS(FIIs!$J$66,FIIs!$E$66,"Provento",FIIs!$N$66,Patrimônio!B189)</f>
        <v>0</v>
      </c>
      <c r="N189" s="109">
        <f t="shared" si="2"/>
        <v>0</v>
      </c>
      <c r="O189" s="109"/>
      <c r="Q189" s="154"/>
      <c r="R189" s="155" t="s">
        <v>271</v>
      </c>
      <c r="S189" s="156">
        <v>0</v>
      </c>
    </row>
    <row r="190" spans="1:19" ht="17.25" customHeight="1">
      <c r="A190" s="108">
        <v>50314</v>
      </c>
      <c r="B190" s="108">
        <f t="shared" si="0"/>
        <v>50313</v>
      </c>
      <c r="C190" s="109"/>
      <c r="D190" s="109"/>
      <c r="E190" s="109"/>
      <c r="F190" s="109"/>
      <c r="G190" s="109"/>
      <c r="H190" s="109"/>
      <c r="I190" s="109">
        <f t="shared" ref="I190:J190" si="204">SUM(C190,E190,G190)</f>
        <v>0</v>
      </c>
      <c r="J190" s="109">
        <f t="shared" si="204"/>
        <v>0</v>
      </c>
      <c r="K190" s="109">
        <f>SUMIFS(Ações!$J$66,Ações!$N$66,Patrimônio!B190,Ações!$E$66,"Provento")</f>
        <v>0</v>
      </c>
      <c r="L190" s="109">
        <f>SUMIFS(BDRs!$J$66,BDRs!$E$66,"Provento",BDRs!$N$66,Patrimônio!B190)</f>
        <v>0</v>
      </c>
      <c r="M190" s="109">
        <f>SUMIFS(FIIs!$J$66,FIIs!$E$66,"Provento",FIIs!$N$66,Patrimônio!B190)</f>
        <v>0</v>
      </c>
      <c r="N190" s="109">
        <f t="shared" si="2"/>
        <v>0</v>
      </c>
      <c r="O190" s="109"/>
      <c r="Q190" s="154"/>
      <c r="R190" s="155" t="s">
        <v>272</v>
      </c>
      <c r="S190" s="156">
        <v>0</v>
      </c>
    </row>
    <row r="191" spans="1:19" ht="17.25" customHeight="1">
      <c r="A191" s="108">
        <v>50345</v>
      </c>
      <c r="B191" s="108">
        <f t="shared" si="0"/>
        <v>50344</v>
      </c>
      <c r="C191" s="109"/>
      <c r="D191" s="109"/>
      <c r="E191" s="109"/>
      <c r="F191" s="109"/>
      <c r="G191" s="109"/>
      <c r="H191" s="109"/>
      <c r="I191" s="109">
        <f t="shared" ref="I191:J191" si="205">SUM(C191,E191,G191)</f>
        <v>0</v>
      </c>
      <c r="J191" s="109">
        <f t="shared" si="205"/>
        <v>0</v>
      </c>
      <c r="K191" s="109">
        <f>SUMIFS(Ações!$J$66,Ações!$N$66,Patrimônio!B191,Ações!$E$66,"Provento")</f>
        <v>0</v>
      </c>
      <c r="L191" s="109">
        <f>SUMIFS(BDRs!$J$66,BDRs!$E$66,"Provento",BDRs!$N$66,Patrimônio!B191)</f>
        <v>0</v>
      </c>
      <c r="M191" s="109">
        <f>SUMIFS(FIIs!$J$66,FIIs!$E$66,"Provento",FIIs!$N$66,Patrimônio!B191)</f>
        <v>0</v>
      </c>
      <c r="N191" s="109">
        <f t="shared" si="2"/>
        <v>0</v>
      </c>
      <c r="O191" s="109"/>
      <c r="Q191" s="151" t="s">
        <v>116</v>
      </c>
      <c r="R191" s="157"/>
      <c r="S191" s="153">
        <v>0</v>
      </c>
    </row>
    <row r="192" spans="1:19" ht="17.25" customHeight="1">
      <c r="A192" s="108">
        <v>50375</v>
      </c>
      <c r="B192" s="108">
        <f t="shared" si="0"/>
        <v>50374</v>
      </c>
      <c r="C192" s="109"/>
      <c r="D192" s="109"/>
      <c r="E192" s="109"/>
      <c r="F192" s="109"/>
      <c r="G192" s="109"/>
      <c r="H192" s="109"/>
      <c r="I192" s="109">
        <f t="shared" ref="I192:J192" si="206">SUM(C192,E192,G192)</f>
        <v>0</v>
      </c>
      <c r="J192" s="109">
        <f t="shared" si="206"/>
        <v>0</v>
      </c>
      <c r="K192" s="109">
        <f>SUMIFS(Ações!$J$66,Ações!$N$66,Patrimônio!B192,Ações!$E$66,"Provento")</f>
        <v>0</v>
      </c>
      <c r="L192" s="109">
        <f>SUMIFS(BDRs!$J$66,BDRs!$E$66,"Provento",BDRs!$N$66,Patrimônio!B192)</f>
        <v>0</v>
      </c>
      <c r="M192" s="109">
        <f>SUMIFS(FIIs!$J$66,FIIs!$E$66,"Provento",FIIs!$N$66,Patrimônio!B192)</f>
        <v>0</v>
      </c>
      <c r="N192" s="109">
        <f t="shared" si="2"/>
        <v>0</v>
      </c>
      <c r="O192" s="109"/>
      <c r="Q192" s="151" t="s">
        <v>117</v>
      </c>
      <c r="R192" s="152" t="s">
        <v>261</v>
      </c>
      <c r="S192" s="153">
        <v>0</v>
      </c>
    </row>
    <row r="193" spans="1:19" ht="17.25" customHeight="1">
      <c r="A193" s="108">
        <v>50406</v>
      </c>
      <c r="B193" s="108">
        <f t="shared" si="0"/>
        <v>50405</v>
      </c>
      <c r="C193" s="109"/>
      <c r="D193" s="109"/>
      <c r="E193" s="109"/>
      <c r="F193" s="109"/>
      <c r="G193" s="109"/>
      <c r="H193" s="109"/>
      <c r="I193" s="109">
        <f t="shared" ref="I193:J193" si="207">SUM(C193,E193,G193)</f>
        <v>0</v>
      </c>
      <c r="J193" s="109">
        <f t="shared" si="207"/>
        <v>0</v>
      </c>
      <c r="K193" s="109">
        <f>SUMIFS(Ações!$J$66,Ações!$N$66,Patrimônio!B193,Ações!$E$66,"Provento")</f>
        <v>0</v>
      </c>
      <c r="L193" s="109">
        <f>SUMIFS(BDRs!$J$66,BDRs!$E$66,"Provento",BDRs!$N$66,Patrimônio!B193)</f>
        <v>0</v>
      </c>
      <c r="M193" s="109">
        <f>SUMIFS(FIIs!$J$66,FIIs!$E$66,"Provento",FIIs!$N$66,Patrimônio!B193)</f>
        <v>0</v>
      </c>
      <c r="N193" s="109">
        <f t="shared" si="2"/>
        <v>0</v>
      </c>
      <c r="O193" s="109"/>
      <c r="Q193" s="154"/>
      <c r="R193" s="155" t="s">
        <v>262</v>
      </c>
      <c r="S193" s="156">
        <v>0</v>
      </c>
    </row>
    <row r="194" spans="1:19" ht="17.25" customHeight="1">
      <c r="A194" s="108">
        <v>50437</v>
      </c>
      <c r="B194" s="108">
        <f t="shared" si="0"/>
        <v>50436</v>
      </c>
      <c r="C194" s="109"/>
      <c r="D194" s="109"/>
      <c r="E194" s="109"/>
      <c r="F194" s="109"/>
      <c r="G194" s="109"/>
      <c r="H194" s="109"/>
      <c r="I194" s="109">
        <f t="shared" ref="I194:J194" si="208">SUM(C194,E194,G194)</f>
        <v>0</v>
      </c>
      <c r="J194" s="109">
        <f t="shared" si="208"/>
        <v>0</v>
      </c>
      <c r="K194" s="109">
        <f>SUMIFS(Ações!$J$66,Ações!$N$66,Patrimônio!B194,Ações!$E$66,"Provento")</f>
        <v>0</v>
      </c>
      <c r="L194" s="109">
        <f>SUMIFS(BDRs!$J$66,BDRs!$E$66,"Provento",BDRs!$N$66,Patrimônio!B194)</f>
        <v>0</v>
      </c>
      <c r="M194" s="109">
        <f>SUMIFS(FIIs!$J$66,FIIs!$E$66,"Provento",FIIs!$N$66,Patrimônio!B194)</f>
        <v>0</v>
      </c>
      <c r="N194" s="109">
        <f t="shared" si="2"/>
        <v>0</v>
      </c>
      <c r="O194" s="109"/>
      <c r="Q194" s="154"/>
      <c r="R194" s="155" t="s">
        <v>263</v>
      </c>
      <c r="S194" s="156">
        <v>0</v>
      </c>
    </row>
    <row r="195" spans="1:19" ht="17.25" customHeight="1">
      <c r="A195" s="108">
        <v>50465</v>
      </c>
      <c r="B195" s="108">
        <f t="shared" si="0"/>
        <v>50464</v>
      </c>
      <c r="C195" s="109"/>
      <c r="D195" s="109"/>
      <c r="E195" s="109"/>
      <c r="F195" s="109"/>
      <c r="G195" s="109"/>
      <c r="H195" s="109"/>
      <c r="I195" s="109">
        <f t="shared" ref="I195:J195" si="209">SUM(C195,E195,G195)</f>
        <v>0</v>
      </c>
      <c r="J195" s="109">
        <f t="shared" si="209"/>
        <v>0</v>
      </c>
      <c r="K195" s="109">
        <f>SUMIFS(Ações!$J$66,Ações!$N$66,Patrimônio!B195,Ações!$E$66,"Provento")</f>
        <v>0</v>
      </c>
      <c r="L195" s="109">
        <f>SUMIFS(BDRs!$J$66,BDRs!$E$66,"Provento",BDRs!$N$66,Patrimônio!B195)</f>
        <v>0</v>
      </c>
      <c r="M195" s="109">
        <f>SUMIFS(FIIs!$J$66,FIIs!$E$66,"Provento",FIIs!$N$66,Patrimônio!B195)</f>
        <v>0</v>
      </c>
      <c r="N195" s="109">
        <f t="shared" si="2"/>
        <v>0</v>
      </c>
      <c r="O195" s="109"/>
      <c r="Q195" s="154"/>
      <c r="R195" s="155" t="s">
        <v>264</v>
      </c>
      <c r="S195" s="156">
        <v>0</v>
      </c>
    </row>
    <row r="196" spans="1:19" ht="17.25" customHeight="1">
      <c r="A196" s="108">
        <v>50496</v>
      </c>
      <c r="B196" s="108">
        <f t="shared" si="0"/>
        <v>50495</v>
      </c>
      <c r="C196" s="109"/>
      <c r="D196" s="109"/>
      <c r="E196" s="109"/>
      <c r="F196" s="109"/>
      <c r="G196" s="109"/>
      <c r="H196" s="109"/>
      <c r="I196" s="109">
        <f t="shared" ref="I196:J196" si="210">SUM(C196,E196,G196)</f>
        <v>0</v>
      </c>
      <c r="J196" s="109">
        <f t="shared" si="210"/>
        <v>0</v>
      </c>
      <c r="K196" s="109">
        <f>SUMIFS(Ações!$J$66,Ações!$N$66,Patrimônio!B196,Ações!$E$66,"Provento")</f>
        <v>0</v>
      </c>
      <c r="L196" s="109">
        <f>SUMIFS(BDRs!$J$66,BDRs!$E$66,"Provento",BDRs!$N$66,Patrimônio!B196)</f>
        <v>0</v>
      </c>
      <c r="M196" s="109">
        <f>SUMIFS(FIIs!$J$66,FIIs!$E$66,"Provento",FIIs!$N$66,Patrimônio!B196)</f>
        <v>0</v>
      </c>
      <c r="N196" s="109">
        <f t="shared" si="2"/>
        <v>0</v>
      </c>
      <c r="O196" s="109"/>
      <c r="Q196" s="154"/>
      <c r="R196" s="155" t="s">
        <v>265</v>
      </c>
      <c r="S196" s="156">
        <v>0</v>
      </c>
    </row>
    <row r="197" spans="1:19" ht="17.25" customHeight="1">
      <c r="A197" s="108">
        <v>50526</v>
      </c>
      <c r="B197" s="108">
        <f t="shared" si="0"/>
        <v>50525</v>
      </c>
      <c r="C197" s="109"/>
      <c r="D197" s="109"/>
      <c r="E197" s="109"/>
      <c r="F197" s="109"/>
      <c r="G197" s="109"/>
      <c r="H197" s="109"/>
      <c r="I197" s="109">
        <f t="shared" ref="I197:J197" si="211">SUM(C197,E197,G197)</f>
        <v>0</v>
      </c>
      <c r="J197" s="109">
        <f t="shared" si="211"/>
        <v>0</v>
      </c>
      <c r="K197" s="109">
        <f>SUMIFS(Ações!$J$66,Ações!$N$66,Patrimônio!B197,Ações!$E$66,"Provento")</f>
        <v>0</v>
      </c>
      <c r="L197" s="109">
        <f>SUMIFS(BDRs!$J$66,BDRs!$E$66,"Provento",BDRs!$N$66,Patrimônio!B197)</f>
        <v>0</v>
      </c>
      <c r="M197" s="109">
        <f>SUMIFS(FIIs!$J$66,FIIs!$E$66,"Provento",FIIs!$N$66,Patrimônio!B197)</f>
        <v>0</v>
      </c>
      <c r="N197" s="109">
        <f t="shared" si="2"/>
        <v>0</v>
      </c>
      <c r="O197" s="109"/>
      <c r="Q197" s="154"/>
      <c r="R197" s="155" t="s">
        <v>266</v>
      </c>
      <c r="S197" s="156">
        <v>0</v>
      </c>
    </row>
    <row r="198" spans="1:19" ht="17.25" customHeight="1">
      <c r="A198" s="108">
        <v>50557</v>
      </c>
      <c r="B198" s="108">
        <f t="shared" si="0"/>
        <v>50556</v>
      </c>
      <c r="C198" s="109"/>
      <c r="D198" s="109"/>
      <c r="E198" s="109"/>
      <c r="F198" s="109"/>
      <c r="G198" s="109"/>
      <c r="H198" s="109"/>
      <c r="I198" s="109">
        <f t="shared" ref="I198:J198" si="212">SUM(C198,E198,G198)</f>
        <v>0</v>
      </c>
      <c r="J198" s="109">
        <f t="shared" si="212"/>
        <v>0</v>
      </c>
      <c r="K198" s="109">
        <f>SUMIFS(Ações!$J$66,Ações!$N$66,Patrimônio!B198,Ações!$E$66,"Provento")</f>
        <v>0</v>
      </c>
      <c r="L198" s="109">
        <f>SUMIFS(BDRs!$J$66,BDRs!$E$66,"Provento",BDRs!$N$66,Patrimônio!B198)</f>
        <v>0</v>
      </c>
      <c r="M198" s="109">
        <f>SUMIFS(FIIs!$J$66,FIIs!$E$66,"Provento",FIIs!$N$66,Patrimônio!B198)</f>
        <v>0</v>
      </c>
      <c r="N198" s="109">
        <f t="shared" si="2"/>
        <v>0</v>
      </c>
      <c r="O198" s="109"/>
      <c r="Q198" s="154"/>
      <c r="R198" s="155" t="s">
        <v>267</v>
      </c>
      <c r="S198" s="156">
        <v>0</v>
      </c>
    </row>
    <row r="199" spans="1:19" ht="17.25" customHeight="1">
      <c r="A199" s="108">
        <v>50587</v>
      </c>
      <c r="B199" s="108">
        <f t="shared" si="0"/>
        <v>50586</v>
      </c>
      <c r="C199" s="109"/>
      <c r="D199" s="109"/>
      <c r="E199" s="109"/>
      <c r="F199" s="109"/>
      <c r="G199" s="109"/>
      <c r="H199" s="109"/>
      <c r="I199" s="109">
        <f t="shared" ref="I199:J199" si="213">SUM(C199,E199,G199)</f>
        <v>0</v>
      </c>
      <c r="J199" s="109">
        <f t="shared" si="213"/>
        <v>0</v>
      </c>
      <c r="K199" s="109">
        <f>SUMIFS(Ações!$J$66,Ações!$N$66,Patrimônio!B199,Ações!$E$66,"Provento")</f>
        <v>0</v>
      </c>
      <c r="L199" s="109">
        <f>SUMIFS(BDRs!$J$66,BDRs!$E$66,"Provento",BDRs!$N$66,Patrimônio!B199)</f>
        <v>0</v>
      </c>
      <c r="M199" s="109">
        <f>SUMIFS(FIIs!$J$66,FIIs!$E$66,"Provento",FIIs!$N$66,Patrimônio!B199)</f>
        <v>0</v>
      </c>
      <c r="N199" s="109">
        <f t="shared" si="2"/>
        <v>0</v>
      </c>
      <c r="O199" s="109"/>
      <c r="Q199" s="154"/>
      <c r="R199" s="155" t="s">
        <v>268</v>
      </c>
      <c r="S199" s="156">
        <v>0</v>
      </c>
    </row>
    <row r="200" spans="1:19" ht="17.25" customHeight="1">
      <c r="A200" s="108">
        <v>50618</v>
      </c>
      <c r="B200" s="108">
        <f t="shared" si="0"/>
        <v>50617</v>
      </c>
      <c r="C200" s="109"/>
      <c r="D200" s="109"/>
      <c r="E200" s="109"/>
      <c r="F200" s="109"/>
      <c r="G200" s="109"/>
      <c r="H200" s="109"/>
      <c r="I200" s="109">
        <f t="shared" ref="I200:J200" si="214">SUM(C200,E200,G200)</f>
        <v>0</v>
      </c>
      <c r="J200" s="109">
        <f t="shared" si="214"/>
        <v>0</v>
      </c>
      <c r="K200" s="109">
        <f>SUMIFS(Ações!$J$66,Ações!$N$66,Patrimônio!B200,Ações!$E$66,"Provento")</f>
        <v>0</v>
      </c>
      <c r="L200" s="109">
        <f>SUMIFS(BDRs!$J$66,BDRs!$E$66,"Provento",BDRs!$N$66,Patrimônio!B200)</f>
        <v>0</v>
      </c>
      <c r="M200" s="109">
        <f>SUMIFS(FIIs!$J$66,FIIs!$E$66,"Provento",FIIs!$N$66,Patrimônio!B200)</f>
        <v>0</v>
      </c>
      <c r="N200" s="109">
        <f t="shared" si="2"/>
        <v>0</v>
      </c>
      <c r="O200" s="109"/>
      <c r="Q200" s="154"/>
      <c r="R200" s="155" t="s">
        <v>269</v>
      </c>
      <c r="S200" s="156">
        <v>0</v>
      </c>
    </row>
    <row r="201" spans="1:19" ht="17.25" customHeight="1">
      <c r="A201" s="108">
        <v>50649</v>
      </c>
      <c r="B201" s="108">
        <f t="shared" si="0"/>
        <v>50648</v>
      </c>
      <c r="C201" s="109"/>
      <c r="D201" s="109"/>
      <c r="E201" s="109"/>
      <c r="F201" s="109"/>
      <c r="G201" s="109"/>
      <c r="H201" s="109"/>
      <c r="I201" s="109">
        <f t="shared" ref="I201:J201" si="215">SUM(C201,E201,G201)</f>
        <v>0</v>
      </c>
      <c r="J201" s="109">
        <f t="shared" si="215"/>
        <v>0</v>
      </c>
      <c r="K201" s="109">
        <f>SUMIFS(Ações!$J$66,Ações!$N$66,Patrimônio!B201,Ações!$E$66,"Provento")</f>
        <v>0</v>
      </c>
      <c r="L201" s="109">
        <f>SUMIFS(BDRs!$J$66,BDRs!$E$66,"Provento",BDRs!$N$66,Patrimônio!B201)</f>
        <v>0</v>
      </c>
      <c r="M201" s="109">
        <f>SUMIFS(FIIs!$J$66,FIIs!$E$66,"Provento",FIIs!$N$66,Patrimônio!B201)</f>
        <v>0</v>
      </c>
      <c r="N201" s="109">
        <f t="shared" si="2"/>
        <v>0</v>
      </c>
      <c r="O201" s="109"/>
      <c r="Q201" s="154"/>
      <c r="R201" s="155" t="s">
        <v>270</v>
      </c>
      <c r="S201" s="156">
        <v>0</v>
      </c>
    </row>
    <row r="202" spans="1:19" ht="17.25" customHeight="1">
      <c r="A202" s="108">
        <v>50679</v>
      </c>
      <c r="B202" s="108">
        <f t="shared" si="0"/>
        <v>50678</v>
      </c>
      <c r="C202" s="109"/>
      <c r="D202" s="109"/>
      <c r="E202" s="109"/>
      <c r="F202" s="109"/>
      <c r="G202" s="109"/>
      <c r="H202" s="109"/>
      <c r="I202" s="109">
        <f t="shared" ref="I202:J202" si="216">SUM(C202,E202,G202)</f>
        <v>0</v>
      </c>
      <c r="J202" s="109">
        <f t="shared" si="216"/>
        <v>0</v>
      </c>
      <c r="K202" s="109">
        <f>SUMIFS(Ações!$J$66,Ações!$N$66,Patrimônio!B202,Ações!$E$66,"Provento")</f>
        <v>0</v>
      </c>
      <c r="L202" s="109">
        <f>SUMIFS(BDRs!$J$66,BDRs!$E$66,"Provento",BDRs!$N$66,Patrimônio!B202)</f>
        <v>0</v>
      </c>
      <c r="M202" s="109">
        <f>SUMIFS(FIIs!$J$66,FIIs!$E$66,"Provento",FIIs!$N$66,Patrimônio!B202)</f>
        <v>0</v>
      </c>
      <c r="N202" s="109">
        <f t="shared" si="2"/>
        <v>0</v>
      </c>
      <c r="O202" s="109"/>
      <c r="Q202" s="154"/>
      <c r="R202" s="155" t="s">
        <v>271</v>
      </c>
      <c r="S202" s="156">
        <v>0</v>
      </c>
    </row>
    <row r="203" spans="1:19" ht="17.25" customHeight="1">
      <c r="A203" s="108">
        <v>50710</v>
      </c>
      <c r="B203" s="108">
        <f t="shared" si="0"/>
        <v>50709</v>
      </c>
      <c r="C203" s="109"/>
      <c r="D203" s="109"/>
      <c r="E203" s="109"/>
      <c r="F203" s="109"/>
      <c r="G203" s="109"/>
      <c r="H203" s="109"/>
      <c r="I203" s="109">
        <f t="shared" ref="I203:J203" si="217">SUM(C203,E203,G203)</f>
        <v>0</v>
      </c>
      <c r="J203" s="109">
        <f t="shared" si="217"/>
        <v>0</v>
      </c>
      <c r="K203" s="109">
        <f>SUMIFS(Ações!$J$66,Ações!$N$66,Patrimônio!B203,Ações!$E$66,"Provento")</f>
        <v>0</v>
      </c>
      <c r="L203" s="109">
        <f>SUMIFS(BDRs!$J$66,BDRs!$E$66,"Provento",BDRs!$N$66,Patrimônio!B203)</f>
        <v>0</v>
      </c>
      <c r="M203" s="109">
        <f>SUMIFS(FIIs!$J$66,FIIs!$E$66,"Provento",FIIs!$N$66,Patrimônio!B203)</f>
        <v>0</v>
      </c>
      <c r="N203" s="109">
        <f t="shared" si="2"/>
        <v>0</v>
      </c>
      <c r="O203" s="109"/>
      <c r="Q203" s="154"/>
      <c r="R203" s="155" t="s">
        <v>272</v>
      </c>
      <c r="S203" s="156">
        <v>0</v>
      </c>
    </row>
    <row r="204" spans="1:19" ht="17.25" customHeight="1">
      <c r="A204" s="108">
        <v>50740</v>
      </c>
      <c r="B204" s="108">
        <f t="shared" si="0"/>
        <v>50739</v>
      </c>
      <c r="C204" s="109"/>
      <c r="D204" s="109"/>
      <c r="E204" s="109"/>
      <c r="F204" s="109"/>
      <c r="G204" s="109"/>
      <c r="H204" s="109"/>
      <c r="I204" s="109">
        <f t="shared" ref="I204:J204" si="218">SUM(C204,E204,G204)</f>
        <v>0</v>
      </c>
      <c r="J204" s="109">
        <f t="shared" si="218"/>
        <v>0</v>
      </c>
      <c r="K204" s="109">
        <f>SUMIFS(Ações!$J$66,Ações!$N$66,Patrimônio!B204,Ações!$E$66,"Provento")</f>
        <v>0</v>
      </c>
      <c r="L204" s="109">
        <f>SUMIFS(BDRs!$J$66,BDRs!$E$66,"Provento",BDRs!$N$66,Patrimônio!B204)</f>
        <v>0</v>
      </c>
      <c r="M204" s="109">
        <f>SUMIFS(FIIs!$J$66,FIIs!$E$66,"Provento",FIIs!$N$66,Patrimônio!B204)</f>
        <v>0</v>
      </c>
      <c r="N204" s="109">
        <f t="shared" si="2"/>
        <v>0</v>
      </c>
      <c r="O204" s="109"/>
      <c r="Q204" s="151" t="s">
        <v>118</v>
      </c>
      <c r="R204" s="157"/>
      <c r="S204" s="153">
        <v>0</v>
      </c>
    </row>
    <row r="205" spans="1:19" ht="17.25" customHeight="1">
      <c r="A205" s="108">
        <v>50771</v>
      </c>
      <c r="B205" s="108">
        <f t="shared" si="0"/>
        <v>50770</v>
      </c>
      <c r="C205" s="109"/>
      <c r="D205" s="109"/>
      <c r="E205" s="109"/>
      <c r="F205" s="109"/>
      <c r="G205" s="109"/>
      <c r="H205" s="109"/>
      <c r="I205" s="109">
        <f t="shared" ref="I205:J205" si="219">SUM(C205,E205,G205)</f>
        <v>0</v>
      </c>
      <c r="J205" s="109">
        <f t="shared" si="219"/>
        <v>0</v>
      </c>
      <c r="K205" s="109">
        <f>SUMIFS(Ações!$J$66,Ações!$N$66,Patrimônio!B205,Ações!$E$66,"Provento")</f>
        <v>0</v>
      </c>
      <c r="L205" s="109">
        <f>SUMIFS(BDRs!$J$66,BDRs!$E$66,"Provento",BDRs!$N$66,Patrimônio!B205)</f>
        <v>0</v>
      </c>
      <c r="M205" s="109">
        <f>SUMIFS(FIIs!$J$66,FIIs!$E$66,"Provento",FIIs!$N$66,Patrimônio!B205)</f>
        <v>0</v>
      </c>
      <c r="N205" s="109">
        <f t="shared" si="2"/>
        <v>0</v>
      </c>
      <c r="O205" s="109"/>
      <c r="Q205" s="151" t="s">
        <v>119</v>
      </c>
      <c r="R205" s="152" t="s">
        <v>261</v>
      </c>
      <c r="S205" s="153">
        <v>0</v>
      </c>
    </row>
    <row r="206" spans="1:19" ht="17.25" customHeight="1">
      <c r="A206" s="108">
        <v>50802</v>
      </c>
      <c r="B206" s="108">
        <f t="shared" si="0"/>
        <v>50801</v>
      </c>
      <c r="C206" s="109"/>
      <c r="D206" s="109"/>
      <c r="E206" s="109"/>
      <c r="F206" s="109"/>
      <c r="G206" s="109"/>
      <c r="H206" s="109"/>
      <c r="I206" s="109">
        <f t="shared" ref="I206:J206" si="220">SUM(C206,E206,G206)</f>
        <v>0</v>
      </c>
      <c r="J206" s="109">
        <f t="shared" si="220"/>
        <v>0</v>
      </c>
      <c r="K206" s="109">
        <f>SUMIFS(Ações!$J$66,Ações!$N$66,Patrimônio!B206,Ações!$E$66,"Provento")</f>
        <v>0</v>
      </c>
      <c r="L206" s="109">
        <f>SUMIFS(BDRs!$J$66,BDRs!$E$66,"Provento",BDRs!$N$66,Patrimônio!B206)</f>
        <v>0</v>
      </c>
      <c r="M206" s="109">
        <f>SUMIFS(FIIs!$J$66,FIIs!$E$66,"Provento",FIIs!$N$66,Patrimônio!B206)</f>
        <v>0</v>
      </c>
      <c r="N206" s="109">
        <f t="shared" si="2"/>
        <v>0</v>
      </c>
      <c r="O206" s="109"/>
      <c r="Q206" s="154"/>
      <c r="R206" s="155" t="s">
        <v>262</v>
      </c>
      <c r="S206" s="156">
        <v>0</v>
      </c>
    </row>
    <row r="207" spans="1:19" ht="17.25" customHeight="1">
      <c r="A207" s="108">
        <v>50830</v>
      </c>
      <c r="B207" s="108">
        <f t="shared" si="0"/>
        <v>50829</v>
      </c>
      <c r="C207" s="109"/>
      <c r="D207" s="109"/>
      <c r="E207" s="109"/>
      <c r="F207" s="109"/>
      <c r="G207" s="109"/>
      <c r="H207" s="109"/>
      <c r="I207" s="109">
        <f t="shared" ref="I207:J207" si="221">SUM(C207,E207,G207)</f>
        <v>0</v>
      </c>
      <c r="J207" s="109">
        <f t="shared" si="221"/>
        <v>0</v>
      </c>
      <c r="K207" s="109">
        <f>SUMIFS(Ações!$J$66,Ações!$N$66,Patrimônio!B207,Ações!$E$66,"Provento")</f>
        <v>0</v>
      </c>
      <c r="L207" s="109">
        <f>SUMIFS(BDRs!$J$66,BDRs!$E$66,"Provento",BDRs!$N$66,Patrimônio!B207)</f>
        <v>0</v>
      </c>
      <c r="M207" s="109">
        <f>SUMIFS(FIIs!$J$66,FIIs!$E$66,"Provento",FIIs!$N$66,Patrimônio!B207)</f>
        <v>0</v>
      </c>
      <c r="N207" s="109">
        <f t="shared" si="2"/>
        <v>0</v>
      </c>
      <c r="O207" s="109"/>
      <c r="Q207" s="154"/>
      <c r="R207" s="155" t="s">
        <v>263</v>
      </c>
      <c r="S207" s="156">
        <v>0</v>
      </c>
    </row>
    <row r="208" spans="1:19" ht="17.25" customHeight="1">
      <c r="A208" s="108">
        <v>50861</v>
      </c>
      <c r="B208" s="108">
        <f t="shared" si="0"/>
        <v>50860</v>
      </c>
      <c r="C208" s="109"/>
      <c r="D208" s="109"/>
      <c r="E208" s="109"/>
      <c r="F208" s="109"/>
      <c r="G208" s="109"/>
      <c r="H208" s="109"/>
      <c r="I208" s="109">
        <f t="shared" ref="I208:J208" si="222">SUM(C208,E208,G208)</f>
        <v>0</v>
      </c>
      <c r="J208" s="109">
        <f t="shared" si="222"/>
        <v>0</v>
      </c>
      <c r="K208" s="109">
        <f>SUMIFS(Ações!$J$66,Ações!$N$66,Patrimônio!B208,Ações!$E$66,"Provento")</f>
        <v>0</v>
      </c>
      <c r="L208" s="109">
        <f>SUMIFS(BDRs!$J$66,BDRs!$E$66,"Provento",BDRs!$N$66,Patrimônio!B208)</f>
        <v>0</v>
      </c>
      <c r="M208" s="109">
        <f>SUMIFS(FIIs!$J$66,FIIs!$E$66,"Provento",FIIs!$N$66,Patrimônio!B208)</f>
        <v>0</v>
      </c>
      <c r="N208" s="109">
        <f t="shared" si="2"/>
        <v>0</v>
      </c>
      <c r="O208" s="109"/>
      <c r="Q208" s="154"/>
      <c r="R208" s="155" t="s">
        <v>264</v>
      </c>
      <c r="S208" s="156">
        <v>0</v>
      </c>
    </row>
    <row r="209" spans="1:19" ht="17.25" customHeight="1">
      <c r="A209" s="108">
        <v>50891</v>
      </c>
      <c r="B209" s="108">
        <f t="shared" si="0"/>
        <v>50890</v>
      </c>
      <c r="C209" s="109"/>
      <c r="D209" s="109"/>
      <c r="E209" s="109"/>
      <c r="F209" s="109"/>
      <c r="G209" s="109"/>
      <c r="H209" s="109"/>
      <c r="I209" s="109">
        <f t="shared" ref="I209:J209" si="223">SUM(C209,E209,G209)</f>
        <v>0</v>
      </c>
      <c r="J209" s="109">
        <f t="shared" si="223"/>
        <v>0</v>
      </c>
      <c r="K209" s="109">
        <f>SUMIFS(Ações!$J$66,Ações!$N$66,Patrimônio!B209,Ações!$E$66,"Provento")</f>
        <v>0</v>
      </c>
      <c r="L209" s="109">
        <f>SUMIFS(BDRs!$J$66,BDRs!$E$66,"Provento",BDRs!$N$66,Patrimônio!B209)</f>
        <v>0</v>
      </c>
      <c r="M209" s="109">
        <f>SUMIFS(FIIs!$J$66,FIIs!$E$66,"Provento",FIIs!$N$66,Patrimônio!B209)</f>
        <v>0</v>
      </c>
      <c r="N209" s="109">
        <f t="shared" si="2"/>
        <v>0</v>
      </c>
      <c r="O209" s="109"/>
      <c r="Q209" s="154"/>
      <c r="R209" s="155" t="s">
        <v>265</v>
      </c>
      <c r="S209" s="156">
        <v>0</v>
      </c>
    </row>
    <row r="210" spans="1:19" ht="17.25" customHeight="1">
      <c r="A210" s="108">
        <v>50922</v>
      </c>
      <c r="B210" s="108">
        <f t="shared" si="0"/>
        <v>50921</v>
      </c>
      <c r="C210" s="109"/>
      <c r="D210" s="109"/>
      <c r="E210" s="109"/>
      <c r="F210" s="109"/>
      <c r="G210" s="109"/>
      <c r="H210" s="109"/>
      <c r="I210" s="109">
        <f t="shared" ref="I210:J210" si="224">SUM(C210,E210,G210)</f>
        <v>0</v>
      </c>
      <c r="J210" s="109">
        <f t="shared" si="224"/>
        <v>0</v>
      </c>
      <c r="K210" s="109">
        <f>SUMIFS(Ações!$J$66,Ações!$N$66,Patrimônio!B210,Ações!$E$66,"Provento")</f>
        <v>0</v>
      </c>
      <c r="L210" s="109">
        <f>SUMIFS(BDRs!$J$66,BDRs!$E$66,"Provento",BDRs!$N$66,Patrimônio!B210)</f>
        <v>0</v>
      </c>
      <c r="M210" s="109">
        <f>SUMIFS(FIIs!$J$66,FIIs!$E$66,"Provento",FIIs!$N$66,Patrimônio!B210)</f>
        <v>0</v>
      </c>
      <c r="N210" s="109">
        <f t="shared" si="2"/>
        <v>0</v>
      </c>
      <c r="O210" s="109"/>
      <c r="Q210" s="154"/>
      <c r="R210" s="155" t="s">
        <v>266</v>
      </c>
      <c r="S210" s="156">
        <v>0</v>
      </c>
    </row>
    <row r="211" spans="1:19" ht="17.25" customHeight="1">
      <c r="A211" s="108">
        <v>50952</v>
      </c>
      <c r="B211" s="108">
        <f t="shared" si="0"/>
        <v>50951</v>
      </c>
      <c r="C211" s="109"/>
      <c r="D211" s="109"/>
      <c r="E211" s="109"/>
      <c r="F211" s="109"/>
      <c r="G211" s="109"/>
      <c r="H211" s="109"/>
      <c r="I211" s="109">
        <f t="shared" ref="I211:J211" si="225">SUM(C211,E211,G211)</f>
        <v>0</v>
      </c>
      <c r="J211" s="109">
        <f t="shared" si="225"/>
        <v>0</v>
      </c>
      <c r="K211" s="109">
        <f>SUMIFS(Ações!$J$66,Ações!$N$66,Patrimônio!B211,Ações!$E$66,"Provento")</f>
        <v>0</v>
      </c>
      <c r="L211" s="109">
        <f>SUMIFS(BDRs!$J$66,BDRs!$E$66,"Provento",BDRs!$N$66,Patrimônio!B211)</f>
        <v>0</v>
      </c>
      <c r="M211" s="109">
        <f>SUMIFS(FIIs!$J$66,FIIs!$E$66,"Provento",FIIs!$N$66,Patrimônio!B211)</f>
        <v>0</v>
      </c>
      <c r="N211" s="109">
        <f t="shared" si="2"/>
        <v>0</v>
      </c>
      <c r="O211" s="109"/>
      <c r="Q211" s="154"/>
      <c r="R211" s="155" t="s">
        <v>267</v>
      </c>
      <c r="S211" s="156">
        <v>0</v>
      </c>
    </row>
    <row r="212" spans="1:19" ht="17.25" customHeight="1">
      <c r="A212" s="108">
        <v>50983</v>
      </c>
      <c r="B212" s="108">
        <f t="shared" si="0"/>
        <v>50982</v>
      </c>
      <c r="C212" s="109"/>
      <c r="D212" s="109"/>
      <c r="E212" s="109"/>
      <c r="F212" s="109"/>
      <c r="G212" s="109"/>
      <c r="H212" s="109"/>
      <c r="I212" s="109">
        <f t="shared" ref="I212:J212" si="226">SUM(C212,E212,G212)</f>
        <v>0</v>
      </c>
      <c r="J212" s="109">
        <f t="shared" si="226"/>
        <v>0</v>
      </c>
      <c r="K212" s="109">
        <f>SUMIFS(Ações!$J$66,Ações!$N$66,Patrimônio!B212,Ações!$E$66,"Provento")</f>
        <v>0</v>
      </c>
      <c r="L212" s="109">
        <f>SUMIFS(BDRs!$J$66,BDRs!$E$66,"Provento",BDRs!$N$66,Patrimônio!B212)</f>
        <v>0</v>
      </c>
      <c r="M212" s="109">
        <f>SUMIFS(FIIs!$J$66,FIIs!$E$66,"Provento",FIIs!$N$66,Patrimônio!B212)</f>
        <v>0</v>
      </c>
      <c r="N212" s="109">
        <f t="shared" si="2"/>
        <v>0</v>
      </c>
      <c r="O212" s="109"/>
      <c r="Q212" s="154"/>
      <c r="R212" s="155" t="s">
        <v>268</v>
      </c>
      <c r="S212" s="156">
        <v>0</v>
      </c>
    </row>
    <row r="213" spans="1:19" ht="17.25" customHeight="1">
      <c r="A213" s="108">
        <v>51014</v>
      </c>
      <c r="B213" s="108">
        <f t="shared" si="0"/>
        <v>51013</v>
      </c>
      <c r="C213" s="109"/>
      <c r="D213" s="109"/>
      <c r="E213" s="109"/>
      <c r="F213" s="109"/>
      <c r="G213" s="109"/>
      <c r="H213" s="109"/>
      <c r="I213" s="109">
        <f t="shared" ref="I213:J213" si="227">SUM(C213,E213,G213)</f>
        <v>0</v>
      </c>
      <c r="J213" s="109">
        <f t="shared" si="227"/>
        <v>0</v>
      </c>
      <c r="K213" s="109">
        <f>SUMIFS(Ações!$J$66,Ações!$N$66,Patrimônio!B213,Ações!$E$66,"Provento")</f>
        <v>0</v>
      </c>
      <c r="L213" s="109">
        <f>SUMIFS(BDRs!$J$66,BDRs!$E$66,"Provento",BDRs!$N$66,Patrimônio!B213)</f>
        <v>0</v>
      </c>
      <c r="M213" s="109">
        <f>SUMIFS(FIIs!$J$66,FIIs!$E$66,"Provento",FIIs!$N$66,Patrimônio!B213)</f>
        <v>0</v>
      </c>
      <c r="N213" s="109">
        <f t="shared" si="2"/>
        <v>0</v>
      </c>
      <c r="O213" s="109"/>
      <c r="Q213" s="154"/>
      <c r="R213" s="155" t="s">
        <v>269</v>
      </c>
      <c r="S213" s="156">
        <v>0</v>
      </c>
    </row>
    <row r="214" spans="1:19" ht="17.25" customHeight="1">
      <c r="A214" s="108">
        <v>51044</v>
      </c>
      <c r="B214" s="108">
        <f t="shared" si="0"/>
        <v>51043</v>
      </c>
      <c r="C214" s="109"/>
      <c r="D214" s="109"/>
      <c r="E214" s="109"/>
      <c r="F214" s="109"/>
      <c r="G214" s="109"/>
      <c r="H214" s="109"/>
      <c r="I214" s="109">
        <f t="shared" ref="I214:J214" si="228">SUM(C214,E214,G214)</f>
        <v>0</v>
      </c>
      <c r="J214" s="109">
        <f t="shared" si="228"/>
        <v>0</v>
      </c>
      <c r="K214" s="109">
        <f>SUMIFS(Ações!$J$66,Ações!$N$66,Patrimônio!B214,Ações!$E$66,"Provento")</f>
        <v>0</v>
      </c>
      <c r="L214" s="109">
        <f>SUMIFS(BDRs!$J$66,BDRs!$E$66,"Provento",BDRs!$N$66,Patrimônio!B214)</f>
        <v>0</v>
      </c>
      <c r="M214" s="109">
        <f>SUMIFS(FIIs!$J$66,FIIs!$E$66,"Provento",FIIs!$N$66,Patrimônio!B214)</f>
        <v>0</v>
      </c>
      <c r="N214" s="109">
        <f t="shared" si="2"/>
        <v>0</v>
      </c>
      <c r="O214" s="109"/>
      <c r="Q214" s="154"/>
      <c r="R214" s="155" t="s">
        <v>270</v>
      </c>
      <c r="S214" s="156">
        <v>0</v>
      </c>
    </row>
    <row r="215" spans="1:19" ht="17.25" customHeight="1">
      <c r="A215" s="108">
        <v>51075</v>
      </c>
      <c r="B215" s="108">
        <f t="shared" si="0"/>
        <v>51074</v>
      </c>
      <c r="C215" s="109"/>
      <c r="D215" s="109"/>
      <c r="E215" s="109"/>
      <c r="F215" s="109"/>
      <c r="G215" s="109"/>
      <c r="H215" s="109"/>
      <c r="I215" s="109">
        <f t="shared" ref="I215:J215" si="229">SUM(C215,E215,G215)</f>
        <v>0</v>
      </c>
      <c r="J215" s="109">
        <f t="shared" si="229"/>
        <v>0</v>
      </c>
      <c r="K215" s="109">
        <f>SUMIFS(Ações!$J$66,Ações!$N$66,Patrimônio!B215,Ações!$E$66,"Provento")</f>
        <v>0</v>
      </c>
      <c r="L215" s="109">
        <f>SUMIFS(BDRs!$J$66,BDRs!$E$66,"Provento",BDRs!$N$66,Patrimônio!B215)</f>
        <v>0</v>
      </c>
      <c r="M215" s="109">
        <f>SUMIFS(FIIs!$J$66,FIIs!$E$66,"Provento",FIIs!$N$66,Patrimônio!B215)</f>
        <v>0</v>
      </c>
      <c r="N215" s="109">
        <f t="shared" si="2"/>
        <v>0</v>
      </c>
      <c r="O215" s="109"/>
      <c r="Q215" s="154"/>
      <c r="R215" s="155" t="s">
        <v>271</v>
      </c>
      <c r="S215" s="156">
        <v>0</v>
      </c>
    </row>
    <row r="216" spans="1:19" ht="17.25" customHeight="1">
      <c r="A216" s="108">
        <v>51105</v>
      </c>
      <c r="B216" s="108">
        <f t="shared" si="0"/>
        <v>51104</v>
      </c>
      <c r="C216" s="109"/>
      <c r="D216" s="109"/>
      <c r="E216" s="109"/>
      <c r="F216" s="109"/>
      <c r="G216" s="109"/>
      <c r="H216" s="109"/>
      <c r="I216" s="109">
        <f t="shared" ref="I216:J216" si="230">SUM(C216,E216,G216)</f>
        <v>0</v>
      </c>
      <c r="J216" s="109">
        <f t="shared" si="230"/>
        <v>0</v>
      </c>
      <c r="K216" s="109">
        <f>SUMIFS(Ações!$J$66,Ações!$N$66,Patrimônio!B216,Ações!$E$66,"Provento")</f>
        <v>0</v>
      </c>
      <c r="L216" s="109">
        <f>SUMIFS(BDRs!$J$66,BDRs!$E$66,"Provento",BDRs!$N$66,Patrimônio!B216)</f>
        <v>0</v>
      </c>
      <c r="M216" s="109">
        <f>SUMIFS(FIIs!$J$66,FIIs!$E$66,"Provento",FIIs!$N$66,Patrimônio!B216)</f>
        <v>0</v>
      </c>
      <c r="N216" s="109">
        <f t="shared" si="2"/>
        <v>0</v>
      </c>
      <c r="O216" s="109"/>
      <c r="Q216" s="154"/>
      <c r="R216" s="155" t="s">
        <v>272</v>
      </c>
      <c r="S216" s="156">
        <v>0</v>
      </c>
    </row>
    <row r="217" spans="1:19" ht="17.25" customHeight="1">
      <c r="A217" s="108">
        <v>51136</v>
      </c>
      <c r="B217" s="108">
        <f t="shared" si="0"/>
        <v>51135</v>
      </c>
      <c r="C217" s="109"/>
      <c r="D217" s="109"/>
      <c r="E217" s="109"/>
      <c r="F217" s="109"/>
      <c r="G217" s="109"/>
      <c r="H217" s="109"/>
      <c r="I217" s="109">
        <f t="shared" ref="I217:J217" si="231">SUM(C217,E217,G217)</f>
        <v>0</v>
      </c>
      <c r="J217" s="109">
        <f t="shared" si="231"/>
        <v>0</v>
      </c>
      <c r="K217" s="109">
        <f>SUMIFS(Ações!$J$66,Ações!$N$66,Patrimônio!B217,Ações!$E$66,"Provento")</f>
        <v>0</v>
      </c>
      <c r="L217" s="109">
        <f>SUMIFS(BDRs!$J$66,BDRs!$E$66,"Provento",BDRs!$N$66,Patrimônio!B217)</f>
        <v>0</v>
      </c>
      <c r="M217" s="109">
        <f>SUMIFS(FIIs!$J$66,FIIs!$E$66,"Provento",FIIs!$N$66,Patrimônio!B217)</f>
        <v>0</v>
      </c>
      <c r="N217" s="109">
        <f t="shared" si="2"/>
        <v>0</v>
      </c>
      <c r="O217" s="109"/>
      <c r="Q217" s="151" t="s">
        <v>120</v>
      </c>
      <c r="R217" s="157"/>
      <c r="S217" s="153">
        <v>0</v>
      </c>
    </row>
    <row r="218" spans="1:19" ht="17.25" customHeight="1">
      <c r="A218" s="108">
        <v>51167</v>
      </c>
      <c r="B218" s="108">
        <f t="shared" si="0"/>
        <v>51166</v>
      </c>
      <c r="C218" s="109"/>
      <c r="D218" s="109"/>
      <c r="E218" s="109"/>
      <c r="F218" s="109"/>
      <c r="G218" s="109"/>
      <c r="H218" s="109"/>
      <c r="I218" s="109">
        <f t="shared" ref="I218:J218" si="232">SUM(C218,E218,G218)</f>
        <v>0</v>
      </c>
      <c r="J218" s="109">
        <f t="shared" si="232"/>
        <v>0</v>
      </c>
      <c r="K218" s="109">
        <f>SUMIFS(Ações!$J$66,Ações!$N$66,Patrimônio!B218,Ações!$E$66,"Provento")</f>
        <v>0</v>
      </c>
      <c r="L218" s="109">
        <f>SUMIFS(BDRs!$J$66,BDRs!$E$66,"Provento",BDRs!$N$66,Patrimônio!B218)</f>
        <v>0</v>
      </c>
      <c r="M218" s="109">
        <f>SUMIFS(FIIs!$J$66,FIIs!$E$66,"Provento",FIIs!$N$66,Patrimônio!B218)</f>
        <v>0</v>
      </c>
      <c r="N218" s="109">
        <f t="shared" si="2"/>
        <v>0</v>
      </c>
      <c r="O218" s="109"/>
      <c r="Q218" s="151" t="s">
        <v>121</v>
      </c>
      <c r="R218" s="152" t="s">
        <v>261</v>
      </c>
      <c r="S218" s="153">
        <v>0</v>
      </c>
    </row>
    <row r="219" spans="1:19" ht="17.25" customHeight="1">
      <c r="A219" s="108">
        <v>51196</v>
      </c>
      <c r="B219" s="108">
        <f t="shared" si="0"/>
        <v>51195</v>
      </c>
      <c r="C219" s="109"/>
      <c r="D219" s="109"/>
      <c r="E219" s="109"/>
      <c r="F219" s="109"/>
      <c r="G219" s="109"/>
      <c r="H219" s="109"/>
      <c r="I219" s="109">
        <f t="shared" ref="I219:J219" si="233">SUM(C219,E219,G219)</f>
        <v>0</v>
      </c>
      <c r="J219" s="109">
        <f t="shared" si="233"/>
        <v>0</v>
      </c>
      <c r="K219" s="109">
        <f>SUMIFS(Ações!$J$66,Ações!$N$66,Patrimônio!B219,Ações!$E$66,"Provento")</f>
        <v>0</v>
      </c>
      <c r="L219" s="109">
        <f>SUMIFS(BDRs!$J$66,BDRs!$E$66,"Provento",BDRs!$N$66,Patrimônio!B219)</f>
        <v>0</v>
      </c>
      <c r="M219" s="109">
        <f>SUMIFS(FIIs!$J$66,FIIs!$E$66,"Provento",FIIs!$N$66,Patrimônio!B219)</f>
        <v>0</v>
      </c>
      <c r="N219" s="109">
        <f t="shared" si="2"/>
        <v>0</v>
      </c>
      <c r="O219" s="109"/>
      <c r="Q219" s="154"/>
      <c r="R219" s="155" t="s">
        <v>262</v>
      </c>
      <c r="S219" s="156">
        <v>0</v>
      </c>
    </row>
    <row r="220" spans="1:19" ht="17.25" customHeight="1">
      <c r="A220" s="108">
        <v>51227</v>
      </c>
      <c r="B220" s="108">
        <f t="shared" si="0"/>
        <v>51226</v>
      </c>
      <c r="C220" s="109"/>
      <c r="D220" s="109"/>
      <c r="E220" s="109"/>
      <c r="F220" s="109"/>
      <c r="G220" s="109"/>
      <c r="H220" s="109"/>
      <c r="I220" s="109">
        <f t="shared" ref="I220:J220" si="234">SUM(C220,E220,G220)</f>
        <v>0</v>
      </c>
      <c r="J220" s="109">
        <f t="shared" si="234"/>
        <v>0</v>
      </c>
      <c r="K220" s="109">
        <f>SUMIFS(Ações!$J$66,Ações!$N$66,Patrimônio!B220,Ações!$E$66,"Provento")</f>
        <v>0</v>
      </c>
      <c r="L220" s="109">
        <f>SUMIFS(BDRs!$J$66,BDRs!$E$66,"Provento",BDRs!$N$66,Patrimônio!B220)</f>
        <v>0</v>
      </c>
      <c r="M220" s="109">
        <f>SUMIFS(FIIs!$J$66,FIIs!$E$66,"Provento",FIIs!$N$66,Patrimônio!B220)</f>
        <v>0</v>
      </c>
      <c r="N220" s="109">
        <f t="shared" si="2"/>
        <v>0</v>
      </c>
      <c r="O220" s="109"/>
      <c r="Q220" s="154"/>
      <c r="R220" s="155" t="s">
        <v>263</v>
      </c>
      <c r="S220" s="156">
        <v>0</v>
      </c>
    </row>
    <row r="221" spans="1:19" ht="17.25" customHeight="1">
      <c r="A221" s="108">
        <v>51257</v>
      </c>
      <c r="B221" s="108">
        <f t="shared" si="0"/>
        <v>51256</v>
      </c>
      <c r="C221" s="109"/>
      <c r="D221" s="109"/>
      <c r="E221" s="109"/>
      <c r="F221" s="109"/>
      <c r="G221" s="109"/>
      <c r="H221" s="109"/>
      <c r="I221" s="109">
        <f t="shared" ref="I221:J221" si="235">SUM(C221,E221,G221)</f>
        <v>0</v>
      </c>
      <c r="J221" s="109">
        <f t="shared" si="235"/>
        <v>0</v>
      </c>
      <c r="K221" s="109">
        <f>SUMIFS(Ações!$J$66,Ações!$N$66,Patrimônio!B221,Ações!$E$66,"Provento")</f>
        <v>0</v>
      </c>
      <c r="L221" s="109">
        <f>SUMIFS(BDRs!$J$66,BDRs!$E$66,"Provento",BDRs!$N$66,Patrimônio!B221)</f>
        <v>0</v>
      </c>
      <c r="M221" s="109">
        <f>SUMIFS(FIIs!$J$66,FIIs!$E$66,"Provento",FIIs!$N$66,Patrimônio!B221)</f>
        <v>0</v>
      </c>
      <c r="N221" s="109">
        <f t="shared" si="2"/>
        <v>0</v>
      </c>
      <c r="O221" s="109"/>
      <c r="Q221" s="154"/>
      <c r="R221" s="155" t="s">
        <v>264</v>
      </c>
      <c r="S221" s="156">
        <v>0</v>
      </c>
    </row>
    <row r="222" spans="1:19" ht="17.25" customHeight="1">
      <c r="A222" s="108">
        <v>51288</v>
      </c>
      <c r="B222" s="108">
        <f t="shared" si="0"/>
        <v>51287</v>
      </c>
      <c r="C222" s="109"/>
      <c r="D222" s="109"/>
      <c r="E222" s="109"/>
      <c r="F222" s="109"/>
      <c r="G222" s="109"/>
      <c r="H222" s="109"/>
      <c r="I222" s="109">
        <f t="shared" ref="I222:J222" si="236">SUM(C222,E222,G222)</f>
        <v>0</v>
      </c>
      <c r="J222" s="109">
        <f t="shared" si="236"/>
        <v>0</v>
      </c>
      <c r="K222" s="109">
        <f>SUMIFS(Ações!$J$66,Ações!$N$66,Patrimônio!B222,Ações!$E$66,"Provento")</f>
        <v>0</v>
      </c>
      <c r="L222" s="109">
        <f>SUMIFS(BDRs!$J$66,BDRs!$E$66,"Provento",BDRs!$N$66,Patrimônio!B222)</f>
        <v>0</v>
      </c>
      <c r="M222" s="109">
        <f>SUMIFS(FIIs!$J$66,FIIs!$E$66,"Provento",FIIs!$N$66,Patrimônio!B222)</f>
        <v>0</v>
      </c>
      <c r="N222" s="109">
        <f t="shared" si="2"/>
        <v>0</v>
      </c>
      <c r="O222" s="109"/>
      <c r="Q222" s="154"/>
      <c r="R222" s="155" t="s">
        <v>265</v>
      </c>
      <c r="S222" s="156">
        <v>0</v>
      </c>
    </row>
    <row r="223" spans="1:19" ht="17.25" customHeight="1">
      <c r="A223" s="108">
        <v>51318</v>
      </c>
      <c r="B223" s="108">
        <f t="shared" si="0"/>
        <v>51317</v>
      </c>
      <c r="C223" s="109"/>
      <c r="D223" s="109"/>
      <c r="E223" s="109"/>
      <c r="F223" s="109"/>
      <c r="G223" s="109"/>
      <c r="H223" s="109"/>
      <c r="I223" s="109">
        <f t="shared" ref="I223:J223" si="237">SUM(C223,E223,G223)</f>
        <v>0</v>
      </c>
      <c r="J223" s="109">
        <f t="shared" si="237"/>
        <v>0</v>
      </c>
      <c r="K223" s="109">
        <f>SUMIFS(Ações!$J$66,Ações!$N$66,Patrimônio!B223,Ações!$E$66,"Provento")</f>
        <v>0</v>
      </c>
      <c r="L223" s="109">
        <f>SUMIFS(BDRs!$J$66,BDRs!$E$66,"Provento",BDRs!$N$66,Patrimônio!B223)</f>
        <v>0</v>
      </c>
      <c r="M223" s="109">
        <f>SUMIFS(FIIs!$J$66,FIIs!$E$66,"Provento",FIIs!$N$66,Patrimônio!B223)</f>
        <v>0</v>
      </c>
      <c r="N223" s="109">
        <f t="shared" si="2"/>
        <v>0</v>
      </c>
      <c r="O223" s="109"/>
      <c r="Q223" s="154"/>
      <c r="R223" s="155" t="s">
        <v>266</v>
      </c>
      <c r="S223" s="156">
        <v>0</v>
      </c>
    </row>
    <row r="224" spans="1:19" ht="17.25" customHeight="1">
      <c r="A224" s="108">
        <v>51349</v>
      </c>
      <c r="B224" s="108">
        <f t="shared" si="0"/>
        <v>51348</v>
      </c>
      <c r="C224" s="109"/>
      <c r="D224" s="109"/>
      <c r="E224" s="109"/>
      <c r="F224" s="109"/>
      <c r="G224" s="109"/>
      <c r="H224" s="109"/>
      <c r="I224" s="109">
        <f t="shared" ref="I224:J224" si="238">SUM(C224,E224,G224)</f>
        <v>0</v>
      </c>
      <c r="J224" s="109">
        <f t="shared" si="238"/>
        <v>0</v>
      </c>
      <c r="K224" s="109">
        <f>SUMIFS(Ações!$J$66,Ações!$N$66,Patrimônio!B224,Ações!$E$66,"Provento")</f>
        <v>0</v>
      </c>
      <c r="L224" s="109">
        <f>SUMIFS(BDRs!$J$66,BDRs!$E$66,"Provento",BDRs!$N$66,Patrimônio!B224)</f>
        <v>0</v>
      </c>
      <c r="M224" s="109">
        <f>SUMIFS(FIIs!$J$66,FIIs!$E$66,"Provento",FIIs!$N$66,Patrimônio!B224)</f>
        <v>0</v>
      </c>
      <c r="N224" s="109">
        <f t="shared" si="2"/>
        <v>0</v>
      </c>
      <c r="O224" s="109"/>
      <c r="Q224" s="154"/>
      <c r="R224" s="155" t="s">
        <v>267</v>
      </c>
      <c r="S224" s="156">
        <v>0</v>
      </c>
    </row>
    <row r="225" spans="1:19" ht="17.25" customHeight="1">
      <c r="A225" s="108">
        <v>51380</v>
      </c>
      <c r="B225" s="108">
        <f t="shared" si="0"/>
        <v>51379</v>
      </c>
      <c r="C225" s="109"/>
      <c r="D225" s="109"/>
      <c r="E225" s="109"/>
      <c r="F225" s="109"/>
      <c r="G225" s="109"/>
      <c r="H225" s="109"/>
      <c r="I225" s="109">
        <f t="shared" ref="I225:J225" si="239">SUM(C225,E225,G225)</f>
        <v>0</v>
      </c>
      <c r="J225" s="109">
        <f t="shared" si="239"/>
        <v>0</v>
      </c>
      <c r="K225" s="109">
        <f>SUMIFS(Ações!$J$66,Ações!$N$66,Patrimônio!B225,Ações!$E$66,"Provento")</f>
        <v>0</v>
      </c>
      <c r="L225" s="109">
        <f>SUMIFS(BDRs!$J$66,BDRs!$E$66,"Provento",BDRs!$N$66,Patrimônio!B225)</f>
        <v>0</v>
      </c>
      <c r="M225" s="109">
        <f>SUMIFS(FIIs!$J$66,FIIs!$E$66,"Provento",FIIs!$N$66,Patrimônio!B225)</f>
        <v>0</v>
      </c>
      <c r="N225" s="109">
        <f t="shared" si="2"/>
        <v>0</v>
      </c>
      <c r="O225" s="109"/>
      <c r="Q225" s="154"/>
      <c r="R225" s="155" t="s">
        <v>268</v>
      </c>
      <c r="S225" s="156">
        <v>0</v>
      </c>
    </row>
    <row r="226" spans="1:19" ht="17.25" customHeight="1">
      <c r="A226" s="108">
        <v>51410</v>
      </c>
      <c r="B226" s="108">
        <f t="shared" si="0"/>
        <v>51409</v>
      </c>
      <c r="C226" s="109"/>
      <c r="D226" s="109"/>
      <c r="E226" s="109"/>
      <c r="F226" s="109"/>
      <c r="G226" s="109"/>
      <c r="H226" s="109"/>
      <c r="I226" s="109">
        <f t="shared" ref="I226:J226" si="240">SUM(C226,E226,G226)</f>
        <v>0</v>
      </c>
      <c r="J226" s="109">
        <f t="shared" si="240"/>
        <v>0</v>
      </c>
      <c r="K226" s="109">
        <f>SUMIFS(Ações!$J$66,Ações!$N$66,Patrimônio!B226,Ações!$E$66,"Provento")</f>
        <v>0</v>
      </c>
      <c r="L226" s="109">
        <f>SUMIFS(BDRs!$J$66,BDRs!$E$66,"Provento",BDRs!$N$66,Patrimônio!B226)</f>
        <v>0</v>
      </c>
      <c r="M226" s="109">
        <f>SUMIFS(FIIs!$J$66,FIIs!$E$66,"Provento",FIIs!$N$66,Patrimônio!B226)</f>
        <v>0</v>
      </c>
      <c r="N226" s="109">
        <f t="shared" si="2"/>
        <v>0</v>
      </c>
      <c r="O226" s="109"/>
      <c r="Q226" s="154"/>
      <c r="R226" s="155" t="s">
        <v>269</v>
      </c>
      <c r="S226" s="156">
        <v>0</v>
      </c>
    </row>
    <row r="227" spans="1:19" ht="17.25" customHeight="1">
      <c r="A227" s="108">
        <v>51441</v>
      </c>
      <c r="B227" s="108">
        <f t="shared" si="0"/>
        <v>51440</v>
      </c>
      <c r="C227" s="109"/>
      <c r="D227" s="109"/>
      <c r="E227" s="109"/>
      <c r="F227" s="109"/>
      <c r="G227" s="109"/>
      <c r="H227" s="109"/>
      <c r="I227" s="109">
        <f t="shared" ref="I227:J227" si="241">SUM(C227,E227,G227)</f>
        <v>0</v>
      </c>
      <c r="J227" s="109">
        <f t="shared" si="241"/>
        <v>0</v>
      </c>
      <c r="K227" s="109">
        <f>SUMIFS(Ações!$J$66,Ações!$N$66,Patrimônio!B227,Ações!$E$66,"Provento")</f>
        <v>0</v>
      </c>
      <c r="L227" s="109">
        <f>SUMIFS(BDRs!$J$66,BDRs!$E$66,"Provento",BDRs!$N$66,Patrimônio!B227)</f>
        <v>0</v>
      </c>
      <c r="M227" s="109">
        <f>SUMIFS(FIIs!$J$66,FIIs!$E$66,"Provento",FIIs!$N$66,Patrimônio!B227)</f>
        <v>0</v>
      </c>
      <c r="N227" s="109">
        <f t="shared" si="2"/>
        <v>0</v>
      </c>
      <c r="O227" s="109"/>
      <c r="Q227" s="154"/>
      <c r="R227" s="155" t="s">
        <v>270</v>
      </c>
      <c r="S227" s="156">
        <v>0</v>
      </c>
    </row>
    <row r="228" spans="1:19" ht="17.25" customHeight="1">
      <c r="A228" s="108">
        <v>51471</v>
      </c>
      <c r="B228" s="108">
        <f t="shared" si="0"/>
        <v>51470</v>
      </c>
      <c r="C228" s="109"/>
      <c r="D228" s="109"/>
      <c r="E228" s="109"/>
      <c r="F228" s="109"/>
      <c r="G228" s="109"/>
      <c r="H228" s="109"/>
      <c r="I228" s="109">
        <f t="shared" ref="I228:J228" si="242">SUM(C228,E228,G228)</f>
        <v>0</v>
      </c>
      <c r="J228" s="109">
        <f t="shared" si="242"/>
        <v>0</v>
      </c>
      <c r="K228" s="109">
        <f>SUMIFS(Ações!$J$66,Ações!$N$66,Patrimônio!B228,Ações!$E$66,"Provento")</f>
        <v>0</v>
      </c>
      <c r="L228" s="109">
        <f>SUMIFS(BDRs!$J$66,BDRs!$E$66,"Provento",BDRs!$N$66,Patrimônio!B228)</f>
        <v>0</v>
      </c>
      <c r="M228" s="109">
        <f>SUMIFS(FIIs!$J$66,FIIs!$E$66,"Provento",FIIs!$N$66,Patrimônio!B228)</f>
        <v>0</v>
      </c>
      <c r="N228" s="109">
        <f t="shared" si="2"/>
        <v>0</v>
      </c>
      <c r="O228" s="109"/>
      <c r="Q228" s="154"/>
      <c r="R228" s="155" t="s">
        <v>271</v>
      </c>
      <c r="S228" s="156">
        <v>0</v>
      </c>
    </row>
    <row r="229" spans="1:19" ht="17.25" customHeight="1">
      <c r="A229" s="108">
        <v>51502</v>
      </c>
      <c r="B229" s="108">
        <f t="shared" si="0"/>
        <v>51501</v>
      </c>
      <c r="C229" s="109"/>
      <c r="D229" s="109"/>
      <c r="E229" s="109"/>
      <c r="F229" s="109"/>
      <c r="G229" s="109"/>
      <c r="H229" s="109"/>
      <c r="I229" s="109">
        <f t="shared" ref="I229:J229" si="243">SUM(C229,E229,G229)</f>
        <v>0</v>
      </c>
      <c r="J229" s="109">
        <f t="shared" si="243"/>
        <v>0</v>
      </c>
      <c r="K229" s="109">
        <f>SUMIFS(Ações!$J$66,Ações!$N$66,Patrimônio!B229,Ações!$E$66,"Provento")</f>
        <v>0</v>
      </c>
      <c r="L229" s="109">
        <f>SUMIFS(BDRs!$J$66,BDRs!$E$66,"Provento",BDRs!$N$66,Patrimônio!B229)</f>
        <v>0</v>
      </c>
      <c r="M229" s="109">
        <f>SUMIFS(FIIs!$J$66,FIIs!$E$66,"Provento",FIIs!$N$66,Patrimônio!B229)</f>
        <v>0</v>
      </c>
      <c r="N229" s="109">
        <f t="shared" si="2"/>
        <v>0</v>
      </c>
      <c r="O229" s="109"/>
      <c r="Q229" s="154"/>
      <c r="R229" s="155" t="s">
        <v>272</v>
      </c>
      <c r="S229" s="156">
        <v>0</v>
      </c>
    </row>
    <row r="230" spans="1:19" ht="17.25" customHeight="1">
      <c r="A230" s="108">
        <v>51533</v>
      </c>
      <c r="B230" s="108">
        <f t="shared" si="0"/>
        <v>51532</v>
      </c>
      <c r="C230" s="109"/>
      <c r="D230" s="109"/>
      <c r="E230" s="109"/>
      <c r="F230" s="109"/>
      <c r="G230" s="109"/>
      <c r="H230" s="109"/>
      <c r="I230" s="109">
        <f t="shared" ref="I230:J230" si="244">SUM(C230,E230,G230)</f>
        <v>0</v>
      </c>
      <c r="J230" s="109">
        <f t="shared" si="244"/>
        <v>0</v>
      </c>
      <c r="K230" s="109">
        <f>SUMIFS(Ações!$J$66,Ações!$N$66,Patrimônio!B230,Ações!$E$66,"Provento")</f>
        <v>0</v>
      </c>
      <c r="L230" s="109">
        <f>SUMIFS(BDRs!$J$66,BDRs!$E$66,"Provento",BDRs!$N$66,Patrimônio!B230)</f>
        <v>0</v>
      </c>
      <c r="M230" s="109">
        <f>SUMIFS(FIIs!$J$66,FIIs!$E$66,"Provento",FIIs!$N$66,Patrimônio!B230)</f>
        <v>0</v>
      </c>
      <c r="N230" s="109">
        <f t="shared" si="2"/>
        <v>0</v>
      </c>
      <c r="O230" s="109"/>
      <c r="Q230" s="151" t="s">
        <v>122</v>
      </c>
      <c r="R230" s="157"/>
      <c r="S230" s="153">
        <v>0</v>
      </c>
    </row>
    <row r="231" spans="1:19" ht="17.25" customHeight="1">
      <c r="A231" s="108">
        <v>51561</v>
      </c>
      <c r="B231" s="108">
        <f t="shared" si="0"/>
        <v>51560</v>
      </c>
      <c r="C231" s="109"/>
      <c r="D231" s="109"/>
      <c r="E231" s="109"/>
      <c r="F231" s="109"/>
      <c r="G231" s="109"/>
      <c r="H231" s="109"/>
      <c r="I231" s="109">
        <f t="shared" ref="I231:J231" si="245">SUM(C231,E231,G231)</f>
        <v>0</v>
      </c>
      <c r="J231" s="109">
        <f t="shared" si="245"/>
        <v>0</v>
      </c>
      <c r="K231" s="109">
        <f>SUMIFS(Ações!$J$66,Ações!$N$66,Patrimônio!B231,Ações!$E$66,"Provento")</f>
        <v>0</v>
      </c>
      <c r="L231" s="109">
        <f>SUMIFS(BDRs!$J$66,BDRs!$E$66,"Provento",BDRs!$N$66,Patrimônio!B231)</f>
        <v>0</v>
      </c>
      <c r="M231" s="109">
        <f>SUMIFS(FIIs!$J$66,FIIs!$E$66,"Provento",FIIs!$N$66,Patrimônio!B231)</f>
        <v>0</v>
      </c>
      <c r="N231" s="109">
        <f t="shared" si="2"/>
        <v>0</v>
      </c>
      <c r="O231" s="109"/>
      <c r="Q231" s="151" t="s">
        <v>123</v>
      </c>
      <c r="R231" s="152" t="s">
        <v>261</v>
      </c>
      <c r="S231" s="153">
        <v>0</v>
      </c>
    </row>
    <row r="232" spans="1:19" ht="17.25" customHeight="1">
      <c r="A232" s="108">
        <v>51592</v>
      </c>
      <c r="B232" s="108">
        <f t="shared" si="0"/>
        <v>51591</v>
      </c>
      <c r="C232" s="109"/>
      <c r="D232" s="109"/>
      <c r="E232" s="109"/>
      <c r="F232" s="109"/>
      <c r="G232" s="109"/>
      <c r="H232" s="109"/>
      <c r="I232" s="109">
        <f t="shared" ref="I232:J232" si="246">SUM(C232,E232,G232)</f>
        <v>0</v>
      </c>
      <c r="J232" s="109">
        <f t="shared" si="246"/>
        <v>0</v>
      </c>
      <c r="K232" s="109">
        <f>SUMIFS(Ações!$J$66,Ações!$N$66,Patrimônio!B232,Ações!$E$66,"Provento")</f>
        <v>0</v>
      </c>
      <c r="L232" s="109">
        <f>SUMIFS(BDRs!$J$66,BDRs!$E$66,"Provento",BDRs!$N$66,Patrimônio!B232)</f>
        <v>0</v>
      </c>
      <c r="M232" s="109">
        <f>SUMIFS(FIIs!$J$66,FIIs!$E$66,"Provento",FIIs!$N$66,Patrimônio!B232)</f>
        <v>0</v>
      </c>
      <c r="N232" s="109">
        <f t="shared" si="2"/>
        <v>0</v>
      </c>
      <c r="O232" s="109"/>
      <c r="Q232" s="154"/>
      <c r="R232" s="155" t="s">
        <v>262</v>
      </c>
      <c r="S232" s="156">
        <v>0</v>
      </c>
    </row>
    <row r="233" spans="1:19" ht="17.25" customHeight="1">
      <c r="A233" s="108">
        <v>51622</v>
      </c>
      <c r="B233" s="108">
        <f t="shared" si="0"/>
        <v>51621</v>
      </c>
      <c r="C233" s="109"/>
      <c r="D233" s="109"/>
      <c r="E233" s="109"/>
      <c r="F233" s="109"/>
      <c r="G233" s="109"/>
      <c r="H233" s="109"/>
      <c r="I233" s="109">
        <f t="shared" ref="I233:J233" si="247">SUM(C233,E233,G233)</f>
        <v>0</v>
      </c>
      <c r="J233" s="109">
        <f t="shared" si="247"/>
        <v>0</v>
      </c>
      <c r="K233" s="109">
        <f>SUMIFS(Ações!$J$66,Ações!$N$66,Patrimônio!B233,Ações!$E$66,"Provento")</f>
        <v>0</v>
      </c>
      <c r="L233" s="109">
        <f>SUMIFS(BDRs!$J$66,BDRs!$E$66,"Provento",BDRs!$N$66,Patrimônio!B233)</f>
        <v>0</v>
      </c>
      <c r="M233" s="109">
        <f>SUMIFS(FIIs!$J$66,FIIs!$E$66,"Provento",FIIs!$N$66,Patrimônio!B233)</f>
        <v>0</v>
      </c>
      <c r="N233" s="109">
        <f t="shared" si="2"/>
        <v>0</v>
      </c>
      <c r="O233" s="109"/>
      <c r="Q233" s="154"/>
      <c r="R233" s="155" t="s">
        <v>263</v>
      </c>
      <c r="S233" s="156">
        <v>0</v>
      </c>
    </row>
    <row r="234" spans="1:19" ht="17.25" customHeight="1">
      <c r="A234" s="108">
        <v>51653</v>
      </c>
      <c r="B234" s="108">
        <f t="shared" si="0"/>
        <v>51652</v>
      </c>
      <c r="C234" s="109"/>
      <c r="D234" s="109"/>
      <c r="E234" s="109"/>
      <c r="F234" s="109"/>
      <c r="G234" s="109"/>
      <c r="H234" s="109"/>
      <c r="I234" s="109">
        <f t="shared" ref="I234:J234" si="248">SUM(C234,E234,G234)</f>
        <v>0</v>
      </c>
      <c r="J234" s="109">
        <f t="shared" si="248"/>
        <v>0</v>
      </c>
      <c r="K234" s="109">
        <f>SUMIFS(Ações!$J$66,Ações!$N$66,Patrimônio!B234,Ações!$E$66,"Provento")</f>
        <v>0</v>
      </c>
      <c r="L234" s="109">
        <f>SUMIFS(BDRs!$J$66,BDRs!$E$66,"Provento",BDRs!$N$66,Patrimônio!B234)</f>
        <v>0</v>
      </c>
      <c r="M234" s="109">
        <f>SUMIFS(FIIs!$J$66,FIIs!$E$66,"Provento",FIIs!$N$66,Patrimônio!B234)</f>
        <v>0</v>
      </c>
      <c r="N234" s="109">
        <f t="shared" si="2"/>
        <v>0</v>
      </c>
      <c r="O234" s="109"/>
      <c r="Q234" s="154"/>
      <c r="R234" s="155" t="s">
        <v>264</v>
      </c>
      <c r="S234" s="156">
        <v>0</v>
      </c>
    </row>
    <row r="235" spans="1:19" ht="17.25" customHeight="1">
      <c r="A235" s="108">
        <v>51683</v>
      </c>
      <c r="B235" s="108">
        <f t="shared" si="0"/>
        <v>51682</v>
      </c>
      <c r="C235" s="109"/>
      <c r="D235" s="109"/>
      <c r="E235" s="109"/>
      <c r="F235" s="109"/>
      <c r="G235" s="109"/>
      <c r="H235" s="109"/>
      <c r="I235" s="109">
        <f t="shared" ref="I235:J235" si="249">SUM(C235,E235,G235)</f>
        <v>0</v>
      </c>
      <c r="J235" s="109">
        <f t="shared" si="249"/>
        <v>0</v>
      </c>
      <c r="K235" s="109">
        <f>SUMIFS(Ações!$J$66,Ações!$N$66,Patrimônio!B235,Ações!$E$66,"Provento")</f>
        <v>0</v>
      </c>
      <c r="L235" s="109">
        <f>SUMIFS(BDRs!$J$66,BDRs!$E$66,"Provento",BDRs!$N$66,Patrimônio!B235)</f>
        <v>0</v>
      </c>
      <c r="M235" s="109">
        <f>SUMIFS(FIIs!$J$66,FIIs!$E$66,"Provento",FIIs!$N$66,Patrimônio!B235)</f>
        <v>0</v>
      </c>
      <c r="N235" s="109">
        <f t="shared" si="2"/>
        <v>0</v>
      </c>
      <c r="O235" s="109"/>
      <c r="Q235" s="154"/>
      <c r="R235" s="155" t="s">
        <v>265</v>
      </c>
      <c r="S235" s="156">
        <v>0</v>
      </c>
    </row>
    <row r="236" spans="1:19" ht="17.25" customHeight="1">
      <c r="A236" s="108">
        <v>51714</v>
      </c>
      <c r="B236" s="108">
        <f t="shared" si="0"/>
        <v>51713</v>
      </c>
      <c r="C236" s="109"/>
      <c r="D236" s="109"/>
      <c r="E236" s="109"/>
      <c r="F236" s="109"/>
      <c r="G236" s="109"/>
      <c r="H236" s="109"/>
      <c r="I236" s="109">
        <f t="shared" ref="I236:J236" si="250">SUM(C236,E236,G236)</f>
        <v>0</v>
      </c>
      <c r="J236" s="109">
        <f t="shared" si="250"/>
        <v>0</v>
      </c>
      <c r="K236" s="109">
        <f>SUMIFS(Ações!$J$66,Ações!$N$66,Patrimônio!B236,Ações!$E$66,"Provento")</f>
        <v>0</v>
      </c>
      <c r="L236" s="109">
        <f>SUMIFS(BDRs!$J$66,BDRs!$E$66,"Provento",BDRs!$N$66,Patrimônio!B236)</f>
        <v>0</v>
      </c>
      <c r="M236" s="109">
        <f>SUMIFS(FIIs!$J$66,FIIs!$E$66,"Provento",FIIs!$N$66,Patrimônio!B236)</f>
        <v>0</v>
      </c>
      <c r="N236" s="109">
        <f t="shared" si="2"/>
        <v>0</v>
      </c>
      <c r="O236" s="109"/>
      <c r="Q236" s="154"/>
      <c r="R236" s="155" t="s">
        <v>266</v>
      </c>
      <c r="S236" s="156">
        <v>0</v>
      </c>
    </row>
    <row r="237" spans="1:19" ht="17.25" customHeight="1">
      <c r="A237" s="108">
        <v>51745</v>
      </c>
      <c r="B237" s="108">
        <f t="shared" si="0"/>
        <v>51744</v>
      </c>
      <c r="C237" s="109"/>
      <c r="D237" s="109"/>
      <c r="E237" s="109"/>
      <c r="F237" s="109"/>
      <c r="G237" s="109"/>
      <c r="H237" s="109"/>
      <c r="I237" s="109">
        <f t="shared" ref="I237:J237" si="251">SUM(C237,E237,G237)</f>
        <v>0</v>
      </c>
      <c r="J237" s="109">
        <f t="shared" si="251"/>
        <v>0</v>
      </c>
      <c r="K237" s="109">
        <f>SUMIFS(Ações!$J$66,Ações!$N$66,Patrimônio!B237,Ações!$E$66,"Provento")</f>
        <v>0</v>
      </c>
      <c r="L237" s="109">
        <f>SUMIFS(BDRs!$J$66,BDRs!$E$66,"Provento",BDRs!$N$66,Patrimônio!B237)</f>
        <v>0</v>
      </c>
      <c r="M237" s="109">
        <f>SUMIFS(FIIs!$J$66,FIIs!$E$66,"Provento",FIIs!$N$66,Patrimônio!B237)</f>
        <v>0</v>
      </c>
      <c r="N237" s="109">
        <f t="shared" si="2"/>
        <v>0</v>
      </c>
      <c r="O237" s="109"/>
      <c r="Q237" s="154"/>
      <c r="R237" s="155" t="s">
        <v>267</v>
      </c>
      <c r="S237" s="156">
        <v>0</v>
      </c>
    </row>
    <row r="238" spans="1:19" ht="17.25" customHeight="1">
      <c r="A238" s="108">
        <v>51775</v>
      </c>
      <c r="B238" s="108">
        <f t="shared" si="0"/>
        <v>51774</v>
      </c>
      <c r="C238" s="109"/>
      <c r="D238" s="109"/>
      <c r="E238" s="109"/>
      <c r="F238" s="109"/>
      <c r="G238" s="109"/>
      <c r="H238" s="109"/>
      <c r="I238" s="109">
        <f t="shared" ref="I238:J238" si="252">SUM(C238,E238,G238)</f>
        <v>0</v>
      </c>
      <c r="J238" s="109">
        <f t="shared" si="252"/>
        <v>0</v>
      </c>
      <c r="K238" s="109">
        <f>SUMIFS(Ações!$J$66,Ações!$N$66,Patrimônio!B238,Ações!$E$66,"Provento")</f>
        <v>0</v>
      </c>
      <c r="L238" s="109">
        <f>SUMIFS(BDRs!$J$66,BDRs!$E$66,"Provento",BDRs!$N$66,Patrimônio!B238)</f>
        <v>0</v>
      </c>
      <c r="M238" s="109">
        <f>SUMIFS(FIIs!$J$66,FIIs!$E$66,"Provento",FIIs!$N$66,Patrimônio!B238)</f>
        <v>0</v>
      </c>
      <c r="N238" s="109">
        <f t="shared" si="2"/>
        <v>0</v>
      </c>
      <c r="O238" s="109"/>
      <c r="Q238" s="154"/>
      <c r="R238" s="155" t="s">
        <v>268</v>
      </c>
      <c r="S238" s="156">
        <v>0</v>
      </c>
    </row>
    <row r="239" spans="1:19" ht="17.25" customHeight="1">
      <c r="A239" s="108">
        <v>51806</v>
      </c>
      <c r="B239" s="108">
        <f t="shared" si="0"/>
        <v>51805</v>
      </c>
      <c r="C239" s="109"/>
      <c r="D239" s="109"/>
      <c r="E239" s="109"/>
      <c r="F239" s="109"/>
      <c r="G239" s="109"/>
      <c r="H239" s="109"/>
      <c r="I239" s="109">
        <f t="shared" ref="I239:J239" si="253">SUM(C239,E239,G239)</f>
        <v>0</v>
      </c>
      <c r="J239" s="109">
        <f t="shared" si="253"/>
        <v>0</v>
      </c>
      <c r="K239" s="109">
        <f>SUMIFS(Ações!$J$66,Ações!$N$66,Patrimônio!B239,Ações!$E$66,"Provento")</f>
        <v>0</v>
      </c>
      <c r="L239" s="109">
        <f>SUMIFS(BDRs!$J$66,BDRs!$E$66,"Provento",BDRs!$N$66,Patrimônio!B239)</f>
        <v>0</v>
      </c>
      <c r="M239" s="109">
        <f>SUMIFS(FIIs!$J$66,FIIs!$E$66,"Provento",FIIs!$N$66,Patrimônio!B239)</f>
        <v>0</v>
      </c>
      <c r="N239" s="109">
        <f t="shared" si="2"/>
        <v>0</v>
      </c>
      <c r="O239" s="109"/>
      <c r="Q239" s="154"/>
      <c r="R239" s="155" t="s">
        <v>269</v>
      </c>
      <c r="S239" s="156">
        <v>0</v>
      </c>
    </row>
    <row r="240" spans="1:19" ht="17.25" customHeight="1">
      <c r="A240" s="108">
        <v>51836</v>
      </c>
      <c r="B240" s="108">
        <f t="shared" si="0"/>
        <v>51835</v>
      </c>
      <c r="C240" s="109"/>
      <c r="D240" s="109"/>
      <c r="E240" s="109"/>
      <c r="F240" s="109"/>
      <c r="G240" s="109"/>
      <c r="H240" s="109"/>
      <c r="I240" s="109">
        <f t="shared" ref="I240:J240" si="254">SUM(C240,E240,G240)</f>
        <v>0</v>
      </c>
      <c r="J240" s="109">
        <f t="shared" si="254"/>
        <v>0</v>
      </c>
      <c r="K240" s="109">
        <f>SUMIFS(Ações!$J$66,Ações!$N$66,Patrimônio!B240,Ações!$E$66,"Provento")</f>
        <v>0</v>
      </c>
      <c r="L240" s="109">
        <f>SUMIFS(BDRs!$J$66,BDRs!$E$66,"Provento",BDRs!$N$66,Patrimônio!B240)</f>
        <v>0</v>
      </c>
      <c r="M240" s="109">
        <f>SUMIFS(FIIs!$J$66,FIIs!$E$66,"Provento",FIIs!$N$66,Patrimônio!B240)</f>
        <v>0</v>
      </c>
      <c r="N240" s="109">
        <f t="shared" si="2"/>
        <v>0</v>
      </c>
      <c r="O240" s="109"/>
      <c r="Q240" s="154"/>
      <c r="R240" s="155" t="s">
        <v>270</v>
      </c>
      <c r="S240" s="156">
        <v>0</v>
      </c>
    </row>
    <row r="241" spans="1:19" ht="17.25" customHeight="1">
      <c r="A241" s="108">
        <v>51867</v>
      </c>
      <c r="B241" s="108">
        <f t="shared" si="0"/>
        <v>51866</v>
      </c>
      <c r="C241" s="109"/>
      <c r="D241" s="109"/>
      <c r="E241" s="109"/>
      <c r="F241" s="109"/>
      <c r="G241" s="109"/>
      <c r="H241" s="109"/>
      <c r="I241" s="109">
        <f t="shared" ref="I241:J241" si="255">SUM(C241,E241,G241)</f>
        <v>0</v>
      </c>
      <c r="J241" s="109">
        <f t="shared" si="255"/>
        <v>0</v>
      </c>
      <c r="K241" s="109">
        <f>SUMIFS(Ações!$J$66,Ações!$N$66,Patrimônio!B241,Ações!$E$66,"Provento")</f>
        <v>0</v>
      </c>
      <c r="L241" s="109">
        <f>SUMIFS(BDRs!$J$66,BDRs!$E$66,"Provento",BDRs!$N$66,Patrimônio!B241)</f>
        <v>0</v>
      </c>
      <c r="M241" s="109">
        <f>SUMIFS(FIIs!$J$66,FIIs!$E$66,"Provento",FIIs!$N$66,Patrimônio!B241)</f>
        <v>0</v>
      </c>
      <c r="N241" s="109">
        <f t="shared" si="2"/>
        <v>0</v>
      </c>
      <c r="O241" s="109"/>
      <c r="Q241" s="154"/>
      <c r="R241" s="155" t="s">
        <v>271</v>
      </c>
      <c r="S241" s="156">
        <v>0</v>
      </c>
    </row>
    <row r="242" spans="1:19" ht="17.25" customHeight="1">
      <c r="A242" s="108">
        <v>51898</v>
      </c>
      <c r="B242" s="108">
        <f t="shared" si="0"/>
        <v>51897</v>
      </c>
      <c r="C242" s="109"/>
      <c r="D242" s="109"/>
      <c r="E242" s="109"/>
      <c r="F242" s="109"/>
      <c r="G242" s="109"/>
      <c r="H242" s="109"/>
      <c r="I242" s="109">
        <f t="shared" ref="I242:J242" si="256">SUM(C242,E242,G242)</f>
        <v>0</v>
      </c>
      <c r="J242" s="109">
        <f t="shared" si="256"/>
        <v>0</v>
      </c>
      <c r="K242" s="109">
        <f>SUMIFS(Ações!$J$66,Ações!$N$66,Patrimônio!B242,Ações!$E$66,"Provento")</f>
        <v>0</v>
      </c>
      <c r="L242" s="109">
        <f>SUMIFS(BDRs!$J$66,BDRs!$E$66,"Provento",BDRs!$N$66,Patrimônio!B242)</f>
        <v>0</v>
      </c>
      <c r="M242" s="109">
        <f>SUMIFS(FIIs!$J$66,FIIs!$E$66,"Provento",FIIs!$N$66,Patrimônio!B242)</f>
        <v>0</v>
      </c>
      <c r="N242" s="109">
        <f t="shared" si="2"/>
        <v>0</v>
      </c>
      <c r="O242" s="109"/>
      <c r="Q242" s="154"/>
      <c r="R242" s="155" t="s">
        <v>272</v>
      </c>
      <c r="S242" s="156">
        <v>0</v>
      </c>
    </row>
    <row r="243" spans="1:19" ht="17.25" customHeight="1">
      <c r="A243" s="108">
        <v>51926</v>
      </c>
      <c r="B243" s="108">
        <f t="shared" si="0"/>
        <v>51925</v>
      </c>
      <c r="C243" s="109"/>
      <c r="D243" s="109"/>
      <c r="E243" s="109"/>
      <c r="F243" s="109"/>
      <c r="G243" s="109"/>
      <c r="H243" s="109"/>
      <c r="I243" s="109">
        <f t="shared" ref="I243:J243" si="257">SUM(C243,E243,G243)</f>
        <v>0</v>
      </c>
      <c r="J243" s="109">
        <f t="shared" si="257"/>
        <v>0</v>
      </c>
      <c r="K243" s="109">
        <f>SUMIFS(Ações!$J$66,Ações!$N$66,Patrimônio!B243,Ações!$E$66,"Provento")</f>
        <v>0</v>
      </c>
      <c r="L243" s="109">
        <f>SUMIFS(BDRs!$J$66,BDRs!$E$66,"Provento",BDRs!$N$66,Patrimônio!B243)</f>
        <v>0</v>
      </c>
      <c r="M243" s="109">
        <f>SUMIFS(FIIs!$J$66,FIIs!$E$66,"Provento",FIIs!$N$66,Patrimônio!B243)</f>
        <v>0</v>
      </c>
      <c r="N243" s="109">
        <f t="shared" si="2"/>
        <v>0</v>
      </c>
      <c r="O243" s="109"/>
      <c r="Q243" s="151" t="s">
        <v>124</v>
      </c>
      <c r="R243" s="157"/>
      <c r="S243" s="153">
        <v>0</v>
      </c>
    </row>
    <row r="244" spans="1:19" ht="17.25" customHeight="1">
      <c r="A244" s="108">
        <v>51957</v>
      </c>
      <c r="B244" s="108">
        <f t="shared" si="0"/>
        <v>51956</v>
      </c>
      <c r="C244" s="109"/>
      <c r="D244" s="109"/>
      <c r="E244" s="109"/>
      <c r="F244" s="109"/>
      <c r="G244" s="109"/>
      <c r="H244" s="109"/>
      <c r="I244" s="109">
        <f t="shared" ref="I244:J244" si="258">SUM(C244,E244,G244)</f>
        <v>0</v>
      </c>
      <c r="J244" s="109">
        <f t="shared" si="258"/>
        <v>0</v>
      </c>
      <c r="K244" s="109">
        <f>SUMIFS(Ações!$J$66,Ações!$N$66,Patrimônio!B244,Ações!$E$66,"Provento")</f>
        <v>0</v>
      </c>
      <c r="L244" s="109">
        <f>SUMIFS(BDRs!$J$66,BDRs!$E$66,"Provento",BDRs!$N$66,Patrimônio!B244)</f>
        <v>0</v>
      </c>
      <c r="M244" s="109">
        <f>SUMIFS(FIIs!$J$66,FIIs!$E$66,"Provento",FIIs!$N$66,Patrimônio!B244)</f>
        <v>0</v>
      </c>
      <c r="N244" s="109">
        <f t="shared" si="2"/>
        <v>0</v>
      </c>
      <c r="O244" s="109"/>
      <c r="Q244" s="151" t="s">
        <v>125</v>
      </c>
      <c r="R244" s="152" t="s">
        <v>261</v>
      </c>
      <c r="S244" s="153">
        <v>0</v>
      </c>
    </row>
    <row r="245" spans="1:19" ht="17.25" customHeight="1">
      <c r="A245" s="108">
        <v>51987</v>
      </c>
      <c r="B245" s="108">
        <f t="shared" si="0"/>
        <v>51986</v>
      </c>
      <c r="C245" s="109"/>
      <c r="D245" s="109"/>
      <c r="E245" s="109"/>
      <c r="F245" s="109"/>
      <c r="G245" s="109"/>
      <c r="H245" s="109"/>
      <c r="I245" s="109">
        <f t="shared" ref="I245:J245" si="259">SUM(C245,E245,G245)</f>
        <v>0</v>
      </c>
      <c r="J245" s="109">
        <f t="shared" si="259"/>
        <v>0</v>
      </c>
      <c r="K245" s="109">
        <f>SUMIFS(Ações!$J$66,Ações!$N$66,Patrimônio!B245,Ações!$E$66,"Provento")</f>
        <v>0</v>
      </c>
      <c r="L245" s="109">
        <f>SUMIFS(BDRs!$J$66,BDRs!$E$66,"Provento",BDRs!$N$66,Patrimônio!B245)</f>
        <v>0</v>
      </c>
      <c r="M245" s="109">
        <f>SUMIFS(FIIs!$J$66,FIIs!$E$66,"Provento",FIIs!$N$66,Patrimônio!B245)</f>
        <v>0</v>
      </c>
      <c r="N245" s="109">
        <f t="shared" si="2"/>
        <v>0</v>
      </c>
      <c r="O245" s="109"/>
      <c r="Q245" s="154"/>
      <c r="R245" s="155" t="s">
        <v>262</v>
      </c>
      <c r="S245" s="156">
        <v>0</v>
      </c>
    </row>
    <row r="246" spans="1:19" ht="17.25" customHeight="1">
      <c r="A246" s="108">
        <v>52018</v>
      </c>
      <c r="B246" s="108">
        <f t="shared" si="0"/>
        <v>52017</v>
      </c>
      <c r="C246" s="109"/>
      <c r="D246" s="109"/>
      <c r="E246" s="109"/>
      <c r="F246" s="109"/>
      <c r="G246" s="109"/>
      <c r="H246" s="109"/>
      <c r="I246" s="109">
        <f t="shared" ref="I246:J246" si="260">SUM(C246,E246,G246)</f>
        <v>0</v>
      </c>
      <c r="J246" s="109">
        <f t="shared" si="260"/>
        <v>0</v>
      </c>
      <c r="K246" s="109">
        <f>SUMIFS(Ações!$J$66,Ações!$N$66,Patrimônio!B246,Ações!$E$66,"Provento")</f>
        <v>0</v>
      </c>
      <c r="L246" s="109">
        <f>SUMIFS(BDRs!$J$66,BDRs!$E$66,"Provento",BDRs!$N$66,Patrimônio!B246)</f>
        <v>0</v>
      </c>
      <c r="M246" s="109">
        <f>SUMIFS(FIIs!$J$66,FIIs!$E$66,"Provento",FIIs!$N$66,Patrimônio!B246)</f>
        <v>0</v>
      </c>
      <c r="N246" s="109">
        <f t="shared" si="2"/>
        <v>0</v>
      </c>
      <c r="O246" s="109"/>
      <c r="Q246" s="154"/>
      <c r="R246" s="155" t="s">
        <v>263</v>
      </c>
      <c r="S246" s="156">
        <v>0</v>
      </c>
    </row>
    <row r="247" spans="1:19" ht="17.25" customHeight="1">
      <c r="A247" s="108">
        <v>52048</v>
      </c>
      <c r="B247" s="108">
        <f t="shared" si="0"/>
        <v>52047</v>
      </c>
      <c r="C247" s="109"/>
      <c r="D247" s="109"/>
      <c r="E247" s="109"/>
      <c r="F247" s="109"/>
      <c r="G247" s="109"/>
      <c r="H247" s="109"/>
      <c r="I247" s="109">
        <f t="shared" ref="I247:J247" si="261">SUM(C247,E247,G247)</f>
        <v>0</v>
      </c>
      <c r="J247" s="109">
        <f t="shared" si="261"/>
        <v>0</v>
      </c>
      <c r="K247" s="109">
        <f>SUMIFS(Ações!$J$66,Ações!$N$66,Patrimônio!B247,Ações!$E$66,"Provento")</f>
        <v>0</v>
      </c>
      <c r="L247" s="109">
        <f>SUMIFS(BDRs!$J$66,BDRs!$E$66,"Provento",BDRs!$N$66,Patrimônio!B247)</f>
        <v>0</v>
      </c>
      <c r="M247" s="109">
        <f>SUMIFS(FIIs!$J$66,FIIs!$E$66,"Provento",FIIs!$N$66,Patrimônio!B247)</f>
        <v>0</v>
      </c>
      <c r="N247" s="109">
        <f t="shared" si="2"/>
        <v>0</v>
      </c>
      <c r="O247" s="109"/>
      <c r="Q247" s="154"/>
      <c r="R247" s="155" t="s">
        <v>264</v>
      </c>
      <c r="S247" s="156">
        <v>0</v>
      </c>
    </row>
    <row r="248" spans="1:19" ht="17.25" customHeight="1">
      <c r="A248" s="108">
        <v>52079</v>
      </c>
      <c r="B248" s="108">
        <f t="shared" si="0"/>
        <v>52078</v>
      </c>
      <c r="C248" s="109"/>
      <c r="D248" s="109"/>
      <c r="E248" s="109"/>
      <c r="F248" s="109"/>
      <c r="G248" s="109"/>
      <c r="H248" s="109"/>
      <c r="I248" s="109">
        <f t="shared" ref="I248:J248" si="262">SUM(C248,E248,G248)</f>
        <v>0</v>
      </c>
      <c r="J248" s="109">
        <f t="shared" si="262"/>
        <v>0</v>
      </c>
      <c r="K248" s="109">
        <f>SUMIFS(Ações!$J$66,Ações!$N$66,Patrimônio!B248,Ações!$E$66,"Provento")</f>
        <v>0</v>
      </c>
      <c r="L248" s="109">
        <f>SUMIFS(BDRs!$J$66,BDRs!$E$66,"Provento",BDRs!$N$66,Patrimônio!B248)</f>
        <v>0</v>
      </c>
      <c r="M248" s="109">
        <f>SUMIFS(FIIs!$J$66,FIIs!$E$66,"Provento",FIIs!$N$66,Patrimônio!B248)</f>
        <v>0</v>
      </c>
      <c r="N248" s="109">
        <f t="shared" si="2"/>
        <v>0</v>
      </c>
      <c r="O248" s="109"/>
      <c r="Q248" s="154"/>
      <c r="R248" s="155" t="s">
        <v>265</v>
      </c>
      <c r="S248" s="156">
        <v>0</v>
      </c>
    </row>
    <row r="249" spans="1:19" ht="17.25" customHeight="1">
      <c r="A249" s="108">
        <v>52110</v>
      </c>
      <c r="B249" s="108">
        <f t="shared" si="0"/>
        <v>52109</v>
      </c>
      <c r="C249" s="109"/>
      <c r="D249" s="109"/>
      <c r="E249" s="109"/>
      <c r="F249" s="109"/>
      <c r="G249" s="109"/>
      <c r="H249" s="109"/>
      <c r="I249" s="109">
        <f t="shared" ref="I249:J249" si="263">SUM(C249,E249,G249)</f>
        <v>0</v>
      </c>
      <c r="J249" s="109">
        <f t="shared" si="263"/>
        <v>0</v>
      </c>
      <c r="K249" s="109">
        <f>SUMIFS(Ações!$J$66,Ações!$N$66,Patrimônio!B249,Ações!$E$66,"Provento")</f>
        <v>0</v>
      </c>
      <c r="L249" s="109">
        <f>SUMIFS(BDRs!$J$66,BDRs!$E$66,"Provento",BDRs!$N$66,Patrimônio!B249)</f>
        <v>0</v>
      </c>
      <c r="M249" s="109">
        <f>SUMIFS(FIIs!$J$66,FIIs!$E$66,"Provento",FIIs!$N$66,Patrimônio!B249)</f>
        <v>0</v>
      </c>
      <c r="N249" s="109">
        <f t="shared" si="2"/>
        <v>0</v>
      </c>
      <c r="O249" s="109"/>
      <c r="Q249" s="154"/>
      <c r="R249" s="155" t="s">
        <v>266</v>
      </c>
      <c r="S249" s="156">
        <v>0</v>
      </c>
    </row>
    <row r="250" spans="1:19" ht="17.25" customHeight="1">
      <c r="A250" s="108">
        <v>52140</v>
      </c>
      <c r="B250" s="108">
        <f t="shared" si="0"/>
        <v>52139</v>
      </c>
      <c r="C250" s="109"/>
      <c r="D250" s="109"/>
      <c r="E250" s="109"/>
      <c r="F250" s="109"/>
      <c r="G250" s="109"/>
      <c r="H250" s="109"/>
      <c r="I250" s="109">
        <f t="shared" ref="I250:J250" si="264">SUM(C250,E250,G250)</f>
        <v>0</v>
      </c>
      <c r="J250" s="109">
        <f t="shared" si="264"/>
        <v>0</v>
      </c>
      <c r="K250" s="109">
        <f>SUMIFS(Ações!$J$66,Ações!$N$66,Patrimônio!B250,Ações!$E$66,"Provento")</f>
        <v>0</v>
      </c>
      <c r="L250" s="109">
        <f>SUMIFS(BDRs!$J$66,BDRs!$E$66,"Provento",BDRs!$N$66,Patrimônio!B250)</f>
        <v>0</v>
      </c>
      <c r="M250" s="109">
        <f>SUMIFS(FIIs!$J$66,FIIs!$E$66,"Provento",FIIs!$N$66,Patrimônio!B250)</f>
        <v>0</v>
      </c>
      <c r="N250" s="109">
        <f t="shared" si="2"/>
        <v>0</v>
      </c>
      <c r="O250" s="109"/>
      <c r="Q250" s="154"/>
      <c r="R250" s="155" t="s">
        <v>267</v>
      </c>
      <c r="S250" s="156">
        <v>0</v>
      </c>
    </row>
    <row r="251" spans="1:19" ht="17.25" customHeight="1">
      <c r="A251" s="108">
        <v>52171</v>
      </c>
      <c r="B251" s="108">
        <f t="shared" si="0"/>
        <v>52170</v>
      </c>
      <c r="C251" s="109"/>
      <c r="D251" s="109"/>
      <c r="E251" s="109"/>
      <c r="F251" s="109"/>
      <c r="G251" s="109"/>
      <c r="H251" s="109"/>
      <c r="I251" s="109">
        <f t="shared" ref="I251:J251" si="265">SUM(C251,E251,G251)</f>
        <v>0</v>
      </c>
      <c r="J251" s="109">
        <f t="shared" si="265"/>
        <v>0</v>
      </c>
      <c r="K251" s="109">
        <f>SUMIFS(Ações!$J$66,Ações!$N$66,Patrimônio!B251,Ações!$E$66,"Provento")</f>
        <v>0</v>
      </c>
      <c r="L251" s="109">
        <f>SUMIFS(BDRs!$J$66,BDRs!$E$66,"Provento",BDRs!$N$66,Patrimônio!B251)</f>
        <v>0</v>
      </c>
      <c r="M251" s="109">
        <f>SUMIFS(FIIs!$J$66,FIIs!$E$66,"Provento",FIIs!$N$66,Patrimônio!B251)</f>
        <v>0</v>
      </c>
      <c r="N251" s="109">
        <f t="shared" si="2"/>
        <v>0</v>
      </c>
      <c r="O251" s="109"/>
      <c r="Q251" s="154"/>
      <c r="R251" s="155" t="s">
        <v>268</v>
      </c>
      <c r="S251" s="156">
        <v>0</v>
      </c>
    </row>
    <row r="252" spans="1:19" ht="17.25" customHeight="1">
      <c r="A252" s="108">
        <v>52201</v>
      </c>
      <c r="B252" s="108">
        <f t="shared" si="0"/>
        <v>52200</v>
      </c>
      <c r="C252" s="109"/>
      <c r="D252" s="109"/>
      <c r="E252" s="109"/>
      <c r="F252" s="109"/>
      <c r="G252" s="109"/>
      <c r="H252" s="109"/>
      <c r="I252" s="109">
        <f t="shared" ref="I252:J252" si="266">SUM(C252,E252,G252)</f>
        <v>0</v>
      </c>
      <c r="J252" s="109">
        <f t="shared" si="266"/>
        <v>0</v>
      </c>
      <c r="K252" s="109">
        <f>SUMIFS(Ações!$J$66,Ações!$N$66,Patrimônio!B252,Ações!$E$66,"Provento")</f>
        <v>0</v>
      </c>
      <c r="L252" s="109">
        <f>SUMIFS(BDRs!$J$66,BDRs!$E$66,"Provento",BDRs!$N$66,Patrimônio!B252)</f>
        <v>0</v>
      </c>
      <c r="M252" s="109">
        <f>SUMIFS(FIIs!$J$66,FIIs!$E$66,"Provento",FIIs!$N$66,Patrimônio!B252)</f>
        <v>0</v>
      </c>
      <c r="N252" s="109">
        <f t="shared" si="2"/>
        <v>0</v>
      </c>
      <c r="O252" s="109"/>
      <c r="Q252" s="154"/>
      <c r="R252" s="155" t="s">
        <v>269</v>
      </c>
      <c r="S252" s="156">
        <v>0</v>
      </c>
    </row>
    <row r="253" spans="1:19" ht="17.25" customHeight="1">
      <c r="A253" s="108">
        <v>52232</v>
      </c>
      <c r="B253" s="108">
        <f t="shared" si="0"/>
        <v>52231</v>
      </c>
      <c r="C253" s="109"/>
      <c r="D253" s="109"/>
      <c r="E253" s="109"/>
      <c r="F253" s="109"/>
      <c r="G253" s="109"/>
      <c r="H253" s="109"/>
      <c r="I253" s="109">
        <f t="shared" ref="I253:J253" si="267">SUM(C253,E253,G253)</f>
        <v>0</v>
      </c>
      <c r="J253" s="109">
        <f t="shared" si="267"/>
        <v>0</v>
      </c>
      <c r="K253" s="109">
        <f>SUMIFS(Ações!$J$66,Ações!$N$66,Patrimônio!B253,Ações!$E$66,"Provento")</f>
        <v>0</v>
      </c>
      <c r="L253" s="109">
        <f>SUMIFS(BDRs!$J$66,BDRs!$E$66,"Provento",BDRs!$N$66,Patrimônio!B253)</f>
        <v>0</v>
      </c>
      <c r="M253" s="109">
        <f>SUMIFS(FIIs!$J$66,FIIs!$E$66,"Provento",FIIs!$N$66,Patrimônio!B253)</f>
        <v>0</v>
      </c>
      <c r="N253" s="109">
        <f t="shared" si="2"/>
        <v>0</v>
      </c>
      <c r="O253" s="109"/>
      <c r="Q253" s="154"/>
      <c r="R253" s="155" t="s">
        <v>270</v>
      </c>
      <c r="S253" s="156">
        <v>0</v>
      </c>
    </row>
    <row r="254" spans="1:19" ht="17.25" customHeight="1">
      <c r="A254" s="108">
        <v>52263</v>
      </c>
      <c r="B254" s="108">
        <f t="shared" si="0"/>
        <v>52262</v>
      </c>
      <c r="C254" s="109"/>
      <c r="D254" s="109"/>
      <c r="E254" s="109"/>
      <c r="F254" s="109"/>
      <c r="G254" s="109"/>
      <c r="H254" s="109"/>
      <c r="I254" s="109">
        <f t="shared" ref="I254:J254" si="268">SUM(C254,E254,G254)</f>
        <v>0</v>
      </c>
      <c r="J254" s="109">
        <f t="shared" si="268"/>
        <v>0</v>
      </c>
      <c r="K254" s="109">
        <f>SUMIFS(Ações!$J$66,Ações!$N$66,Patrimônio!B254,Ações!$E$66,"Provento")</f>
        <v>0</v>
      </c>
      <c r="L254" s="109">
        <f>SUMIFS(BDRs!$J$66,BDRs!$E$66,"Provento",BDRs!$N$66,Patrimônio!B254)</f>
        <v>0</v>
      </c>
      <c r="M254" s="109">
        <f>SUMIFS(FIIs!$J$66,FIIs!$E$66,"Provento",FIIs!$N$66,Patrimônio!B254)</f>
        <v>0</v>
      </c>
      <c r="N254" s="109">
        <f t="shared" si="2"/>
        <v>0</v>
      </c>
      <c r="O254" s="109"/>
      <c r="Q254" s="154"/>
      <c r="R254" s="155" t="s">
        <v>271</v>
      </c>
      <c r="S254" s="156">
        <v>0</v>
      </c>
    </row>
    <row r="255" spans="1:19" ht="17.25" customHeight="1">
      <c r="A255" s="108">
        <v>52291</v>
      </c>
      <c r="B255" s="108">
        <f t="shared" si="0"/>
        <v>52290</v>
      </c>
      <c r="C255" s="109"/>
      <c r="D255" s="109"/>
      <c r="E255" s="109"/>
      <c r="F255" s="109"/>
      <c r="G255" s="109"/>
      <c r="H255" s="109"/>
      <c r="I255" s="109">
        <f t="shared" ref="I255:J255" si="269">SUM(C255,E255,G255)</f>
        <v>0</v>
      </c>
      <c r="J255" s="109">
        <f t="shared" si="269"/>
        <v>0</v>
      </c>
      <c r="K255" s="109">
        <f>SUMIFS(Ações!$J$66,Ações!$N$66,Patrimônio!B255,Ações!$E$66,"Provento")</f>
        <v>0</v>
      </c>
      <c r="L255" s="109">
        <f>SUMIFS(BDRs!$J$66,BDRs!$E$66,"Provento",BDRs!$N$66,Patrimônio!B255)</f>
        <v>0</v>
      </c>
      <c r="M255" s="109">
        <f>SUMIFS(FIIs!$J$66,FIIs!$E$66,"Provento",FIIs!$N$66,Patrimônio!B255)</f>
        <v>0</v>
      </c>
      <c r="N255" s="109">
        <f t="shared" si="2"/>
        <v>0</v>
      </c>
      <c r="O255" s="109"/>
      <c r="Q255" s="154"/>
      <c r="R255" s="155" t="s">
        <v>272</v>
      </c>
      <c r="S255" s="156">
        <v>0</v>
      </c>
    </row>
    <row r="256" spans="1:19" ht="17.25" customHeight="1">
      <c r="A256" s="108">
        <v>52322</v>
      </c>
      <c r="B256" s="108">
        <f t="shared" si="0"/>
        <v>52321</v>
      </c>
      <c r="C256" s="109"/>
      <c r="D256" s="109"/>
      <c r="E256" s="109"/>
      <c r="F256" s="109"/>
      <c r="G256" s="109"/>
      <c r="H256" s="109"/>
      <c r="I256" s="109">
        <f t="shared" ref="I256:J256" si="270">SUM(C256,E256,G256)</f>
        <v>0</v>
      </c>
      <c r="J256" s="109">
        <f t="shared" si="270"/>
        <v>0</v>
      </c>
      <c r="K256" s="109">
        <f>SUMIFS(Ações!$J$66,Ações!$N$66,Patrimônio!B256,Ações!$E$66,"Provento")</f>
        <v>0</v>
      </c>
      <c r="L256" s="109">
        <f>SUMIFS(BDRs!$J$66,BDRs!$E$66,"Provento",BDRs!$N$66,Patrimônio!B256)</f>
        <v>0</v>
      </c>
      <c r="M256" s="109">
        <f>SUMIFS(FIIs!$J$66,FIIs!$E$66,"Provento",FIIs!$N$66,Patrimônio!B256)</f>
        <v>0</v>
      </c>
      <c r="N256" s="109">
        <f t="shared" si="2"/>
        <v>0</v>
      </c>
      <c r="O256" s="109"/>
      <c r="Q256" s="151" t="s">
        <v>126</v>
      </c>
      <c r="R256" s="157"/>
      <c r="S256" s="153">
        <v>0</v>
      </c>
    </row>
    <row r="257" spans="1:19" ht="17.25" customHeight="1">
      <c r="A257" s="108">
        <v>52352</v>
      </c>
      <c r="B257" s="108">
        <f t="shared" si="0"/>
        <v>52351</v>
      </c>
      <c r="C257" s="109"/>
      <c r="D257" s="109"/>
      <c r="E257" s="109"/>
      <c r="F257" s="109"/>
      <c r="G257" s="109"/>
      <c r="H257" s="109"/>
      <c r="I257" s="109">
        <f t="shared" ref="I257:J257" si="271">SUM(C257,E257,G257)</f>
        <v>0</v>
      </c>
      <c r="J257" s="109">
        <f t="shared" si="271"/>
        <v>0</v>
      </c>
      <c r="K257" s="109">
        <f>SUMIFS(Ações!$J$66,Ações!$N$66,Patrimônio!B257,Ações!$E$66,"Provento")</f>
        <v>0</v>
      </c>
      <c r="L257" s="109">
        <f>SUMIFS(BDRs!$J$66,BDRs!$E$66,"Provento",BDRs!$N$66,Patrimônio!B257)</f>
        <v>0</v>
      </c>
      <c r="M257" s="109">
        <f>SUMIFS(FIIs!$J$66,FIIs!$E$66,"Provento",FIIs!$N$66,Patrimônio!B257)</f>
        <v>0</v>
      </c>
      <c r="N257" s="109">
        <f t="shared" si="2"/>
        <v>0</v>
      </c>
      <c r="O257" s="109"/>
      <c r="Q257" s="151" t="s">
        <v>127</v>
      </c>
      <c r="R257" s="152" t="s">
        <v>261</v>
      </c>
      <c r="S257" s="153">
        <v>0</v>
      </c>
    </row>
    <row r="258" spans="1:19" ht="17.25" customHeight="1">
      <c r="A258" s="108">
        <v>52383</v>
      </c>
      <c r="B258" s="108">
        <f t="shared" si="0"/>
        <v>52382</v>
      </c>
      <c r="C258" s="109"/>
      <c r="D258" s="109"/>
      <c r="E258" s="109"/>
      <c r="F258" s="109"/>
      <c r="G258" s="109"/>
      <c r="H258" s="109"/>
      <c r="I258" s="109">
        <f t="shared" ref="I258:J258" si="272">SUM(C258,E258,G258)</f>
        <v>0</v>
      </c>
      <c r="J258" s="109">
        <f t="shared" si="272"/>
        <v>0</v>
      </c>
      <c r="K258" s="109">
        <f>SUMIFS(Ações!$J$66,Ações!$N$66,Patrimônio!B258,Ações!$E$66,"Provento")</f>
        <v>0</v>
      </c>
      <c r="L258" s="109">
        <f>SUMIFS(BDRs!$J$66,BDRs!$E$66,"Provento",BDRs!$N$66,Patrimônio!B258)</f>
        <v>0</v>
      </c>
      <c r="M258" s="109">
        <f>SUMIFS(FIIs!$J$66,FIIs!$E$66,"Provento",FIIs!$N$66,Patrimônio!B258)</f>
        <v>0</v>
      </c>
      <c r="N258" s="109">
        <f t="shared" si="2"/>
        <v>0</v>
      </c>
      <c r="O258" s="109"/>
      <c r="Q258" s="154"/>
      <c r="R258" s="155" t="s">
        <v>262</v>
      </c>
      <c r="S258" s="156">
        <v>0</v>
      </c>
    </row>
    <row r="259" spans="1:19" ht="17.25" customHeight="1">
      <c r="A259" s="108">
        <v>52413</v>
      </c>
      <c r="B259" s="108">
        <f t="shared" si="0"/>
        <v>52412</v>
      </c>
      <c r="C259" s="109"/>
      <c r="D259" s="109"/>
      <c r="E259" s="109"/>
      <c r="F259" s="109"/>
      <c r="G259" s="109"/>
      <c r="H259" s="109"/>
      <c r="I259" s="109">
        <f t="shared" ref="I259:J259" si="273">SUM(C259,E259,G259)</f>
        <v>0</v>
      </c>
      <c r="J259" s="109">
        <f t="shared" si="273"/>
        <v>0</v>
      </c>
      <c r="K259" s="109">
        <f>SUMIFS(Ações!$J$66,Ações!$N$66,Patrimônio!B259,Ações!$E$66,"Provento")</f>
        <v>0</v>
      </c>
      <c r="L259" s="109">
        <f>SUMIFS(BDRs!$J$66,BDRs!$E$66,"Provento",BDRs!$N$66,Patrimônio!B259)</f>
        <v>0</v>
      </c>
      <c r="M259" s="109">
        <f>SUMIFS(FIIs!$J$66,FIIs!$E$66,"Provento",FIIs!$N$66,Patrimônio!B259)</f>
        <v>0</v>
      </c>
      <c r="N259" s="109">
        <f t="shared" si="2"/>
        <v>0</v>
      </c>
      <c r="O259" s="109"/>
      <c r="Q259" s="154"/>
      <c r="R259" s="155" t="s">
        <v>263</v>
      </c>
      <c r="S259" s="156">
        <v>0</v>
      </c>
    </row>
    <row r="260" spans="1:19" ht="17.25" customHeight="1">
      <c r="A260" s="108">
        <v>52444</v>
      </c>
      <c r="B260" s="108">
        <f t="shared" si="0"/>
        <v>52443</v>
      </c>
      <c r="C260" s="109"/>
      <c r="D260" s="109"/>
      <c r="E260" s="109"/>
      <c r="F260" s="109"/>
      <c r="G260" s="109"/>
      <c r="H260" s="109"/>
      <c r="I260" s="109">
        <f t="shared" ref="I260:J260" si="274">SUM(C260,E260,G260)</f>
        <v>0</v>
      </c>
      <c r="J260" s="109">
        <f t="shared" si="274"/>
        <v>0</v>
      </c>
      <c r="K260" s="109">
        <f>SUMIFS(Ações!$J$66,Ações!$N$66,Patrimônio!B260,Ações!$E$66,"Provento")</f>
        <v>0</v>
      </c>
      <c r="L260" s="109">
        <f>SUMIFS(BDRs!$J$66,BDRs!$E$66,"Provento",BDRs!$N$66,Patrimônio!B260)</f>
        <v>0</v>
      </c>
      <c r="M260" s="109">
        <f>SUMIFS(FIIs!$J$66,FIIs!$E$66,"Provento",FIIs!$N$66,Patrimônio!B260)</f>
        <v>0</v>
      </c>
      <c r="N260" s="109">
        <f t="shared" si="2"/>
        <v>0</v>
      </c>
      <c r="O260" s="109"/>
      <c r="Q260" s="154"/>
      <c r="R260" s="155" t="s">
        <v>264</v>
      </c>
      <c r="S260" s="156">
        <v>0</v>
      </c>
    </row>
    <row r="261" spans="1:19" ht="17.25" customHeight="1">
      <c r="A261" s="108">
        <v>52475</v>
      </c>
      <c r="B261" s="108">
        <f t="shared" si="0"/>
        <v>52474</v>
      </c>
      <c r="C261" s="109"/>
      <c r="D261" s="109"/>
      <c r="E261" s="109"/>
      <c r="F261" s="109"/>
      <c r="G261" s="109"/>
      <c r="H261" s="109"/>
      <c r="I261" s="109">
        <f t="shared" ref="I261:J261" si="275">SUM(C261,E261,G261)</f>
        <v>0</v>
      </c>
      <c r="J261" s="109">
        <f t="shared" si="275"/>
        <v>0</v>
      </c>
      <c r="K261" s="109">
        <f>SUMIFS(Ações!$J$66,Ações!$N$66,Patrimônio!B261,Ações!$E$66,"Provento")</f>
        <v>0</v>
      </c>
      <c r="L261" s="109">
        <f>SUMIFS(BDRs!$J$66,BDRs!$E$66,"Provento",BDRs!$N$66,Patrimônio!B261)</f>
        <v>0</v>
      </c>
      <c r="M261" s="109">
        <f>SUMIFS(FIIs!$J$66,FIIs!$E$66,"Provento",FIIs!$N$66,Patrimônio!B261)</f>
        <v>0</v>
      </c>
      <c r="N261" s="109">
        <f t="shared" si="2"/>
        <v>0</v>
      </c>
      <c r="O261" s="109"/>
      <c r="Q261" s="154"/>
      <c r="R261" s="155" t="s">
        <v>265</v>
      </c>
      <c r="S261" s="156">
        <v>0</v>
      </c>
    </row>
    <row r="262" spans="1:19" ht="17.25" customHeight="1">
      <c r="A262" s="108">
        <v>52505</v>
      </c>
      <c r="B262" s="108">
        <f t="shared" si="0"/>
        <v>52504</v>
      </c>
      <c r="C262" s="109"/>
      <c r="D262" s="109"/>
      <c r="E262" s="109"/>
      <c r="F262" s="109"/>
      <c r="G262" s="109"/>
      <c r="H262" s="109"/>
      <c r="I262" s="109">
        <f t="shared" ref="I262:J262" si="276">SUM(C262,E262,G262)</f>
        <v>0</v>
      </c>
      <c r="J262" s="109">
        <f t="shared" si="276"/>
        <v>0</v>
      </c>
      <c r="K262" s="109">
        <f>SUMIFS(Ações!$J$66,Ações!$N$66,Patrimônio!B262,Ações!$E$66,"Provento")</f>
        <v>0</v>
      </c>
      <c r="L262" s="109">
        <f>SUMIFS(BDRs!$J$66,BDRs!$E$66,"Provento",BDRs!$N$66,Patrimônio!B262)</f>
        <v>0</v>
      </c>
      <c r="M262" s="109">
        <f>SUMIFS(FIIs!$J$66,FIIs!$E$66,"Provento",FIIs!$N$66,Patrimônio!B262)</f>
        <v>0</v>
      </c>
      <c r="N262" s="109">
        <f t="shared" si="2"/>
        <v>0</v>
      </c>
      <c r="O262" s="109"/>
      <c r="Q262" s="154"/>
      <c r="R262" s="155" t="s">
        <v>266</v>
      </c>
      <c r="S262" s="156">
        <v>0</v>
      </c>
    </row>
    <row r="263" spans="1:19" ht="17.25" customHeight="1">
      <c r="A263" s="108">
        <v>52536</v>
      </c>
      <c r="B263" s="108">
        <f t="shared" si="0"/>
        <v>52535</v>
      </c>
      <c r="C263" s="109"/>
      <c r="D263" s="109"/>
      <c r="E263" s="109"/>
      <c r="F263" s="109"/>
      <c r="G263" s="109"/>
      <c r="H263" s="109"/>
      <c r="I263" s="109">
        <f t="shared" ref="I263:J263" si="277">SUM(C263,E263,G263)</f>
        <v>0</v>
      </c>
      <c r="J263" s="109">
        <f t="shared" si="277"/>
        <v>0</v>
      </c>
      <c r="K263" s="109">
        <f>SUMIFS(Ações!$J$66,Ações!$N$66,Patrimônio!B263,Ações!$E$66,"Provento")</f>
        <v>0</v>
      </c>
      <c r="L263" s="109">
        <f>SUMIFS(BDRs!$J$66,BDRs!$E$66,"Provento",BDRs!$N$66,Patrimônio!B263)</f>
        <v>0</v>
      </c>
      <c r="M263" s="109">
        <f>SUMIFS(FIIs!$J$66,FIIs!$E$66,"Provento",FIIs!$N$66,Patrimônio!B263)</f>
        <v>0</v>
      </c>
      <c r="N263" s="109">
        <f t="shared" si="2"/>
        <v>0</v>
      </c>
      <c r="O263" s="109"/>
      <c r="Q263" s="154"/>
      <c r="R263" s="155" t="s">
        <v>267</v>
      </c>
      <c r="S263" s="156">
        <v>0</v>
      </c>
    </row>
    <row r="264" spans="1:19" ht="17.25" customHeight="1">
      <c r="A264" s="108">
        <v>52566</v>
      </c>
      <c r="B264" s="108">
        <f t="shared" si="0"/>
        <v>52565</v>
      </c>
      <c r="C264" s="109"/>
      <c r="D264" s="109"/>
      <c r="E264" s="109"/>
      <c r="F264" s="109"/>
      <c r="G264" s="109"/>
      <c r="H264" s="109"/>
      <c r="I264" s="109">
        <f t="shared" ref="I264:J264" si="278">SUM(C264,E264,G264)</f>
        <v>0</v>
      </c>
      <c r="J264" s="109">
        <f t="shared" si="278"/>
        <v>0</v>
      </c>
      <c r="K264" s="109">
        <f>SUMIFS(Ações!$J$66,Ações!$N$66,Patrimônio!B264,Ações!$E$66,"Provento")</f>
        <v>0</v>
      </c>
      <c r="L264" s="109">
        <f>SUMIFS(BDRs!$J$66,BDRs!$E$66,"Provento",BDRs!$N$66,Patrimônio!B264)</f>
        <v>0</v>
      </c>
      <c r="M264" s="109">
        <f>SUMIFS(FIIs!$J$66,FIIs!$E$66,"Provento",FIIs!$N$66,Patrimônio!B264)</f>
        <v>0</v>
      </c>
      <c r="N264" s="109">
        <f t="shared" si="2"/>
        <v>0</v>
      </c>
      <c r="O264" s="109"/>
      <c r="Q264" s="154"/>
      <c r="R264" s="155" t="s">
        <v>268</v>
      </c>
      <c r="S264" s="156">
        <v>0</v>
      </c>
    </row>
    <row r="265" spans="1:19" ht="17.25" customHeight="1">
      <c r="A265" s="108">
        <v>52597</v>
      </c>
      <c r="B265" s="108">
        <f t="shared" si="0"/>
        <v>52596</v>
      </c>
      <c r="C265" s="109"/>
      <c r="D265" s="109"/>
      <c r="E265" s="109"/>
      <c r="F265" s="109"/>
      <c r="G265" s="109"/>
      <c r="H265" s="109"/>
      <c r="I265" s="109">
        <f t="shared" ref="I265:J265" si="279">SUM(C265,E265,G265)</f>
        <v>0</v>
      </c>
      <c r="J265" s="109">
        <f t="shared" si="279"/>
        <v>0</v>
      </c>
      <c r="K265" s="109">
        <f>SUMIFS(Ações!$J$66,Ações!$N$66,Patrimônio!B265,Ações!$E$66,"Provento")</f>
        <v>0</v>
      </c>
      <c r="L265" s="109">
        <f>SUMIFS(BDRs!$J$66,BDRs!$E$66,"Provento",BDRs!$N$66,Patrimônio!B265)</f>
        <v>0</v>
      </c>
      <c r="M265" s="109">
        <f>SUMIFS(FIIs!$J$66,FIIs!$E$66,"Provento",FIIs!$N$66,Patrimônio!B265)</f>
        <v>0</v>
      </c>
      <c r="N265" s="109">
        <f t="shared" si="2"/>
        <v>0</v>
      </c>
      <c r="O265" s="109"/>
      <c r="Q265" s="154"/>
      <c r="R265" s="155" t="s">
        <v>269</v>
      </c>
      <c r="S265" s="156">
        <v>0</v>
      </c>
    </row>
    <row r="266" spans="1:19" ht="17.25" customHeight="1">
      <c r="A266" s="108">
        <v>52628</v>
      </c>
      <c r="B266" s="108">
        <f t="shared" si="0"/>
        <v>52627</v>
      </c>
      <c r="C266" s="109"/>
      <c r="D266" s="109"/>
      <c r="E266" s="109"/>
      <c r="F266" s="109"/>
      <c r="G266" s="109"/>
      <c r="H266" s="109"/>
      <c r="I266" s="109">
        <f t="shared" ref="I266:J266" si="280">SUM(C266,E266,G266)</f>
        <v>0</v>
      </c>
      <c r="J266" s="109">
        <f t="shared" si="280"/>
        <v>0</v>
      </c>
      <c r="K266" s="109">
        <f>SUMIFS(Ações!$J$66,Ações!$N$66,Patrimônio!B266,Ações!$E$66,"Provento")</f>
        <v>0</v>
      </c>
      <c r="L266" s="109">
        <f>SUMIFS(BDRs!$J$66,BDRs!$E$66,"Provento",BDRs!$N$66,Patrimônio!B266)</f>
        <v>0</v>
      </c>
      <c r="M266" s="109">
        <f>SUMIFS(FIIs!$J$66,FIIs!$E$66,"Provento",FIIs!$N$66,Patrimônio!B266)</f>
        <v>0</v>
      </c>
      <c r="N266" s="109">
        <f t="shared" si="2"/>
        <v>0</v>
      </c>
      <c r="O266" s="109"/>
      <c r="Q266" s="154"/>
      <c r="R266" s="155" t="s">
        <v>270</v>
      </c>
      <c r="S266" s="156">
        <v>0</v>
      </c>
    </row>
    <row r="267" spans="1:19" ht="17.25" customHeight="1">
      <c r="A267" s="108">
        <v>52657</v>
      </c>
      <c r="B267" s="108">
        <f t="shared" si="0"/>
        <v>52656</v>
      </c>
      <c r="C267" s="109"/>
      <c r="D267" s="109"/>
      <c r="E267" s="109"/>
      <c r="F267" s="109"/>
      <c r="G267" s="109"/>
      <c r="H267" s="109"/>
      <c r="I267" s="109">
        <f t="shared" ref="I267:J267" si="281">SUM(C267,E267,G267)</f>
        <v>0</v>
      </c>
      <c r="J267" s="109">
        <f t="shared" si="281"/>
        <v>0</v>
      </c>
      <c r="K267" s="109">
        <f>SUMIFS(Ações!$J$66,Ações!$N$66,Patrimônio!B267,Ações!$E$66,"Provento")</f>
        <v>0</v>
      </c>
      <c r="L267" s="109">
        <f>SUMIFS(BDRs!$J$66,BDRs!$E$66,"Provento",BDRs!$N$66,Patrimônio!B267)</f>
        <v>0</v>
      </c>
      <c r="M267" s="109">
        <f>SUMIFS(FIIs!$J$66,FIIs!$E$66,"Provento",FIIs!$N$66,Patrimônio!B267)</f>
        <v>0</v>
      </c>
      <c r="N267" s="109">
        <f t="shared" si="2"/>
        <v>0</v>
      </c>
      <c r="O267" s="109"/>
      <c r="Q267" s="154"/>
      <c r="R267" s="155" t="s">
        <v>271</v>
      </c>
      <c r="S267" s="156">
        <v>0</v>
      </c>
    </row>
    <row r="268" spans="1:19" ht="17.25" customHeight="1">
      <c r="A268" s="108">
        <v>52688</v>
      </c>
      <c r="B268" s="108">
        <f t="shared" si="0"/>
        <v>52687</v>
      </c>
      <c r="C268" s="109"/>
      <c r="D268" s="109"/>
      <c r="E268" s="109"/>
      <c r="F268" s="109"/>
      <c r="G268" s="109"/>
      <c r="H268" s="109"/>
      <c r="I268" s="109">
        <f t="shared" ref="I268:J268" si="282">SUM(C268,E268,G268)</f>
        <v>0</v>
      </c>
      <c r="J268" s="109">
        <f t="shared" si="282"/>
        <v>0</v>
      </c>
      <c r="K268" s="109">
        <f>SUMIFS(Ações!$J$66,Ações!$N$66,Patrimônio!B268,Ações!$E$66,"Provento")</f>
        <v>0</v>
      </c>
      <c r="L268" s="109">
        <f>SUMIFS(BDRs!$J$66,BDRs!$E$66,"Provento",BDRs!$N$66,Patrimônio!B268)</f>
        <v>0</v>
      </c>
      <c r="M268" s="109">
        <f>SUMIFS(FIIs!$J$66,FIIs!$E$66,"Provento",FIIs!$N$66,Patrimônio!B268)</f>
        <v>0</v>
      </c>
      <c r="N268" s="109">
        <f t="shared" si="2"/>
        <v>0</v>
      </c>
      <c r="O268" s="109"/>
      <c r="Q268" s="154"/>
      <c r="R268" s="155" t="s">
        <v>272</v>
      </c>
      <c r="S268" s="156">
        <v>0</v>
      </c>
    </row>
    <row r="269" spans="1:19" ht="17.25" customHeight="1">
      <c r="A269" s="108">
        <v>52718</v>
      </c>
      <c r="B269" s="108">
        <f t="shared" si="0"/>
        <v>52717</v>
      </c>
      <c r="C269" s="109"/>
      <c r="D269" s="109"/>
      <c r="E269" s="109"/>
      <c r="F269" s="109"/>
      <c r="G269" s="109"/>
      <c r="H269" s="109"/>
      <c r="I269" s="109">
        <f t="shared" ref="I269:J269" si="283">SUM(C269,E269,G269)</f>
        <v>0</v>
      </c>
      <c r="J269" s="109">
        <f t="shared" si="283"/>
        <v>0</v>
      </c>
      <c r="K269" s="109">
        <f>SUMIFS(Ações!$J$66,Ações!$N$66,Patrimônio!B269,Ações!$E$66,"Provento")</f>
        <v>0</v>
      </c>
      <c r="L269" s="109">
        <f>SUMIFS(BDRs!$J$66,BDRs!$E$66,"Provento",BDRs!$N$66,Patrimônio!B269)</f>
        <v>0</v>
      </c>
      <c r="M269" s="109">
        <f>SUMIFS(FIIs!$J$66,FIIs!$E$66,"Provento",FIIs!$N$66,Patrimônio!B269)</f>
        <v>0</v>
      </c>
      <c r="N269" s="109">
        <f t="shared" si="2"/>
        <v>0</v>
      </c>
      <c r="O269" s="109"/>
      <c r="Q269" s="151" t="s">
        <v>128</v>
      </c>
      <c r="R269" s="157"/>
      <c r="S269" s="153">
        <v>0</v>
      </c>
    </row>
    <row r="270" spans="1:19" ht="17.25" customHeight="1">
      <c r="A270" s="108">
        <v>52749</v>
      </c>
      <c r="B270" s="108">
        <f t="shared" si="0"/>
        <v>52748</v>
      </c>
      <c r="C270" s="109"/>
      <c r="D270" s="109"/>
      <c r="E270" s="109"/>
      <c r="F270" s="109"/>
      <c r="G270" s="109"/>
      <c r="H270" s="109"/>
      <c r="I270" s="109">
        <f t="shared" ref="I270:J270" si="284">SUM(C270,E270,G270)</f>
        <v>0</v>
      </c>
      <c r="J270" s="109">
        <f t="shared" si="284"/>
        <v>0</v>
      </c>
      <c r="K270" s="109">
        <f>SUMIFS(Ações!$J$66,Ações!$N$66,Patrimônio!B270,Ações!$E$66,"Provento")</f>
        <v>0</v>
      </c>
      <c r="L270" s="109">
        <f>SUMIFS(BDRs!$J$66,BDRs!$E$66,"Provento",BDRs!$N$66,Patrimônio!B270)</f>
        <v>0</v>
      </c>
      <c r="M270" s="109">
        <f>SUMIFS(FIIs!$J$66,FIIs!$E$66,"Provento",FIIs!$N$66,Patrimônio!B270)</f>
        <v>0</v>
      </c>
      <c r="N270" s="109">
        <f t="shared" si="2"/>
        <v>0</v>
      </c>
      <c r="O270" s="109"/>
      <c r="Q270" s="151" t="s">
        <v>129</v>
      </c>
      <c r="R270" s="152" t="s">
        <v>261</v>
      </c>
      <c r="S270" s="153">
        <v>0</v>
      </c>
    </row>
    <row r="271" spans="1:19" ht="17.25" customHeight="1">
      <c r="A271" s="108">
        <v>52779</v>
      </c>
      <c r="B271" s="108">
        <f t="shared" si="0"/>
        <v>52778</v>
      </c>
      <c r="C271" s="109"/>
      <c r="D271" s="109"/>
      <c r="E271" s="109"/>
      <c r="F271" s="109"/>
      <c r="G271" s="109"/>
      <c r="H271" s="109"/>
      <c r="I271" s="109">
        <f t="shared" ref="I271:J271" si="285">SUM(C271,E271,G271)</f>
        <v>0</v>
      </c>
      <c r="J271" s="109">
        <f t="shared" si="285"/>
        <v>0</v>
      </c>
      <c r="K271" s="109">
        <f>SUMIFS(Ações!$J$66,Ações!$N$66,Patrimônio!B271,Ações!$E$66,"Provento")</f>
        <v>0</v>
      </c>
      <c r="L271" s="109">
        <f>SUMIFS(BDRs!$J$66,BDRs!$E$66,"Provento",BDRs!$N$66,Patrimônio!B271)</f>
        <v>0</v>
      </c>
      <c r="M271" s="109">
        <f>SUMIFS(FIIs!$J$66,FIIs!$E$66,"Provento",FIIs!$N$66,Patrimônio!B271)</f>
        <v>0</v>
      </c>
      <c r="N271" s="109">
        <f t="shared" si="2"/>
        <v>0</v>
      </c>
      <c r="O271" s="109"/>
      <c r="Q271" s="154"/>
      <c r="R271" s="155" t="s">
        <v>262</v>
      </c>
      <c r="S271" s="156">
        <v>0</v>
      </c>
    </row>
    <row r="272" spans="1:19" ht="17.25" customHeight="1">
      <c r="A272" s="108">
        <v>52810</v>
      </c>
      <c r="B272" s="108">
        <f t="shared" si="0"/>
        <v>52809</v>
      </c>
      <c r="C272" s="109"/>
      <c r="D272" s="109"/>
      <c r="E272" s="109"/>
      <c r="F272" s="109"/>
      <c r="G272" s="109"/>
      <c r="H272" s="109"/>
      <c r="I272" s="109">
        <f t="shared" ref="I272:J272" si="286">SUM(C272,E272,G272)</f>
        <v>0</v>
      </c>
      <c r="J272" s="109">
        <f t="shared" si="286"/>
        <v>0</v>
      </c>
      <c r="K272" s="109">
        <f>SUMIFS(Ações!$J$66,Ações!$N$66,Patrimônio!B272,Ações!$E$66,"Provento")</f>
        <v>0</v>
      </c>
      <c r="L272" s="109">
        <f>SUMIFS(BDRs!$J$66,BDRs!$E$66,"Provento",BDRs!$N$66,Patrimônio!B272)</f>
        <v>0</v>
      </c>
      <c r="M272" s="109">
        <f>SUMIFS(FIIs!$J$66,FIIs!$E$66,"Provento",FIIs!$N$66,Patrimônio!B272)</f>
        <v>0</v>
      </c>
      <c r="N272" s="109">
        <f t="shared" si="2"/>
        <v>0</v>
      </c>
      <c r="O272" s="109"/>
      <c r="Q272" s="154"/>
      <c r="R272" s="155" t="s">
        <v>263</v>
      </c>
      <c r="S272" s="156">
        <v>0</v>
      </c>
    </row>
    <row r="273" spans="1:19" ht="17.25" customHeight="1">
      <c r="A273" s="108">
        <v>52841</v>
      </c>
      <c r="B273" s="108">
        <f t="shared" si="0"/>
        <v>52840</v>
      </c>
      <c r="C273" s="109"/>
      <c r="D273" s="109"/>
      <c r="E273" s="109"/>
      <c r="F273" s="109"/>
      <c r="G273" s="109"/>
      <c r="H273" s="109"/>
      <c r="I273" s="109">
        <f t="shared" ref="I273:J273" si="287">SUM(C273,E273,G273)</f>
        <v>0</v>
      </c>
      <c r="J273" s="109">
        <f t="shared" si="287"/>
        <v>0</v>
      </c>
      <c r="K273" s="109">
        <f>SUMIFS(Ações!$J$66,Ações!$N$66,Patrimônio!B273,Ações!$E$66,"Provento")</f>
        <v>0</v>
      </c>
      <c r="L273" s="109">
        <f>SUMIFS(BDRs!$J$66,BDRs!$E$66,"Provento",BDRs!$N$66,Patrimônio!B273)</f>
        <v>0</v>
      </c>
      <c r="M273" s="109">
        <f>SUMIFS(FIIs!$J$66,FIIs!$E$66,"Provento",FIIs!$N$66,Patrimônio!B273)</f>
        <v>0</v>
      </c>
      <c r="N273" s="109">
        <f t="shared" si="2"/>
        <v>0</v>
      </c>
      <c r="O273" s="109"/>
      <c r="Q273" s="154"/>
      <c r="R273" s="155" t="s">
        <v>264</v>
      </c>
      <c r="S273" s="156">
        <v>0</v>
      </c>
    </row>
    <row r="274" spans="1:19" ht="17.25" customHeight="1">
      <c r="A274" s="108">
        <v>52871</v>
      </c>
      <c r="B274" s="108">
        <f t="shared" si="0"/>
        <v>52870</v>
      </c>
      <c r="C274" s="109"/>
      <c r="D274" s="109"/>
      <c r="E274" s="109"/>
      <c r="F274" s="109"/>
      <c r="G274" s="109"/>
      <c r="H274" s="109"/>
      <c r="I274" s="109">
        <f t="shared" ref="I274:J274" si="288">SUM(C274,E274,G274)</f>
        <v>0</v>
      </c>
      <c r="J274" s="109">
        <f t="shared" si="288"/>
        <v>0</v>
      </c>
      <c r="K274" s="109">
        <f>SUMIFS(Ações!$J$66,Ações!$N$66,Patrimônio!B274,Ações!$E$66,"Provento")</f>
        <v>0</v>
      </c>
      <c r="L274" s="109">
        <f>SUMIFS(BDRs!$J$66,BDRs!$E$66,"Provento",BDRs!$N$66,Patrimônio!B274)</f>
        <v>0</v>
      </c>
      <c r="M274" s="109">
        <f>SUMIFS(FIIs!$J$66,FIIs!$E$66,"Provento",FIIs!$N$66,Patrimônio!B274)</f>
        <v>0</v>
      </c>
      <c r="N274" s="109">
        <f t="shared" si="2"/>
        <v>0</v>
      </c>
      <c r="O274" s="109"/>
      <c r="Q274" s="154"/>
      <c r="R274" s="155" t="s">
        <v>265</v>
      </c>
      <c r="S274" s="156">
        <v>0</v>
      </c>
    </row>
    <row r="275" spans="1:19" ht="17.25" customHeight="1">
      <c r="A275" s="108">
        <v>52902</v>
      </c>
      <c r="B275" s="108">
        <f t="shared" si="0"/>
        <v>52901</v>
      </c>
      <c r="C275" s="109"/>
      <c r="D275" s="109"/>
      <c r="E275" s="109"/>
      <c r="F275" s="109"/>
      <c r="G275" s="109"/>
      <c r="H275" s="109"/>
      <c r="I275" s="109">
        <f t="shared" ref="I275:J275" si="289">SUM(C275,E275,G275)</f>
        <v>0</v>
      </c>
      <c r="J275" s="109">
        <f t="shared" si="289"/>
        <v>0</v>
      </c>
      <c r="K275" s="109">
        <f>SUMIFS(Ações!$J$66,Ações!$N$66,Patrimônio!B275,Ações!$E$66,"Provento")</f>
        <v>0</v>
      </c>
      <c r="L275" s="109">
        <f>SUMIFS(BDRs!$J$66,BDRs!$E$66,"Provento",BDRs!$N$66,Patrimônio!B275)</f>
        <v>0</v>
      </c>
      <c r="M275" s="109">
        <f>SUMIFS(FIIs!$J$66,FIIs!$E$66,"Provento",FIIs!$N$66,Patrimônio!B275)</f>
        <v>0</v>
      </c>
      <c r="N275" s="109">
        <f t="shared" si="2"/>
        <v>0</v>
      </c>
      <c r="O275" s="109"/>
      <c r="Q275" s="154"/>
      <c r="R275" s="155" t="s">
        <v>266</v>
      </c>
      <c r="S275" s="156">
        <v>0</v>
      </c>
    </row>
    <row r="276" spans="1:19" ht="17.25" customHeight="1">
      <c r="A276" s="108">
        <v>52932</v>
      </c>
      <c r="B276" s="108">
        <f t="shared" si="0"/>
        <v>52931</v>
      </c>
      <c r="C276" s="109"/>
      <c r="D276" s="109"/>
      <c r="E276" s="109"/>
      <c r="F276" s="109"/>
      <c r="G276" s="109"/>
      <c r="H276" s="109"/>
      <c r="I276" s="109">
        <f t="shared" ref="I276:J276" si="290">SUM(C276,E276,G276)</f>
        <v>0</v>
      </c>
      <c r="J276" s="109">
        <f t="shared" si="290"/>
        <v>0</v>
      </c>
      <c r="K276" s="109">
        <f>SUMIFS(Ações!$J$66,Ações!$N$66,Patrimônio!B276,Ações!$E$66,"Provento")</f>
        <v>0</v>
      </c>
      <c r="L276" s="109">
        <f>SUMIFS(BDRs!$J$66,BDRs!$E$66,"Provento",BDRs!$N$66,Patrimônio!B276)</f>
        <v>0</v>
      </c>
      <c r="M276" s="109">
        <f>SUMIFS(FIIs!$J$66,FIIs!$E$66,"Provento",FIIs!$N$66,Patrimônio!B276)</f>
        <v>0</v>
      </c>
      <c r="N276" s="109">
        <f t="shared" si="2"/>
        <v>0</v>
      </c>
      <c r="O276" s="109"/>
      <c r="Q276" s="154"/>
      <c r="R276" s="155" t="s">
        <v>267</v>
      </c>
      <c r="S276" s="156">
        <v>0</v>
      </c>
    </row>
    <row r="277" spans="1:19" ht="17.25" customHeight="1">
      <c r="A277" s="108">
        <v>52963</v>
      </c>
      <c r="B277" s="108">
        <f t="shared" si="0"/>
        <v>52962</v>
      </c>
      <c r="C277" s="109"/>
      <c r="D277" s="109"/>
      <c r="E277" s="109"/>
      <c r="F277" s="109"/>
      <c r="G277" s="109"/>
      <c r="H277" s="109"/>
      <c r="I277" s="109">
        <f t="shared" ref="I277:J277" si="291">SUM(C277,E277,G277)</f>
        <v>0</v>
      </c>
      <c r="J277" s="109">
        <f t="shared" si="291"/>
        <v>0</v>
      </c>
      <c r="K277" s="109">
        <f>SUMIFS(Ações!$J$66,Ações!$N$66,Patrimônio!B277,Ações!$E$66,"Provento")</f>
        <v>0</v>
      </c>
      <c r="L277" s="109">
        <f>SUMIFS(BDRs!$J$66,BDRs!$E$66,"Provento",BDRs!$N$66,Patrimônio!B277)</f>
        <v>0</v>
      </c>
      <c r="M277" s="109">
        <f>SUMIFS(FIIs!$J$66,FIIs!$E$66,"Provento",FIIs!$N$66,Patrimônio!B277)</f>
        <v>0</v>
      </c>
      <c r="N277" s="109">
        <f t="shared" si="2"/>
        <v>0</v>
      </c>
      <c r="O277" s="109"/>
      <c r="Q277" s="154"/>
      <c r="R277" s="155" t="s">
        <v>268</v>
      </c>
      <c r="S277" s="156">
        <v>0</v>
      </c>
    </row>
    <row r="278" spans="1:19" ht="17.25" customHeight="1">
      <c r="A278" s="108">
        <v>52994</v>
      </c>
      <c r="B278" s="108">
        <f t="shared" si="0"/>
        <v>52993</v>
      </c>
      <c r="C278" s="109"/>
      <c r="D278" s="109"/>
      <c r="E278" s="109"/>
      <c r="F278" s="109"/>
      <c r="G278" s="109"/>
      <c r="H278" s="109"/>
      <c r="I278" s="109">
        <f t="shared" ref="I278:J278" si="292">SUM(C278,E278,G278)</f>
        <v>0</v>
      </c>
      <c r="J278" s="109">
        <f t="shared" si="292"/>
        <v>0</v>
      </c>
      <c r="K278" s="109">
        <f>SUMIFS(Ações!$J$66,Ações!$N$66,Patrimônio!B278,Ações!$E$66,"Provento")</f>
        <v>0</v>
      </c>
      <c r="L278" s="109">
        <f>SUMIFS(BDRs!$J$66,BDRs!$E$66,"Provento",BDRs!$N$66,Patrimônio!B278)</f>
        <v>0</v>
      </c>
      <c r="M278" s="109">
        <f>SUMIFS(FIIs!$J$66,FIIs!$E$66,"Provento",FIIs!$N$66,Patrimônio!B278)</f>
        <v>0</v>
      </c>
      <c r="N278" s="109">
        <f t="shared" si="2"/>
        <v>0</v>
      </c>
      <c r="O278" s="109"/>
      <c r="Q278" s="154"/>
      <c r="R278" s="155" t="s">
        <v>269</v>
      </c>
      <c r="S278" s="156">
        <v>0</v>
      </c>
    </row>
    <row r="279" spans="1:19" ht="17.25" customHeight="1">
      <c r="A279" s="108">
        <v>53022</v>
      </c>
      <c r="B279" s="108">
        <f t="shared" si="0"/>
        <v>53021</v>
      </c>
      <c r="C279" s="109"/>
      <c r="D279" s="109"/>
      <c r="E279" s="109"/>
      <c r="F279" s="109"/>
      <c r="G279" s="109"/>
      <c r="H279" s="109"/>
      <c r="I279" s="109">
        <f t="shared" ref="I279:J279" si="293">SUM(C279,E279,G279)</f>
        <v>0</v>
      </c>
      <c r="J279" s="109">
        <f t="shared" si="293"/>
        <v>0</v>
      </c>
      <c r="K279" s="109">
        <f>SUMIFS(Ações!$J$66,Ações!$N$66,Patrimônio!B279,Ações!$E$66,"Provento")</f>
        <v>0</v>
      </c>
      <c r="L279" s="109">
        <f>SUMIFS(BDRs!$J$66,BDRs!$E$66,"Provento",BDRs!$N$66,Patrimônio!B279)</f>
        <v>0</v>
      </c>
      <c r="M279" s="109">
        <f>SUMIFS(FIIs!$J$66,FIIs!$E$66,"Provento",FIIs!$N$66,Patrimônio!B279)</f>
        <v>0</v>
      </c>
      <c r="N279" s="109">
        <f t="shared" si="2"/>
        <v>0</v>
      </c>
      <c r="O279" s="109"/>
      <c r="Q279" s="154"/>
      <c r="R279" s="155" t="s">
        <v>270</v>
      </c>
      <c r="S279" s="156">
        <v>0</v>
      </c>
    </row>
    <row r="280" spans="1:19" ht="17.25" customHeight="1">
      <c r="A280" s="108">
        <v>53053</v>
      </c>
      <c r="B280" s="108">
        <f t="shared" si="0"/>
        <v>53052</v>
      </c>
      <c r="C280" s="109"/>
      <c r="D280" s="109"/>
      <c r="E280" s="109"/>
      <c r="F280" s="109"/>
      <c r="G280" s="109"/>
      <c r="H280" s="109"/>
      <c r="I280" s="109">
        <f t="shared" ref="I280:J280" si="294">SUM(C280,E280,G280)</f>
        <v>0</v>
      </c>
      <c r="J280" s="109">
        <f t="shared" si="294"/>
        <v>0</v>
      </c>
      <c r="K280" s="109">
        <f>SUMIFS(Ações!$J$66,Ações!$N$66,Patrimônio!B280,Ações!$E$66,"Provento")</f>
        <v>0</v>
      </c>
      <c r="L280" s="109">
        <f>SUMIFS(BDRs!$J$66,BDRs!$E$66,"Provento",BDRs!$N$66,Patrimônio!B280)</f>
        <v>0</v>
      </c>
      <c r="M280" s="109">
        <f>SUMIFS(FIIs!$J$66,FIIs!$E$66,"Provento",FIIs!$N$66,Patrimônio!B280)</f>
        <v>0</v>
      </c>
      <c r="N280" s="109">
        <f t="shared" si="2"/>
        <v>0</v>
      </c>
      <c r="O280" s="109"/>
      <c r="Q280" s="154"/>
      <c r="R280" s="155" t="s">
        <v>271</v>
      </c>
      <c r="S280" s="156">
        <v>0</v>
      </c>
    </row>
    <row r="281" spans="1:19" ht="17.25" customHeight="1">
      <c r="A281" s="108">
        <v>53083</v>
      </c>
      <c r="B281" s="108">
        <f t="shared" si="0"/>
        <v>53082</v>
      </c>
      <c r="C281" s="109"/>
      <c r="D281" s="109"/>
      <c r="E281" s="109"/>
      <c r="F281" s="109"/>
      <c r="G281" s="109"/>
      <c r="H281" s="109"/>
      <c r="I281" s="109">
        <f t="shared" ref="I281:J281" si="295">SUM(C281,E281,G281)</f>
        <v>0</v>
      </c>
      <c r="J281" s="109">
        <f t="shared" si="295"/>
        <v>0</v>
      </c>
      <c r="K281" s="109">
        <f>SUMIFS(Ações!$J$66,Ações!$N$66,Patrimônio!B281,Ações!$E$66,"Provento")</f>
        <v>0</v>
      </c>
      <c r="L281" s="109">
        <f>SUMIFS(BDRs!$J$66,BDRs!$E$66,"Provento",BDRs!$N$66,Patrimônio!B281)</f>
        <v>0</v>
      </c>
      <c r="M281" s="109">
        <f>SUMIFS(FIIs!$J$66,FIIs!$E$66,"Provento",FIIs!$N$66,Patrimônio!B281)</f>
        <v>0</v>
      </c>
      <c r="N281" s="109">
        <f t="shared" si="2"/>
        <v>0</v>
      </c>
      <c r="O281" s="109"/>
      <c r="Q281" s="154"/>
      <c r="R281" s="155" t="s">
        <v>272</v>
      </c>
      <c r="S281" s="156">
        <v>0</v>
      </c>
    </row>
    <row r="282" spans="1:19" ht="17.25" customHeight="1">
      <c r="A282" s="108">
        <v>53114</v>
      </c>
      <c r="B282" s="108">
        <f t="shared" si="0"/>
        <v>53113</v>
      </c>
      <c r="C282" s="109"/>
      <c r="D282" s="109"/>
      <c r="E282" s="109"/>
      <c r="F282" s="109"/>
      <c r="G282" s="109"/>
      <c r="H282" s="109"/>
      <c r="I282" s="109">
        <f t="shared" ref="I282:J282" si="296">SUM(C282,E282,G282)</f>
        <v>0</v>
      </c>
      <c r="J282" s="109">
        <f t="shared" si="296"/>
        <v>0</v>
      </c>
      <c r="K282" s="109">
        <f>SUMIFS(Ações!$J$66,Ações!$N$66,Patrimônio!B282,Ações!$E$66,"Provento")</f>
        <v>0</v>
      </c>
      <c r="L282" s="109">
        <f>SUMIFS(BDRs!$J$66,BDRs!$E$66,"Provento",BDRs!$N$66,Patrimônio!B282)</f>
        <v>0</v>
      </c>
      <c r="M282" s="109">
        <f>SUMIFS(FIIs!$J$66,FIIs!$E$66,"Provento",FIIs!$N$66,Patrimônio!B282)</f>
        <v>0</v>
      </c>
      <c r="N282" s="109">
        <f t="shared" si="2"/>
        <v>0</v>
      </c>
      <c r="O282" s="109"/>
      <c r="Q282" s="151" t="s">
        <v>130</v>
      </c>
      <c r="R282" s="157"/>
      <c r="S282" s="153">
        <v>0</v>
      </c>
    </row>
    <row r="283" spans="1:19" ht="17.25" customHeight="1">
      <c r="A283" s="108">
        <v>53144</v>
      </c>
      <c r="B283" s="108">
        <f t="shared" si="0"/>
        <v>53143</v>
      </c>
      <c r="C283" s="109"/>
      <c r="D283" s="109"/>
      <c r="E283" s="109"/>
      <c r="F283" s="109"/>
      <c r="G283" s="109"/>
      <c r="H283" s="109"/>
      <c r="I283" s="109">
        <f t="shared" ref="I283:J283" si="297">SUM(C283,E283,G283)</f>
        <v>0</v>
      </c>
      <c r="J283" s="109">
        <f t="shared" si="297"/>
        <v>0</v>
      </c>
      <c r="K283" s="109">
        <f>SUMIFS(Ações!$J$66,Ações!$N$66,Patrimônio!B283,Ações!$E$66,"Provento")</f>
        <v>0</v>
      </c>
      <c r="L283" s="109">
        <f>SUMIFS(BDRs!$J$66,BDRs!$E$66,"Provento",BDRs!$N$66,Patrimônio!B283)</f>
        <v>0</v>
      </c>
      <c r="M283" s="109">
        <f>SUMIFS(FIIs!$J$66,FIIs!$E$66,"Provento",FIIs!$N$66,Patrimônio!B283)</f>
        <v>0</v>
      </c>
      <c r="N283" s="109">
        <f t="shared" si="2"/>
        <v>0</v>
      </c>
      <c r="O283" s="109"/>
      <c r="Q283" s="151" t="s">
        <v>131</v>
      </c>
      <c r="R283" s="152" t="s">
        <v>261</v>
      </c>
      <c r="S283" s="153">
        <v>0</v>
      </c>
    </row>
    <row r="284" spans="1:19" ht="17.25" customHeight="1">
      <c r="A284" s="108">
        <v>53175</v>
      </c>
      <c r="B284" s="108">
        <f t="shared" si="0"/>
        <v>53174</v>
      </c>
      <c r="C284" s="109"/>
      <c r="D284" s="109"/>
      <c r="E284" s="109"/>
      <c r="F284" s="109"/>
      <c r="G284" s="109"/>
      <c r="H284" s="109"/>
      <c r="I284" s="109">
        <f t="shared" ref="I284:J284" si="298">SUM(C284,E284,G284)</f>
        <v>0</v>
      </c>
      <c r="J284" s="109">
        <f t="shared" si="298"/>
        <v>0</v>
      </c>
      <c r="K284" s="109">
        <f>SUMIFS(Ações!$J$66,Ações!$N$66,Patrimônio!B284,Ações!$E$66,"Provento")</f>
        <v>0</v>
      </c>
      <c r="L284" s="109">
        <f>SUMIFS(BDRs!$J$66,BDRs!$E$66,"Provento",BDRs!$N$66,Patrimônio!B284)</f>
        <v>0</v>
      </c>
      <c r="M284" s="109">
        <f>SUMIFS(FIIs!$J$66,FIIs!$E$66,"Provento",FIIs!$N$66,Patrimônio!B284)</f>
        <v>0</v>
      </c>
      <c r="N284" s="109">
        <f t="shared" si="2"/>
        <v>0</v>
      </c>
      <c r="O284" s="109"/>
      <c r="Q284" s="154"/>
      <c r="R284" s="155" t="s">
        <v>262</v>
      </c>
      <c r="S284" s="156">
        <v>0</v>
      </c>
    </row>
    <row r="285" spans="1:19" ht="17.25" customHeight="1">
      <c r="A285" s="108">
        <v>53206</v>
      </c>
      <c r="B285" s="108">
        <f t="shared" si="0"/>
        <v>53205</v>
      </c>
      <c r="C285" s="109"/>
      <c r="D285" s="109"/>
      <c r="E285" s="109"/>
      <c r="F285" s="109"/>
      <c r="G285" s="109"/>
      <c r="H285" s="109"/>
      <c r="I285" s="109">
        <f t="shared" ref="I285:J285" si="299">SUM(C285,E285,G285)</f>
        <v>0</v>
      </c>
      <c r="J285" s="109">
        <f t="shared" si="299"/>
        <v>0</v>
      </c>
      <c r="K285" s="109">
        <f>SUMIFS(Ações!$J$66,Ações!$N$66,Patrimônio!B285,Ações!$E$66,"Provento")</f>
        <v>0</v>
      </c>
      <c r="L285" s="109">
        <f>SUMIFS(BDRs!$J$66,BDRs!$E$66,"Provento",BDRs!$N$66,Patrimônio!B285)</f>
        <v>0</v>
      </c>
      <c r="M285" s="109">
        <f>SUMIFS(FIIs!$J$66,FIIs!$E$66,"Provento",FIIs!$N$66,Patrimônio!B285)</f>
        <v>0</v>
      </c>
      <c r="N285" s="109">
        <f t="shared" si="2"/>
        <v>0</v>
      </c>
      <c r="O285" s="109"/>
      <c r="Q285" s="154"/>
      <c r="R285" s="155" t="s">
        <v>263</v>
      </c>
      <c r="S285" s="156">
        <v>0</v>
      </c>
    </row>
    <row r="286" spans="1:19" ht="17.25" customHeight="1">
      <c r="A286" s="108">
        <v>53236</v>
      </c>
      <c r="B286" s="108">
        <f t="shared" si="0"/>
        <v>53235</v>
      </c>
      <c r="C286" s="109"/>
      <c r="D286" s="109"/>
      <c r="E286" s="109"/>
      <c r="F286" s="109"/>
      <c r="G286" s="109"/>
      <c r="H286" s="109"/>
      <c r="I286" s="109">
        <f t="shared" ref="I286:J286" si="300">SUM(C286,E286,G286)</f>
        <v>0</v>
      </c>
      <c r="J286" s="109">
        <f t="shared" si="300"/>
        <v>0</v>
      </c>
      <c r="K286" s="109">
        <f>SUMIFS(Ações!$J$66,Ações!$N$66,Patrimônio!B286,Ações!$E$66,"Provento")</f>
        <v>0</v>
      </c>
      <c r="L286" s="109">
        <f>SUMIFS(BDRs!$J$66,BDRs!$E$66,"Provento",BDRs!$N$66,Patrimônio!B286)</f>
        <v>0</v>
      </c>
      <c r="M286" s="109">
        <f>SUMIFS(FIIs!$J$66,FIIs!$E$66,"Provento",FIIs!$N$66,Patrimônio!B286)</f>
        <v>0</v>
      </c>
      <c r="N286" s="109">
        <f t="shared" si="2"/>
        <v>0</v>
      </c>
      <c r="O286" s="109"/>
      <c r="Q286" s="154"/>
      <c r="R286" s="155" t="s">
        <v>264</v>
      </c>
      <c r="S286" s="156">
        <v>0</v>
      </c>
    </row>
    <row r="287" spans="1:19" ht="17.25" customHeight="1">
      <c r="A287" s="108">
        <v>53267</v>
      </c>
      <c r="B287" s="108">
        <f t="shared" si="0"/>
        <v>53266</v>
      </c>
      <c r="C287" s="109"/>
      <c r="D287" s="109"/>
      <c r="E287" s="109"/>
      <c r="F287" s="109"/>
      <c r="G287" s="109"/>
      <c r="H287" s="109"/>
      <c r="I287" s="109">
        <f t="shared" ref="I287:J287" si="301">SUM(C287,E287,G287)</f>
        <v>0</v>
      </c>
      <c r="J287" s="109">
        <f t="shared" si="301"/>
        <v>0</v>
      </c>
      <c r="K287" s="109">
        <f>SUMIFS(Ações!$J$66,Ações!$N$66,Patrimônio!B287,Ações!$E$66,"Provento")</f>
        <v>0</v>
      </c>
      <c r="L287" s="109">
        <f>SUMIFS(BDRs!$J$66,BDRs!$E$66,"Provento",BDRs!$N$66,Patrimônio!B287)</f>
        <v>0</v>
      </c>
      <c r="M287" s="109">
        <f>SUMIFS(FIIs!$J$66,FIIs!$E$66,"Provento",FIIs!$N$66,Patrimônio!B287)</f>
        <v>0</v>
      </c>
      <c r="N287" s="109">
        <f t="shared" si="2"/>
        <v>0</v>
      </c>
      <c r="O287" s="109"/>
      <c r="Q287" s="154"/>
      <c r="R287" s="155" t="s">
        <v>265</v>
      </c>
      <c r="S287" s="156">
        <v>0</v>
      </c>
    </row>
    <row r="288" spans="1:19" ht="17.25" customHeight="1">
      <c r="A288" s="108">
        <v>53297</v>
      </c>
      <c r="B288" s="108">
        <f t="shared" si="0"/>
        <v>53296</v>
      </c>
      <c r="C288" s="109"/>
      <c r="D288" s="109"/>
      <c r="E288" s="109"/>
      <c r="F288" s="109"/>
      <c r="G288" s="109"/>
      <c r="H288" s="109"/>
      <c r="I288" s="109">
        <f t="shared" ref="I288:J288" si="302">SUM(C288,E288,G288)</f>
        <v>0</v>
      </c>
      <c r="J288" s="109">
        <f t="shared" si="302"/>
        <v>0</v>
      </c>
      <c r="K288" s="109">
        <f>SUMIFS(Ações!$J$66,Ações!$N$66,Patrimônio!B288,Ações!$E$66,"Provento")</f>
        <v>0</v>
      </c>
      <c r="L288" s="109">
        <f>SUMIFS(BDRs!$J$66,BDRs!$E$66,"Provento",BDRs!$N$66,Patrimônio!B288)</f>
        <v>0</v>
      </c>
      <c r="M288" s="109">
        <f>SUMIFS(FIIs!$J$66,FIIs!$E$66,"Provento",FIIs!$N$66,Patrimônio!B288)</f>
        <v>0</v>
      </c>
      <c r="N288" s="109">
        <f t="shared" si="2"/>
        <v>0</v>
      </c>
      <c r="O288" s="109"/>
      <c r="Q288" s="154"/>
      <c r="R288" s="155" t="s">
        <v>266</v>
      </c>
      <c r="S288" s="156">
        <v>0</v>
      </c>
    </row>
    <row r="289" spans="1:19" ht="17.25" customHeight="1">
      <c r="A289" s="108">
        <v>53328</v>
      </c>
      <c r="B289" s="108">
        <f t="shared" si="0"/>
        <v>53327</v>
      </c>
      <c r="C289" s="109"/>
      <c r="D289" s="109"/>
      <c r="E289" s="109"/>
      <c r="F289" s="109"/>
      <c r="G289" s="109"/>
      <c r="H289" s="109"/>
      <c r="I289" s="109">
        <f t="shared" ref="I289:J289" si="303">SUM(C289,E289,G289)</f>
        <v>0</v>
      </c>
      <c r="J289" s="109">
        <f t="shared" si="303"/>
        <v>0</v>
      </c>
      <c r="K289" s="109">
        <f>SUMIFS(Ações!$J$66,Ações!$N$66,Patrimônio!B289,Ações!$E$66,"Provento")</f>
        <v>0</v>
      </c>
      <c r="L289" s="109">
        <f>SUMIFS(BDRs!$J$66,BDRs!$E$66,"Provento",BDRs!$N$66,Patrimônio!B289)</f>
        <v>0</v>
      </c>
      <c r="M289" s="109">
        <f>SUMIFS(FIIs!$J$66,FIIs!$E$66,"Provento",FIIs!$N$66,Patrimônio!B289)</f>
        <v>0</v>
      </c>
      <c r="N289" s="109">
        <f t="shared" si="2"/>
        <v>0</v>
      </c>
      <c r="O289" s="109"/>
      <c r="Q289" s="154"/>
      <c r="R289" s="155" t="s">
        <v>267</v>
      </c>
      <c r="S289" s="156">
        <v>0</v>
      </c>
    </row>
    <row r="290" spans="1:19" ht="17.25" customHeight="1">
      <c r="A290" s="108">
        <v>53359</v>
      </c>
      <c r="B290" s="108">
        <f t="shared" si="0"/>
        <v>53358</v>
      </c>
      <c r="C290" s="109"/>
      <c r="D290" s="109"/>
      <c r="E290" s="109"/>
      <c r="F290" s="109"/>
      <c r="G290" s="109"/>
      <c r="H290" s="109"/>
      <c r="I290" s="109">
        <f t="shared" ref="I290:J290" si="304">SUM(C290,E290,G290)</f>
        <v>0</v>
      </c>
      <c r="J290" s="109">
        <f t="shared" si="304"/>
        <v>0</v>
      </c>
      <c r="K290" s="109">
        <f>SUMIFS(Ações!$J$66,Ações!$N$66,Patrimônio!B290,Ações!$E$66,"Provento")</f>
        <v>0</v>
      </c>
      <c r="L290" s="109">
        <f>SUMIFS(BDRs!$J$66,BDRs!$E$66,"Provento",BDRs!$N$66,Patrimônio!B290)</f>
        <v>0</v>
      </c>
      <c r="M290" s="109">
        <f>SUMIFS(FIIs!$J$66,FIIs!$E$66,"Provento",FIIs!$N$66,Patrimônio!B290)</f>
        <v>0</v>
      </c>
      <c r="N290" s="109">
        <f t="shared" si="2"/>
        <v>0</v>
      </c>
      <c r="O290" s="109"/>
      <c r="Q290" s="154"/>
      <c r="R290" s="155" t="s">
        <v>268</v>
      </c>
      <c r="S290" s="156">
        <v>0</v>
      </c>
    </row>
    <row r="291" spans="1:19" ht="17.25" customHeight="1">
      <c r="A291" s="108">
        <v>53387</v>
      </c>
      <c r="B291" s="108">
        <f t="shared" si="0"/>
        <v>53386</v>
      </c>
      <c r="C291" s="109"/>
      <c r="D291" s="109"/>
      <c r="E291" s="109"/>
      <c r="F291" s="109"/>
      <c r="G291" s="109"/>
      <c r="H291" s="109"/>
      <c r="I291" s="109">
        <f t="shared" ref="I291:J291" si="305">SUM(C291,E291,G291)</f>
        <v>0</v>
      </c>
      <c r="J291" s="109">
        <f t="shared" si="305"/>
        <v>0</v>
      </c>
      <c r="K291" s="109">
        <f>SUMIFS(Ações!$J$66,Ações!$N$66,Patrimônio!B291,Ações!$E$66,"Provento")</f>
        <v>0</v>
      </c>
      <c r="L291" s="109">
        <f>SUMIFS(BDRs!$J$66,BDRs!$E$66,"Provento",BDRs!$N$66,Patrimônio!B291)</f>
        <v>0</v>
      </c>
      <c r="M291" s="109">
        <f>SUMIFS(FIIs!$J$66,FIIs!$E$66,"Provento",FIIs!$N$66,Patrimônio!B291)</f>
        <v>0</v>
      </c>
      <c r="N291" s="109">
        <f t="shared" si="2"/>
        <v>0</v>
      </c>
      <c r="O291" s="109"/>
      <c r="Q291" s="154"/>
      <c r="R291" s="155" t="s">
        <v>269</v>
      </c>
      <c r="S291" s="156">
        <v>0</v>
      </c>
    </row>
    <row r="292" spans="1:19" ht="17.25" customHeight="1">
      <c r="A292" s="108">
        <v>53418</v>
      </c>
      <c r="B292" s="108">
        <f t="shared" si="0"/>
        <v>53417</v>
      </c>
      <c r="C292" s="109"/>
      <c r="D292" s="109"/>
      <c r="E292" s="109"/>
      <c r="F292" s="109"/>
      <c r="G292" s="109"/>
      <c r="H292" s="109"/>
      <c r="I292" s="109">
        <f t="shared" ref="I292:J292" si="306">SUM(C292,E292,G292)</f>
        <v>0</v>
      </c>
      <c r="J292" s="109">
        <f t="shared" si="306"/>
        <v>0</v>
      </c>
      <c r="K292" s="109">
        <f>SUMIFS(Ações!$J$66,Ações!$N$66,Patrimônio!B292,Ações!$E$66,"Provento")</f>
        <v>0</v>
      </c>
      <c r="L292" s="109">
        <f>SUMIFS(BDRs!$J$66,BDRs!$E$66,"Provento",BDRs!$N$66,Patrimônio!B292)</f>
        <v>0</v>
      </c>
      <c r="M292" s="109">
        <f>SUMIFS(FIIs!$J$66,FIIs!$E$66,"Provento",FIIs!$N$66,Patrimônio!B292)</f>
        <v>0</v>
      </c>
      <c r="N292" s="109">
        <f t="shared" si="2"/>
        <v>0</v>
      </c>
      <c r="O292" s="109"/>
      <c r="Q292" s="154"/>
      <c r="R292" s="155" t="s">
        <v>270</v>
      </c>
      <c r="S292" s="156">
        <v>0</v>
      </c>
    </row>
    <row r="293" spans="1:19" ht="17.25" customHeight="1">
      <c r="A293" s="108">
        <v>53448</v>
      </c>
      <c r="B293" s="108">
        <f t="shared" si="0"/>
        <v>53447</v>
      </c>
      <c r="C293" s="109"/>
      <c r="D293" s="109"/>
      <c r="E293" s="109"/>
      <c r="F293" s="109"/>
      <c r="G293" s="109"/>
      <c r="H293" s="109"/>
      <c r="I293" s="109">
        <f t="shared" ref="I293:J293" si="307">SUM(C293,E293,G293)</f>
        <v>0</v>
      </c>
      <c r="J293" s="109">
        <f t="shared" si="307"/>
        <v>0</v>
      </c>
      <c r="K293" s="109">
        <f>SUMIFS(Ações!$J$66,Ações!$N$66,Patrimônio!B293,Ações!$E$66,"Provento")</f>
        <v>0</v>
      </c>
      <c r="L293" s="109">
        <f>SUMIFS(BDRs!$J$66,BDRs!$E$66,"Provento",BDRs!$N$66,Patrimônio!B293)</f>
        <v>0</v>
      </c>
      <c r="M293" s="109">
        <f>SUMIFS(FIIs!$J$66,FIIs!$E$66,"Provento",FIIs!$N$66,Patrimônio!B293)</f>
        <v>0</v>
      </c>
      <c r="N293" s="109">
        <f t="shared" si="2"/>
        <v>0</v>
      </c>
      <c r="O293" s="109"/>
      <c r="Q293" s="154"/>
      <c r="R293" s="155" t="s">
        <v>271</v>
      </c>
      <c r="S293" s="156">
        <v>0</v>
      </c>
    </row>
    <row r="294" spans="1:19" ht="17.25" customHeight="1">
      <c r="A294" s="108">
        <v>53479</v>
      </c>
      <c r="B294" s="108">
        <f t="shared" si="0"/>
        <v>53478</v>
      </c>
      <c r="C294" s="109"/>
      <c r="D294" s="109"/>
      <c r="E294" s="109"/>
      <c r="F294" s="109"/>
      <c r="G294" s="109"/>
      <c r="H294" s="109"/>
      <c r="I294" s="109">
        <f t="shared" ref="I294:J294" si="308">SUM(C294,E294,G294)</f>
        <v>0</v>
      </c>
      <c r="J294" s="109">
        <f t="shared" si="308"/>
        <v>0</v>
      </c>
      <c r="K294" s="109">
        <f>SUMIFS(Ações!$J$66,Ações!$N$66,Patrimônio!B294,Ações!$E$66,"Provento")</f>
        <v>0</v>
      </c>
      <c r="L294" s="109">
        <f>SUMIFS(BDRs!$J$66,BDRs!$E$66,"Provento",BDRs!$N$66,Patrimônio!B294)</f>
        <v>0</v>
      </c>
      <c r="M294" s="109">
        <f>SUMIFS(FIIs!$J$66,FIIs!$E$66,"Provento",FIIs!$N$66,Patrimônio!B294)</f>
        <v>0</v>
      </c>
      <c r="N294" s="109">
        <f t="shared" si="2"/>
        <v>0</v>
      </c>
      <c r="O294" s="109"/>
      <c r="Q294" s="154"/>
      <c r="R294" s="155" t="s">
        <v>272</v>
      </c>
      <c r="S294" s="156">
        <v>0</v>
      </c>
    </row>
    <row r="295" spans="1:19" ht="17.25" customHeight="1">
      <c r="A295" s="108">
        <v>53509</v>
      </c>
      <c r="B295" s="108">
        <f t="shared" si="0"/>
        <v>53508</v>
      </c>
      <c r="C295" s="109"/>
      <c r="D295" s="109"/>
      <c r="E295" s="109"/>
      <c r="F295" s="109"/>
      <c r="G295" s="109"/>
      <c r="H295" s="109"/>
      <c r="I295" s="109">
        <f t="shared" ref="I295:J295" si="309">SUM(C295,E295,G295)</f>
        <v>0</v>
      </c>
      <c r="J295" s="109">
        <f t="shared" si="309"/>
        <v>0</v>
      </c>
      <c r="K295" s="109">
        <f>SUMIFS(Ações!$J$66,Ações!$N$66,Patrimônio!B295,Ações!$E$66,"Provento")</f>
        <v>0</v>
      </c>
      <c r="L295" s="109">
        <f>SUMIFS(BDRs!$J$66,BDRs!$E$66,"Provento",BDRs!$N$66,Patrimônio!B295)</f>
        <v>0</v>
      </c>
      <c r="M295" s="109">
        <f>SUMIFS(FIIs!$J$66,FIIs!$E$66,"Provento",FIIs!$N$66,Patrimônio!B295)</f>
        <v>0</v>
      </c>
      <c r="N295" s="109">
        <f t="shared" si="2"/>
        <v>0</v>
      </c>
      <c r="O295" s="109"/>
      <c r="Q295" s="151" t="s">
        <v>132</v>
      </c>
      <c r="R295" s="157"/>
      <c r="S295" s="153">
        <v>0</v>
      </c>
    </row>
    <row r="296" spans="1:19" ht="17.25" customHeight="1">
      <c r="A296" s="108">
        <v>53540</v>
      </c>
      <c r="B296" s="108">
        <f t="shared" si="0"/>
        <v>53539</v>
      </c>
      <c r="C296" s="109"/>
      <c r="D296" s="109"/>
      <c r="E296" s="109"/>
      <c r="F296" s="109"/>
      <c r="G296" s="109"/>
      <c r="H296" s="109"/>
      <c r="I296" s="109">
        <f t="shared" ref="I296:J296" si="310">SUM(C296,E296,G296)</f>
        <v>0</v>
      </c>
      <c r="J296" s="109">
        <f t="shared" si="310"/>
        <v>0</v>
      </c>
      <c r="K296" s="109">
        <f>SUMIFS(Ações!$J$66,Ações!$N$66,Patrimônio!B296,Ações!$E$66,"Provento")</f>
        <v>0</v>
      </c>
      <c r="L296" s="109">
        <f>SUMIFS(BDRs!$J$66,BDRs!$E$66,"Provento",BDRs!$N$66,Patrimônio!B296)</f>
        <v>0</v>
      </c>
      <c r="M296" s="109">
        <f>SUMIFS(FIIs!$J$66,FIIs!$E$66,"Provento",FIIs!$N$66,Patrimônio!B296)</f>
        <v>0</v>
      </c>
      <c r="N296" s="109">
        <f t="shared" si="2"/>
        <v>0</v>
      </c>
      <c r="O296" s="109"/>
      <c r="Q296" s="151" t="s">
        <v>133</v>
      </c>
      <c r="R296" s="152" t="s">
        <v>261</v>
      </c>
      <c r="S296" s="153">
        <v>0</v>
      </c>
    </row>
    <row r="297" spans="1:19" ht="17.25" customHeight="1">
      <c r="A297" s="108">
        <v>53571</v>
      </c>
      <c r="B297" s="108">
        <f t="shared" si="0"/>
        <v>53570</v>
      </c>
      <c r="C297" s="109"/>
      <c r="D297" s="109"/>
      <c r="E297" s="109"/>
      <c r="F297" s="109"/>
      <c r="G297" s="109"/>
      <c r="H297" s="109"/>
      <c r="I297" s="109">
        <f t="shared" ref="I297:J297" si="311">SUM(C297,E297,G297)</f>
        <v>0</v>
      </c>
      <c r="J297" s="109">
        <f t="shared" si="311"/>
        <v>0</v>
      </c>
      <c r="K297" s="109">
        <f>SUMIFS(Ações!$J$66,Ações!$N$66,Patrimônio!B297,Ações!$E$66,"Provento")</f>
        <v>0</v>
      </c>
      <c r="L297" s="109">
        <f>SUMIFS(BDRs!$J$66,BDRs!$E$66,"Provento",BDRs!$N$66,Patrimônio!B297)</f>
        <v>0</v>
      </c>
      <c r="M297" s="109">
        <f>SUMIFS(FIIs!$J$66,FIIs!$E$66,"Provento",FIIs!$N$66,Patrimônio!B297)</f>
        <v>0</v>
      </c>
      <c r="N297" s="109">
        <f t="shared" si="2"/>
        <v>0</v>
      </c>
      <c r="O297" s="109"/>
      <c r="Q297" s="154"/>
      <c r="R297" s="155" t="s">
        <v>262</v>
      </c>
      <c r="S297" s="156">
        <v>0</v>
      </c>
    </row>
    <row r="298" spans="1:19" ht="17.25" customHeight="1">
      <c r="A298" s="108">
        <v>53601</v>
      </c>
      <c r="B298" s="108">
        <f t="shared" si="0"/>
        <v>53600</v>
      </c>
      <c r="C298" s="109"/>
      <c r="D298" s="109"/>
      <c r="E298" s="109"/>
      <c r="F298" s="109"/>
      <c r="G298" s="109"/>
      <c r="H298" s="109"/>
      <c r="I298" s="109">
        <f t="shared" ref="I298:J298" si="312">SUM(C298,E298,G298)</f>
        <v>0</v>
      </c>
      <c r="J298" s="109">
        <f t="shared" si="312"/>
        <v>0</v>
      </c>
      <c r="K298" s="109">
        <f>SUMIFS(Ações!$J$66,Ações!$N$66,Patrimônio!B298,Ações!$E$66,"Provento")</f>
        <v>0</v>
      </c>
      <c r="L298" s="109">
        <f>SUMIFS(BDRs!$J$66,BDRs!$E$66,"Provento",BDRs!$N$66,Patrimônio!B298)</f>
        <v>0</v>
      </c>
      <c r="M298" s="109">
        <f>SUMIFS(FIIs!$J$66,FIIs!$E$66,"Provento",FIIs!$N$66,Patrimônio!B298)</f>
        <v>0</v>
      </c>
      <c r="N298" s="109">
        <f t="shared" si="2"/>
        <v>0</v>
      </c>
      <c r="O298" s="109"/>
      <c r="Q298" s="154"/>
      <c r="R298" s="155" t="s">
        <v>263</v>
      </c>
      <c r="S298" s="156">
        <v>0</v>
      </c>
    </row>
    <row r="299" spans="1:19" ht="17.25" customHeight="1">
      <c r="A299" s="108">
        <v>53632</v>
      </c>
      <c r="B299" s="108">
        <f t="shared" si="0"/>
        <v>53631</v>
      </c>
      <c r="C299" s="109"/>
      <c r="D299" s="109"/>
      <c r="E299" s="109"/>
      <c r="F299" s="109"/>
      <c r="G299" s="109"/>
      <c r="H299" s="109"/>
      <c r="I299" s="109">
        <f t="shared" ref="I299:J299" si="313">SUM(C299,E299,G299)</f>
        <v>0</v>
      </c>
      <c r="J299" s="109">
        <f t="shared" si="313"/>
        <v>0</v>
      </c>
      <c r="K299" s="109">
        <f>SUMIFS(Ações!$J$66,Ações!$N$66,Patrimônio!B299,Ações!$E$66,"Provento")</f>
        <v>0</v>
      </c>
      <c r="L299" s="109">
        <f>SUMIFS(BDRs!$J$66,BDRs!$E$66,"Provento",BDRs!$N$66,Patrimônio!B299)</f>
        <v>0</v>
      </c>
      <c r="M299" s="109">
        <f>SUMIFS(FIIs!$J$66,FIIs!$E$66,"Provento",FIIs!$N$66,Patrimônio!B299)</f>
        <v>0</v>
      </c>
      <c r="N299" s="109">
        <f t="shared" si="2"/>
        <v>0</v>
      </c>
      <c r="O299" s="109"/>
      <c r="Q299" s="154"/>
      <c r="R299" s="155" t="s">
        <v>264</v>
      </c>
      <c r="S299" s="156">
        <v>0</v>
      </c>
    </row>
    <row r="300" spans="1:19" ht="17.25" customHeight="1">
      <c r="A300" s="108">
        <v>53662</v>
      </c>
      <c r="B300" s="108">
        <f t="shared" si="0"/>
        <v>53661</v>
      </c>
      <c r="C300" s="109"/>
      <c r="D300" s="109"/>
      <c r="E300" s="109"/>
      <c r="F300" s="109"/>
      <c r="G300" s="109"/>
      <c r="H300" s="109"/>
      <c r="I300" s="109">
        <f t="shared" ref="I300:J300" si="314">SUM(C300,E300,G300)</f>
        <v>0</v>
      </c>
      <c r="J300" s="109">
        <f t="shared" si="314"/>
        <v>0</v>
      </c>
      <c r="K300" s="109">
        <f>SUMIFS(Ações!$J$66,Ações!$N$66,Patrimônio!B300,Ações!$E$66,"Provento")</f>
        <v>0</v>
      </c>
      <c r="L300" s="109">
        <f>SUMIFS(BDRs!$J$66,BDRs!$E$66,"Provento",BDRs!$N$66,Patrimônio!B300)</f>
        <v>0</v>
      </c>
      <c r="M300" s="109">
        <f>SUMIFS(FIIs!$J$66,FIIs!$E$66,"Provento",FIIs!$N$66,Patrimônio!B300)</f>
        <v>0</v>
      </c>
      <c r="N300" s="109">
        <f t="shared" si="2"/>
        <v>0</v>
      </c>
      <c r="O300" s="109"/>
      <c r="Q300" s="154"/>
      <c r="R300" s="155" t="s">
        <v>265</v>
      </c>
      <c r="S300" s="156">
        <v>0</v>
      </c>
    </row>
    <row r="301" spans="1:19" ht="17.25" customHeight="1">
      <c r="A301" s="108">
        <v>53693</v>
      </c>
      <c r="B301" s="108">
        <f t="shared" si="0"/>
        <v>53692</v>
      </c>
      <c r="C301" s="109"/>
      <c r="D301" s="109"/>
      <c r="E301" s="109"/>
      <c r="F301" s="109"/>
      <c r="G301" s="109"/>
      <c r="H301" s="109"/>
      <c r="I301" s="109">
        <f t="shared" ref="I301:J301" si="315">SUM(C301,E301,G301)</f>
        <v>0</v>
      </c>
      <c r="J301" s="109">
        <f t="shared" si="315"/>
        <v>0</v>
      </c>
      <c r="K301" s="109">
        <f>SUMIFS(Ações!$J$66,Ações!$N$66,Patrimônio!B301,Ações!$E$66,"Provento")</f>
        <v>0</v>
      </c>
      <c r="L301" s="109">
        <f>SUMIFS(BDRs!$J$66,BDRs!$E$66,"Provento",BDRs!$N$66,Patrimônio!B301)</f>
        <v>0</v>
      </c>
      <c r="M301" s="109">
        <f>SUMIFS(FIIs!$J$66,FIIs!$E$66,"Provento",FIIs!$N$66,Patrimônio!B301)</f>
        <v>0</v>
      </c>
      <c r="N301" s="109">
        <f t="shared" si="2"/>
        <v>0</v>
      </c>
      <c r="O301" s="109"/>
      <c r="Q301" s="154"/>
      <c r="R301" s="155" t="s">
        <v>266</v>
      </c>
      <c r="S301" s="156">
        <v>0</v>
      </c>
    </row>
    <row r="302" spans="1:19" ht="17.25" customHeight="1">
      <c r="A302" s="108">
        <v>53724</v>
      </c>
      <c r="B302" s="108">
        <f t="shared" si="0"/>
        <v>53723</v>
      </c>
      <c r="C302" s="109"/>
      <c r="D302" s="109"/>
      <c r="E302" s="109"/>
      <c r="F302" s="109"/>
      <c r="G302" s="109"/>
      <c r="H302" s="109"/>
      <c r="I302" s="109">
        <f t="shared" ref="I302:J302" si="316">SUM(C302,E302,G302)</f>
        <v>0</v>
      </c>
      <c r="J302" s="109">
        <f t="shared" si="316"/>
        <v>0</v>
      </c>
      <c r="K302" s="109">
        <f>SUMIFS(Ações!$J$66,Ações!$N$66,Patrimônio!B302,Ações!$E$66,"Provento")</f>
        <v>0</v>
      </c>
      <c r="L302" s="109">
        <f>SUMIFS(BDRs!$J$66,BDRs!$E$66,"Provento",BDRs!$N$66,Patrimônio!B302)</f>
        <v>0</v>
      </c>
      <c r="M302" s="109">
        <f>SUMIFS(FIIs!$J$66,FIIs!$E$66,"Provento",FIIs!$N$66,Patrimônio!B302)</f>
        <v>0</v>
      </c>
      <c r="N302" s="109">
        <f t="shared" si="2"/>
        <v>0</v>
      </c>
      <c r="O302" s="109"/>
      <c r="Q302" s="154"/>
      <c r="R302" s="155" t="s">
        <v>267</v>
      </c>
      <c r="S302" s="156">
        <v>0</v>
      </c>
    </row>
    <row r="303" spans="1:19" ht="17.25" customHeight="1">
      <c r="A303" s="108">
        <v>53752</v>
      </c>
      <c r="B303" s="108">
        <f t="shared" si="0"/>
        <v>53751</v>
      </c>
      <c r="C303" s="109"/>
      <c r="D303" s="109"/>
      <c r="E303" s="109"/>
      <c r="F303" s="109"/>
      <c r="G303" s="109"/>
      <c r="H303" s="109"/>
      <c r="I303" s="109">
        <f t="shared" ref="I303:J303" si="317">SUM(C303,E303,G303)</f>
        <v>0</v>
      </c>
      <c r="J303" s="109">
        <f t="shared" si="317"/>
        <v>0</v>
      </c>
      <c r="K303" s="109">
        <f>SUMIFS(Ações!$J$66,Ações!$N$66,Patrimônio!B303,Ações!$E$66,"Provento")</f>
        <v>0</v>
      </c>
      <c r="L303" s="109">
        <f>SUMIFS(BDRs!$J$66,BDRs!$E$66,"Provento",BDRs!$N$66,Patrimônio!B303)</f>
        <v>0</v>
      </c>
      <c r="M303" s="109">
        <f>SUMIFS(FIIs!$J$66,FIIs!$E$66,"Provento",FIIs!$N$66,Patrimônio!B303)</f>
        <v>0</v>
      </c>
      <c r="N303" s="109">
        <f t="shared" si="2"/>
        <v>0</v>
      </c>
      <c r="O303" s="109"/>
      <c r="Q303" s="154"/>
      <c r="R303" s="155" t="s">
        <v>268</v>
      </c>
      <c r="S303" s="156">
        <v>0</v>
      </c>
    </row>
    <row r="304" spans="1:19" ht="17.25" customHeight="1">
      <c r="A304" s="108">
        <v>53783</v>
      </c>
      <c r="B304" s="108">
        <f t="shared" si="0"/>
        <v>53782</v>
      </c>
      <c r="C304" s="109"/>
      <c r="D304" s="109"/>
      <c r="E304" s="109"/>
      <c r="F304" s="109"/>
      <c r="G304" s="109"/>
      <c r="H304" s="109"/>
      <c r="I304" s="109">
        <f t="shared" ref="I304:J304" si="318">SUM(C304,E304,G304)</f>
        <v>0</v>
      </c>
      <c r="J304" s="109">
        <f t="shared" si="318"/>
        <v>0</v>
      </c>
      <c r="K304" s="109">
        <f>SUMIFS(Ações!$J$66,Ações!$N$66,Patrimônio!B304,Ações!$E$66,"Provento")</f>
        <v>0</v>
      </c>
      <c r="L304" s="109">
        <f>SUMIFS(BDRs!$J$66,BDRs!$E$66,"Provento",BDRs!$N$66,Patrimônio!B304)</f>
        <v>0</v>
      </c>
      <c r="M304" s="109">
        <f>SUMIFS(FIIs!$J$66,FIIs!$E$66,"Provento",FIIs!$N$66,Patrimônio!B304)</f>
        <v>0</v>
      </c>
      <c r="N304" s="109">
        <f t="shared" si="2"/>
        <v>0</v>
      </c>
      <c r="O304" s="109"/>
      <c r="Q304" s="154"/>
      <c r="R304" s="155" t="s">
        <v>269</v>
      </c>
      <c r="S304" s="156">
        <v>0</v>
      </c>
    </row>
    <row r="305" spans="1:19" ht="17.25" customHeight="1">
      <c r="A305" s="108">
        <v>53813</v>
      </c>
      <c r="B305" s="108">
        <f t="shared" si="0"/>
        <v>53812</v>
      </c>
      <c r="C305" s="109"/>
      <c r="D305" s="109"/>
      <c r="E305" s="109"/>
      <c r="F305" s="109"/>
      <c r="G305" s="109"/>
      <c r="H305" s="109"/>
      <c r="I305" s="109">
        <f t="shared" ref="I305:J305" si="319">SUM(C305,E305,G305)</f>
        <v>0</v>
      </c>
      <c r="J305" s="109">
        <f t="shared" si="319"/>
        <v>0</v>
      </c>
      <c r="K305" s="109">
        <f>SUMIFS(Ações!$J$66,Ações!$N$66,Patrimônio!B305,Ações!$E$66,"Provento")</f>
        <v>0</v>
      </c>
      <c r="L305" s="109">
        <f>SUMIFS(BDRs!$J$66,BDRs!$E$66,"Provento",BDRs!$N$66,Patrimônio!B305)</f>
        <v>0</v>
      </c>
      <c r="M305" s="109">
        <f>SUMIFS(FIIs!$J$66,FIIs!$E$66,"Provento",FIIs!$N$66,Patrimônio!B305)</f>
        <v>0</v>
      </c>
      <c r="N305" s="109">
        <f t="shared" si="2"/>
        <v>0</v>
      </c>
      <c r="O305" s="109"/>
      <c r="Q305" s="154"/>
      <c r="R305" s="155" t="s">
        <v>270</v>
      </c>
      <c r="S305" s="156">
        <v>0</v>
      </c>
    </row>
    <row r="306" spans="1:19" ht="17.25" customHeight="1">
      <c r="A306" s="108">
        <v>53844</v>
      </c>
      <c r="B306" s="108">
        <f t="shared" si="0"/>
        <v>53843</v>
      </c>
      <c r="C306" s="109"/>
      <c r="D306" s="109"/>
      <c r="E306" s="109"/>
      <c r="F306" s="109"/>
      <c r="G306" s="109"/>
      <c r="H306" s="109"/>
      <c r="I306" s="109">
        <f t="shared" ref="I306:J306" si="320">SUM(C306,E306,G306)</f>
        <v>0</v>
      </c>
      <c r="J306" s="109">
        <f t="shared" si="320"/>
        <v>0</v>
      </c>
      <c r="K306" s="109">
        <f>SUMIFS(Ações!$J$66,Ações!$N$66,Patrimônio!B306,Ações!$E$66,"Provento")</f>
        <v>0</v>
      </c>
      <c r="L306" s="109">
        <f>SUMIFS(BDRs!$J$66,BDRs!$E$66,"Provento",BDRs!$N$66,Patrimônio!B306)</f>
        <v>0</v>
      </c>
      <c r="M306" s="109">
        <f>SUMIFS(FIIs!$J$66,FIIs!$E$66,"Provento",FIIs!$N$66,Patrimônio!B306)</f>
        <v>0</v>
      </c>
      <c r="N306" s="109">
        <f t="shared" si="2"/>
        <v>0</v>
      </c>
      <c r="O306" s="109"/>
      <c r="Q306" s="154"/>
      <c r="R306" s="155" t="s">
        <v>271</v>
      </c>
      <c r="S306" s="156">
        <v>0</v>
      </c>
    </row>
    <row r="307" spans="1:19" ht="17.25" customHeight="1">
      <c r="A307" s="108">
        <v>53874</v>
      </c>
      <c r="B307" s="108">
        <f t="shared" si="0"/>
        <v>53873</v>
      </c>
      <c r="C307" s="109"/>
      <c r="D307" s="109"/>
      <c r="E307" s="109"/>
      <c r="F307" s="109"/>
      <c r="G307" s="109"/>
      <c r="H307" s="109"/>
      <c r="I307" s="109">
        <f t="shared" ref="I307:J307" si="321">SUM(C307,E307,G307)</f>
        <v>0</v>
      </c>
      <c r="J307" s="109">
        <f t="shared" si="321"/>
        <v>0</v>
      </c>
      <c r="K307" s="109">
        <f>SUMIFS(Ações!$J$66,Ações!$N$66,Patrimônio!B307,Ações!$E$66,"Provento")</f>
        <v>0</v>
      </c>
      <c r="L307" s="109">
        <f>SUMIFS(BDRs!$J$66,BDRs!$E$66,"Provento",BDRs!$N$66,Patrimônio!B307)</f>
        <v>0</v>
      </c>
      <c r="M307" s="109">
        <f>SUMIFS(FIIs!$J$66,FIIs!$E$66,"Provento",FIIs!$N$66,Patrimônio!B307)</f>
        <v>0</v>
      </c>
      <c r="N307" s="109">
        <f t="shared" si="2"/>
        <v>0</v>
      </c>
      <c r="O307" s="109"/>
      <c r="Q307" s="154"/>
      <c r="R307" s="155" t="s">
        <v>272</v>
      </c>
      <c r="S307" s="156">
        <v>0</v>
      </c>
    </row>
    <row r="308" spans="1:19" ht="17.25" customHeight="1">
      <c r="A308" s="108">
        <v>53905</v>
      </c>
      <c r="B308" s="108">
        <f t="shared" si="0"/>
        <v>53904</v>
      </c>
      <c r="C308" s="109"/>
      <c r="D308" s="109"/>
      <c r="E308" s="109"/>
      <c r="F308" s="109"/>
      <c r="G308" s="109"/>
      <c r="H308" s="109"/>
      <c r="I308" s="109">
        <f t="shared" ref="I308:J308" si="322">SUM(C308,E308,G308)</f>
        <v>0</v>
      </c>
      <c r="J308" s="109">
        <f t="shared" si="322"/>
        <v>0</v>
      </c>
      <c r="K308" s="109">
        <f>SUMIFS(Ações!$J$66,Ações!$N$66,Patrimônio!B308,Ações!$E$66,"Provento")</f>
        <v>0</v>
      </c>
      <c r="L308" s="109">
        <f>SUMIFS(BDRs!$J$66,BDRs!$E$66,"Provento",BDRs!$N$66,Patrimônio!B308)</f>
        <v>0</v>
      </c>
      <c r="M308" s="109">
        <f>SUMIFS(FIIs!$J$66,FIIs!$E$66,"Provento",FIIs!$N$66,Patrimônio!B308)</f>
        <v>0</v>
      </c>
      <c r="N308" s="109">
        <f t="shared" si="2"/>
        <v>0</v>
      </c>
      <c r="O308" s="109"/>
      <c r="Q308" s="151" t="s">
        <v>134</v>
      </c>
      <c r="R308" s="157"/>
      <c r="S308" s="153">
        <v>0</v>
      </c>
    </row>
    <row r="309" spans="1:19" ht="17.25" customHeight="1">
      <c r="A309" s="108">
        <v>53936</v>
      </c>
      <c r="B309" s="108">
        <f t="shared" si="0"/>
        <v>53935</v>
      </c>
      <c r="C309" s="109"/>
      <c r="D309" s="109"/>
      <c r="E309" s="109"/>
      <c r="F309" s="109"/>
      <c r="G309" s="109"/>
      <c r="H309" s="109"/>
      <c r="I309" s="109">
        <f t="shared" ref="I309:J309" si="323">SUM(C309,E309,G309)</f>
        <v>0</v>
      </c>
      <c r="J309" s="109">
        <f t="shared" si="323"/>
        <v>0</v>
      </c>
      <c r="K309" s="109">
        <f>SUMIFS(Ações!$J$66,Ações!$N$66,Patrimônio!B309,Ações!$E$66,"Provento")</f>
        <v>0</v>
      </c>
      <c r="L309" s="109">
        <f>SUMIFS(BDRs!$J$66,BDRs!$E$66,"Provento",BDRs!$N$66,Patrimônio!B309)</f>
        <v>0</v>
      </c>
      <c r="M309" s="109">
        <f>SUMIFS(FIIs!$J$66,FIIs!$E$66,"Provento",FIIs!$N$66,Patrimônio!B309)</f>
        <v>0</v>
      </c>
      <c r="N309" s="109">
        <f t="shared" si="2"/>
        <v>0</v>
      </c>
      <c r="O309" s="109"/>
      <c r="Q309" s="151" t="s">
        <v>135</v>
      </c>
      <c r="R309" s="152" t="s">
        <v>261</v>
      </c>
      <c r="S309" s="153">
        <v>0</v>
      </c>
    </row>
    <row r="310" spans="1:19" ht="17.25" customHeight="1">
      <c r="A310" s="108">
        <v>53966</v>
      </c>
      <c r="B310" s="108">
        <f t="shared" si="0"/>
        <v>53965</v>
      </c>
      <c r="C310" s="109"/>
      <c r="D310" s="109"/>
      <c r="E310" s="109"/>
      <c r="F310" s="109"/>
      <c r="G310" s="109"/>
      <c r="H310" s="109"/>
      <c r="I310" s="109">
        <f t="shared" ref="I310:J310" si="324">SUM(C310,E310,G310)</f>
        <v>0</v>
      </c>
      <c r="J310" s="109">
        <f t="shared" si="324"/>
        <v>0</v>
      </c>
      <c r="K310" s="109">
        <f>SUMIFS(Ações!$J$66,Ações!$N$66,Patrimônio!B310,Ações!$E$66,"Provento")</f>
        <v>0</v>
      </c>
      <c r="L310" s="109">
        <f>SUMIFS(BDRs!$J$66,BDRs!$E$66,"Provento",BDRs!$N$66,Patrimônio!B310)</f>
        <v>0</v>
      </c>
      <c r="M310" s="109">
        <f>SUMIFS(FIIs!$J$66,FIIs!$E$66,"Provento",FIIs!$N$66,Patrimônio!B310)</f>
        <v>0</v>
      </c>
      <c r="N310" s="109">
        <f t="shared" si="2"/>
        <v>0</v>
      </c>
      <c r="O310" s="109"/>
      <c r="Q310" s="154"/>
      <c r="R310" s="155" t="s">
        <v>262</v>
      </c>
      <c r="S310" s="156">
        <v>0</v>
      </c>
    </row>
    <row r="311" spans="1:19" ht="17.25" customHeight="1">
      <c r="A311" s="108">
        <v>53997</v>
      </c>
      <c r="B311" s="108">
        <f t="shared" si="0"/>
        <v>53996</v>
      </c>
      <c r="C311" s="109"/>
      <c r="D311" s="109"/>
      <c r="E311" s="109"/>
      <c r="F311" s="109"/>
      <c r="G311" s="109"/>
      <c r="H311" s="109"/>
      <c r="I311" s="109">
        <f t="shared" ref="I311:J311" si="325">SUM(C311,E311,G311)</f>
        <v>0</v>
      </c>
      <c r="J311" s="109">
        <f t="shared" si="325"/>
        <v>0</v>
      </c>
      <c r="K311" s="109">
        <f>SUMIFS(Ações!$J$66,Ações!$N$66,Patrimônio!B311,Ações!$E$66,"Provento")</f>
        <v>0</v>
      </c>
      <c r="L311" s="109">
        <f>SUMIFS(BDRs!$J$66,BDRs!$E$66,"Provento",BDRs!$N$66,Patrimônio!B311)</f>
        <v>0</v>
      </c>
      <c r="M311" s="109">
        <f>SUMIFS(FIIs!$J$66,FIIs!$E$66,"Provento",FIIs!$N$66,Patrimônio!B311)</f>
        <v>0</v>
      </c>
      <c r="N311" s="109">
        <f t="shared" si="2"/>
        <v>0</v>
      </c>
      <c r="O311" s="109"/>
      <c r="Q311" s="154"/>
      <c r="R311" s="155" t="s">
        <v>263</v>
      </c>
      <c r="S311" s="156">
        <v>0</v>
      </c>
    </row>
    <row r="312" spans="1:19" ht="17.25" customHeight="1">
      <c r="A312" s="108">
        <v>54027</v>
      </c>
      <c r="B312" s="108">
        <f t="shared" si="0"/>
        <v>54026</v>
      </c>
      <c r="C312" s="109"/>
      <c r="D312" s="109"/>
      <c r="E312" s="109"/>
      <c r="F312" s="109"/>
      <c r="G312" s="109"/>
      <c r="H312" s="109"/>
      <c r="I312" s="109">
        <f t="shared" ref="I312:J312" si="326">SUM(C312,E312,G312)</f>
        <v>0</v>
      </c>
      <c r="J312" s="109">
        <f t="shared" si="326"/>
        <v>0</v>
      </c>
      <c r="K312" s="109">
        <f>SUMIFS(Ações!$J$66,Ações!$N$66,Patrimônio!B312,Ações!$E$66,"Provento")</f>
        <v>0</v>
      </c>
      <c r="L312" s="109">
        <f>SUMIFS(BDRs!$J$66,BDRs!$E$66,"Provento",BDRs!$N$66,Patrimônio!B312)</f>
        <v>0</v>
      </c>
      <c r="M312" s="109">
        <f>SUMIFS(FIIs!$J$66,FIIs!$E$66,"Provento",FIIs!$N$66,Patrimônio!B312)</f>
        <v>0</v>
      </c>
      <c r="N312" s="109">
        <f t="shared" si="2"/>
        <v>0</v>
      </c>
      <c r="O312" s="109"/>
      <c r="Q312" s="154"/>
      <c r="R312" s="155" t="s">
        <v>264</v>
      </c>
      <c r="S312" s="156">
        <v>0</v>
      </c>
    </row>
    <row r="313" spans="1:19" ht="17.25" customHeight="1">
      <c r="A313" s="108">
        <v>54058</v>
      </c>
      <c r="B313" s="108">
        <f t="shared" si="0"/>
        <v>54057</v>
      </c>
      <c r="C313" s="109"/>
      <c r="D313" s="109"/>
      <c r="E313" s="109"/>
      <c r="F313" s="109"/>
      <c r="G313" s="109"/>
      <c r="H313" s="109"/>
      <c r="I313" s="109">
        <f t="shared" ref="I313:J313" si="327">SUM(C313,E313,G313)</f>
        <v>0</v>
      </c>
      <c r="J313" s="109">
        <f t="shared" si="327"/>
        <v>0</v>
      </c>
      <c r="K313" s="109">
        <f>SUMIFS(Ações!$J$66,Ações!$N$66,Patrimônio!B313,Ações!$E$66,"Provento")</f>
        <v>0</v>
      </c>
      <c r="L313" s="109">
        <f>SUMIFS(BDRs!$J$66,BDRs!$E$66,"Provento",BDRs!$N$66,Patrimônio!B313)</f>
        <v>0</v>
      </c>
      <c r="M313" s="109">
        <f>SUMIFS(FIIs!$J$66,FIIs!$E$66,"Provento",FIIs!$N$66,Patrimônio!B313)</f>
        <v>0</v>
      </c>
      <c r="N313" s="109">
        <f t="shared" si="2"/>
        <v>0</v>
      </c>
      <c r="O313" s="109"/>
      <c r="Q313" s="154"/>
      <c r="R313" s="155" t="s">
        <v>265</v>
      </c>
      <c r="S313" s="156">
        <v>0</v>
      </c>
    </row>
    <row r="314" spans="1:19" ht="17.25" customHeight="1">
      <c r="A314" s="108">
        <v>54089</v>
      </c>
      <c r="B314" s="108">
        <f t="shared" si="0"/>
        <v>54088</v>
      </c>
      <c r="C314" s="109"/>
      <c r="D314" s="109"/>
      <c r="E314" s="109"/>
      <c r="F314" s="109"/>
      <c r="G314" s="109"/>
      <c r="H314" s="109"/>
      <c r="I314" s="109">
        <f t="shared" ref="I314:J314" si="328">SUM(C314,E314,G314)</f>
        <v>0</v>
      </c>
      <c r="J314" s="109">
        <f t="shared" si="328"/>
        <v>0</v>
      </c>
      <c r="K314" s="109">
        <f>SUMIFS(Ações!$J$66,Ações!$N$66,Patrimônio!B314,Ações!$E$66,"Provento")</f>
        <v>0</v>
      </c>
      <c r="L314" s="109">
        <f>SUMIFS(BDRs!$J$66,BDRs!$E$66,"Provento",BDRs!$N$66,Patrimônio!B314)</f>
        <v>0</v>
      </c>
      <c r="M314" s="109">
        <f>SUMIFS(FIIs!$J$66,FIIs!$E$66,"Provento",FIIs!$N$66,Patrimônio!B314)</f>
        <v>0</v>
      </c>
      <c r="N314" s="109">
        <f t="shared" si="2"/>
        <v>0</v>
      </c>
      <c r="O314" s="109"/>
      <c r="Q314" s="154"/>
      <c r="R314" s="155" t="s">
        <v>266</v>
      </c>
      <c r="S314" s="156">
        <v>0</v>
      </c>
    </row>
    <row r="315" spans="1:19" ht="17.25" customHeight="1">
      <c r="A315" s="108">
        <v>54118</v>
      </c>
      <c r="B315" s="108">
        <f t="shared" si="0"/>
        <v>54117</v>
      </c>
      <c r="C315" s="109"/>
      <c r="D315" s="109"/>
      <c r="E315" s="109"/>
      <c r="F315" s="109"/>
      <c r="G315" s="109"/>
      <c r="H315" s="109"/>
      <c r="I315" s="109">
        <f t="shared" ref="I315:J315" si="329">SUM(C315,E315,G315)</f>
        <v>0</v>
      </c>
      <c r="J315" s="109">
        <f t="shared" si="329"/>
        <v>0</v>
      </c>
      <c r="K315" s="109">
        <f>SUMIFS(Ações!$J$66,Ações!$N$66,Patrimônio!B315,Ações!$E$66,"Provento")</f>
        <v>0</v>
      </c>
      <c r="L315" s="109">
        <f>SUMIFS(BDRs!$J$66,BDRs!$E$66,"Provento",BDRs!$N$66,Patrimônio!B315)</f>
        <v>0</v>
      </c>
      <c r="M315" s="109">
        <f>SUMIFS(FIIs!$J$66,FIIs!$E$66,"Provento",FIIs!$N$66,Patrimônio!B315)</f>
        <v>0</v>
      </c>
      <c r="N315" s="109">
        <f t="shared" si="2"/>
        <v>0</v>
      </c>
      <c r="O315" s="109"/>
      <c r="Q315" s="154"/>
      <c r="R315" s="155" t="s">
        <v>267</v>
      </c>
      <c r="S315" s="156">
        <v>0</v>
      </c>
    </row>
    <row r="316" spans="1:19" ht="17.25" customHeight="1">
      <c r="A316" s="108">
        <v>54149</v>
      </c>
      <c r="B316" s="108">
        <f t="shared" si="0"/>
        <v>54148</v>
      </c>
      <c r="C316" s="109"/>
      <c r="D316" s="109"/>
      <c r="E316" s="109"/>
      <c r="F316" s="109"/>
      <c r="G316" s="109"/>
      <c r="H316" s="109"/>
      <c r="I316" s="109">
        <f t="shared" ref="I316:J316" si="330">SUM(C316,E316,G316)</f>
        <v>0</v>
      </c>
      <c r="J316" s="109">
        <f t="shared" si="330"/>
        <v>0</v>
      </c>
      <c r="K316" s="109">
        <f>SUMIFS(Ações!$J$66,Ações!$N$66,Patrimônio!B316,Ações!$E$66,"Provento")</f>
        <v>0</v>
      </c>
      <c r="L316" s="109">
        <f>SUMIFS(BDRs!$J$66,BDRs!$E$66,"Provento",BDRs!$N$66,Patrimônio!B316)</f>
        <v>0</v>
      </c>
      <c r="M316" s="109">
        <f>SUMIFS(FIIs!$J$66,FIIs!$E$66,"Provento",FIIs!$N$66,Patrimônio!B316)</f>
        <v>0</v>
      </c>
      <c r="N316" s="109">
        <f t="shared" si="2"/>
        <v>0</v>
      </c>
      <c r="O316" s="109"/>
      <c r="Q316" s="154"/>
      <c r="R316" s="155" t="s">
        <v>268</v>
      </c>
      <c r="S316" s="156">
        <v>0</v>
      </c>
    </row>
    <row r="317" spans="1:19" ht="17.25" customHeight="1">
      <c r="A317" s="108">
        <v>54179</v>
      </c>
      <c r="B317" s="108">
        <f t="shared" si="0"/>
        <v>54178</v>
      </c>
      <c r="C317" s="109"/>
      <c r="D317" s="109"/>
      <c r="E317" s="109"/>
      <c r="F317" s="109"/>
      <c r="G317" s="109"/>
      <c r="H317" s="109"/>
      <c r="I317" s="109">
        <f t="shared" ref="I317:J317" si="331">SUM(C317,E317,G317)</f>
        <v>0</v>
      </c>
      <c r="J317" s="109">
        <f t="shared" si="331"/>
        <v>0</v>
      </c>
      <c r="K317" s="109">
        <f>SUMIFS(Ações!$J$66,Ações!$N$66,Patrimônio!B317,Ações!$E$66,"Provento")</f>
        <v>0</v>
      </c>
      <c r="L317" s="109">
        <f>SUMIFS(BDRs!$J$66,BDRs!$E$66,"Provento",BDRs!$N$66,Patrimônio!B317)</f>
        <v>0</v>
      </c>
      <c r="M317" s="109">
        <f>SUMIFS(FIIs!$J$66,FIIs!$E$66,"Provento",FIIs!$N$66,Patrimônio!B317)</f>
        <v>0</v>
      </c>
      <c r="N317" s="109">
        <f t="shared" si="2"/>
        <v>0</v>
      </c>
      <c r="O317" s="109"/>
      <c r="Q317" s="154"/>
      <c r="R317" s="155" t="s">
        <v>269</v>
      </c>
      <c r="S317" s="156">
        <v>0</v>
      </c>
    </row>
    <row r="318" spans="1:19" ht="17.25" customHeight="1">
      <c r="A318" s="108">
        <v>54210</v>
      </c>
      <c r="B318" s="108">
        <f t="shared" si="0"/>
        <v>54209</v>
      </c>
      <c r="C318" s="109"/>
      <c r="D318" s="109"/>
      <c r="E318" s="109"/>
      <c r="F318" s="109"/>
      <c r="G318" s="109"/>
      <c r="H318" s="109"/>
      <c r="I318" s="109">
        <f t="shared" ref="I318:J318" si="332">SUM(C318,E318,G318)</f>
        <v>0</v>
      </c>
      <c r="J318" s="109">
        <f t="shared" si="332"/>
        <v>0</v>
      </c>
      <c r="K318" s="109">
        <f>SUMIFS(Ações!$J$66,Ações!$N$66,Patrimônio!B318,Ações!$E$66,"Provento")</f>
        <v>0</v>
      </c>
      <c r="L318" s="109">
        <f>SUMIFS(BDRs!$J$66,BDRs!$E$66,"Provento",BDRs!$N$66,Patrimônio!B318)</f>
        <v>0</v>
      </c>
      <c r="M318" s="109">
        <f>SUMIFS(FIIs!$J$66,FIIs!$E$66,"Provento",FIIs!$N$66,Patrimônio!B318)</f>
        <v>0</v>
      </c>
      <c r="N318" s="109">
        <f t="shared" si="2"/>
        <v>0</v>
      </c>
      <c r="O318" s="109"/>
      <c r="Q318" s="154"/>
      <c r="R318" s="155" t="s">
        <v>270</v>
      </c>
      <c r="S318" s="156">
        <v>0</v>
      </c>
    </row>
    <row r="319" spans="1:19" ht="17.25" customHeight="1">
      <c r="A319" s="108">
        <v>54240</v>
      </c>
      <c r="B319" s="108">
        <f t="shared" si="0"/>
        <v>54239</v>
      </c>
      <c r="C319" s="109"/>
      <c r="D319" s="109"/>
      <c r="E319" s="109"/>
      <c r="F319" s="109"/>
      <c r="G319" s="109"/>
      <c r="H319" s="109"/>
      <c r="I319" s="109">
        <f t="shared" ref="I319:J319" si="333">SUM(C319,E319,G319)</f>
        <v>0</v>
      </c>
      <c r="J319" s="109">
        <f t="shared" si="333"/>
        <v>0</v>
      </c>
      <c r="K319" s="109">
        <f>SUMIFS(Ações!$J$66,Ações!$N$66,Patrimônio!B319,Ações!$E$66,"Provento")</f>
        <v>0</v>
      </c>
      <c r="L319" s="109">
        <f>SUMIFS(BDRs!$J$66,BDRs!$E$66,"Provento",BDRs!$N$66,Patrimônio!B319)</f>
        <v>0</v>
      </c>
      <c r="M319" s="109">
        <f>SUMIFS(FIIs!$J$66,FIIs!$E$66,"Provento",FIIs!$N$66,Patrimônio!B319)</f>
        <v>0</v>
      </c>
      <c r="N319" s="109">
        <f t="shared" si="2"/>
        <v>0</v>
      </c>
      <c r="O319" s="109"/>
      <c r="Q319" s="154"/>
      <c r="R319" s="155" t="s">
        <v>271</v>
      </c>
      <c r="S319" s="156">
        <v>0</v>
      </c>
    </row>
    <row r="320" spans="1:19" ht="17.25" customHeight="1">
      <c r="A320" s="108">
        <v>54271</v>
      </c>
      <c r="B320" s="108">
        <f t="shared" si="0"/>
        <v>54270</v>
      </c>
      <c r="C320" s="109"/>
      <c r="D320" s="109"/>
      <c r="E320" s="109"/>
      <c r="F320" s="109"/>
      <c r="G320" s="109"/>
      <c r="H320" s="109"/>
      <c r="I320" s="109">
        <f t="shared" ref="I320:J320" si="334">SUM(C320,E320,G320)</f>
        <v>0</v>
      </c>
      <c r="J320" s="109">
        <f t="shared" si="334"/>
        <v>0</v>
      </c>
      <c r="K320" s="109">
        <f>SUMIFS(Ações!$J$66,Ações!$N$66,Patrimônio!B320,Ações!$E$66,"Provento")</f>
        <v>0</v>
      </c>
      <c r="L320" s="109">
        <f>SUMIFS(BDRs!$J$66,BDRs!$E$66,"Provento",BDRs!$N$66,Patrimônio!B320)</f>
        <v>0</v>
      </c>
      <c r="M320" s="109">
        <f>SUMIFS(FIIs!$J$66,FIIs!$E$66,"Provento",FIIs!$N$66,Patrimônio!B320)</f>
        <v>0</v>
      </c>
      <c r="N320" s="109">
        <f t="shared" si="2"/>
        <v>0</v>
      </c>
      <c r="O320" s="109"/>
      <c r="Q320" s="154"/>
      <c r="R320" s="155" t="s">
        <v>272</v>
      </c>
      <c r="S320" s="156">
        <v>0</v>
      </c>
    </row>
    <row r="321" spans="1:19" ht="17.25" customHeight="1">
      <c r="A321" s="108">
        <v>54302</v>
      </c>
      <c r="B321" s="108">
        <f t="shared" si="0"/>
        <v>54301</v>
      </c>
      <c r="C321" s="109"/>
      <c r="D321" s="109"/>
      <c r="E321" s="109"/>
      <c r="F321" s="109"/>
      <c r="G321" s="109"/>
      <c r="H321" s="109"/>
      <c r="I321" s="109">
        <f t="shared" ref="I321:J321" si="335">SUM(C321,E321,G321)</f>
        <v>0</v>
      </c>
      <c r="J321" s="109">
        <f t="shared" si="335"/>
        <v>0</v>
      </c>
      <c r="K321" s="109">
        <f>SUMIFS(Ações!$J$66,Ações!$N$66,Patrimônio!B321,Ações!$E$66,"Provento")</f>
        <v>0</v>
      </c>
      <c r="L321" s="109">
        <f>SUMIFS(BDRs!$J$66,BDRs!$E$66,"Provento",BDRs!$N$66,Patrimônio!B321)</f>
        <v>0</v>
      </c>
      <c r="M321" s="109">
        <f>SUMIFS(FIIs!$J$66,FIIs!$E$66,"Provento",FIIs!$N$66,Patrimônio!B321)</f>
        <v>0</v>
      </c>
      <c r="N321" s="109">
        <f t="shared" si="2"/>
        <v>0</v>
      </c>
      <c r="O321" s="109"/>
      <c r="Q321" s="151" t="s">
        <v>136</v>
      </c>
      <c r="R321" s="157"/>
      <c r="S321" s="153">
        <v>0</v>
      </c>
    </row>
    <row r="322" spans="1:19" ht="17.25" customHeight="1">
      <c r="A322" s="108">
        <v>54332</v>
      </c>
      <c r="B322" s="108">
        <f t="shared" si="0"/>
        <v>54331</v>
      </c>
      <c r="C322" s="109"/>
      <c r="D322" s="109"/>
      <c r="E322" s="109"/>
      <c r="F322" s="109"/>
      <c r="G322" s="109"/>
      <c r="H322" s="109"/>
      <c r="I322" s="109">
        <f t="shared" ref="I322:J322" si="336">SUM(C322,E322,G322)</f>
        <v>0</v>
      </c>
      <c r="J322" s="109">
        <f t="shared" si="336"/>
        <v>0</v>
      </c>
      <c r="K322" s="109">
        <f>SUMIFS(Ações!$J$66,Ações!$N$66,Patrimônio!B322,Ações!$E$66,"Provento")</f>
        <v>0</v>
      </c>
      <c r="L322" s="109">
        <f>SUMIFS(BDRs!$J$66,BDRs!$E$66,"Provento",BDRs!$N$66,Patrimônio!B322)</f>
        <v>0</v>
      </c>
      <c r="M322" s="109">
        <f>SUMIFS(FIIs!$J$66,FIIs!$E$66,"Provento",FIIs!$N$66,Patrimônio!B322)</f>
        <v>0</v>
      </c>
      <c r="N322" s="109">
        <f t="shared" si="2"/>
        <v>0</v>
      </c>
      <c r="O322" s="109"/>
      <c r="Q322" s="151" t="s">
        <v>137</v>
      </c>
      <c r="R322" s="152" t="s">
        <v>261</v>
      </c>
      <c r="S322" s="153">
        <v>0</v>
      </c>
    </row>
    <row r="323" spans="1:19" ht="17.25" customHeight="1">
      <c r="A323" s="108">
        <v>54363</v>
      </c>
      <c r="B323" s="108">
        <f t="shared" si="0"/>
        <v>54362</v>
      </c>
      <c r="C323" s="109"/>
      <c r="D323" s="109"/>
      <c r="E323" s="109"/>
      <c r="F323" s="109"/>
      <c r="G323" s="109"/>
      <c r="H323" s="109"/>
      <c r="I323" s="109">
        <f t="shared" ref="I323:J323" si="337">SUM(C323,E323,G323)</f>
        <v>0</v>
      </c>
      <c r="J323" s="109">
        <f t="shared" si="337"/>
        <v>0</v>
      </c>
      <c r="K323" s="109">
        <f>SUMIFS(Ações!$J$66,Ações!$N$66,Patrimônio!B323,Ações!$E$66,"Provento")</f>
        <v>0</v>
      </c>
      <c r="L323" s="109">
        <f>SUMIFS(BDRs!$J$66,BDRs!$E$66,"Provento",BDRs!$N$66,Patrimônio!B323)</f>
        <v>0</v>
      </c>
      <c r="M323" s="109">
        <f>SUMIFS(FIIs!$J$66,FIIs!$E$66,"Provento",FIIs!$N$66,Patrimônio!B323)</f>
        <v>0</v>
      </c>
      <c r="N323" s="109">
        <f t="shared" si="2"/>
        <v>0</v>
      </c>
      <c r="O323" s="109"/>
      <c r="Q323" s="154"/>
      <c r="R323" s="155" t="s">
        <v>262</v>
      </c>
      <c r="S323" s="156">
        <v>0</v>
      </c>
    </row>
    <row r="324" spans="1:19" ht="17.25" customHeight="1">
      <c r="A324" s="108">
        <v>54393</v>
      </c>
      <c r="B324" s="108">
        <f t="shared" si="0"/>
        <v>54392</v>
      </c>
      <c r="C324" s="109"/>
      <c r="D324" s="109"/>
      <c r="E324" s="109"/>
      <c r="F324" s="109"/>
      <c r="G324" s="109"/>
      <c r="H324" s="109"/>
      <c r="I324" s="109">
        <f t="shared" ref="I324:J324" si="338">SUM(C324,E324,G324)</f>
        <v>0</v>
      </c>
      <c r="J324" s="109">
        <f t="shared" si="338"/>
        <v>0</v>
      </c>
      <c r="K324" s="109">
        <f>SUMIFS(Ações!$J$66,Ações!$N$66,Patrimônio!B324,Ações!$E$66,"Provento")</f>
        <v>0</v>
      </c>
      <c r="L324" s="109">
        <f>SUMIFS(BDRs!$J$66,BDRs!$E$66,"Provento",BDRs!$N$66,Patrimônio!B324)</f>
        <v>0</v>
      </c>
      <c r="M324" s="109">
        <f>SUMIFS(FIIs!$J$66,FIIs!$E$66,"Provento",FIIs!$N$66,Patrimônio!B324)</f>
        <v>0</v>
      </c>
      <c r="N324" s="109">
        <f t="shared" si="2"/>
        <v>0</v>
      </c>
      <c r="O324" s="109"/>
      <c r="Q324" s="154"/>
      <c r="R324" s="155" t="s">
        <v>263</v>
      </c>
      <c r="S324" s="156">
        <v>0</v>
      </c>
    </row>
    <row r="325" spans="1:19" ht="17.25" customHeight="1">
      <c r="A325" s="108">
        <v>54424</v>
      </c>
      <c r="B325" s="108">
        <f t="shared" si="0"/>
        <v>54423</v>
      </c>
      <c r="C325" s="109"/>
      <c r="D325" s="109"/>
      <c r="E325" s="109"/>
      <c r="F325" s="109"/>
      <c r="G325" s="109"/>
      <c r="H325" s="109"/>
      <c r="I325" s="109">
        <f t="shared" ref="I325:J325" si="339">SUM(C325,E325,G325)</f>
        <v>0</v>
      </c>
      <c r="J325" s="109">
        <f t="shared" si="339"/>
        <v>0</v>
      </c>
      <c r="K325" s="109">
        <f>SUMIFS(Ações!$J$66,Ações!$N$66,Patrimônio!B325,Ações!$E$66,"Provento")</f>
        <v>0</v>
      </c>
      <c r="L325" s="109">
        <f>SUMIFS(BDRs!$J$66,BDRs!$E$66,"Provento",BDRs!$N$66,Patrimônio!B325)</f>
        <v>0</v>
      </c>
      <c r="M325" s="109">
        <f>SUMIFS(FIIs!$J$66,FIIs!$E$66,"Provento",FIIs!$N$66,Patrimônio!B325)</f>
        <v>0</v>
      </c>
      <c r="N325" s="109">
        <f t="shared" si="2"/>
        <v>0</v>
      </c>
      <c r="O325" s="109"/>
      <c r="Q325" s="154"/>
      <c r="R325" s="155" t="s">
        <v>264</v>
      </c>
      <c r="S325" s="156">
        <v>0</v>
      </c>
    </row>
    <row r="326" spans="1:19" ht="17.25" customHeight="1">
      <c r="A326" s="108">
        <v>54455</v>
      </c>
      <c r="B326" s="108">
        <f t="shared" si="0"/>
        <v>54454</v>
      </c>
      <c r="C326" s="109"/>
      <c r="D326" s="109"/>
      <c r="E326" s="109"/>
      <c r="F326" s="109"/>
      <c r="G326" s="109"/>
      <c r="H326" s="109"/>
      <c r="I326" s="109">
        <f t="shared" ref="I326:J326" si="340">SUM(C326,E326,G326)</f>
        <v>0</v>
      </c>
      <c r="J326" s="109">
        <f t="shared" si="340"/>
        <v>0</v>
      </c>
      <c r="K326" s="109">
        <f>SUMIFS(Ações!$J$66,Ações!$N$66,Patrimônio!B326,Ações!$E$66,"Provento")</f>
        <v>0</v>
      </c>
      <c r="L326" s="109">
        <f>SUMIFS(BDRs!$J$66,BDRs!$E$66,"Provento",BDRs!$N$66,Patrimônio!B326)</f>
        <v>0</v>
      </c>
      <c r="M326" s="109">
        <f>SUMIFS(FIIs!$J$66,FIIs!$E$66,"Provento",FIIs!$N$66,Patrimônio!B326)</f>
        <v>0</v>
      </c>
      <c r="N326" s="109">
        <f t="shared" si="2"/>
        <v>0</v>
      </c>
      <c r="O326" s="109"/>
      <c r="Q326" s="154"/>
      <c r="R326" s="155" t="s">
        <v>265</v>
      </c>
      <c r="S326" s="156">
        <v>0</v>
      </c>
    </row>
    <row r="327" spans="1:19" ht="17.25" customHeight="1">
      <c r="A327" s="108">
        <v>54483</v>
      </c>
      <c r="B327" s="108">
        <f t="shared" si="0"/>
        <v>54482</v>
      </c>
      <c r="C327" s="109"/>
      <c r="D327" s="109"/>
      <c r="E327" s="109"/>
      <c r="F327" s="109"/>
      <c r="G327" s="109"/>
      <c r="H327" s="109"/>
      <c r="I327" s="109">
        <f t="shared" ref="I327:J327" si="341">SUM(C327,E327,G327)</f>
        <v>0</v>
      </c>
      <c r="J327" s="109">
        <f t="shared" si="341"/>
        <v>0</v>
      </c>
      <c r="K327" s="109">
        <f>SUMIFS(Ações!$J$66,Ações!$N$66,Patrimônio!B327,Ações!$E$66,"Provento")</f>
        <v>0</v>
      </c>
      <c r="L327" s="109">
        <f>SUMIFS(BDRs!$J$66,BDRs!$E$66,"Provento",BDRs!$N$66,Patrimônio!B327)</f>
        <v>0</v>
      </c>
      <c r="M327" s="109">
        <f>SUMIFS(FIIs!$J$66,FIIs!$E$66,"Provento",FIIs!$N$66,Patrimônio!B327)</f>
        <v>0</v>
      </c>
      <c r="N327" s="109">
        <f t="shared" si="2"/>
        <v>0</v>
      </c>
      <c r="O327" s="109"/>
      <c r="Q327" s="154"/>
      <c r="R327" s="155" t="s">
        <v>266</v>
      </c>
      <c r="S327" s="156">
        <v>0</v>
      </c>
    </row>
    <row r="328" spans="1:19" ht="17.25" customHeight="1">
      <c r="A328" s="108">
        <v>54514</v>
      </c>
      <c r="B328" s="108">
        <f t="shared" si="0"/>
        <v>54513</v>
      </c>
      <c r="C328" s="109"/>
      <c r="D328" s="109"/>
      <c r="E328" s="109"/>
      <c r="F328" s="109"/>
      <c r="G328" s="109"/>
      <c r="H328" s="109"/>
      <c r="I328" s="109">
        <f t="shared" ref="I328:J328" si="342">SUM(C328,E328,G328)</f>
        <v>0</v>
      </c>
      <c r="J328" s="109">
        <f t="shared" si="342"/>
        <v>0</v>
      </c>
      <c r="K328" s="109">
        <f>SUMIFS(Ações!$J$66,Ações!$N$66,Patrimônio!B328,Ações!$E$66,"Provento")</f>
        <v>0</v>
      </c>
      <c r="L328" s="109">
        <f>SUMIFS(BDRs!$J$66,BDRs!$E$66,"Provento",BDRs!$N$66,Patrimônio!B328)</f>
        <v>0</v>
      </c>
      <c r="M328" s="109">
        <f>SUMIFS(FIIs!$J$66,FIIs!$E$66,"Provento",FIIs!$N$66,Patrimônio!B328)</f>
        <v>0</v>
      </c>
      <c r="N328" s="109">
        <f t="shared" si="2"/>
        <v>0</v>
      </c>
      <c r="O328" s="109"/>
      <c r="Q328" s="154"/>
      <c r="R328" s="155" t="s">
        <v>267</v>
      </c>
      <c r="S328" s="156">
        <v>0</v>
      </c>
    </row>
    <row r="329" spans="1:19" ht="17.25" customHeight="1">
      <c r="A329" s="108">
        <v>54544</v>
      </c>
      <c r="B329" s="108">
        <f t="shared" si="0"/>
        <v>54543</v>
      </c>
      <c r="C329" s="109"/>
      <c r="D329" s="109"/>
      <c r="E329" s="109"/>
      <c r="F329" s="109"/>
      <c r="G329" s="109"/>
      <c r="H329" s="109"/>
      <c r="I329" s="109">
        <f t="shared" ref="I329:J329" si="343">SUM(C329,E329,G329)</f>
        <v>0</v>
      </c>
      <c r="J329" s="109">
        <f t="shared" si="343"/>
        <v>0</v>
      </c>
      <c r="K329" s="109">
        <f>SUMIFS(Ações!$J$66,Ações!$N$66,Patrimônio!B329,Ações!$E$66,"Provento")</f>
        <v>0</v>
      </c>
      <c r="L329" s="109">
        <f>SUMIFS(BDRs!$J$66,BDRs!$E$66,"Provento",BDRs!$N$66,Patrimônio!B329)</f>
        <v>0</v>
      </c>
      <c r="M329" s="109">
        <f>SUMIFS(FIIs!$J$66,FIIs!$E$66,"Provento",FIIs!$N$66,Patrimônio!B329)</f>
        <v>0</v>
      </c>
      <c r="N329" s="109">
        <f t="shared" si="2"/>
        <v>0</v>
      </c>
      <c r="O329" s="109"/>
      <c r="Q329" s="154"/>
      <c r="R329" s="155" t="s">
        <v>268</v>
      </c>
      <c r="S329" s="156">
        <v>0</v>
      </c>
    </row>
    <row r="330" spans="1:19" ht="17.25" customHeight="1">
      <c r="A330" s="108">
        <v>54575</v>
      </c>
      <c r="B330" s="108">
        <f t="shared" si="0"/>
        <v>54574</v>
      </c>
      <c r="C330" s="109"/>
      <c r="D330" s="109"/>
      <c r="E330" s="109"/>
      <c r="F330" s="109"/>
      <c r="G330" s="109"/>
      <c r="H330" s="109"/>
      <c r="I330" s="109">
        <f t="shared" ref="I330:J330" si="344">SUM(C330,E330,G330)</f>
        <v>0</v>
      </c>
      <c r="J330" s="109">
        <f t="shared" si="344"/>
        <v>0</v>
      </c>
      <c r="K330" s="109">
        <f>SUMIFS(Ações!$J$66,Ações!$N$66,Patrimônio!B330,Ações!$E$66,"Provento")</f>
        <v>0</v>
      </c>
      <c r="L330" s="109">
        <f>SUMIFS(BDRs!$J$66,BDRs!$E$66,"Provento",BDRs!$N$66,Patrimônio!B330)</f>
        <v>0</v>
      </c>
      <c r="M330" s="109">
        <f>SUMIFS(FIIs!$J$66,FIIs!$E$66,"Provento",FIIs!$N$66,Patrimônio!B330)</f>
        <v>0</v>
      </c>
      <c r="N330" s="109">
        <f t="shared" si="2"/>
        <v>0</v>
      </c>
      <c r="O330" s="109"/>
      <c r="Q330" s="154"/>
      <c r="R330" s="155" t="s">
        <v>269</v>
      </c>
      <c r="S330" s="156">
        <v>0</v>
      </c>
    </row>
    <row r="331" spans="1:19" ht="17.25" customHeight="1">
      <c r="A331" s="108">
        <v>54605</v>
      </c>
      <c r="B331" s="108">
        <f t="shared" si="0"/>
        <v>54604</v>
      </c>
      <c r="C331" s="109"/>
      <c r="D331" s="109"/>
      <c r="E331" s="109"/>
      <c r="F331" s="109"/>
      <c r="G331" s="109"/>
      <c r="H331" s="109"/>
      <c r="I331" s="109">
        <f t="shared" ref="I331:J331" si="345">SUM(C331,E331,G331)</f>
        <v>0</v>
      </c>
      <c r="J331" s="109">
        <f t="shared" si="345"/>
        <v>0</v>
      </c>
      <c r="K331" s="109">
        <f>SUMIFS(Ações!$J$66,Ações!$N$66,Patrimônio!B331,Ações!$E$66,"Provento")</f>
        <v>0</v>
      </c>
      <c r="L331" s="109">
        <f>SUMIFS(BDRs!$J$66,BDRs!$E$66,"Provento",BDRs!$N$66,Patrimônio!B331)</f>
        <v>0</v>
      </c>
      <c r="M331" s="109">
        <f>SUMIFS(FIIs!$J$66,FIIs!$E$66,"Provento",FIIs!$N$66,Patrimônio!B331)</f>
        <v>0</v>
      </c>
      <c r="N331" s="109">
        <f t="shared" si="2"/>
        <v>0</v>
      </c>
      <c r="O331" s="109"/>
      <c r="Q331" s="154"/>
      <c r="R331" s="155" t="s">
        <v>270</v>
      </c>
      <c r="S331" s="156">
        <v>0</v>
      </c>
    </row>
    <row r="332" spans="1:19" ht="17.25" customHeight="1">
      <c r="A332" s="108">
        <v>54636</v>
      </c>
      <c r="B332" s="108">
        <f t="shared" si="0"/>
        <v>54635</v>
      </c>
      <c r="C332" s="109"/>
      <c r="D332" s="109"/>
      <c r="E332" s="109"/>
      <c r="F332" s="109"/>
      <c r="G332" s="109"/>
      <c r="H332" s="109"/>
      <c r="I332" s="109">
        <f t="shared" ref="I332:J332" si="346">SUM(C332,E332,G332)</f>
        <v>0</v>
      </c>
      <c r="J332" s="109">
        <f t="shared" si="346"/>
        <v>0</v>
      </c>
      <c r="K332" s="109">
        <f>SUMIFS(Ações!$J$66,Ações!$N$66,Patrimônio!B332,Ações!$E$66,"Provento")</f>
        <v>0</v>
      </c>
      <c r="L332" s="109">
        <f>SUMIFS(BDRs!$J$66,BDRs!$E$66,"Provento",BDRs!$N$66,Patrimônio!B332)</f>
        <v>0</v>
      </c>
      <c r="M332" s="109">
        <f>SUMIFS(FIIs!$J$66,FIIs!$E$66,"Provento",FIIs!$N$66,Patrimônio!B332)</f>
        <v>0</v>
      </c>
      <c r="N332" s="109">
        <f t="shared" si="2"/>
        <v>0</v>
      </c>
      <c r="O332" s="109"/>
      <c r="Q332" s="154"/>
      <c r="R332" s="155" t="s">
        <v>271</v>
      </c>
      <c r="S332" s="156">
        <v>0</v>
      </c>
    </row>
    <row r="333" spans="1:19" ht="17.25" customHeight="1">
      <c r="A333" s="108">
        <v>54667</v>
      </c>
      <c r="B333" s="108">
        <f t="shared" si="0"/>
        <v>54666</v>
      </c>
      <c r="C333" s="109"/>
      <c r="D333" s="109"/>
      <c r="E333" s="109"/>
      <c r="F333" s="109"/>
      <c r="G333" s="109"/>
      <c r="H333" s="109"/>
      <c r="I333" s="109">
        <f t="shared" ref="I333:J333" si="347">SUM(C333,E333,G333)</f>
        <v>0</v>
      </c>
      <c r="J333" s="109">
        <f t="shared" si="347"/>
        <v>0</v>
      </c>
      <c r="K333" s="109">
        <f>SUMIFS(Ações!$J$66,Ações!$N$66,Patrimônio!B333,Ações!$E$66,"Provento")</f>
        <v>0</v>
      </c>
      <c r="L333" s="109">
        <f>SUMIFS(BDRs!$J$66,BDRs!$E$66,"Provento",BDRs!$N$66,Patrimônio!B333)</f>
        <v>0</v>
      </c>
      <c r="M333" s="109">
        <f>SUMIFS(FIIs!$J$66,FIIs!$E$66,"Provento",FIIs!$N$66,Patrimônio!B333)</f>
        <v>0</v>
      </c>
      <c r="N333" s="109">
        <f t="shared" si="2"/>
        <v>0</v>
      </c>
      <c r="O333" s="109"/>
      <c r="Q333" s="154"/>
      <c r="R333" s="155" t="s">
        <v>272</v>
      </c>
      <c r="S333" s="156">
        <v>0</v>
      </c>
    </row>
    <row r="334" spans="1:19" ht="17.25" customHeight="1">
      <c r="A334" s="108">
        <v>54697</v>
      </c>
      <c r="B334" s="108">
        <f t="shared" si="0"/>
        <v>54696</v>
      </c>
      <c r="C334" s="109"/>
      <c r="D334" s="109"/>
      <c r="E334" s="109"/>
      <c r="F334" s="109"/>
      <c r="G334" s="109"/>
      <c r="H334" s="109"/>
      <c r="I334" s="109">
        <f t="shared" ref="I334:J334" si="348">SUM(C334,E334,G334)</f>
        <v>0</v>
      </c>
      <c r="J334" s="109">
        <f t="shared" si="348"/>
        <v>0</v>
      </c>
      <c r="K334" s="109">
        <f>SUMIFS(Ações!$J$66,Ações!$N$66,Patrimônio!B334,Ações!$E$66,"Provento")</f>
        <v>0</v>
      </c>
      <c r="L334" s="109">
        <f>SUMIFS(BDRs!$J$66,BDRs!$E$66,"Provento",BDRs!$N$66,Patrimônio!B334)</f>
        <v>0</v>
      </c>
      <c r="M334" s="109">
        <f>SUMIFS(FIIs!$J$66,FIIs!$E$66,"Provento",FIIs!$N$66,Patrimônio!B334)</f>
        <v>0</v>
      </c>
      <c r="N334" s="109">
        <f t="shared" si="2"/>
        <v>0</v>
      </c>
      <c r="O334" s="109"/>
      <c r="Q334" s="151" t="s">
        <v>138</v>
      </c>
      <c r="R334" s="157"/>
      <c r="S334" s="153">
        <v>0</v>
      </c>
    </row>
    <row r="335" spans="1:19" ht="17.25" customHeight="1">
      <c r="A335" s="108">
        <v>54728</v>
      </c>
      <c r="B335" s="108">
        <f t="shared" si="0"/>
        <v>54727</v>
      </c>
      <c r="C335" s="109"/>
      <c r="D335" s="109"/>
      <c r="E335" s="109"/>
      <c r="F335" s="109"/>
      <c r="G335" s="109"/>
      <c r="H335" s="109"/>
      <c r="I335" s="109">
        <f t="shared" ref="I335:J335" si="349">SUM(C335,E335,G335)</f>
        <v>0</v>
      </c>
      <c r="J335" s="109">
        <f t="shared" si="349"/>
        <v>0</v>
      </c>
      <c r="K335" s="109">
        <f>SUMIFS(Ações!$J$66,Ações!$N$66,Patrimônio!B335,Ações!$E$66,"Provento")</f>
        <v>0</v>
      </c>
      <c r="L335" s="109">
        <f>SUMIFS(BDRs!$J$66,BDRs!$E$66,"Provento",BDRs!$N$66,Patrimônio!B335)</f>
        <v>0</v>
      </c>
      <c r="M335" s="109">
        <f>SUMIFS(FIIs!$J$66,FIIs!$E$66,"Provento",FIIs!$N$66,Patrimônio!B335)</f>
        <v>0</v>
      </c>
      <c r="N335" s="109">
        <f t="shared" si="2"/>
        <v>0</v>
      </c>
      <c r="O335" s="109"/>
      <c r="Q335" s="151" t="s">
        <v>139</v>
      </c>
      <c r="R335" s="152" t="s">
        <v>261</v>
      </c>
      <c r="S335" s="153">
        <v>0</v>
      </c>
    </row>
    <row r="336" spans="1:19" ht="17.25" customHeight="1">
      <c r="A336" s="108">
        <v>54758</v>
      </c>
      <c r="B336" s="108">
        <f t="shared" si="0"/>
        <v>54757</v>
      </c>
      <c r="C336" s="109"/>
      <c r="D336" s="109"/>
      <c r="E336" s="109"/>
      <c r="F336" s="109"/>
      <c r="G336" s="109"/>
      <c r="H336" s="109"/>
      <c r="I336" s="109">
        <f t="shared" ref="I336:J336" si="350">SUM(C336,E336,G336)</f>
        <v>0</v>
      </c>
      <c r="J336" s="109">
        <f t="shared" si="350"/>
        <v>0</v>
      </c>
      <c r="K336" s="109">
        <f>SUMIFS(Ações!$J$66,Ações!$N$66,Patrimônio!B336,Ações!$E$66,"Provento")</f>
        <v>0</v>
      </c>
      <c r="L336" s="109">
        <f>SUMIFS(BDRs!$J$66,BDRs!$E$66,"Provento",BDRs!$N$66,Patrimônio!B336)</f>
        <v>0</v>
      </c>
      <c r="M336" s="109">
        <f>SUMIFS(FIIs!$J$66,FIIs!$E$66,"Provento",FIIs!$N$66,Patrimônio!B336)</f>
        <v>0</v>
      </c>
      <c r="N336" s="109">
        <f t="shared" si="2"/>
        <v>0</v>
      </c>
      <c r="O336" s="109"/>
      <c r="Q336" s="154"/>
      <c r="R336" s="155" t="s">
        <v>262</v>
      </c>
      <c r="S336" s="156">
        <v>0</v>
      </c>
    </row>
    <row r="337" spans="1:19" ht="17.25" customHeight="1">
      <c r="A337" s="108">
        <v>54789</v>
      </c>
      <c r="B337" s="108">
        <f t="shared" si="0"/>
        <v>54788</v>
      </c>
      <c r="C337" s="109"/>
      <c r="D337" s="109"/>
      <c r="E337" s="109"/>
      <c r="F337" s="109"/>
      <c r="G337" s="109"/>
      <c r="H337" s="109"/>
      <c r="I337" s="109">
        <f t="shared" ref="I337:J337" si="351">SUM(C337,E337,G337)</f>
        <v>0</v>
      </c>
      <c r="J337" s="109">
        <f t="shared" si="351"/>
        <v>0</v>
      </c>
      <c r="K337" s="109">
        <f>SUMIFS(Ações!$J$66,Ações!$N$66,Patrimônio!B337,Ações!$E$66,"Provento")</f>
        <v>0</v>
      </c>
      <c r="L337" s="109">
        <f>SUMIFS(BDRs!$J$66,BDRs!$E$66,"Provento",BDRs!$N$66,Patrimônio!B337)</f>
        <v>0</v>
      </c>
      <c r="M337" s="109">
        <f>SUMIFS(FIIs!$J$66,FIIs!$E$66,"Provento",FIIs!$N$66,Patrimônio!B337)</f>
        <v>0</v>
      </c>
      <c r="N337" s="109">
        <f t="shared" si="2"/>
        <v>0</v>
      </c>
      <c r="O337" s="109"/>
      <c r="Q337" s="154"/>
      <c r="R337" s="155" t="s">
        <v>263</v>
      </c>
      <c r="S337" s="156">
        <v>0</v>
      </c>
    </row>
    <row r="338" spans="1:19" ht="17.25" customHeight="1">
      <c r="A338" s="108">
        <v>54820</v>
      </c>
      <c r="B338" s="108">
        <f t="shared" si="0"/>
        <v>54819</v>
      </c>
      <c r="C338" s="109"/>
      <c r="D338" s="109"/>
      <c r="E338" s="109"/>
      <c r="F338" s="109"/>
      <c r="G338" s="109"/>
      <c r="H338" s="109"/>
      <c r="I338" s="109">
        <f t="shared" ref="I338:J338" si="352">SUM(C338,E338,G338)</f>
        <v>0</v>
      </c>
      <c r="J338" s="109">
        <f t="shared" si="352"/>
        <v>0</v>
      </c>
      <c r="K338" s="109">
        <f>SUMIFS(Ações!$J$66,Ações!$N$66,Patrimônio!B338,Ações!$E$66,"Provento")</f>
        <v>0</v>
      </c>
      <c r="L338" s="109">
        <f>SUMIFS(BDRs!$J$66,BDRs!$E$66,"Provento",BDRs!$N$66,Patrimônio!B338)</f>
        <v>0</v>
      </c>
      <c r="M338" s="109">
        <f>SUMIFS(FIIs!$J$66,FIIs!$E$66,"Provento",FIIs!$N$66,Patrimônio!B338)</f>
        <v>0</v>
      </c>
      <c r="N338" s="109">
        <f t="shared" si="2"/>
        <v>0</v>
      </c>
      <c r="O338" s="109"/>
      <c r="Q338" s="154"/>
      <c r="R338" s="155" t="s">
        <v>264</v>
      </c>
      <c r="S338" s="156">
        <v>0</v>
      </c>
    </row>
    <row r="339" spans="1:19" ht="17.25" customHeight="1">
      <c r="A339" s="108">
        <v>54848</v>
      </c>
      <c r="B339" s="108">
        <f t="shared" si="0"/>
        <v>54847</v>
      </c>
      <c r="C339" s="109"/>
      <c r="D339" s="109"/>
      <c r="E339" s="109"/>
      <c r="F339" s="109"/>
      <c r="G339" s="109"/>
      <c r="H339" s="109"/>
      <c r="I339" s="109">
        <f t="shared" ref="I339:J339" si="353">SUM(C339,E339,G339)</f>
        <v>0</v>
      </c>
      <c r="J339" s="109">
        <f t="shared" si="353"/>
        <v>0</v>
      </c>
      <c r="K339" s="109">
        <f>SUMIFS(Ações!$J$66,Ações!$N$66,Patrimônio!B339,Ações!$E$66,"Provento")</f>
        <v>0</v>
      </c>
      <c r="L339" s="109">
        <f>SUMIFS(BDRs!$J$66,BDRs!$E$66,"Provento",BDRs!$N$66,Patrimônio!B339)</f>
        <v>0</v>
      </c>
      <c r="M339" s="109">
        <f>SUMIFS(FIIs!$J$66,FIIs!$E$66,"Provento",FIIs!$N$66,Patrimônio!B339)</f>
        <v>0</v>
      </c>
      <c r="N339" s="109">
        <f t="shared" si="2"/>
        <v>0</v>
      </c>
      <c r="O339" s="109"/>
      <c r="Q339" s="154"/>
      <c r="R339" s="155" t="s">
        <v>265</v>
      </c>
      <c r="S339" s="156">
        <v>0</v>
      </c>
    </row>
    <row r="340" spans="1:19" ht="17.25" customHeight="1">
      <c r="A340" s="108">
        <v>54879</v>
      </c>
      <c r="B340" s="108">
        <f t="shared" si="0"/>
        <v>54878</v>
      </c>
      <c r="C340" s="109"/>
      <c r="D340" s="109"/>
      <c r="E340" s="109"/>
      <c r="F340" s="109"/>
      <c r="G340" s="109"/>
      <c r="H340" s="109"/>
      <c r="I340" s="109">
        <f t="shared" ref="I340:J340" si="354">SUM(C340,E340,G340)</f>
        <v>0</v>
      </c>
      <c r="J340" s="109">
        <f t="shared" si="354"/>
        <v>0</v>
      </c>
      <c r="K340" s="109">
        <f>SUMIFS(Ações!$J$66,Ações!$N$66,Patrimônio!B340,Ações!$E$66,"Provento")</f>
        <v>0</v>
      </c>
      <c r="L340" s="109">
        <f>SUMIFS(BDRs!$J$66,BDRs!$E$66,"Provento",BDRs!$N$66,Patrimônio!B340)</f>
        <v>0</v>
      </c>
      <c r="M340" s="109">
        <f>SUMIFS(FIIs!$J$66,FIIs!$E$66,"Provento",FIIs!$N$66,Patrimônio!B340)</f>
        <v>0</v>
      </c>
      <c r="N340" s="109">
        <f t="shared" si="2"/>
        <v>0</v>
      </c>
      <c r="O340" s="109"/>
      <c r="Q340" s="154"/>
      <c r="R340" s="155" t="s">
        <v>266</v>
      </c>
      <c r="S340" s="156">
        <v>0</v>
      </c>
    </row>
    <row r="341" spans="1:19" ht="17.25" customHeight="1">
      <c r="A341" s="108">
        <v>54909</v>
      </c>
      <c r="B341" s="108">
        <f t="shared" si="0"/>
        <v>54908</v>
      </c>
      <c r="C341" s="109"/>
      <c r="D341" s="109"/>
      <c r="E341" s="109"/>
      <c r="F341" s="109"/>
      <c r="G341" s="109"/>
      <c r="H341" s="109"/>
      <c r="I341" s="109">
        <f t="shared" ref="I341:J341" si="355">SUM(C341,E341,G341)</f>
        <v>0</v>
      </c>
      <c r="J341" s="109">
        <f t="shared" si="355"/>
        <v>0</v>
      </c>
      <c r="K341" s="109">
        <f>SUMIFS(Ações!$J$66,Ações!$N$66,Patrimônio!B341,Ações!$E$66,"Provento")</f>
        <v>0</v>
      </c>
      <c r="L341" s="109">
        <f>SUMIFS(BDRs!$J$66,BDRs!$E$66,"Provento",BDRs!$N$66,Patrimônio!B341)</f>
        <v>0</v>
      </c>
      <c r="M341" s="109">
        <f>SUMIFS(FIIs!$J$66,FIIs!$E$66,"Provento",FIIs!$N$66,Patrimônio!B341)</f>
        <v>0</v>
      </c>
      <c r="N341" s="109">
        <f t="shared" si="2"/>
        <v>0</v>
      </c>
      <c r="O341" s="109"/>
      <c r="Q341" s="154"/>
      <c r="R341" s="155" t="s">
        <v>267</v>
      </c>
      <c r="S341" s="156">
        <v>0</v>
      </c>
    </row>
    <row r="342" spans="1:19" ht="17.25" customHeight="1">
      <c r="A342" s="108">
        <v>54940</v>
      </c>
      <c r="B342" s="108">
        <f t="shared" si="0"/>
        <v>54939</v>
      </c>
      <c r="C342" s="109"/>
      <c r="D342" s="109"/>
      <c r="E342" s="109"/>
      <c r="F342" s="109"/>
      <c r="G342" s="109"/>
      <c r="H342" s="109"/>
      <c r="I342" s="109">
        <f t="shared" ref="I342:J342" si="356">SUM(C342,E342,G342)</f>
        <v>0</v>
      </c>
      <c r="J342" s="109">
        <f t="shared" si="356"/>
        <v>0</v>
      </c>
      <c r="K342" s="109">
        <f>SUMIFS(Ações!$J$66,Ações!$N$66,Patrimônio!B342,Ações!$E$66,"Provento")</f>
        <v>0</v>
      </c>
      <c r="L342" s="109">
        <f>SUMIFS(BDRs!$J$66,BDRs!$E$66,"Provento",BDRs!$N$66,Patrimônio!B342)</f>
        <v>0</v>
      </c>
      <c r="M342" s="109">
        <f>SUMIFS(FIIs!$J$66,FIIs!$E$66,"Provento",FIIs!$N$66,Patrimônio!B342)</f>
        <v>0</v>
      </c>
      <c r="N342" s="109">
        <f t="shared" si="2"/>
        <v>0</v>
      </c>
      <c r="O342" s="109"/>
      <c r="Q342" s="154"/>
      <c r="R342" s="155" t="s">
        <v>268</v>
      </c>
      <c r="S342" s="156">
        <v>0</v>
      </c>
    </row>
    <row r="343" spans="1:19" ht="17.25" customHeight="1">
      <c r="A343" s="108">
        <v>54970</v>
      </c>
      <c r="B343" s="108">
        <f t="shared" si="0"/>
        <v>54969</v>
      </c>
      <c r="C343" s="109"/>
      <c r="D343" s="109"/>
      <c r="E343" s="109"/>
      <c r="F343" s="109"/>
      <c r="G343" s="109"/>
      <c r="H343" s="109"/>
      <c r="I343" s="109">
        <f t="shared" ref="I343:J343" si="357">SUM(C343,E343,G343)</f>
        <v>0</v>
      </c>
      <c r="J343" s="109">
        <f t="shared" si="357"/>
        <v>0</v>
      </c>
      <c r="K343" s="109">
        <f>SUMIFS(Ações!$J$66,Ações!$N$66,Patrimônio!B343,Ações!$E$66,"Provento")</f>
        <v>0</v>
      </c>
      <c r="L343" s="109">
        <f>SUMIFS(BDRs!$J$66,BDRs!$E$66,"Provento",BDRs!$N$66,Patrimônio!B343)</f>
        <v>0</v>
      </c>
      <c r="M343" s="109">
        <f>SUMIFS(FIIs!$J$66,FIIs!$E$66,"Provento",FIIs!$N$66,Patrimônio!B343)</f>
        <v>0</v>
      </c>
      <c r="N343" s="109">
        <f t="shared" si="2"/>
        <v>0</v>
      </c>
      <c r="O343" s="109"/>
      <c r="Q343" s="154"/>
      <c r="R343" s="155" t="s">
        <v>269</v>
      </c>
      <c r="S343" s="156">
        <v>0</v>
      </c>
    </row>
    <row r="344" spans="1:19" ht="17.25" customHeight="1">
      <c r="A344" s="108">
        <v>55001</v>
      </c>
      <c r="B344" s="108">
        <f t="shared" si="0"/>
        <v>55000</v>
      </c>
      <c r="C344" s="109"/>
      <c r="D344" s="109"/>
      <c r="E344" s="109"/>
      <c r="F344" s="109"/>
      <c r="G344" s="109"/>
      <c r="H344" s="109"/>
      <c r="I344" s="109">
        <f t="shared" ref="I344:J344" si="358">SUM(C344,E344,G344)</f>
        <v>0</v>
      </c>
      <c r="J344" s="109">
        <f t="shared" si="358"/>
        <v>0</v>
      </c>
      <c r="K344" s="109">
        <f>SUMIFS(Ações!$J$66,Ações!$N$66,Patrimônio!B344,Ações!$E$66,"Provento")</f>
        <v>0</v>
      </c>
      <c r="L344" s="109">
        <f>SUMIFS(BDRs!$J$66,BDRs!$E$66,"Provento",BDRs!$N$66,Patrimônio!B344)</f>
        <v>0</v>
      </c>
      <c r="M344" s="109">
        <f>SUMIFS(FIIs!$J$66,FIIs!$E$66,"Provento",FIIs!$N$66,Patrimônio!B344)</f>
        <v>0</v>
      </c>
      <c r="N344" s="109">
        <f t="shared" si="2"/>
        <v>0</v>
      </c>
      <c r="O344" s="109"/>
      <c r="Q344" s="154"/>
      <c r="R344" s="155" t="s">
        <v>270</v>
      </c>
      <c r="S344" s="156">
        <v>0</v>
      </c>
    </row>
    <row r="345" spans="1:19" ht="17.25" customHeight="1">
      <c r="A345" s="108">
        <v>55032</v>
      </c>
      <c r="B345" s="108">
        <f t="shared" si="0"/>
        <v>55031</v>
      </c>
      <c r="C345" s="109"/>
      <c r="D345" s="109"/>
      <c r="E345" s="109"/>
      <c r="F345" s="109"/>
      <c r="G345" s="109"/>
      <c r="H345" s="109"/>
      <c r="I345" s="109">
        <f t="shared" ref="I345:J345" si="359">SUM(C345,E345,G345)</f>
        <v>0</v>
      </c>
      <c r="J345" s="109">
        <f t="shared" si="359"/>
        <v>0</v>
      </c>
      <c r="K345" s="109">
        <f>SUMIFS(Ações!$J$66,Ações!$N$66,Patrimônio!B345,Ações!$E$66,"Provento")</f>
        <v>0</v>
      </c>
      <c r="L345" s="109">
        <f>SUMIFS(BDRs!$J$66,BDRs!$E$66,"Provento",BDRs!$N$66,Patrimônio!B345)</f>
        <v>0</v>
      </c>
      <c r="M345" s="109">
        <f>SUMIFS(FIIs!$J$66,FIIs!$E$66,"Provento",FIIs!$N$66,Patrimônio!B345)</f>
        <v>0</v>
      </c>
      <c r="N345" s="109">
        <f t="shared" si="2"/>
        <v>0</v>
      </c>
      <c r="O345" s="109"/>
      <c r="Q345" s="154"/>
      <c r="R345" s="155" t="s">
        <v>271</v>
      </c>
      <c r="S345" s="156">
        <v>0</v>
      </c>
    </row>
    <row r="346" spans="1:19" ht="17.25" customHeight="1">
      <c r="A346" s="108">
        <v>55062</v>
      </c>
      <c r="B346" s="108">
        <f t="shared" si="0"/>
        <v>55061</v>
      </c>
      <c r="C346" s="109"/>
      <c r="D346" s="109"/>
      <c r="E346" s="109"/>
      <c r="F346" s="109"/>
      <c r="G346" s="109"/>
      <c r="H346" s="109"/>
      <c r="I346" s="109">
        <f t="shared" ref="I346:J346" si="360">SUM(C346,E346,G346)</f>
        <v>0</v>
      </c>
      <c r="J346" s="109">
        <f t="shared" si="360"/>
        <v>0</v>
      </c>
      <c r="K346" s="109">
        <f>SUMIFS(Ações!$J$66,Ações!$N$66,Patrimônio!B346,Ações!$E$66,"Provento")</f>
        <v>0</v>
      </c>
      <c r="L346" s="109">
        <f>SUMIFS(BDRs!$J$66,BDRs!$E$66,"Provento",BDRs!$N$66,Patrimônio!B346)</f>
        <v>0</v>
      </c>
      <c r="M346" s="109">
        <f>SUMIFS(FIIs!$J$66,FIIs!$E$66,"Provento",FIIs!$N$66,Patrimônio!B346)</f>
        <v>0</v>
      </c>
      <c r="N346" s="109">
        <f t="shared" si="2"/>
        <v>0</v>
      </c>
      <c r="O346" s="109"/>
      <c r="Q346" s="154"/>
      <c r="R346" s="155" t="s">
        <v>272</v>
      </c>
      <c r="S346" s="156">
        <v>0</v>
      </c>
    </row>
    <row r="347" spans="1:19" ht="17.25" customHeight="1">
      <c r="A347" s="108">
        <v>55093</v>
      </c>
      <c r="B347" s="108">
        <f t="shared" si="0"/>
        <v>55092</v>
      </c>
      <c r="C347" s="109"/>
      <c r="D347" s="109"/>
      <c r="E347" s="109"/>
      <c r="F347" s="109"/>
      <c r="G347" s="109"/>
      <c r="H347" s="109"/>
      <c r="I347" s="109">
        <f t="shared" ref="I347:J347" si="361">SUM(C347,E347,G347)</f>
        <v>0</v>
      </c>
      <c r="J347" s="109">
        <f t="shared" si="361"/>
        <v>0</v>
      </c>
      <c r="K347" s="109">
        <f>SUMIFS(Ações!$J$66,Ações!$N$66,Patrimônio!B347,Ações!$E$66,"Provento")</f>
        <v>0</v>
      </c>
      <c r="L347" s="109">
        <f>SUMIFS(BDRs!$J$66,BDRs!$E$66,"Provento",BDRs!$N$66,Patrimônio!B347)</f>
        <v>0</v>
      </c>
      <c r="M347" s="109">
        <f>SUMIFS(FIIs!$J$66,FIIs!$E$66,"Provento",FIIs!$N$66,Patrimônio!B347)</f>
        <v>0</v>
      </c>
      <c r="N347" s="109">
        <f t="shared" si="2"/>
        <v>0</v>
      </c>
      <c r="O347" s="109"/>
      <c r="Q347" s="151" t="s">
        <v>140</v>
      </c>
      <c r="R347" s="157"/>
      <c r="S347" s="153">
        <v>0</v>
      </c>
    </row>
    <row r="348" spans="1:19" ht="17.25" customHeight="1">
      <c r="A348" s="108">
        <v>55123</v>
      </c>
      <c r="B348" s="108">
        <f t="shared" si="0"/>
        <v>55122</v>
      </c>
      <c r="C348" s="109"/>
      <c r="D348" s="109"/>
      <c r="E348" s="109"/>
      <c r="F348" s="109"/>
      <c r="G348" s="109"/>
      <c r="H348" s="109"/>
      <c r="I348" s="109">
        <f t="shared" ref="I348:J348" si="362">SUM(C348,E348,G348)</f>
        <v>0</v>
      </c>
      <c r="J348" s="109">
        <f t="shared" si="362"/>
        <v>0</v>
      </c>
      <c r="K348" s="109">
        <f>SUMIFS(Ações!$J$66,Ações!$N$66,Patrimônio!B348,Ações!$E$66,"Provento")</f>
        <v>0</v>
      </c>
      <c r="L348" s="109">
        <f>SUMIFS(BDRs!$J$66,BDRs!$E$66,"Provento",BDRs!$N$66,Patrimônio!B348)</f>
        <v>0</v>
      </c>
      <c r="M348" s="109">
        <f>SUMIFS(FIIs!$J$66,FIIs!$E$66,"Provento",FIIs!$N$66,Patrimônio!B348)</f>
        <v>0</v>
      </c>
      <c r="N348" s="109">
        <f t="shared" si="2"/>
        <v>0</v>
      </c>
      <c r="O348" s="109"/>
      <c r="Q348" s="151" t="s">
        <v>141</v>
      </c>
      <c r="R348" s="152" t="s">
        <v>261</v>
      </c>
      <c r="S348" s="153">
        <v>0</v>
      </c>
    </row>
    <row r="349" spans="1:19" ht="17.25" customHeight="1">
      <c r="A349" s="108">
        <v>55154</v>
      </c>
      <c r="B349" s="108">
        <f t="shared" si="0"/>
        <v>55153</v>
      </c>
      <c r="C349" s="109"/>
      <c r="D349" s="109"/>
      <c r="E349" s="109"/>
      <c r="F349" s="109"/>
      <c r="G349" s="109"/>
      <c r="H349" s="109"/>
      <c r="I349" s="109">
        <f t="shared" ref="I349:J349" si="363">SUM(C349,E349,G349)</f>
        <v>0</v>
      </c>
      <c r="J349" s="109">
        <f t="shared" si="363"/>
        <v>0</v>
      </c>
      <c r="K349" s="109">
        <f>SUMIFS(Ações!$J$66,Ações!$N$66,Patrimônio!B349,Ações!$E$66,"Provento")</f>
        <v>0</v>
      </c>
      <c r="L349" s="109">
        <f>SUMIFS(BDRs!$J$66,BDRs!$E$66,"Provento",BDRs!$N$66,Patrimônio!B349)</f>
        <v>0</v>
      </c>
      <c r="M349" s="109">
        <f>SUMIFS(FIIs!$J$66,FIIs!$E$66,"Provento",FIIs!$N$66,Patrimônio!B349)</f>
        <v>0</v>
      </c>
      <c r="N349" s="109">
        <f t="shared" si="2"/>
        <v>0</v>
      </c>
      <c r="O349" s="109"/>
      <c r="Q349" s="154"/>
      <c r="R349" s="155" t="s">
        <v>262</v>
      </c>
      <c r="S349" s="156">
        <v>0</v>
      </c>
    </row>
    <row r="350" spans="1:19" ht="17.25" customHeight="1">
      <c r="A350" s="108">
        <v>55185</v>
      </c>
      <c r="B350" s="108">
        <f t="shared" si="0"/>
        <v>55184</v>
      </c>
      <c r="C350" s="109"/>
      <c r="D350" s="109"/>
      <c r="E350" s="109"/>
      <c r="F350" s="109"/>
      <c r="G350" s="109"/>
      <c r="H350" s="109"/>
      <c r="I350" s="109">
        <f t="shared" ref="I350:J350" si="364">SUM(C350,E350,G350)</f>
        <v>0</v>
      </c>
      <c r="J350" s="109">
        <f t="shared" si="364"/>
        <v>0</v>
      </c>
      <c r="K350" s="109">
        <f>SUMIFS(Ações!$J$66,Ações!$N$66,Patrimônio!B350,Ações!$E$66,"Provento")</f>
        <v>0</v>
      </c>
      <c r="L350" s="109">
        <f>SUMIFS(BDRs!$J$66,BDRs!$E$66,"Provento",BDRs!$N$66,Patrimônio!B350)</f>
        <v>0</v>
      </c>
      <c r="M350" s="109">
        <f>SUMIFS(FIIs!$J$66,FIIs!$E$66,"Provento",FIIs!$N$66,Patrimônio!B350)</f>
        <v>0</v>
      </c>
      <c r="N350" s="109">
        <f t="shared" si="2"/>
        <v>0</v>
      </c>
      <c r="O350" s="109"/>
      <c r="Q350" s="154"/>
      <c r="R350" s="155" t="s">
        <v>263</v>
      </c>
      <c r="S350" s="156">
        <v>0</v>
      </c>
    </row>
    <row r="351" spans="1:19" ht="17.25" customHeight="1">
      <c r="A351" s="108">
        <v>55213</v>
      </c>
      <c r="B351" s="108">
        <f t="shared" si="0"/>
        <v>55212</v>
      </c>
      <c r="C351" s="109"/>
      <c r="D351" s="109"/>
      <c r="E351" s="109"/>
      <c r="F351" s="109"/>
      <c r="G351" s="109"/>
      <c r="H351" s="109"/>
      <c r="I351" s="109">
        <f t="shared" ref="I351:J351" si="365">SUM(C351,E351,G351)</f>
        <v>0</v>
      </c>
      <c r="J351" s="109">
        <f t="shared" si="365"/>
        <v>0</v>
      </c>
      <c r="K351" s="109">
        <f>SUMIFS(Ações!$J$66,Ações!$N$66,Patrimônio!B351,Ações!$E$66,"Provento")</f>
        <v>0</v>
      </c>
      <c r="L351" s="109">
        <f>SUMIFS(BDRs!$J$66,BDRs!$E$66,"Provento",BDRs!$N$66,Patrimônio!B351)</f>
        <v>0</v>
      </c>
      <c r="M351" s="109">
        <f>SUMIFS(FIIs!$J$66,FIIs!$E$66,"Provento",FIIs!$N$66,Patrimônio!B351)</f>
        <v>0</v>
      </c>
      <c r="N351" s="109">
        <f t="shared" si="2"/>
        <v>0</v>
      </c>
      <c r="O351" s="109"/>
      <c r="Q351" s="154"/>
      <c r="R351" s="155" t="s">
        <v>264</v>
      </c>
      <c r="S351" s="156">
        <v>0</v>
      </c>
    </row>
    <row r="352" spans="1:19" ht="17.25" customHeight="1">
      <c r="A352" s="108">
        <v>55244</v>
      </c>
      <c r="B352" s="108">
        <f t="shared" si="0"/>
        <v>55243</v>
      </c>
      <c r="C352" s="109"/>
      <c r="D352" s="109"/>
      <c r="E352" s="109"/>
      <c r="F352" s="109"/>
      <c r="G352" s="109"/>
      <c r="H352" s="109"/>
      <c r="I352" s="109">
        <f t="shared" ref="I352:J352" si="366">SUM(C352,E352,G352)</f>
        <v>0</v>
      </c>
      <c r="J352" s="109">
        <f t="shared" si="366"/>
        <v>0</v>
      </c>
      <c r="K352" s="109">
        <f>SUMIFS(Ações!$J$66,Ações!$N$66,Patrimônio!B352,Ações!$E$66,"Provento")</f>
        <v>0</v>
      </c>
      <c r="L352" s="109">
        <f>SUMIFS(BDRs!$J$66,BDRs!$E$66,"Provento",BDRs!$N$66,Patrimônio!B352)</f>
        <v>0</v>
      </c>
      <c r="M352" s="109">
        <f>SUMIFS(FIIs!$J$66,FIIs!$E$66,"Provento",FIIs!$N$66,Patrimônio!B352)</f>
        <v>0</v>
      </c>
      <c r="N352" s="109">
        <f t="shared" si="2"/>
        <v>0</v>
      </c>
      <c r="O352" s="109"/>
      <c r="Q352" s="154"/>
      <c r="R352" s="155" t="s">
        <v>265</v>
      </c>
      <c r="S352" s="156">
        <v>0</v>
      </c>
    </row>
    <row r="353" spans="1:19" ht="17.25" customHeight="1">
      <c r="A353" s="108">
        <v>55274</v>
      </c>
      <c r="B353" s="108">
        <f t="shared" si="0"/>
        <v>55273</v>
      </c>
      <c r="C353" s="109"/>
      <c r="D353" s="109"/>
      <c r="E353" s="109"/>
      <c r="F353" s="109"/>
      <c r="G353" s="109"/>
      <c r="H353" s="109"/>
      <c r="I353" s="109">
        <f t="shared" ref="I353:J353" si="367">SUM(C353,E353,G353)</f>
        <v>0</v>
      </c>
      <c r="J353" s="109">
        <f t="shared" si="367"/>
        <v>0</v>
      </c>
      <c r="K353" s="109">
        <f>SUMIFS(Ações!$J$66,Ações!$N$66,Patrimônio!B353,Ações!$E$66,"Provento")</f>
        <v>0</v>
      </c>
      <c r="L353" s="109">
        <f>SUMIFS(BDRs!$J$66,BDRs!$E$66,"Provento",BDRs!$N$66,Patrimônio!B353)</f>
        <v>0</v>
      </c>
      <c r="M353" s="109">
        <f>SUMIFS(FIIs!$J$66,FIIs!$E$66,"Provento",FIIs!$N$66,Patrimônio!B353)</f>
        <v>0</v>
      </c>
      <c r="N353" s="109">
        <f t="shared" si="2"/>
        <v>0</v>
      </c>
      <c r="O353" s="109"/>
      <c r="Q353" s="154"/>
      <c r="R353" s="155" t="s">
        <v>266</v>
      </c>
      <c r="S353" s="156">
        <v>0</v>
      </c>
    </row>
    <row r="354" spans="1:19" ht="17.25" customHeight="1">
      <c r="A354" s="108">
        <v>55305</v>
      </c>
      <c r="B354" s="108">
        <f t="shared" si="0"/>
        <v>55304</v>
      </c>
      <c r="C354" s="109"/>
      <c r="D354" s="109"/>
      <c r="E354" s="109"/>
      <c r="F354" s="109"/>
      <c r="G354" s="109"/>
      <c r="H354" s="109"/>
      <c r="I354" s="109">
        <f t="shared" ref="I354:J354" si="368">SUM(C354,E354,G354)</f>
        <v>0</v>
      </c>
      <c r="J354" s="109">
        <f t="shared" si="368"/>
        <v>0</v>
      </c>
      <c r="K354" s="109">
        <f>SUMIFS(Ações!$J$66,Ações!$N$66,Patrimônio!B354,Ações!$E$66,"Provento")</f>
        <v>0</v>
      </c>
      <c r="L354" s="109">
        <f>SUMIFS(BDRs!$J$66,BDRs!$E$66,"Provento",BDRs!$N$66,Patrimônio!B354)</f>
        <v>0</v>
      </c>
      <c r="M354" s="109">
        <f>SUMIFS(FIIs!$J$66,FIIs!$E$66,"Provento",FIIs!$N$66,Patrimônio!B354)</f>
        <v>0</v>
      </c>
      <c r="N354" s="109">
        <f t="shared" si="2"/>
        <v>0</v>
      </c>
      <c r="O354" s="109"/>
      <c r="Q354" s="154"/>
      <c r="R354" s="155" t="s">
        <v>267</v>
      </c>
      <c r="S354" s="156">
        <v>0</v>
      </c>
    </row>
    <row r="355" spans="1:19" ht="17.25" customHeight="1">
      <c r="A355" s="108">
        <v>55335</v>
      </c>
      <c r="B355" s="108">
        <f t="shared" si="0"/>
        <v>55334</v>
      </c>
      <c r="C355" s="109"/>
      <c r="D355" s="109"/>
      <c r="E355" s="109"/>
      <c r="F355" s="109"/>
      <c r="G355" s="109"/>
      <c r="H355" s="109"/>
      <c r="I355" s="109">
        <f t="shared" ref="I355:J355" si="369">SUM(C355,E355,G355)</f>
        <v>0</v>
      </c>
      <c r="J355" s="109">
        <f t="shared" si="369"/>
        <v>0</v>
      </c>
      <c r="K355" s="109">
        <f>SUMIFS(Ações!$J$66,Ações!$N$66,Patrimônio!B355,Ações!$E$66,"Provento")</f>
        <v>0</v>
      </c>
      <c r="L355" s="109">
        <f>SUMIFS(BDRs!$J$66,BDRs!$E$66,"Provento",BDRs!$N$66,Patrimônio!B355)</f>
        <v>0</v>
      </c>
      <c r="M355" s="109">
        <f>SUMIFS(FIIs!$J$66,FIIs!$E$66,"Provento",FIIs!$N$66,Patrimônio!B355)</f>
        <v>0</v>
      </c>
      <c r="N355" s="109">
        <f t="shared" si="2"/>
        <v>0</v>
      </c>
      <c r="O355" s="109"/>
      <c r="Q355" s="154"/>
      <c r="R355" s="155" t="s">
        <v>268</v>
      </c>
      <c r="S355" s="156">
        <v>0</v>
      </c>
    </row>
    <row r="356" spans="1:19" ht="17.25" customHeight="1">
      <c r="A356" s="108">
        <v>55366</v>
      </c>
      <c r="B356" s="108">
        <f t="shared" si="0"/>
        <v>55365</v>
      </c>
      <c r="C356" s="109"/>
      <c r="D356" s="109"/>
      <c r="E356" s="109"/>
      <c r="F356" s="109"/>
      <c r="G356" s="109"/>
      <c r="H356" s="109"/>
      <c r="I356" s="109">
        <f t="shared" ref="I356:J356" si="370">SUM(C356,E356,G356)</f>
        <v>0</v>
      </c>
      <c r="J356" s="109">
        <f t="shared" si="370"/>
        <v>0</v>
      </c>
      <c r="K356" s="109">
        <f>SUMIFS(Ações!$J$66,Ações!$N$66,Patrimônio!B356,Ações!$E$66,"Provento")</f>
        <v>0</v>
      </c>
      <c r="L356" s="109">
        <f>SUMIFS(BDRs!$J$66,BDRs!$E$66,"Provento",BDRs!$N$66,Patrimônio!B356)</f>
        <v>0</v>
      </c>
      <c r="M356" s="109">
        <f>SUMIFS(FIIs!$J$66,FIIs!$E$66,"Provento",FIIs!$N$66,Patrimônio!B356)</f>
        <v>0</v>
      </c>
      <c r="N356" s="109">
        <f t="shared" si="2"/>
        <v>0</v>
      </c>
      <c r="O356" s="109"/>
      <c r="Q356" s="154"/>
      <c r="R356" s="155" t="s">
        <v>269</v>
      </c>
      <c r="S356" s="156">
        <v>0</v>
      </c>
    </row>
    <row r="357" spans="1:19" ht="17.25" customHeight="1">
      <c r="A357" s="108">
        <v>55397</v>
      </c>
      <c r="B357" s="108">
        <f t="shared" si="0"/>
        <v>55396</v>
      </c>
      <c r="C357" s="109"/>
      <c r="D357" s="109"/>
      <c r="E357" s="109"/>
      <c r="F357" s="109"/>
      <c r="G357" s="109"/>
      <c r="H357" s="109"/>
      <c r="I357" s="109">
        <f t="shared" ref="I357:J357" si="371">SUM(C357,E357,G357)</f>
        <v>0</v>
      </c>
      <c r="J357" s="109">
        <f t="shared" si="371"/>
        <v>0</v>
      </c>
      <c r="K357" s="109">
        <f>SUMIFS(Ações!$J$66,Ações!$N$66,Patrimônio!B357,Ações!$E$66,"Provento")</f>
        <v>0</v>
      </c>
      <c r="L357" s="109">
        <f>SUMIFS(BDRs!$J$66,BDRs!$E$66,"Provento",BDRs!$N$66,Patrimônio!B357)</f>
        <v>0</v>
      </c>
      <c r="M357" s="109">
        <f>SUMIFS(FIIs!$J$66,FIIs!$E$66,"Provento",FIIs!$N$66,Patrimônio!B357)</f>
        <v>0</v>
      </c>
      <c r="N357" s="109">
        <f t="shared" si="2"/>
        <v>0</v>
      </c>
      <c r="O357" s="109"/>
      <c r="Q357" s="154"/>
      <c r="R357" s="155" t="s">
        <v>270</v>
      </c>
      <c r="S357" s="156">
        <v>0</v>
      </c>
    </row>
    <row r="358" spans="1:19" ht="17.25" customHeight="1">
      <c r="A358" s="108">
        <v>55427</v>
      </c>
      <c r="B358" s="108">
        <f t="shared" si="0"/>
        <v>55426</v>
      </c>
      <c r="C358" s="109"/>
      <c r="D358" s="109"/>
      <c r="E358" s="109"/>
      <c r="F358" s="109"/>
      <c r="G358" s="109"/>
      <c r="H358" s="109"/>
      <c r="I358" s="109">
        <f t="shared" ref="I358:J358" si="372">SUM(C358,E358,G358)</f>
        <v>0</v>
      </c>
      <c r="J358" s="109">
        <f t="shared" si="372"/>
        <v>0</v>
      </c>
      <c r="K358" s="109">
        <f>SUMIFS(Ações!$J$66,Ações!$N$66,Patrimônio!B358,Ações!$E$66,"Provento")</f>
        <v>0</v>
      </c>
      <c r="L358" s="109">
        <f>SUMIFS(BDRs!$J$66,BDRs!$E$66,"Provento",BDRs!$N$66,Patrimônio!B358)</f>
        <v>0</v>
      </c>
      <c r="M358" s="109">
        <f>SUMIFS(FIIs!$J$66,FIIs!$E$66,"Provento",FIIs!$N$66,Patrimônio!B358)</f>
        <v>0</v>
      </c>
      <c r="N358" s="109">
        <f t="shared" si="2"/>
        <v>0</v>
      </c>
      <c r="O358" s="109"/>
      <c r="Q358" s="154"/>
      <c r="R358" s="155" t="s">
        <v>271</v>
      </c>
      <c r="S358" s="156">
        <v>0</v>
      </c>
    </row>
    <row r="359" spans="1:19" ht="17.25" customHeight="1">
      <c r="A359" s="108">
        <v>55458</v>
      </c>
      <c r="B359" s="108">
        <f t="shared" si="0"/>
        <v>55457</v>
      </c>
      <c r="C359" s="109"/>
      <c r="D359" s="109"/>
      <c r="E359" s="109"/>
      <c r="F359" s="109"/>
      <c r="G359" s="109"/>
      <c r="H359" s="109"/>
      <c r="I359" s="109">
        <f t="shared" ref="I359:J359" si="373">SUM(C359,E359,G359)</f>
        <v>0</v>
      </c>
      <c r="J359" s="109">
        <f t="shared" si="373"/>
        <v>0</v>
      </c>
      <c r="K359" s="109">
        <f>SUMIFS(Ações!$J$66,Ações!$N$66,Patrimônio!B359,Ações!$E$66,"Provento")</f>
        <v>0</v>
      </c>
      <c r="L359" s="109">
        <f>SUMIFS(BDRs!$J$66,BDRs!$E$66,"Provento",BDRs!$N$66,Patrimônio!B359)</f>
        <v>0</v>
      </c>
      <c r="M359" s="109">
        <f>SUMIFS(FIIs!$J$66,FIIs!$E$66,"Provento",FIIs!$N$66,Patrimônio!B359)</f>
        <v>0</v>
      </c>
      <c r="N359" s="109">
        <f t="shared" si="2"/>
        <v>0</v>
      </c>
      <c r="O359" s="109"/>
      <c r="Q359" s="154"/>
      <c r="R359" s="155" t="s">
        <v>272</v>
      </c>
      <c r="S359" s="156">
        <v>0</v>
      </c>
    </row>
    <row r="360" spans="1:19" ht="17.25" customHeight="1">
      <c r="A360" s="108">
        <v>55488</v>
      </c>
      <c r="B360" s="108">
        <f t="shared" si="0"/>
        <v>55487</v>
      </c>
      <c r="C360" s="109"/>
      <c r="D360" s="109"/>
      <c r="E360" s="109"/>
      <c r="F360" s="109"/>
      <c r="G360" s="109"/>
      <c r="H360" s="109"/>
      <c r="I360" s="109">
        <f t="shared" ref="I360:J360" si="374">SUM(C360,E360,G360)</f>
        <v>0</v>
      </c>
      <c r="J360" s="109">
        <f t="shared" si="374"/>
        <v>0</v>
      </c>
      <c r="K360" s="109">
        <f>SUMIFS(Ações!$J$66,Ações!$N$66,Patrimônio!B360,Ações!$E$66,"Provento")</f>
        <v>0</v>
      </c>
      <c r="L360" s="109">
        <f>SUMIFS(BDRs!$J$66,BDRs!$E$66,"Provento",BDRs!$N$66,Patrimônio!B360)</f>
        <v>0</v>
      </c>
      <c r="M360" s="109">
        <f>SUMIFS(FIIs!$J$66,FIIs!$E$66,"Provento",FIIs!$N$66,Patrimônio!B360)</f>
        <v>0</v>
      </c>
      <c r="N360" s="109">
        <f t="shared" si="2"/>
        <v>0</v>
      </c>
      <c r="O360" s="109"/>
      <c r="Q360" s="151" t="s">
        <v>142</v>
      </c>
      <c r="R360" s="157"/>
      <c r="S360" s="153">
        <v>0</v>
      </c>
    </row>
    <row r="361" spans="1:19" ht="17.25" customHeight="1">
      <c r="A361" s="108">
        <v>55519</v>
      </c>
      <c r="B361" s="108">
        <f t="shared" si="0"/>
        <v>55518</v>
      </c>
      <c r="C361" s="109"/>
      <c r="D361" s="109"/>
      <c r="E361" s="109"/>
      <c r="F361" s="109"/>
      <c r="G361" s="109"/>
      <c r="H361" s="109"/>
      <c r="I361" s="109">
        <f t="shared" ref="I361:J361" si="375">SUM(C361,E361,G361)</f>
        <v>0</v>
      </c>
      <c r="J361" s="109">
        <f t="shared" si="375"/>
        <v>0</v>
      </c>
      <c r="K361" s="109">
        <f>SUMIFS(Ações!$J$66,Ações!$N$66,Patrimônio!B361,Ações!$E$66,"Provento")</f>
        <v>0</v>
      </c>
      <c r="L361" s="109">
        <f>SUMIFS(BDRs!$J$66,BDRs!$E$66,"Provento",BDRs!$N$66,Patrimônio!B361)</f>
        <v>0</v>
      </c>
      <c r="M361" s="109">
        <f>SUMIFS(FIIs!$J$66,FIIs!$E$66,"Provento",FIIs!$N$66,Patrimônio!B361)</f>
        <v>0</v>
      </c>
      <c r="N361" s="109">
        <f t="shared" si="2"/>
        <v>0</v>
      </c>
      <c r="O361" s="109"/>
      <c r="Q361" s="151" t="s">
        <v>143</v>
      </c>
      <c r="R361" s="152" t="s">
        <v>261</v>
      </c>
      <c r="S361" s="153">
        <v>0</v>
      </c>
    </row>
    <row r="362" spans="1:19" ht="17.25" customHeight="1">
      <c r="A362" s="108">
        <v>55550</v>
      </c>
      <c r="B362" s="108">
        <f t="shared" si="0"/>
        <v>55549</v>
      </c>
      <c r="C362" s="109"/>
      <c r="D362" s="109"/>
      <c r="E362" s="109"/>
      <c r="F362" s="109"/>
      <c r="G362" s="109"/>
      <c r="H362" s="109"/>
      <c r="I362" s="109">
        <f t="shared" ref="I362:J362" si="376">SUM(C362,E362,G362)</f>
        <v>0</v>
      </c>
      <c r="J362" s="109">
        <f t="shared" si="376"/>
        <v>0</v>
      </c>
      <c r="K362" s="109">
        <f>SUMIFS(Ações!$J$66,Ações!$N$66,Patrimônio!B362,Ações!$E$66,"Provento")</f>
        <v>0</v>
      </c>
      <c r="L362" s="109">
        <f>SUMIFS(BDRs!$J$66,BDRs!$E$66,"Provento",BDRs!$N$66,Patrimônio!B362)</f>
        <v>0</v>
      </c>
      <c r="M362" s="109">
        <f>SUMIFS(FIIs!$J$66,FIIs!$E$66,"Provento",FIIs!$N$66,Patrimônio!B362)</f>
        <v>0</v>
      </c>
      <c r="N362" s="109">
        <f t="shared" si="2"/>
        <v>0</v>
      </c>
      <c r="O362" s="109"/>
      <c r="Q362" s="154"/>
      <c r="R362" s="155" t="s">
        <v>262</v>
      </c>
      <c r="S362" s="156">
        <v>0</v>
      </c>
    </row>
    <row r="363" spans="1:19" ht="17.25" customHeight="1">
      <c r="A363" s="108">
        <v>55579</v>
      </c>
      <c r="B363" s="108">
        <f t="shared" si="0"/>
        <v>55578</v>
      </c>
      <c r="C363" s="109"/>
      <c r="D363" s="109"/>
      <c r="E363" s="109"/>
      <c r="F363" s="109"/>
      <c r="G363" s="109"/>
      <c r="H363" s="109"/>
      <c r="I363" s="109">
        <f t="shared" ref="I363:J363" si="377">SUM(C363,E363,G363)</f>
        <v>0</v>
      </c>
      <c r="J363" s="109">
        <f t="shared" si="377"/>
        <v>0</v>
      </c>
      <c r="K363" s="109">
        <f>SUMIFS(Ações!$J$66,Ações!$N$66,Patrimônio!B363,Ações!$E$66,"Provento")</f>
        <v>0</v>
      </c>
      <c r="L363" s="109">
        <f>SUMIFS(BDRs!$J$66,BDRs!$E$66,"Provento",BDRs!$N$66,Patrimônio!B363)</f>
        <v>0</v>
      </c>
      <c r="M363" s="109">
        <f>SUMIFS(FIIs!$J$66,FIIs!$E$66,"Provento",FIIs!$N$66,Patrimônio!B363)</f>
        <v>0</v>
      </c>
      <c r="N363" s="109">
        <f t="shared" si="2"/>
        <v>0</v>
      </c>
      <c r="O363" s="109"/>
      <c r="Q363" s="154"/>
      <c r="R363" s="155" t="s">
        <v>263</v>
      </c>
      <c r="S363" s="156">
        <v>0</v>
      </c>
    </row>
    <row r="364" spans="1:19" ht="17.25" customHeight="1">
      <c r="A364" s="108">
        <v>55610</v>
      </c>
      <c r="B364" s="108">
        <f t="shared" si="0"/>
        <v>55609</v>
      </c>
      <c r="C364" s="109"/>
      <c r="D364" s="109"/>
      <c r="E364" s="109"/>
      <c r="F364" s="109"/>
      <c r="G364" s="109"/>
      <c r="H364" s="109"/>
      <c r="I364" s="109">
        <f t="shared" ref="I364:J364" si="378">SUM(C364,E364,G364)</f>
        <v>0</v>
      </c>
      <c r="J364" s="109">
        <f t="shared" si="378"/>
        <v>0</v>
      </c>
      <c r="K364" s="109">
        <f>SUMIFS(Ações!$J$66,Ações!$N$66,Patrimônio!B364,Ações!$E$66,"Provento")</f>
        <v>0</v>
      </c>
      <c r="L364" s="109">
        <f>SUMIFS(BDRs!$J$66,BDRs!$E$66,"Provento",BDRs!$N$66,Patrimônio!B364)</f>
        <v>0</v>
      </c>
      <c r="M364" s="109">
        <f>SUMIFS(FIIs!$J$66,FIIs!$E$66,"Provento",FIIs!$N$66,Patrimônio!B364)</f>
        <v>0</v>
      </c>
      <c r="N364" s="109">
        <f t="shared" si="2"/>
        <v>0</v>
      </c>
      <c r="O364" s="109"/>
      <c r="Q364" s="154"/>
      <c r="R364" s="155" t="s">
        <v>264</v>
      </c>
      <c r="S364" s="156">
        <v>0</v>
      </c>
    </row>
    <row r="365" spans="1:19" ht="17.25" customHeight="1">
      <c r="A365" s="108">
        <v>55640</v>
      </c>
      <c r="B365" s="108">
        <f t="shared" si="0"/>
        <v>55639</v>
      </c>
      <c r="C365" s="109"/>
      <c r="D365" s="109"/>
      <c r="E365" s="109"/>
      <c r="F365" s="109"/>
      <c r="G365" s="109"/>
      <c r="H365" s="109"/>
      <c r="I365" s="109">
        <f t="shared" ref="I365:J365" si="379">SUM(C365,E365,G365)</f>
        <v>0</v>
      </c>
      <c r="J365" s="109">
        <f t="shared" si="379"/>
        <v>0</v>
      </c>
      <c r="K365" s="109">
        <f>SUMIFS(Ações!$J$66,Ações!$N$66,Patrimônio!B365,Ações!$E$66,"Provento")</f>
        <v>0</v>
      </c>
      <c r="L365" s="109">
        <f>SUMIFS(BDRs!$J$66,BDRs!$E$66,"Provento",BDRs!$N$66,Patrimônio!B365)</f>
        <v>0</v>
      </c>
      <c r="M365" s="109">
        <f>SUMIFS(FIIs!$J$66,FIIs!$E$66,"Provento",FIIs!$N$66,Patrimônio!B365)</f>
        <v>0</v>
      </c>
      <c r="N365" s="109">
        <f t="shared" si="2"/>
        <v>0</v>
      </c>
      <c r="O365" s="109"/>
      <c r="Q365" s="154"/>
      <c r="R365" s="155" t="s">
        <v>265</v>
      </c>
      <c r="S365" s="156">
        <v>0</v>
      </c>
    </row>
    <row r="366" spans="1:19" ht="17.25" customHeight="1">
      <c r="A366" s="108">
        <v>55671</v>
      </c>
      <c r="B366" s="108">
        <f t="shared" si="0"/>
        <v>55670</v>
      </c>
      <c r="C366" s="109"/>
      <c r="D366" s="109"/>
      <c r="E366" s="109"/>
      <c r="F366" s="109"/>
      <c r="G366" s="109"/>
      <c r="H366" s="109"/>
      <c r="I366" s="109">
        <f t="shared" ref="I366:J366" si="380">SUM(C366,E366,G366)</f>
        <v>0</v>
      </c>
      <c r="J366" s="109">
        <f t="shared" si="380"/>
        <v>0</v>
      </c>
      <c r="K366" s="109">
        <f>SUMIFS(Ações!$J$66,Ações!$N$66,Patrimônio!B366,Ações!$E$66,"Provento")</f>
        <v>0</v>
      </c>
      <c r="L366" s="109">
        <f>SUMIFS(BDRs!$J$66,BDRs!$E$66,"Provento",BDRs!$N$66,Patrimônio!B366)</f>
        <v>0</v>
      </c>
      <c r="M366" s="109">
        <f>SUMIFS(FIIs!$J$66,FIIs!$E$66,"Provento",FIIs!$N$66,Patrimônio!B366)</f>
        <v>0</v>
      </c>
      <c r="N366" s="109">
        <f t="shared" si="2"/>
        <v>0</v>
      </c>
      <c r="O366" s="109"/>
      <c r="Q366" s="154"/>
      <c r="R366" s="155" t="s">
        <v>266</v>
      </c>
      <c r="S366" s="156">
        <v>0</v>
      </c>
    </row>
    <row r="367" spans="1:19" ht="17.25" customHeight="1">
      <c r="A367" s="108">
        <v>55701</v>
      </c>
      <c r="B367" s="108">
        <f t="shared" si="0"/>
        <v>55700</v>
      </c>
      <c r="C367" s="109"/>
      <c r="D367" s="109"/>
      <c r="E367" s="109"/>
      <c r="F367" s="109"/>
      <c r="G367" s="109"/>
      <c r="H367" s="109"/>
      <c r="I367" s="109">
        <f t="shared" ref="I367:J367" si="381">SUM(C367,E367,G367)</f>
        <v>0</v>
      </c>
      <c r="J367" s="109">
        <f t="shared" si="381"/>
        <v>0</v>
      </c>
      <c r="K367" s="109">
        <f>SUMIFS(Ações!$J$66,Ações!$N$66,Patrimônio!B367,Ações!$E$66,"Provento")</f>
        <v>0</v>
      </c>
      <c r="L367" s="109">
        <f>SUMIFS(BDRs!$J$66,BDRs!$E$66,"Provento",BDRs!$N$66,Patrimônio!B367)</f>
        <v>0</v>
      </c>
      <c r="M367" s="109">
        <f>SUMIFS(FIIs!$J$66,FIIs!$E$66,"Provento",FIIs!$N$66,Patrimônio!B367)</f>
        <v>0</v>
      </c>
      <c r="N367" s="109">
        <f t="shared" si="2"/>
        <v>0</v>
      </c>
      <c r="O367" s="109"/>
      <c r="Q367" s="154"/>
      <c r="R367" s="155" t="s">
        <v>267</v>
      </c>
      <c r="S367" s="156">
        <v>0</v>
      </c>
    </row>
    <row r="368" spans="1:19" ht="17.25" customHeight="1">
      <c r="A368" s="108">
        <v>55732</v>
      </c>
      <c r="B368" s="108">
        <f t="shared" si="0"/>
        <v>55731</v>
      </c>
      <c r="C368" s="109"/>
      <c r="D368" s="109"/>
      <c r="E368" s="109"/>
      <c r="F368" s="109"/>
      <c r="G368" s="109"/>
      <c r="H368" s="109"/>
      <c r="I368" s="109">
        <f t="shared" ref="I368:J368" si="382">SUM(C368,E368,G368)</f>
        <v>0</v>
      </c>
      <c r="J368" s="109">
        <f t="shared" si="382"/>
        <v>0</v>
      </c>
      <c r="K368" s="109">
        <f>SUMIFS(Ações!$J$66,Ações!$N$66,Patrimônio!B368,Ações!$E$66,"Provento")</f>
        <v>0</v>
      </c>
      <c r="L368" s="109">
        <f>SUMIFS(BDRs!$J$66,BDRs!$E$66,"Provento",BDRs!$N$66,Patrimônio!B368)</f>
        <v>0</v>
      </c>
      <c r="M368" s="109">
        <f>SUMIFS(FIIs!$J$66,FIIs!$E$66,"Provento",FIIs!$N$66,Patrimônio!B368)</f>
        <v>0</v>
      </c>
      <c r="N368" s="109">
        <f t="shared" si="2"/>
        <v>0</v>
      </c>
      <c r="O368" s="109"/>
      <c r="Q368" s="154"/>
      <c r="R368" s="155" t="s">
        <v>268</v>
      </c>
      <c r="S368" s="156">
        <v>0</v>
      </c>
    </row>
    <row r="369" spans="1:19" ht="17.25" customHeight="1">
      <c r="A369" s="108">
        <v>55763</v>
      </c>
      <c r="B369" s="108">
        <f t="shared" si="0"/>
        <v>55762</v>
      </c>
      <c r="C369" s="109"/>
      <c r="D369" s="109"/>
      <c r="E369" s="109"/>
      <c r="F369" s="109"/>
      <c r="G369" s="109"/>
      <c r="H369" s="109"/>
      <c r="I369" s="109">
        <f t="shared" ref="I369:J369" si="383">SUM(C369,E369,G369)</f>
        <v>0</v>
      </c>
      <c r="J369" s="109">
        <f t="shared" si="383"/>
        <v>0</v>
      </c>
      <c r="K369" s="109">
        <f>SUMIFS(Ações!$J$66,Ações!$N$66,Patrimônio!B369,Ações!$E$66,"Provento")</f>
        <v>0</v>
      </c>
      <c r="L369" s="109">
        <f>SUMIFS(BDRs!$J$66,BDRs!$E$66,"Provento",BDRs!$N$66,Patrimônio!B369)</f>
        <v>0</v>
      </c>
      <c r="M369" s="109">
        <f>SUMIFS(FIIs!$J$66,FIIs!$E$66,"Provento",FIIs!$N$66,Patrimônio!B369)</f>
        <v>0</v>
      </c>
      <c r="N369" s="109">
        <f t="shared" si="2"/>
        <v>0</v>
      </c>
      <c r="O369" s="109"/>
      <c r="Q369" s="154"/>
      <c r="R369" s="155" t="s">
        <v>269</v>
      </c>
      <c r="S369" s="156">
        <v>0</v>
      </c>
    </row>
    <row r="370" spans="1:19" ht="17.25" customHeight="1">
      <c r="A370" s="108">
        <v>55793</v>
      </c>
      <c r="B370" s="108">
        <f t="shared" si="0"/>
        <v>55792</v>
      </c>
      <c r="C370" s="109"/>
      <c r="D370" s="109"/>
      <c r="E370" s="109"/>
      <c r="F370" s="109"/>
      <c r="G370" s="109"/>
      <c r="H370" s="109"/>
      <c r="I370" s="109">
        <f t="shared" ref="I370:J370" si="384">SUM(C370,E370,G370)</f>
        <v>0</v>
      </c>
      <c r="J370" s="109">
        <f t="shared" si="384"/>
        <v>0</v>
      </c>
      <c r="K370" s="109">
        <f>SUMIFS(Ações!$J$66,Ações!$N$66,Patrimônio!B370,Ações!$E$66,"Provento")</f>
        <v>0</v>
      </c>
      <c r="L370" s="109">
        <f>SUMIFS(BDRs!$J$66,BDRs!$E$66,"Provento",BDRs!$N$66,Patrimônio!B370)</f>
        <v>0</v>
      </c>
      <c r="M370" s="109">
        <f>SUMIFS(FIIs!$J$66,FIIs!$E$66,"Provento",FIIs!$N$66,Patrimônio!B370)</f>
        <v>0</v>
      </c>
      <c r="N370" s="109">
        <f t="shared" si="2"/>
        <v>0</v>
      </c>
      <c r="O370" s="109"/>
      <c r="Q370" s="154"/>
      <c r="R370" s="155" t="s">
        <v>270</v>
      </c>
      <c r="S370" s="156">
        <v>0</v>
      </c>
    </row>
    <row r="371" spans="1:19" ht="17.25" customHeight="1">
      <c r="A371" s="108">
        <v>55824</v>
      </c>
      <c r="B371" s="108">
        <f t="shared" si="0"/>
        <v>55823</v>
      </c>
      <c r="C371" s="109"/>
      <c r="D371" s="109"/>
      <c r="E371" s="109"/>
      <c r="F371" s="109"/>
      <c r="G371" s="109"/>
      <c r="H371" s="109"/>
      <c r="I371" s="109">
        <f t="shared" ref="I371:J371" si="385">SUM(C371,E371,G371)</f>
        <v>0</v>
      </c>
      <c r="J371" s="109">
        <f t="shared" si="385"/>
        <v>0</v>
      </c>
      <c r="K371" s="109">
        <f>SUMIFS(Ações!$J$66,Ações!$N$66,Patrimônio!B371,Ações!$E$66,"Provento")</f>
        <v>0</v>
      </c>
      <c r="L371" s="109">
        <f>SUMIFS(BDRs!$J$66,BDRs!$E$66,"Provento",BDRs!$N$66,Patrimônio!B371)</f>
        <v>0</v>
      </c>
      <c r="M371" s="109">
        <f>SUMIFS(FIIs!$J$66,FIIs!$E$66,"Provento",FIIs!$N$66,Patrimônio!B371)</f>
        <v>0</v>
      </c>
      <c r="N371" s="109">
        <f t="shared" si="2"/>
        <v>0</v>
      </c>
      <c r="O371" s="109"/>
      <c r="Q371" s="154"/>
      <c r="R371" s="155" t="s">
        <v>271</v>
      </c>
      <c r="S371" s="156">
        <v>0</v>
      </c>
    </row>
    <row r="372" spans="1:19" ht="17.25" customHeight="1">
      <c r="A372" s="108">
        <v>55854</v>
      </c>
      <c r="B372" s="108">
        <f t="shared" si="0"/>
        <v>55853</v>
      </c>
      <c r="C372" s="109"/>
      <c r="D372" s="109"/>
      <c r="E372" s="109"/>
      <c r="F372" s="109"/>
      <c r="G372" s="109"/>
      <c r="H372" s="109"/>
      <c r="I372" s="109">
        <f t="shared" ref="I372:J372" si="386">SUM(C372,E372,G372)</f>
        <v>0</v>
      </c>
      <c r="J372" s="109">
        <f t="shared" si="386"/>
        <v>0</v>
      </c>
      <c r="K372" s="109">
        <f>SUMIFS(Ações!$J$66,Ações!$N$66,Patrimônio!B372,Ações!$E$66,"Provento")</f>
        <v>0</v>
      </c>
      <c r="L372" s="109">
        <f>SUMIFS(BDRs!$J$66,BDRs!$E$66,"Provento",BDRs!$N$66,Patrimônio!B372)</f>
        <v>0</v>
      </c>
      <c r="M372" s="109">
        <f>SUMIFS(FIIs!$J$66,FIIs!$E$66,"Provento",FIIs!$N$66,Patrimônio!B372)</f>
        <v>0</v>
      </c>
      <c r="N372" s="109">
        <f t="shared" si="2"/>
        <v>0</v>
      </c>
      <c r="O372" s="109"/>
      <c r="Q372" s="154"/>
      <c r="R372" s="155" t="s">
        <v>272</v>
      </c>
      <c r="S372" s="156">
        <v>0</v>
      </c>
    </row>
    <row r="373" spans="1:19" ht="17.25" customHeight="1">
      <c r="A373" s="108">
        <v>55885</v>
      </c>
      <c r="B373" s="108">
        <f t="shared" si="0"/>
        <v>55884</v>
      </c>
      <c r="C373" s="109"/>
      <c r="D373" s="109"/>
      <c r="E373" s="109"/>
      <c r="F373" s="109"/>
      <c r="G373" s="109"/>
      <c r="H373" s="109"/>
      <c r="I373" s="109">
        <f t="shared" ref="I373:J373" si="387">SUM(C373,E373,G373)</f>
        <v>0</v>
      </c>
      <c r="J373" s="109">
        <f t="shared" si="387"/>
        <v>0</v>
      </c>
      <c r="K373" s="109">
        <f>SUMIFS(Ações!$J$66,Ações!$N$66,Patrimônio!B373,Ações!$E$66,"Provento")</f>
        <v>0</v>
      </c>
      <c r="L373" s="109">
        <f>SUMIFS(BDRs!$J$66,BDRs!$E$66,"Provento",BDRs!$N$66,Patrimônio!B373)</f>
        <v>0</v>
      </c>
      <c r="M373" s="109">
        <f>SUMIFS(FIIs!$J$66,FIIs!$E$66,"Provento",FIIs!$N$66,Patrimônio!B373)</f>
        <v>0</v>
      </c>
      <c r="N373" s="109">
        <f t="shared" si="2"/>
        <v>0</v>
      </c>
      <c r="O373" s="109"/>
      <c r="Q373" s="151" t="s">
        <v>144</v>
      </c>
      <c r="R373" s="157"/>
      <c r="S373" s="153">
        <v>0</v>
      </c>
    </row>
    <row r="374" spans="1:19" ht="17.25" customHeight="1">
      <c r="A374" s="108">
        <v>55916</v>
      </c>
      <c r="B374" s="108">
        <f t="shared" si="0"/>
        <v>55915</v>
      </c>
      <c r="C374" s="109"/>
      <c r="D374" s="109"/>
      <c r="E374" s="109"/>
      <c r="F374" s="109"/>
      <c r="G374" s="109"/>
      <c r="H374" s="109"/>
      <c r="I374" s="109">
        <f t="shared" ref="I374:J374" si="388">SUM(C374,E374,G374)</f>
        <v>0</v>
      </c>
      <c r="J374" s="109">
        <f t="shared" si="388"/>
        <v>0</v>
      </c>
      <c r="K374" s="109">
        <f>SUMIFS(Ações!$J$66,Ações!$N$66,Patrimônio!B374,Ações!$E$66,"Provento")</f>
        <v>0</v>
      </c>
      <c r="L374" s="109">
        <f>SUMIFS(BDRs!$J$66,BDRs!$E$66,"Provento",BDRs!$N$66,Patrimônio!B374)</f>
        <v>0</v>
      </c>
      <c r="M374" s="109">
        <f>SUMIFS(FIIs!$J$66,FIIs!$E$66,"Provento",FIIs!$N$66,Patrimônio!B374)</f>
        <v>0</v>
      </c>
      <c r="N374" s="109">
        <f t="shared" si="2"/>
        <v>0</v>
      </c>
      <c r="O374" s="109"/>
      <c r="Q374" s="151" t="s">
        <v>145</v>
      </c>
      <c r="R374" s="152" t="s">
        <v>261</v>
      </c>
      <c r="S374" s="153">
        <v>0</v>
      </c>
    </row>
    <row r="375" spans="1:19" ht="17.25" customHeight="1">
      <c r="A375" s="108">
        <v>55944</v>
      </c>
      <c r="B375" s="108">
        <f t="shared" si="0"/>
        <v>55943</v>
      </c>
      <c r="C375" s="109"/>
      <c r="D375" s="109"/>
      <c r="E375" s="109"/>
      <c r="F375" s="109"/>
      <c r="G375" s="109"/>
      <c r="H375" s="109"/>
      <c r="I375" s="109">
        <f t="shared" ref="I375:J375" si="389">SUM(C375,E375,G375)</f>
        <v>0</v>
      </c>
      <c r="J375" s="109">
        <f t="shared" si="389"/>
        <v>0</v>
      </c>
      <c r="K375" s="109">
        <f>SUMIFS(Ações!$J$66,Ações!$N$66,Patrimônio!B375,Ações!$E$66,"Provento")</f>
        <v>0</v>
      </c>
      <c r="L375" s="109">
        <f>SUMIFS(BDRs!$J$66,BDRs!$E$66,"Provento",BDRs!$N$66,Patrimônio!B375)</f>
        <v>0</v>
      </c>
      <c r="M375" s="109">
        <f>SUMIFS(FIIs!$J$66,FIIs!$E$66,"Provento",FIIs!$N$66,Patrimônio!B375)</f>
        <v>0</v>
      </c>
      <c r="N375" s="109">
        <f t="shared" si="2"/>
        <v>0</v>
      </c>
      <c r="O375" s="109"/>
      <c r="Q375" s="154"/>
      <c r="R375" s="155" t="s">
        <v>262</v>
      </c>
      <c r="S375" s="156">
        <v>0</v>
      </c>
    </row>
    <row r="376" spans="1:19" ht="17.25" customHeight="1">
      <c r="A376" s="108">
        <v>55975</v>
      </c>
      <c r="B376" s="108">
        <f t="shared" si="0"/>
        <v>55974</v>
      </c>
      <c r="C376" s="109"/>
      <c r="D376" s="109"/>
      <c r="E376" s="109"/>
      <c r="F376" s="109"/>
      <c r="G376" s="109"/>
      <c r="H376" s="109"/>
      <c r="I376" s="109">
        <f t="shared" ref="I376:J376" si="390">SUM(C376,E376,G376)</f>
        <v>0</v>
      </c>
      <c r="J376" s="109">
        <f t="shared" si="390"/>
        <v>0</v>
      </c>
      <c r="K376" s="109">
        <f>SUMIFS(Ações!$J$66,Ações!$N$66,Patrimônio!B376,Ações!$E$66,"Provento")</f>
        <v>0</v>
      </c>
      <c r="L376" s="109">
        <f>SUMIFS(BDRs!$J$66,BDRs!$E$66,"Provento",BDRs!$N$66,Patrimônio!B376)</f>
        <v>0</v>
      </c>
      <c r="M376" s="109">
        <f>SUMIFS(FIIs!$J$66,FIIs!$E$66,"Provento",FIIs!$N$66,Patrimônio!B376)</f>
        <v>0</v>
      </c>
      <c r="N376" s="109">
        <f t="shared" si="2"/>
        <v>0</v>
      </c>
      <c r="O376" s="109"/>
      <c r="Q376" s="154"/>
      <c r="R376" s="155" t="s">
        <v>263</v>
      </c>
      <c r="S376" s="156">
        <v>0</v>
      </c>
    </row>
    <row r="377" spans="1:19" ht="17.25" customHeight="1">
      <c r="A377" s="108">
        <v>56005</v>
      </c>
      <c r="B377" s="108">
        <f t="shared" si="0"/>
        <v>56004</v>
      </c>
      <c r="C377" s="109"/>
      <c r="D377" s="109"/>
      <c r="E377" s="109"/>
      <c r="F377" s="109"/>
      <c r="G377" s="109"/>
      <c r="H377" s="109"/>
      <c r="I377" s="109">
        <f t="shared" ref="I377:J377" si="391">SUM(C377,E377,G377)</f>
        <v>0</v>
      </c>
      <c r="J377" s="109">
        <f t="shared" si="391"/>
        <v>0</v>
      </c>
      <c r="K377" s="109">
        <f>SUMIFS(Ações!$J$66,Ações!$N$66,Patrimônio!B377,Ações!$E$66,"Provento")</f>
        <v>0</v>
      </c>
      <c r="L377" s="109">
        <f>SUMIFS(BDRs!$J$66,BDRs!$E$66,"Provento",BDRs!$N$66,Patrimônio!B377)</f>
        <v>0</v>
      </c>
      <c r="M377" s="109">
        <f>SUMIFS(FIIs!$J$66,FIIs!$E$66,"Provento",FIIs!$N$66,Patrimônio!B377)</f>
        <v>0</v>
      </c>
      <c r="N377" s="109">
        <f t="shared" si="2"/>
        <v>0</v>
      </c>
      <c r="O377" s="109"/>
      <c r="Q377" s="154"/>
      <c r="R377" s="155" t="s">
        <v>264</v>
      </c>
      <c r="S377" s="156">
        <v>0</v>
      </c>
    </row>
    <row r="378" spans="1:19" ht="17.25" customHeight="1">
      <c r="A378" s="108">
        <v>56036</v>
      </c>
      <c r="B378" s="108">
        <f t="shared" si="0"/>
        <v>56035</v>
      </c>
      <c r="C378" s="109"/>
      <c r="D378" s="109"/>
      <c r="E378" s="109"/>
      <c r="F378" s="109"/>
      <c r="G378" s="109"/>
      <c r="H378" s="109"/>
      <c r="I378" s="109">
        <f t="shared" ref="I378:J378" si="392">SUM(C378,E378,G378)</f>
        <v>0</v>
      </c>
      <c r="J378" s="109">
        <f t="shared" si="392"/>
        <v>0</v>
      </c>
      <c r="K378" s="109">
        <f>SUMIFS(Ações!$J$66,Ações!$N$66,Patrimônio!B378,Ações!$E$66,"Provento")</f>
        <v>0</v>
      </c>
      <c r="L378" s="109">
        <f>SUMIFS(BDRs!$J$66,BDRs!$E$66,"Provento",BDRs!$N$66,Patrimônio!B378)</f>
        <v>0</v>
      </c>
      <c r="M378" s="109">
        <f>SUMIFS(FIIs!$J$66,FIIs!$E$66,"Provento",FIIs!$N$66,Patrimônio!B378)</f>
        <v>0</v>
      </c>
      <c r="N378" s="109">
        <f t="shared" si="2"/>
        <v>0</v>
      </c>
      <c r="O378" s="109"/>
      <c r="Q378" s="154"/>
      <c r="R378" s="155" t="s">
        <v>265</v>
      </c>
      <c r="S378" s="156">
        <v>0</v>
      </c>
    </row>
    <row r="379" spans="1:19" ht="17.25" customHeight="1">
      <c r="A379" s="108">
        <v>56066</v>
      </c>
      <c r="B379" s="108">
        <f t="shared" si="0"/>
        <v>56065</v>
      </c>
      <c r="C379" s="109"/>
      <c r="D379" s="109"/>
      <c r="E379" s="109"/>
      <c r="F379" s="109"/>
      <c r="G379" s="109"/>
      <c r="H379" s="109"/>
      <c r="I379" s="109">
        <f t="shared" ref="I379:J379" si="393">SUM(C379,E379,G379)</f>
        <v>0</v>
      </c>
      <c r="J379" s="109">
        <f t="shared" si="393"/>
        <v>0</v>
      </c>
      <c r="K379" s="109">
        <f>SUMIFS(Ações!$J$66,Ações!$N$66,Patrimônio!B379,Ações!$E$66,"Provento")</f>
        <v>0</v>
      </c>
      <c r="L379" s="109">
        <f>SUMIFS(BDRs!$J$66,BDRs!$E$66,"Provento",BDRs!$N$66,Patrimônio!B379)</f>
        <v>0</v>
      </c>
      <c r="M379" s="109">
        <f>SUMIFS(FIIs!$J$66,FIIs!$E$66,"Provento",FIIs!$N$66,Patrimônio!B379)</f>
        <v>0</v>
      </c>
      <c r="N379" s="109">
        <f t="shared" si="2"/>
        <v>0</v>
      </c>
      <c r="O379" s="109"/>
      <c r="Q379" s="154"/>
      <c r="R379" s="155" t="s">
        <v>266</v>
      </c>
      <c r="S379" s="156">
        <v>0</v>
      </c>
    </row>
    <row r="380" spans="1:19" ht="17.25" customHeight="1">
      <c r="A380" s="108">
        <v>56097</v>
      </c>
      <c r="B380" s="108">
        <f t="shared" si="0"/>
        <v>56096</v>
      </c>
      <c r="C380" s="109"/>
      <c r="D380" s="109"/>
      <c r="E380" s="109"/>
      <c r="F380" s="109"/>
      <c r="G380" s="109"/>
      <c r="H380" s="109"/>
      <c r="I380" s="109">
        <f t="shared" ref="I380:J380" si="394">SUM(C380,E380,G380)</f>
        <v>0</v>
      </c>
      <c r="J380" s="109">
        <f t="shared" si="394"/>
        <v>0</v>
      </c>
      <c r="K380" s="109">
        <f>SUMIFS(Ações!$J$66,Ações!$N$66,Patrimônio!B380,Ações!$E$66,"Provento")</f>
        <v>0</v>
      </c>
      <c r="L380" s="109">
        <f>SUMIFS(BDRs!$J$66,BDRs!$E$66,"Provento",BDRs!$N$66,Patrimônio!B380)</f>
        <v>0</v>
      </c>
      <c r="M380" s="109">
        <f>SUMIFS(FIIs!$J$66,FIIs!$E$66,"Provento",FIIs!$N$66,Patrimônio!B380)</f>
        <v>0</v>
      </c>
      <c r="N380" s="109">
        <f t="shared" si="2"/>
        <v>0</v>
      </c>
      <c r="O380" s="109"/>
      <c r="Q380" s="154"/>
      <c r="R380" s="155" t="s">
        <v>267</v>
      </c>
      <c r="S380" s="156">
        <v>0</v>
      </c>
    </row>
    <row r="381" spans="1:19" ht="17.25" customHeight="1">
      <c r="A381" s="108">
        <v>56128</v>
      </c>
      <c r="B381" s="108">
        <f t="shared" si="0"/>
        <v>56127</v>
      </c>
      <c r="C381" s="109"/>
      <c r="D381" s="109"/>
      <c r="E381" s="109"/>
      <c r="F381" s="109"/>
      <c r="G381" s="109"/>
      <c r="H381" s="109"/>
      <c r="I381" s="109">
        <f t="shared" ref="I381:J381" si="395">SUM(C381,E381,G381)</f>
        <v>0</v>
      </c>
      <c r="J381" s="109">
        <f t="shared" si="395"/>
        <v>0</v>
      </c>
      <c r="K381" s="109">
        <f>SUMIFS(Ações!$J$66,Ações!$N$66,Patrimônio!B381,Ações!$E$66,"Provento")</f>
        <v>0</v>
      </c>
      <c r="L381" s="109">
        <f>SUMIFS(BDRs!$J$66,BDRs!$E$66,"Provento",BDRs!$N$66,Patrimônio!B381)</f>
        <v>0</v>
      </c>
      <c r="M381" s="109">
        <f>SUMIFS(FIIs!$J$66,FIIs!$E$66,"Provento",FIIs!$N$66,Patrimônio!B381)</f>
        <v>0</v>
      </c>
      <c r="N381" s="109">
        <f t="shared" si="2"/>
        <v>0</v>
      </c>
      <c r="O381" s="109"/>
      <c r="Q381" s="154"/>
      <c r="R381" s="155" t="s">
        <v>268</v>
      </c>
      <c r="S381" s="156">
        <v>0</v>
      </c>
    </row>
    <row r="382" spans="1:19" ht="17.25" customHeight="1">
      <c r="A382" s="108">
        <v>56158</v>
      </c>
      <c r="B382" s="108">
        <f t="shared" si="0"/>
        <v>56157</v>
      </c>
      <c r="C382" s="109"/>
      <c r="D382" s="109"/>
      <c r="E382" s="109"/>
      <c r="F382" s="109"/>
      <c r="G382" s="109"/>
      <c r="H382" s="109"/>
      <c r="I382" s="109">
        <f t="shared" ref="I382:J382" si="396">SUM(C382,E382,G382)</f>
        <v>0</v>
      </c>
      <c r="J382" s="109">
        <f t="shared" si="396"/>
        <v>0</v>
      </c>
      <c r="K382" s="109">
        <f>SUMIFS(Ações!$J$66,Ações!$N$66,Patrimônio!B382,Ações!$E$66,"Provento")</f>
        <v>0</v>
      </c>
      <c r="L382" s="109">
        <f>SUMIFS(BDRs!$J$66,BDRs!$E$66,"Provento",BDRs!$N$66,Patrimônio!B382)</f>
        <v>0</v>
      </c>
      <c r="M382" s="109">
        <f>SUMIFS(FIIs!$J$66,FIIs!$E$66,"Provento",FIIs!$N$66,Patrimônio!B382)</f>
        <v>0</v>
      </c>
      <c r="N382" s="109">
        <f t="shared" si="2"/>
        <v>0</v>
      </c>
      <c r="O382" s="109"/>
      <c r="Q382" s="154"/>
      <c r="R382" s="155" t="s">
        <v>269</v>
      </c>
      <c r="S382" s="156">
        <v>0</v>
      </c>
    </row>
    <row r="383" spans="1:19" ht="17.25" customHeight="1">
      <c r="A383" s="108">
        <v>56189</v>
      </c>
      <c r="B383" s="108">
        <f t="shared" si="0"/>
        <v>56188</v>
      </c>
      <c r="C383" s="109"/>
      <c r="D383" s="109"/>
      <c r="E383" s="109"/>
      <c r="F383" s="109"/>
      <c r="G383" s="109"/>
      <c r="H383" s="109"/>
      <c r="I383" s="109">
        <f t="shared" ref="I383:J383" si="397">SUM(C383,E383,G383)</f>
        <v>0</v>
      </c>
      <c r="J383" s="109">
        <f t="shared" si="397"/>
        <v>0</v>
      </c>
      <c r="K383" s="109">
        <f>SUMIFS(Ações!$J$66,Ações!$N$66,Patrimônio!B383,Ações!$E$66,"Provento")</f>
        <v>0</v>
      </c>
      <c r="L383" s="109">
        <f>SUMIFS(BDRs!$J$66,BDRs!$E$66,"Provento",BDRs!$N$66,Patrimônio!B383)</f>
        <v>0</v>
      </c>
      <c r="M383" s="109">
        <f>SUMIFS(FIIs!$J$66,FIIs!$E$66,"Provento",FIIs!$N$66,Patrimônio!B383)</f>
        <v>0</v>
      </c>
      <c r="N383" s="109">
        <f t="shared" si="2"/>
        <v>0</v>
      </c>
      <c r="O383" s="109"/>
      <c r="Q383" s="154"/>
      <c r="R383" s="155" t="s">
        <v>270</v>
      </c>
      <c r="S383" s="156">
        <v>0</v>
      </c>
    </row>
    <row r="384" spans="1:19" ht="17.25" customHeight="1">
      <c r="A384" s="108">
        <v>56219</v>
      </c>
      <c r="B384" s="108">
        <f t="shared" si="0"/>
        <v>56218</v>
      </c>
      <c r="C384" s="109"/>
      <c r="D384" s="109"/>
      <c r="E384" s="109"/>
      <c r="F384" s="109"/>
      <c r="G384" s="109"/>
      <c r="H384" s="109"/>
      <c r="I384" s="109">
        <f t="shared" ref="I384:J384" si="398">SUM(C384,E384,G384)</f>
        <v>0</v>
      </c>
      <c r="J384" s="109">
        <f t="shared" si="398"/>
        <v>0</v>
      </c>
      <c r="K384" s="109">
        <f>SUMIFS(Ações!$J$66,Ações!$N$66,Patrimônio!B384,Ações!$E$66,"Provento")</f>
        <v>0</v>
      </c>
      <c r="L384" s="109">
        <f>SUMIFS(BDRs!$J$66,BDRs!$E$66,"Provento",BDRs!$N$66,Patrimônio!B384)</f>
        <v>0</v>
      </c>
      <c r="M384" s="109">
        <f>SUMIFS(FIIs!$J$66,FIIs!$E$66,"Provento",FIIs!$N$66,Patrimônio!B384)</f>
        <v>0</v>
      </c>
      <c r="N384" s="109">
        <f t="shared" si="2"/>
        <v>0</v>
      </c>
      <c r="O384" s="109"/>
      <c r="Q384" s="154"/>
      <c r="R384" s="155" t="s">
        <v>271</v>
      </c>
      <c r="S384" s="156">
        <v>0</v>
      </c>
    </row>
    <row r="385" spans="1:19" ht="17.25" customHeight="1">
      <c r="A385" s="108">
        <v>56250</v>
      </c>
      <c r="B385" s="108">
        <f t="shared" si="0"/>
        <v>56249</v>
      </c>
      <c r="C385" s="109"/>
      <c r="D385" s="109"/>
      <c r="E385" s="109"/>
      <c r="F385" s="109"/>
      <c r="G385" s="109"/>
      <c r="H385" s="109"/>
      <c r="I385" s="109">
        <f t="shared" ref="I385:J385" si="399">SUM(C385,E385,G385)</f>
        <v>0</v>
      </c>
      <c r="J385" s="109">
        <f t="shared" si="399"/>
        <v>0</v>
      </c>
      <c r="K385" s="109">
        <f>SUMIFS(Ações!$J$66,Ações!$N$66,Patrimônio!B385,Ações!$E$66,"Provento")</f>
        <v>0</v>
      </c>
      <c r="L385" s="109">
        <f>SUMIFS(BDRs!$J$66,BDRs!$E$66,"Provento",BDRs!$N$66,Patrimônio!B385)</f>
        <v>0</v>
      </c>
      <c r="M385" s="109">
        <f>SUMIFS(FIIs!$J$66,FIIs!$E$66,"Provento",FIIs!$N$66,Patrimônio!B385)</f>
        <v>0</v>
      </c>
      <c r="N385" s="109">
        <f t="shared" si="2"/>
        <v>0</v>
      </c>
      <c r="O385" s="109"/>
      <c r="Q385" s="154"/>
      <c r="R385" s="155" t="s">
        <v>272</v>
      </c>
      <c r="S385" s="156">
        <v>0</v>
      </c>
    </row>
    <row r="386" spans="1:19" ht="17.25" customHeight="1">
      <c r="A386" s="108">
        <v>56281</v>
      </c>
      <c r="B386" s="108">
        <f t="shared" si="0"/>
        <v>56280</v>
      </c>
      <c r="C386" s="109"/>
      <c r="D386" s="109"/>
      <c r="E386" s="109"/>
      <c r="F386" s="109"/>
      <c r="G386" s="109"/>
      <c r="H386" s="109"/>
      <c r="I386" s="109">
        <f t="shared" ref="I386:J386" si="400">SUM(C386,E386,G386)</f>
        <v>0</v>
      </c>
      <c r="J386" s="109">
        <f t="shared" si="400"/>
        <v>0</v>
      </c>
      <c r="K386" s="109">
        <f>SUMIFS(Ações!$J$66,Ações!$N$66,Patrimônio!B386,Ações!$E$66,"Provento")</f>
        <v>0</v>
      </c>
      <c r="L386" s="109">
        <f>SUMIFS(BDRs!$J$66,BDRs!$E$66,"Provento",BDRs!$N$66,Patrimônio!B386)</f>
        <v>0</v>
      </c>
      <c r="M386" s="109">
        <f>SUMIFS(FIIs!$J$66,FIIs!$E$66,"Provento",FIIs!$N$66,Patrimônio!B386)</f>
        <v>0</v>
      </c>
      <c r="N386" s="109">
        <f t="shared" si="2"/>
        <v>0</v>
      </c>
      <c r="O386" s="109"/>
      <c r="Q386" s="151" t="s">
        <v>146</v>
      </c>
      <c r="R386" s="157"/>
      <c r="S386" s="153">
        <v>0</v>
      </c>
    </row>
    <row r="387" spans="1:19" ht="17.25" customHeight="1">
      <c r="A387" s="108">
        <v>56309</v>
      </c>
      <c r="B387" s="108">
        <f t="shared" si="0"/>
        <v>56308</v>
      </c>
      <c r="C387" s="109"/>
      <c r="D387" s="109"/>
      <c r="E387" s="109"/>
      <c r="F387" s="109"/>
      <c r="G387" s="109"/>
      <c r="H387" s="109"/>
      <c r="I387" s="109">
        <f t="shared" ref="I387:J387" si="401">SUM(C387,E387,G387)</f>
        <v>0</v>
      </c>
      <c r="J387" s="109">
        <f t="shared" si="401"/>
        <v>0</v>
      </c>
      <c r="K387" s="109">
        <f>SUMIFS(Ações!$J$66,Ações!$N$66,Patrimônio!B387,Ações!$E$66,"Provento")</f>
        <v>0</v>
      </c>
      <c r="L387" s="109">
        <f>SUMIFS(BDRs!$J$66,BDRs!$E$66,"Provento",BDRs!$N$66,Patrimônio!B387)</f>
        <v>0</v>
      </c>
      <c r="M387" s="109">
        <f>SUMIFS(FIIs!$J$66,FIIs!$E$66,"Provento",FIIs!$N$66,Patrimônio!B387)</f>
        <v>0</v>
      </c>
      <c r="N387" s="109">
        <f t="shared" si="2"/>
        <v>0</v>
      </c>
      <c r="O387" s="109"/>
      <c r="Q387" s="151" t="s">
        <v>147</v>
      </c>
      <c r="R387" s="152" t="s">
        <v>261</v>
      </c>
      <c r="S387" s="153">
        <v>0</v>
      </c>
    </row>
    <row r="388" spans="1:19" ht="17.25" customHeight="1">
      <c r="A388" s="108">
        <v>56340</v>
      </c>
      <c r="B388" s="108">
        <f t="shared" si="0"/>
        <v>56339</v>
      </c>
      <c r="C388" s="109"/>
      <c r="D388" s="109"/>
      <c r="E388" s="109"/>
      <c r="F388" s="109"/>
      <c r="G388" s="109"/>
      <c r="H388" s="109"/>
      <c r="I388" s="109">
        <f t="shared" ref="I388:J388" si="402">SUM(C388,E388,G388)</f>
        <v>0</v>
      </c>
      <c r="J388" s="109">
        <f t="shared" si="402"/>
        <v>0</v>
      </c>
      <c r="K388" s="109">
        <f>SUMIFS(Ações!$J$66,Ações!$N$66,Patrimônio!B388,Ações!$E$66,"Provento")</f>
        <v>0</v>
      </c>
      <c r="L388" s="109">
        <f>SUMIFS(BDRs!$J$66,BDRs!$E$66,"Provento",BDRs!$N$66,Patrimônio!B388)</f>
        <v>0</v>
      </c>
      <c r="M388" s="109">
        <f>SUMIFS(FIIs!$J$66,FIIs!$E$66,"Provento",FIIs!$N$66,Patrimônio!B388)</f>
        <v>0</v>
      </c>
      <c r="N388" s="109">
        <f t="shared" si="2"/>
        <v>0</v>
      </c>
      <c r="O388" s="109"/>
      <c r="Q388" s="154"/>
      <c r="R388" s="155" t="s">
        <v>262</v>
      </c>
      <c r="S388" s="156">
        <v>0</v>
      </c>
    </row>
    <row r="389" spans="1:19" ht="17.25" customHeight="1">
      <c r="A389" s="108">
        <v>56370</v>
      </c>
      <c r="B389" s="108">
        <f t="shared" si="0"/>
        <v>56369</v>
      </c>
      <c r="C389" s="109"/>
      <c r="D389" s="109"/>
      <c r="E389" s="109"/>
      <c r="F389" s="109"/>
      <c r="G389" s="109"/>
      <c r="H389" s="109"/>
      <c r="I389" s="109">
        <f t="shared" ref="I389:J389" si="403">SUM(C389,E389,G389)</f>
        <v>0</v>
      </c>
      <c r="J389" s="109">
        <f t="shared" si="403"/>
        <v>0</v>
      </c>
      <c r="K389" s="109">
        <f>SUMIFS(Ações!$J$66,Ações!$N$66,Patrimônio!B389,Ações!$E$66,"Provento")</f>
        <v>0</v>
      </c>
      <c r="L389" s="109">
        <f>SUMIFS(BDRs!$J$66,BDRs!$E$66,"Provento",BDRs!$N$66,Patrimônio!B389)</f>
        <v>0</v>
      </c>
      <c r="M389" s="109">
        <f>SUMIFS(FIIs!$J$66,FIIs!$E$66,"Provento",FIIs!$N$66,Patrimônio!B389)</f>
        <v>0</v>
      </c>
      <c r="N389" s="109">
        <f t="shared" si="2"/>
        <v>0</v>
      </c>
      <c r="O389" s="109"/>
      <c r="Q389" s="154"/>
      <c r="R389" s="155" t="s">
        <v>263</v>
      </c>
      <c r="S389" s="156">
        <v>0</v>
      </c>
    </row>
    <row r="390" spans="1:19" ht="17.25" customHeight="1">
      <c r="A390" s="108">
        <v>56401</v>
      </c>
      <c r="B390" s="108">
        <f t="shared" si="0"/>
        <v>56400</v>
      </c>
      <c r="C390" s="109"/>
      <c r="D390" s="109"/>
      <c r="E390" s="109"/>
      <c r="F390" s="109"/>
      <c r="G390" s="109"/>
      <c r="H390" s="109"/>
      <c r="I390" s="109">
        <f t="shared" ref="I390:J390" si="404">SUM(C390,E390,G390)</f>
        <v>0</v>
      </c>
      <c r="J390" s="109">
        <f t="shared" si="404"/>
        <v>0</v>
      </c>
      <c r="K390" s="109">
        <f>SUMIFS(Ações!$J$66,Ações!$N$66,Patrimônio!B390,Ações!$E$66,"Provento")</f>
        <v>0</v>
      </c>
      <c r="L390" s="109">
        <f>SUMIFS(BDRs!$J$66,BDRs!$E$66,"Provento",BDRs!$N$66,Patrimônio!B390)</f>
        <v>0</v>
      </c>
      <c r="M390" s="109">
        <f>SUMIFS(FIIs!$J$66,FIIs!$E$66,"Provento",FIIs!$N$66,Patrimônio!B390)</f>
        <v>0</v>
      </c>
      <c r="N390" s="109">
        <f t="shared" si="2"/>
        <v>0</v>
      </c>
      <c r="O390" s="109"/>
      <c r="Q390" s="154"/>
      <c r="R390" s="155" t="s">
        <v>264</v>
      </c>
      <c r="S390" s="156">
        <v>0</v>
      </c>
    </row>
    <row r="391" spans="1:19" ht="17.25" customHeight="1">
      <c r="A391" s="108">
        <v>56431</v>
      </c>
      <c r="B391" s="108">
        <f t="shared" si="0"/>
        <v>56430</v>
      </c>
      <c r="C391" s="109"/>
      <c r="D391" s="109"/>
      <c r="E391" s="109"/>
      <c r="F391" s="109"/>
      <c r="G391" s="109"/>
      <c r="H391" s="109"/>
      <c r="I391" s="109">
        <f t="shared" ref="I391:J391" si="405">SUM(C391,E391,G391)</f>
        <v>0</v>
      </c>
      <c r="J391" s="109">
        <f t="shared" si="405"/>
        <v>0</v>
      </c>
      <c r="K391" s="109">
        <f>SUMIFS(Ações!$J$66,Ações!$N$66,Patrimônio!B391,Ações!$E$66,"Provento")</f>
        <v>0</v>
      </c>
      <c r="L391" s="109">
        <f>SUMIFS(BDRs!$J$66,BDRs!$E$66,"Provento",BDRs!$N$66,Patrimônio!B391)</f>
        <v>0</v>
      </c>
      <c r="M391" s="109">
        <f>SUMIFS(FIIs!$J$66,FIIs!$E$66,"Provento",FIIs!$N$66,Patrimônio!B391)</f>
        <v>0</v>
      </c>
      <c r="N391" s="109">
        <f t="shared" si="2"/>
        <v>0</v>
      </c>
      <c r="O391" s="109"/>
      <c r="Q391" s="154"/>
      <c r="R391" s="155" t="s">
        <v>265</v>
      </c>
      <c r="S391" s="156">
        <v>0</v>
      </c>
    </row>
    <row r="392" spans="1:19" ht="17.25" customHeight="1">
      <c r="A392" s="108">
        <v>56462</v>
      </c>
      <c r="B392" s="108">
        <f t="shared" si="0"/>
        <v>56461</v>
      </c>
      <c r="C392" s="109"/>
      <c r="D392" s="109"/>
      <c r="E392" s="109"/>
      <c r="F392" s="109"/>
      <c r="G392" s="109"/>
      <c r="H392" s="109"/>
      <c r="I392" s="109">
        <f t="shared" ref="I392:J392" si="406">SUM(C392,E392,G392)</f>
        <v>0</v>
      </c>
      <c r="J392" s="109">
        <f t="shared" si="406"/>
        <v>0</v>
      </c>
      <c r="K392" s="109">
        <f>SUMIFS(Ações!$J$66,Ações!$N$66,Patrimônio!B392,Ações!$E$66,"Provento")</f>
        <v>0</v>
      </c>
      <c r="L392" s="109">
        <f>SUMIFS(BDRs!$J$66,BDRs!$E$66,"Provento",BDRs!$N$66,Patrimônio!B392)</f>
        <v>0</v>
      </c>
      <c r="M392" s="109">
        <f>SUMIFS(FIIs!$J$66,FIIs!$E$66,"Provento",FIIs!$N$66,Patrimônio!B392)</f>
        <v>0</v>
      </c>
      <c r="N392" s="109">
        <f t="shared" si="2"/>
        <v>0</v>
      </c>
      <c r="O392" s="109"/>
      <c r="Q392" s="154"/>
      <c r="R392" s="155" t="s">
        <v>266</v>
      </c>
      <c r="S392" s="156">
        <v>0</v>
      </c>
    </row>
    <row r="393" spans="1:19" ht="17.25" customHeight="1">
      <c r="A393" s="108">
        <v>56493</v>
      </c>
      <c r="B393" s="108">
        <f t="shared" si="0"/>
        <v>56492</v>
      </c>
      <c r="C393" s="109"/>
      <c r="D393" s="109"/>
      <c r="E393" s="109"/>
      <c r="F393" s="109"/>
      <c r="G393" s="109"/>
      <c r="H393" s="109"/>
      <c r="I393" s="109">
        <f t="shared" ref="I393:J393" si="407">SUM(C393,E393,G393)</f>
        <v>0</v>
      </c>
      <c r="J393" s="109">
        <f t="shared" si="407"/>
        <v>0</v>
      </c>
      <c r="K393" s="109">
        <f>SUMIFS(Ações!$J$66,Ações!$N$66,Patrimônio!B393,Ações!$E$66,"Provento")</f>
        <v>0</v>
      </c>
      <c r="L393" s="109">
        <f>SUMIFS(BDRs!$J$66,BDRs!$E$66,"Provento",BDRs!$N$66,Patrimônio!B393)</f>
        <v>0</v>
      </c>
      <c r="M393" s="109">
        <f>SUMIFS(FIIs!$J$66,FIIs!$E$66,"Provento",FIIs!$N$66,Patrimônio!B393)</f>
        <v>0</v>
      </c>
      <c r="N393" s="109">
        <f t="shared" si="2"/>
        <v>0</v>
      </c>
      <c r="O393" s="109"/>
      <c r="Q393" s="154"/>
      <c r="R393" s="155" t="s">
        <v>267</v>
      </c>
      <c r="S393" s="156">
        <v>0</v>
      </c>
    </row>
    <row r="394" spans="1:19" ht="17.25" customHeight="1">
      <c r="A394" s="108">
        <v>56523</v>
      </c>
      <c r="B394" s="108">
        <f t="shared" si="0"/>
        <v>56522</v>
      </c>
      <c r="C394" s="109"/>
      <c r="D394" s="109"/>
      <c r="E394" s="109"/>
      <c r="F394" s="109"/>
      <c r="G394" s="109"/>
      <c r="H394" s="109"/>
      <c r="I394" s="109">
        <f t="shared" ref="I394:J394" si="408">SUM(C394,E394,G394)</f>
        <v>0</v>
      </c>
      <c r="J394" s="109">
        <f t="shared" si="408"/>
        <v>0</v>
      </c>
      <c r="K394" s="109">
        <f>SUMIFS(Ações!$J$66,Ações!$N$66,Patrimônio!B394,Ações!$E$66,"Provento")</f>
        <v>0</v>
      </c>
      <c r="L394" s="109">
        <f>SUMIFS(BDRs!$J$66,BDRs!$E$66,"Provento",BDRs!$N$66,Patrimônio!B394)</f>
        <v>0</v>
      </c>
      <c r="M394" s="109">
        <f>SUMIFS(FIIs!$J$66,FIIs!$E$66,"Provento",FIIs!$N$66,Patrimônio!B394)</f>
        <v>0</v>
      </c>
      <c r="N394" s="109">
        <f t="shared" si="2"/>
        <v>0</v>
      </c>
      <c r="O394" s="109"/>
      <c r="Q394" s="154"/>
      <c r="R394" s="155" t="s">
        <v>268</v>
      </c>
      <c r="S394" s="156">
        <v>0</v>
      </c>
    </row>
    <row r="395" spans="1:19" ht="17.25" customHeight="1">
      <c r="A395" s="108">
        <v>56554</v>
      </c>
      <c r="B395" s="108">
        <f t="shared" si="0"/>
        <v>56553</v>
      </c>
      <c r="C395" s="109"/>
      <c r="D395" s="109"/>
      <c r="E395" s="109"/>
      <c r="F395" s="109"/>
      <c r="G395" s="109"/>
      <c r="H395" s="109"/>
      <c r="I395" s="109">
        <f t="shared" ref="I395:J395" si="409">SUM(C395,E395,G395)</f>
        <v>0</v>
      </c>
      <c r="J395" s="109">
        <f t="shared" si="409"/>
        <v>0</v>
      </c>
      <c r="K395" s="109">
        <f>SUMIFS(Ações!$J$66,Ações!$N$66,Patrimônio!B395,Ações!$E$66,"Provento")</f>
        <v>0</v>
      </c>
      <c r="L395" s="109">
        <f>SUMIFS(BDRs!$J$66,BDRs!$E$66,"Provento",BDRs!$N$66,Patrimônio!B395)</f>
        <v>0</v>
      </c>
      <c r="M395" s="109">
        <f>SUMIFS(FIIs!$J$66,FIIs!$E$66,"Provento",FIIs!$N$66,Patrimônio!B395)</f>
        <v>0</v>
      </c>
      <c r="N395" s="109">
        <f t="shared" si="2"/>
        <v>0</v>
      </c>
      <c r="O395" s="109"/>
      <c r="Q395" s="154"/>
      <c r="R395" s="155" t="s">
        <v>269</v>
      </c>
      <c r="S395" s="156">
        <v>0</v>
      </c>
    </row>
    <row r="396" spans="1:19" ht="17.25" customHeight="1">
      <c r="A396" s="108">
        <v>56584</v>
      </c>
      <c r="B396" s="108">
        <f t="shared" si="0"/>
        <v>56583</v>
      </c>
      <c r="C396" s="109"/>
      <c r="D396" s="109"/>
      <c r="E396" s="109"/>
      <c r="F396" s="109"/>
      <c r="G396" s="109"/>
      <c r="H396" s="109"/>
      <c r="I396" s="109">
        <f t="shared" ref="I396:J396" si="410">SUM(C396,E396,G396)</f>
        <v>0</v>
      </c>
      <c r="J396" s="109">
        <f t="shared" si="410"/>
        <v>0</v>
      </c>
      <c r="K396" s="109">
        <f>SUMIFS(Ações!$J$66,Ações!$N$66,Patrimônio!B396,Ações!$E$66,"Provento")</f>
        <v>0</v>
      </c>
      <c r="L396" s="109">
        <f>SUMIFS(BDRs!$J$66,BDRs!$E$66,"Provento",BDRs!$N$66,Patrimônio!B396)</f>
        <v>0</v>
      </c>
      <c r="M396" s="109">
        <f>SUMIFS(FIIs!$J$66,FIIs!$E$66,"Provento",FIIs!$N$66,Patrimônio!B396)</f>
        <v>0</v>
      </c>
      <c r="N396" s="109">
        <f t="shared" si="2"/>
        <v>0</v>
      </c>
      <c r="O396" s="109"/>
      <c r="Q396" s="154"/>
      <c r="R396" s="155" t="s">
        <v>270</v>
      </c>
      <c r="S396" s="156">
        <v>0</v>
      </c>
    </row>
    <row r="397" spans="1:19" ht="17.25" customHeight="1">
      <c r="A397" s="108">
        <v>56615</v>
      </c>
      <c r="B397" s="108">
        <f t="shared" si="0"/>
        <v>56614</v>
      </c>
      <c r="C397" s="109"/>
      <c r="D397" s="109"/>
      <c r="E397" s="109"/>
      <c r="F397" s="109"/>
      <c r="G397" s="109"/>
      <c r="H397" s="109"/>
      <c r="I397" s="109">
        <f t="shared" ref="I397:J397" si="411">SUM(C397,E397,G397)</f>
        <v>0</v>
      </c>
      <c r="J397" s="109">
        <f t="shared" si="411"/>
        <v>0</v>
      </c>
      <c r="K397" s="109">
        <f>SUMIFS(Ações!$J$66,Ações!$N$66,Patrimônio!B397,Ações!$E$66,"Provento")</f>
        <v>0</v>
      </c>
      <c r="L397" s="109">
        <f>SUMIFS(BDRs!$J$66,BDRs!$E$66,"Provento",BDRs!$N$66,Patrimônio!B397)</f>
        <v>0</v>
      </c>
      <c r="M397" s="109">
        <f>SUMIFS(FIIs!$J$66,FIIs!$E$66,"Provento",FIIs!$N$66,Patrimônio!B397)</f>
        <v>0</v>
      </c>
      <c r="N397" s="109">
        <f t="shared" si="2"/>
        <v>0</v>
      </c>
      <c r="O397" s="109"/>
      <c r="Q397" s="154"/>
      <c r="R397" s="155" t="s">
        <v>271</v>
      </c>
      <c r="S397" s="156">
        <v>0</v>
      </c>
    </row>
    <row r="398" spans="1:19" ht="17.25" customHeight="1">
      <c r="A398" s="108">
        <v>56646</v>
      </c>
      <c r="B398" s="108">
        <f t="shared" si="0"/>
        <v>56645</v>
      </c>
      <c r="C398" s="109"/>
      <c r="D398" s="109"/>
      <c r="E398" s="109"/>
      <c r="F398" s="109"/>
      <c r="G398" s="109"/>
      <c r="H398" s="109"/>
      <c r="I398" s="109">
        <f t="shared" ref="I398:J398" si="412">SUM(C398,E398,G398)</f>
        <v>0</v>
      </c>
      <c r="J398" s="109">
        <f t="shared" si="412"/>
        <v>0</v>
      </c>
      <c r="K398" s="109">
        <f>SUMIFS(Ações!$J$66,Ações!$N$66,Patrimônio!B398,Ações!$E$66,"Provento")</f>
        <v>0</v>
      </c>
      <c r="L398" s="109">
        <f>SUMIFS(BDRs!$J$66,BDRs!$E$66,"Provento",BDRs!$N$66,Patrimônio!B398)</f>
        <v>0</v>
      </c>
      <c r="M398" s="109">
        <f>SUMIFS(FIIs!$J$66,FIIs!$E$66,"Provento",FIIs!$N$66,Patrimônio!B398)</f>
        <v>0</v>
      </c>
      <c r="N398" s="109">
        <f t="shared" si="2"/>
        <v>0</v>
      </c>
      <c r="O398" s="109"/>
      <c r="Q398" s="154"/>
      <c r="R398" s="155" t="s">
        <v>272</v>
      </c>
      <c r="S398" s="156">
        <v>0</v>
      </c>
    </row>
    <row r="399" spans="1:19" ht="17.25" customHeight="1">
      <c r="A399" s="108">
        <v>56674</v>
      </c>
      <c r="B399" s="108">
        <f t="shared" si="0"/>
        <v>56673</v>
      </c>
      <c r="C399" s="109"/>
      <c r="D399" s="109"/>
      <c r="E399" s="109"/>
      <c r="F399" s="109"/>
      <c r="G399" s="109"/>
      <c r="H399" s="109"/>
      <c r="I399" s="109">
        <f t="shared" ref="I399:J399" si="413">SUM(C399,E399,G399)</f>
        <v>0</v>
      </c>
      <c r="J399" s="109">
        <f t="shared" si="413"/>
        <v>0</v>
      </c>
      <c r="K399" s="109">
        <f>SUMIFS(Ações!$J$66,Ações!$N$66,Patrimônio!B399,Ações!$E$66,"Provento")</f>
        <v>0</v>
      </c>
      <c r="L399" s="109">
        <f>SUMIFS(BDRs!$J$66,BDRs!$E$66,"Provento",BDRs!$N$66,Patrimônio!B399)</f>
        <v>0</v>
      </c>
      <c r="M399" s="109">
        <f>SUMIFS(FIIs!$J$66,FIIs!$E$66,"Provento",FIIs!$N$66,Patrimônio!B399)</f>
        <v>0</v>
      </c>
      <c r="N399" s="109">
        <f t="shared" si="2"/>
        <v>0</v>
      </c>
      <c r="O399" s="109"/>
      <c r="Q399" s="151" t="s">
        <v>148</v>
      </c>
      <c r="R399" s="157"/>
      <c r="S399" s="153">
        <v>0</v>
      </c>
    </row>
    <row r="400" spans="1:19" ht="17.25" customHeight="1">
      <c r="A400" s="108">
        <v>56705</v>
      </c>
      <c r="B400" s="108">
        <f t="shared" si="0"/>
        <v>56704</v>
      </c>
      <c r="C400" s="109"/>
      <c r="D400" s="109"/>
      <c r="E400" s="109"/>
      <c r="F400" s="109"/>
      <c r="G400" s="109"/>
      <c r="H400" s="109"/>
      <c r="I400" s="109">
        <f t="shared" ref="I400:J400" si="414">SUM(C400,E400,G400)</f>
        <v>0</v>
      </c>
      <c r="J400" s="109">
        <f t="shared" si="414"/>
        <v>0</v>
      </c>
      <c r="K400" s="109">
        <f>SUMIFS(Ações!$J$66,Ações!$N$66,Patrimônio!B400,Ações!$E$66,"Provento")</f>
        <v>0</v>
      </c>
      <c r="L400" s="109">
        <f>SUMIFS(BDRs!$J$66,BDRs!$E$66,"Provento",BDRs!$N$66,Patrimônio!B400)</f>
        <v>0</v>
      </c>
      <c r="M400" s="109">
        <f>SUMIFS(FIIs!$J$66,FIIs!$E$66,"Provento",FIIs!$N$66,Patrimônio!B400)</f>
        <v>0</v>
      </c>
      <c r="N400" s="109">
        <f t="shared" si="2"/>
        <v>0</v>
      </c>
      <c r="O400" s="109"/>
      <c r="Q400" s="151" t="s">
        <v>149</v>
      </c>
      <c r="R400" s="152" t="s">
        <v>261</v>
      </c>
      <c r="S400" s="153">
        <v>0</v>
      </c>
    </row>
    <row r="401" spans="1:19" ht="17.25" customHeight="1">
      <c r="A401" s="108">
        <v>56735</v>
      </c>
      <c r="B401" s="108">
        <f t="shared" si="0"/>
        <v>56734</v>
      </c>
      <c r="C401" s="109"/>
      <c r="D401" s="109"/>
      <c r="E401" s="109"/>
      <c r="F401" s="109"/>
      <c r="G401" s="109"/>
      <c r="H401" s="109"/>
      <c r="I401" s="109">
        <f t="shared" ref="I401:J401" si="415">SUM(C401,E401,G401)</f>
        <v>0</v>
      </c>
      <c r="J401" s="109">
        <f t="shared" si="415"/>
        <v>0</v>
      </c>
      <c r="K401" s="109">
        <f>SUMIFS(Ações!$J$66,Ações!$N$66,Patrimônio!B401,Ações!$E$66,"Provento")</f>
        <v>0</v>
      </c>
      <c r="L401" s="109">
        <f>SUMIFS(BDRs!$J$66,BDRs!$E$66,"Provento",BDRs!$N$66,Patrimônio!B401)</f>
        <v>0</v>
      </c>
      <c r="M401" s="109">
        <f>SUMIFS(FIIs!$J$66,FIIs!$E$66,"Provento",FIIs!$N$66,Patrimônio!B401)</f>
        <v>0</v>
      </c>
      <c r="N401" s="109">
        <f t="shared" si="2"/>
        <v>0</v>
      </c>
      <c r="O401" s="109"/>
      <c r="Q401" s="154"/>
      <c r="R401" s="155" t="s">
        <v>262</v>
      </c>
      <c r="S401" s="156">
        <v>0</v>
      </c>
    </row>
    <row r="402" spans="1:19" ht="17.25" customHeight="1">
      <c r="A402" s="108">
        <v>56766</v>
      </c>
      <c r="B402" s="108">
        <f t="shared" si="0"/>
        <v>56765</v>
      </c>
      <c r="C402" s="109"/>
      <c r="D402" s="109"/>
      <c r="E402" s="109"/>
      <c r="F402" s="109"/>
      <c r="G402" s="109"/>
      <c r="H402" s="109"/>
      <c r="I402" s="109">
        <f t="shared" ref="I402:J402" si="416">SUM(C402,E402,G402)</f>
        <v>0</v>
      </c>
      <c r="J402" s="109">
        <f t="shared" si="416"/>
        <v>0</v>
      </c>
      <c r="K402" s="109">
        <f>SUMIFS(Ações!$J$66,Ações!$N$66,Patrimônio!B402,Ações!$E$66,"Provento")</f>
        <v>0</v>
      </c>
      <c r="L402" s="109">
        <f>SUMIFS(BDRs!$J$66,BDRs!$E$66,"Provento",BDRs!$N$66,Patrimônio!B402)</f>
        <v>0</v>
      </c>
      <c r="M402" s="109">
        <f>SUMIFS(FIIs!$J$66,FIIs!$E$66,"Provento",FIIs!$N$66,Patrimônio!B402)</f>
        <v>0</v>
      </c>
      <c r="N402" s="109">
        <f t="shared" si="2"/>
        <v>0</v>
      </c>
      <c r="O402" s="109"/>
      <c r="Q402" s="154"/>
      <c r="R402" s="155" t="s">
        <v>263</v>
      </c>
      <c r="S402" s="156">
        <v>0</v>
      </c>
    </row>
    <row r="403" spans="1:19" ht="17.25" customHeight="1">
      <c r="A403" s="108">
        <v>56796</v>
      </c>
      <c r="B403" s="108">
        <f t="shared" si="0"/>
        <v>56795</v>
      </c>
      <c r="C403" s="109"/>
      <c r="D403" s="109"/>
      <c r="E403" s="109"/>
      <c r="F403" s="109"/>
      <c r="G403" s="109"/>
      <c r="H403" s="109"/>
      <c r="I403" s="109">
        <f t="shared" ref="I403:J403" si="417">SUM(C403,E403,G403)</f>
        <v>0</v>
      </c>
      <c r="J403" s="109">
        <f t="shared" si="417"/>
        <v>0</v>
      </c>
      <c r="K403" s="109">
        <f>SUMIFS(Ações!$J$66,Ações!$N$66,Patrimônio!B403,Ações!$E$66,"Provento")</f>
        <v>0</v>
      </c>
      <c r="L403" s="109">
        <f>SUMIFS(BDRs!$J$66,BDRs!$E$66,"Provento",BDRs!$N$66,Patrimônio!B403)</f>
        <v>0</v>
      </c>
      <c r="M403" s="109">
        <f>SUMIFS(FIIs!$J$66,FIIs!$E$66,"Provento",FIIs!$N$66,Patrimônio!B403)</f>
        <v>0</v>
      </c>
      <c r="N403" s="109">
        <f t="shared" si="2"/>
        <v>0</v>
      </c>
      <c r="O403" s="109"/>
      <c r="Q403" s="154"/>
      <c r="R403" s="155" t="s">
        <v>264</v>
      </c>
      <c r="S403" s="156">
        <v>0</v>
      </c>
    </row>
    <row r="404" spans="1:19" ht="17.25" customHeight="1">
      <c r="A404" s="108">
        <v>56827</v>
      </c>
      <c r="B404" s="108">
        <f t="shared" si="0"/>
        <v>56826</v>
      </c>
      <c r="C404" s="109"/>
      <c r="D404" s="109"/>
      <c r="E404" s="109"/>
      <c r="F404" s="109"/>
      <c r="G404" s="109"/>
      <c r="H404" s="109"/>
      <c r="I404" s="109">
        <f t="shared" ref="I404:J404" si="418">SUM(C404,E404,G404)</f>
        <v>0</v>
      </c>
      <c r="J404" s="109">
        <f t="shared" si="418"/>
        <v>0</v>
      </c>
      <c r="K404" s="109">
        <f>SUMIFS(Ações!$J$66,Ações!$N$66,Patrimônio!B404,Ações!$E$66,"Provento")</f>
        <v>0</v>
      </c>
      <c r="L404" s="109">
        <f>SUMIFS(BDRs!$J$66,BDRs!$E$66,"Provento",BDRs!$N$66,Patrimônio!B404)</f>
        <v>0</v>
      </c>
      <c r="M404" s="109">
        <f>SUMIFS(FIIs!$J$66,FIIs!$E$66,"Provento",FIIs!$N$66,Patrimônio!B404)</f>
        <v>0</v>
      </c>
      <c r="N404" s="109">
        <f t="shared" si="2"/>
        <v>0</v>
      </c>
      <c r="O404" s="109"/>
      <c r="Q404" s="154"/>
      <c r="R404" s="155" t="s">
        <v>265</v>
      </c>
      <c r="S404" s="156">
        <v>0</v>
      </c>
    </row>
    <row r="405" spans="1:19" ht="17.25" customHeight="1">
      <c r="A405" s="108">
        <v>56858</v>
      </c>
      <c r="B405" s="108">
        <f t="shared" si="0"/>
        <v>56857</v>
      </c>
      <c r="C405" s="109"/>
      <c r="D405" s="109"/>
      <c r="E405" s="109"/>
      <c r="F405" s="109"/>
      <c r="G405" s="109"/>
      <c r="H405" s="109"/>
      <c r="I405" s="109">
        <f t="shared" ref="I405:J405" si="419">SUM(C405,E405,G405)</f>
        <v>0</v>
      </c>
      <c r="J405" s="109">
        <f t="shared" si="419"/>
        <v>0</v>
      </c>
      <c r="K405" s="109">
        <f>SUMIFS(Ações!$J$66,Ações!$N$66,Patrimônio!B405,Ações!$E$66,"Provento")</f>
        <v>0</v>
      </c>
      <c r="L405" s="109">
        <f>SUMIFS(BDRs!$J$66,BDRs!$E$66,"Provento",BDRs!$N$66,Patrimônio!B405)</f>
        <v>0</v>
      </c>
      <c r="M405" s="109">
        <f>SUMIFS(FIIs!$J$66,FIIs!$E$66,"Provento",FIIs!$N$66,Patrimônio!B405)</f>
        <v>0</v>
      </c>
      <c r="N405" s="109">
        <f t="shared" si="2"/>
        <v>0</v>
      </c>
      <c r="O405" s="109"/>
      <c r="Q405" s="154"/>
      <c r="R405" s="155" t="s">
        <v>266</v>
      </c>
      <c r="S405" s="156">
        <v>0</v>
      </c>
    </row>
    <row r="406" spans="1:19" ht="17.25" customHeight="1">
      <c r="A406" s="108">
        <v>56888</v>
      </c>
      <c r="B406" s="108">
        <f t="shared" si="0"/>
        <v>56887</v>
      </c>
      <c r="C406" s="109"/>
      <c r="D406" s="109"/>
      <c r="E406" s="109"/>
      <c r="F406" s="109"/>
      <c r="G406" s="109"/>
      <c r="H406" s="109"/>
      <c r="I406" s="109">
        <f t="shared" ref="I406:J406" si="420">SUM(C406,E406,G406)</f>
        <v>0</v>
      </c>
      <c r="J406" s="109">
        <f t="shared" si="420"/>
        <v>0</v>
      </c>
      <c r="K406" s="109">
        <f>SUMIFS(Ações!$J$66,Ações!$N$66,Patrimônio!B406,Ações!$E$66,"Provento")</f>
        <v>0</v>
      </c>
      <c r="L406" s="109">
        <f>SUMIFS(BDRs!$J$66,BDRs!$E$66,"Provento",BDRs!$N$66,Patrimônio!B406)</f>
        <v>0</v>
      </c>
      <c r="M406" s="109">
        <f>SUMIFS(FIIs!$J$66,FIIs!$E$66,"Provento",FIIs!$N$66,Patrimônio!B406)</f>
        <v>0</v>
      </c>
      <c r="N406" s="109">
        <f t="shared" si="2"/>
        <v>0</v>
      </c>
      <c r="O406" s="109"/>
      <c r="Q406" s="154"/>
      <c r="R406" s="155" t="s">
        <v>267</v>
      </c>
      <c r="S406" s="156">
        <v>0</v>
      </c>
    </row>
    <row r="407" spans="1:19" ht="17.25" customHeight="1">
      <c r="A407" s="108">
        <v>56919</v>
      </c>
      <c r="B407" s="108">
        <f t="shared" si="0"/>
        <v>56918</v>
      </c>
      <c r="C407" s="109"/>
      <c r="D407" s="109"/>
      <c r="E407" s="109"/>
      <c r="F407" s="109"/>
      <c r="G407" s="109"/>
      <c r="H407" s="109"/>
      <c r="I407" s="109">
        <f t="shared" ref="I407:J407" si="421">SUM(C407,E407,G407)</f>
        <v>0</v>
      </c>
      <c r="J407" s="109">
        <f t="shared" si="421"/>
        <v>0</v>
      </c>
      <c r="K407" s="109">
        <f>SUMIFS(Ações!$J$66,Ações!$N$66,Patrimônio!B407,Ações!$E$66,"Provento")</f>
        <v>0</v>
      </c>
      <c r="L407" s="109">
        <f>SUMIFS(BDRs!$J$66,BDRs!$E$66,"Provento",BDRs!$N$66,Patrimônio!B407)</f>
        <v>0</v>
      </c>
      <c r="M407" s="109">
        <f>SUMIFS(FIIs!$J$66,FIIs!$E$66,"Provento",FIIs!$N$66,Patrimônio!B407)</f>
        <v>0</v>
      </c>
      <c r="N407" s="109">
        <f t="shared" si="2"/>
        <v>0</v>
      </c>
      <c r="O407" s="109"/>
      <c r="Q407" s="154"/>
      <c r="R407" s="155" t="s">
        <v>268</v>
      </c>
      <c r="S407" s="156">
        <v>0</v>
      </c>
    </row>
    <row r="408" spans="1:19" ht="17.25" customHeight="1">
      <c r="A408" s="108">
        <v>56949</v>
      </c>
      <c r="B408" s="108">
        <f t="shared" si="0"/>
        <v>56948</v>
      </c>
      <c r="C408" s="109"/>
      <c r="D408" s="109"/>
      <c r="E408" s="109"/>
      <c r="F408" s="109"/>
      <c r="G408" s="109"/>
      <c r="H408" s="109"/>
      <c r="I408" s="109">
        <f t="shared" ref="I408:J408" si="422">SUM(C408,E408,G408)</f>
        <v>0</v>
      </c>
      <c r="J408" s="109">
        <f t="shared" si="422"/>
        <v>0</v>
      </c>
      <c r="K408" s="109">
        <f>SUMIFS(Ações!$J$66,Ações!$N$66,Patrimônio!B408,Ações!$E$66,"Provento")</f>
        <v>0</v>
      </c>
      <c r="L408" s="109">
        <f>SUMIFS(BDRs!$J$66,BDRs!$E$66,"Provento",BDRs!$N$66,Patrimônio!B408)</f>
        <v>0</v>
      </c>
      <c r="M408" s="109">
        <f>SUMIFS(FIIs!$J$66,FIIs!$E$66,"Provento",FIIs!$N$66,Patrimônio!B408)</f>
        <v>0</v>
      </c>
      <c r="N408" s="109">
        <f t="shared" si="2"/>
        <v>0</v>
      </c>
      <c r="O408" s="109"/>
      <c r="Q408" s="154"/>
      <c r="R408" s="155" t="s">
        <v>269</v>
      </c>
      <c r="S408" s="156">
        <v>0</v>
      </c>
    </row>
    <row r="409" spans="1:19" ht="17.25" customHeight="1">
      <c r="A409" s="108">
        <v>56980</v>
      </c>
      <c r="B409" s="108">
        <f t="shared" si="0"/>
        <v>56979</v>
      </c>
      <c r="C409" s="109"/>
      <c r="D409" s="109"/>
      <c r="E409" s="109"/>
      <c r="F409" s="109"/>
      <c r="G409" s="109"/>
      <c r="H409" s="109"/>
      <c r="I409" s="109">
        <f t="shared" ref="I409:J409" si="423">SUM(C409,E409,G409)</f>
        <v>0</v>
      </c>
      <c r="J409" s="109">
        <f t="shared" si="423"/>
        <v>0</v>
      </c>
      <c r="K409" s="109">
        <f>SUMIFS(Ações!$J$66,Ações!$N$66,Patrimônio!B409,Ações!$E$66,"Provento")</f>
        <v>0</v>
      </c>
      <c r="L409" s="109">
        <f>SUMIFS(BDRs!$J$66,BDRs!$E$66,"Provento",BDRs!$N$66,Patrimônio!B409)</f>
        <v>0</v>
      </c>
      <c r="M409" s="109">
        <f>SUMIFS(FIIs!$J$66,FIIs!$E$66,"Provento",FIIs!$N$66,Patrimônio!B409)</f>
        <v>0</v>
      </c>
      <c r="N409" s="109">
        <f t="shared" si="2"/>
        <v>0</v>
      </c>
      <c r="O409" s="109"/>
      <c r="Q409" s="154"/>
      <c r="R409" s="155" t="s">
        <v>270</v>
      </c>
      <c r="S409" s="156">
        <v>0</v>
      </c>
    </row>
    <row r="410" spans="1:19" ht="17.25" customHeight="1">
      <c r="A410" s="108">
        <v>57011</v>
      </c>
      <c r="B410" s="108">
        <f t="shared" si="0"/>
        <v>57010</v>
      </c>
      <c r="C410" s="109"/>
      <c r="D410" s="109"/>
      <c r="E410" s="109"/>
      <c r="F410" s="109"/>
      <c r="G410" s="109"/>
      <c r="H410" s="109"/>
      <c r="I410" s="109">
        <f t="shared" ref="I410:J410" si="424">SUM(C410,E410,G410)</f>
        <v>0</v>
      </c>
      <c r="J410" s="109">
        <f t="shared" si="424"/>
        <v>0</v>
      </c>
      <c r="K410" s="109">
        <f>SUMIFS(Ações!$J$66,Ações!$N$66,Patrimônio!B410,Ações!$E$66,"Provento")</f>
        <v>0</v>
      </c>
      <c r="L410" s="109">
        <f>SUMIFS(BDRs!$J$66,BDRs!$E$66,"Provento",BDRs!$N$66,Patrimônio!B410)</f>
        <v>0</v>
      </c>
      <c r="M410" s="109">
        <f>SUMIFS(FIIs!$J$66,FIIs!$E$66,"Provento",FIIs!$N$66,Patrimônio!B410)</f>
        <v>0</v>
      </c>
      <c r="N410" s="109">
        <f t="shared" si="2"/>
        <v>0</v>
      </c>
      <c r="O410" s="109"/>
      <c r="Q410" s="154"/>
      <c r="R410" s="155" t="s">
        <v>271</v>
      </c>
      <c r="S410" s="156">
        <v>0</v>
      </c>
    </row>
    <row r="411" spans="1:19" ht="17.25" customHeight="1">
      <c r="A411" s="108">
        <v>57040</v>
      </c>
      <c r="B411" s="108">
        <f t="shared" si="0"/>
        <v>57039</v>
      </c>
      <c r="C411" s="109"/>
      <c r="D411" s="109"/>
      <c r="E411" s="109"/>
      <c r="F411" s="109"/>
      <c r="G411" s="109"/>
      <c r="H411" s="109"/>
      <c r="I411" s="109">
        <f t="shared" ref="I411:J411" si="425">SUM(C411,E411,G411)</f>
        <v>0</v>
      </c>
      <c r="J411" s="109">
        <f t="shared" si="425"/>
        <v>0</v>
      </c>
      <c r="K411" s="109">
        <f>SUMIFS(Ações!$J$66,Ações!$N$66,Patrimônio!B411,Ações!$E$66,"Provento")</f>
        <v>0</v>
      </c>
      <c r="L411" s="109">
        <f>SUMIFS(BDRs!$J$66,BDRs!$E$66,"Provento",BDRs!$N$66,Patrimônio!B411)</f>
        <v>0</v>
      </c>
      <c r="M411" s="109">
        <f>SUMIFS(FIIs!$J$66,FIIs!$E$66,"Provento",FIIs!$N$66,Patrimônio!B411)</f>
        <v>0</v>
      </c>
      <c r="N411" s="109">
        <f t="shared" si="2"/>
        <v>0</v>
      </c>
      <c r="O411" s="109"/>
      <c r="Q411" s="154"/>
      <c r="R411" s="155" t="s">
        <v>272</v>
      </c>
      <c r="S411" s="156">
        <v>0</v>
      </c>
    </row>
    <row r="412" spans="1:19" ht="17.25" customHeight="1">
      <c r="A412" s="108">
        <v>57071</v>
      </c>
      <c r="B412" s="108">
        <f t="shared" si="0"/>
        <v>57070</v>
      </c>
      <c r="C412" s="109"/>
      <c r="D412" s="109"/>
      <c r="E412" s="109"/>
      <c r="F412" s="109"/>
      <c r="G412" s="109"/>
      <c r="H412" s="109"/>
      <c r="I412" s="109">
        <f t="shared" ref="I412:J412" si="426">SUM(C412,E412,G412)</f>
        <v>0</v>
      </c>
      <c r="J412" s="109">
        <f t="shared" si="426"/>
        <v>0</v>
      </c>
      <c r="K412" s="109">
        <f>SUMIFS(Ações!$J$66,Ações!$N$66,Patrimônio!B412,Ações!$E$66,"Provento")</f>
        <v>0</v>
      </c>
      <c r="L412" s="109">
        <f>SUMIFS(BDRs!$J$66,BDRs!$E$66,"Provento",BDRs!$N$66,Patrimônio!B412)</f>
        <v>0</v>
      </c>
      <c r="M412" s="109">
        <f>SUMIFS(FIIs!$J$66,FIIs!$E$66,"Provento",FIIs!$N$66,Patrimônio!B412)</f>
        <v>0</v>
      </c>
      <c r="N412" s="109">
        <f t="shared" si="2"/>
        <v>0</v>
      </c>
      <c r="O412" s="109"/>
      <c r="Q412" s="151" t="s">
        <v>150</v>
      </c>
      <c r="R412" s="157"/>
      <c r="S412" s="153">
        <v>0</v>
      </c>
    </row>
    <row r="413" spans="1:19" ht="17.25" customHeight="1">
      <c r="A413" s="108">
        <v>57101</v>
      </c>
      <c r="B413" s="108">
        <f t="shared" si="0"/>
        <v>57100</v>
      </c>
      <c r="C413" s="109"/>
      <c r="D413" s="109"/>
      <c r="E413" s="109"/>
      <c r="F413" s="109"/>
      <c r="G413" s="109"/>
      <c r="H413" s="109"/>
      <c r="I413" s="109">
        <f t="shared" ref="I413:J413" si="427">SUM(C413,E413,G413)</f>
        <v>0</v>
      </c>
      <c r="J413" s="109">
        <f t="shared" si="427"/>
        <v>0</v>
      </c>
      <c r="K413" s="109">
        <f>SUMIFS(Ações!$J$66,Ações!$N$66,Patrimônio!B413,Ações!$E$66,"Provento")</f>
        <v>0</v>
      </c>
      <c r="L413" s="109">
        <f>SUMIFS(BDRs!$J$66,BDRs!$E$66,"Provento",BDRs!$N$66,Patrimônio!B413)</f>
        <v>0</v>
      </c>
      <c r="M413" s="109">
        <f>SUMIFS(FIIs!$J$66,FIIs!$E$66,"Provento",FIIs!$N$66,Patrimônio!B413)</f>
        <v>0</v>
      </c>
      <c r="N413" s="109">
        <f t="shared" si="2"/>
        <v>0</v>
      </c>
      <c r="O413" s="109"/>
      <c r="Q413" s="151" t="s">
        <v>151</v>
      </c>
      <c r="R413" s="152" t="s">
        <v>261</v>
      </c>
      <c r="S413" s="153">
        <v>0</v>
      </c>
    </row>
    <row r="414" spans="1:19" ht="17.25" customHeight="1">
      <c r="A414" s="108">
        <v>57132</v>
      </c>
      <c r="B414" s="108">
        <f t="shared" si="0"/>
        <v>57131</v>
      </c>
      <c r="C414" s="109"/>
      <c r="D414" s="109"/>
      <c r="E414" s="109"/>
      <c r="F414" s="109"/>
      <c r="G414" s="109"/>
      <c r="H414" s="109"/>
      <c r="I414" s="109">
        <f t="shared" ref="I414:J414" si="428">SUM(C414,E414,G414)</f>
        <v>0</v>
      </c>
      <c r="J414" s="109">
        <f t="shared" si="428"/>
        <v>0</v>
      </c>
      <c r="K414" s="109">
        <f>SUMIFS(Ações!$J$66,Ações!$N$66,Patrimônio!B414,Ações!$E$66,"Provento")</f>
        <v>0</v>
      </c>
      <c r="L414" s="109">
        <f>SUMIFS(BDRs!$J$66,BDRs!$E$66,"Provento",BDRs!$N$66,Patrimônio!B414)</f>
        <v>0</v>
      </c>
      <c r="M414" s="109">
        <f>SUMIFS(FIIs!$J$66,FIIs!$E$66,"Provento",FIIs!$N$66,Patrimônio!B414)</f>
        <v>0</v>
      </c>
      <c r="N414" s="109">
        <f t="shared" si="2"/>
        <v>0</v>
      </c>
      <c r="O414" s="109"/>
      <c r="Q414" s="154"/>
      <c r="R414" s="155" t="s">
        <v>262</v>
      </c>
      <c r="S414" s="156">
        <v>0</v>
      </c>
    </row>
    <row r="415" spans="1:19" ht="17.25" customHeight="1">
      <c r="A415" s="108">
        <v>57162</v>
      </c>
      <c r="B415" s="108">
        <f t="shared" si="0"/>
        <v>57161</v>
      </c>
      <c r="C415" s="109"/>
      <c r="D415" s="109"/>
      <c r="E415" s="109"/>
      <c r="F415" s="109"/>
      <c r="G415" s="109"/>
      <c r="H415" s="109"/>
      <c r="I415" s="109">
        <f t="shared" ref="I415:J415" si="429">SUM(C415,E415,G415)</f>
        <v>0</v>
      </c>
      <c r="J415" s="109">
        <f t="shared" si="429"/>
        <v>0</v>
      </c>
      <c r="K415" s="109">
        <f>SUMIFS(Ações!$J$66,Ações!$N$66,Patrimônio!B415,Ações!$E$66,"Provento")</f>
        <v>0</v>
      </c>
      <c r="L415" s="109">
        <f>SUMIFS(BDRs!$J$66,BDRs!$E$66,"Provento",BDRs!$N$66,Patrimônio!B415)</f>
        <v>0</v>
      </c>
      <c r="M415" s="109">
        <f>SUMIFS(FIIs!$J$66,FIIs!$E$66,"Provento",FIIs!$N$66,Patrimônio!B415)</f>
        <v>0</v>
      </c>
      <c r="N415" s="109">
        <f t="shared" si="2"/>
        <v>0</v>
      </c>
      <c r="O415" s="109"/>
      <c r="Q415" s="154"/>
      <c r="R415" s="155" t="s">
        <v>263</v>
      </c>
      <c r="S415" s="156">
        <v>0</v>
      </c>
    </row>
    <row r="416" spans="1:19" ht="17.25" customHeight="1">
      <c r="A416" s="108">
        <v>57193</v>
      </c>
      <c r="B416" s="108">
        <f t="shared" si="0"/>
        <v>57192</v>
      </c>
      <c r="C416" s="109"/>
      <c r="D416" s="109"/>
      <c r="E416" s="109"/>
      <c r="F416" s="109"/>
      <c r="G416" s="109"/>
      <c r="H416" s="109"/>
      <c r="I416" s="109">
        <f t="shared" ref="I416:J416" si="430">SUM(C416,E416,G416)</f>
        <v>0</v>
      </c>
      <c r="J416" s="109">
        <f t="shared" si="430"/>
        <v>0</v>
      </c>
      <c r="K416" s="109">
        <f>SUMIFS(Ações!$J$66,Ações!$N$66,Patrimônio!B416,Ações!$E$66,"Provento")</f>
        <v>0</v>
      </c>
      <c r="L416" s="109">
        <f>SUMIFS(BDRs!$J$66,BDRs!$E$66,"Provento",BDRs!$N$66,Patrimônio!B416)</f>
        <v>0</v>
      </c>
      <c r="M416" s="109">
        <f>SUMIFS(FIIs!$J$66,FIIs!$E$66,"Provento",FIIs!$N$66,Patrimônio!B416)</f>
        <v>0</v>
      </c>
      <c r="N416" s="109">
        <f t="shared" si="2"/>
        <v>0</v>
      </c>
      <c r="O416" s="109"/>
      <c r="Q416" s="154"/>
      <c r="R416" s="155" t="s">
        <v>264</v>
      </c>
      <c r="S416" s="156">
        <v>0</v>
      </c>
    </row>
    <row r="417" spans="1:19" ht="17.25" customHeight="1">
      <c r="A417" s="108">
        <v>57224</v>
      </c>
      <c r="B417" s="108">
        <f t="shared" si="0"/>
        <v>57223</v>
      </c>
      <c r="C417" s="109"/>
      <c r="D417" s="109"/>
      <c r="E417" s="109"/>
      <c r="F417" s="109"/>
      <c r="G417" s="109"/>
      <c r="H417" s="109"/>
      <c r="I417" s="109">
        <f t="shared" ref="I417:J417" si="431">SUM(C417,E417,G417)</f>
        <v>0</v>
      </c>
      <c r="J417" s="109">
        <f t="shared" si="431"/>
        <v>0</v>
      </c>
      <c r="K417" s="109">
        <f>SUMIFS(Ações!$J$66,Ações!$N$66,Patrimônio!B417,Ações!$E$66,"Provento")</f>
        <v>0</v>
      </c>
      <c r="L417" s="109">
        <f>SUMIFS(BDRs!$J$66,BDRs!$E$66,"Provento",BDRs!$N$66,Patrimônio!B417)</f>
        <v>0</v>
      </c>
      <c r="M417" s="109">
        <f>SUMIFS(FIIs!$J$66,FIIs!$E$66,"Provento",FIIs!$N$66,Patrimônio!B417)</f>
        <v>0</v>
      </c>
      <c r="N417" s="109">
        <f t="shared" si="2"/>
        <v>0</v>
      </c>
      <c r="O417" s="109"/>
      <c r="Q417" s="154"/>
      <c r="R417" s="155" t="s">
        <v>265</v>
      </c>
      <c r="S417" s="156">
        <v>0</v>
      </c>
    </row>
    <row r="418" spans="1:19" ht="17.25" customHeight="1">
      <c r="A418" s="108">
        <v>57254</v>
      </c>
      <c r="B418" s="108">
        <f t="shared" si="0"/>
        <v>57253</v>
      </c>
      <c r="C418" s="109"/>
      <c r="D418" s="109"/>
      <c r="E418" s="109"/>
      <c r="F418" s="109"/>
      <c r="G418" s="109"/>
      <c r="H418" s="109"/>
      <c r="I418" s="109">
        <f t="shared" ref="I418:J418" si="432">SUM(C418,E418,G418)</f>
        <v>0</v>
      </c>
      <c r="J418" s="109">
        <f t="shared" si="432"/>
        <v>0</v>
      </c>
      <c r="K418" s="109">
        <f>SUMIFS(Ações!$J$66,Ações!$N$66,Patrimônio!B418,Ações!$E$66,"Provento")</f>
        <v>0</v>
      </c>
      <c r="L418" s="109">
        <f>SUMIFS(BDRs!$J$66,BDRs!$E$66,"Provento",BDRs!$N$66,Patrimônio!B418)</f>
        <v>0</v>
      </c>
      <c r="M418" s="109">
        <f>SUMIFS(FIIs!$J$66,FIIs!$E$66,"Provento",FIIs!$N$66,Patrimônio!B418)</f>
        <v>0</v>
      </c>
      <c r="N418" s="109">
        <f t="shared" si="2"/>
        <v>0</v>
      </c>
      <c r="O418" s="109"/>
      <c r="Q418" s="154"/>
      <c r="R418" s="155" t="s">
        <v>266</v>
      </c>
      <c r="S418" s="156">
        <v>0</v>
      </c>
    </row>
    <row r="419" spans="1:19" ht="17.25" customHeight="1">
      <c r="A419" s="108">
        <v>57285</v>
      </c>
      <c r="B419" s="108">
        <f t="shared" si="0"/>
        <v>57284</v>
      </c>
      <c r="C419" s="109"/>
      <c r="D419" s="109"/>
      <c r="E419" s="109"/>
      <c r="F419" s="109"/>
      <c r="G419" s="109"/>
      <c r="H419" s="109"/>
      <c r="I419" s="109">
        <f t="shared" ref="I419:J419" si="433">SUM(C419,E419,G419)</f>
        <v>0</v>
      </c>
      <c r="J419" s="109">
        <f t="shared" si="433"/>
        <v>0</v>
      </c>
      <c r="K419" s="109">
        <f>SUMIFS(Ações!$J$66,Ações!$N$66,Patrimônio!B419,Ações!$E$66,"Provento")</f>
        <v>0</v>
      </c>
      <c r="L419" s="109">
        <f>SUMIFS(BDRs!$J$66,BDRs!$E$66,"Provento",BDRs!$N$66,Patrimônio!B419)</f>
        <v>0</v>
      </c>
      <c r="M419" s="109">
        <f>SUMIFS(FIIs!$J$66,FIIs!$E$66,"Provento",FIIs!$N$66,Patrimônio!B419)</f>
        <v>0</v>
      </c>
      <c r="N419" s="109">
        <f t="shared" si="2"/>
        <v>0</v>
      </c>
      <c r="O419" s="109"/>
      <c r="Q419" s="154"/>
      <c r="R419" s="155" t="s">
        <v>267</v>
      </c>
      <c r="S419" s="156">
        <v>0</v>
      </c>
    </row>
    <row r="420" spans="1:19" ht="17.25" customHeight="1">
      <c r="A420" s="108">
        <v>57315</v>
      </c>
      <c r="B420" s="108">
        <f t="shared" si="0"/>
        <v>57314</v>
      </c>
      <c r="C420" s="109"/>
      <c r="D420" s="109"/>
      <c r="E420" s="109"/>
      <c r="F420" s="109"/>
      <c r="G420" s="109"/>
      <c r="H420" s="109"/>
      <c r="I420" s="109">
        <f t="shared" ref="I420:J420" si="434">SUM(C420,E420,G420)</f>
        <v>0</v>
      </c>
      <c r="J420" s="109">
        <f t="shared" si="434"/>
        <v>0</v>
      </c>
      <c r="K420" s="109">
        <f>SUMIFS(Ações!$J$66,Ações!$N$66,Patrimônio!B420,Ações!$E$66,"Provento")</f>
        <v>0</v>
      </c>
      <c r="L420" s="109">
        <f>SUMIFS(BDRs!$J$66,BDRs!$E$66,"Provento",BDRs!$N$66,Patrimônio!B420)</f>
        <v>0</v>
      </c>
      <c r="M420" s="109">
        <f>SUMIFS(FIIs!$J$66,FIIs!$E$66,"Provento",FIIs!$N$66,Patrimônio!B420)</f>
        <v>0</v>
      </c>
      <c r="N420" s="109">
        <f t="shared" si="2"/>
        <v>0</v>
      </c>
      <c r="O420" s="109"/>
      <c r="Q420" s="154"/>
      <c r="R420" s="155" t="s">
        <v>268</v>
      </c>
      <c r="S420" s="156">
        <v>0</v>
      </c>
    </row>
    <row r="421" spans="1:19" ht="17.25" customHeight="1">
      <c r="A421" s="108">
        <v>57346</v>
      </c>
      <c r="B421" s="108">
        <f t="shared" si="0"/>
        <v>57345</v>
      </c>
      <c r="C421" s="109"/>
      <c r="D421" s="109"/>
      <c r="E421" s="109"/>
      <c r="F421" s="109"/>
      <c r="G421" s="109"/>
      <c r="H421" s="109"/>
      <c r="I421" s="109">
        <f t="shared" ref="I421:J421" si="435">SUM(C421,E421,G421)</f>
        <v>0</v>
      </c>
      <c r="J421" s="109">
        <f t="shared" si="435"/>
        <v>0</v>
      </c>
      <c r="K421" s="109">
        <f>SUMIFS(Ações!$J$66,Ações!$N$66,Patrimônio!B421,Ações!$E$66,"Provento")</f>
        <v>0</v>
      </c>
      <c r="L421" s="109">
        <f>SUMIFS(BDRs!$J$66,BDRs!$E$66,"Provento",BDRs!$N$66,Patrimônio!B421)</f>
        <v>0</v>
      </c>
      <c r="M421" s="109">
        <f>SUMIFS(FIIs!$J$66,FIIs!$E$66,"Provento",FIIs!$N$66,Patrimônio!B421)</f>
        <v>0</v>
      </c>
      <c r="N421" s="109">
        <f t="shared" si="2"/>
        <v>0</v>
      </c>
      <c r="O421" s="109"/>
      <c r="Q421" s="154"/>
      <c r="R421" s="155" t="s">
        <v>269</v>
      </c>
      <c r="S421" s="156">
        <v>0</v>
      </c>
    </row>
    <row r="422" spans="1:19" ht="17.25" customHeight="1">
      <c r="A422" s="108">
        <v>57377</v>
      </c>
      <c r="B422" s="108">
        <f t="shared" si="0"/>
        <v>57376</v>
      </c>
      <c r="C422" s="109"/>
      <c r="D422" s="109"/>
      <c r="E422" s="109"/>
      <c r="F422" s="109"/>
      <c r="G422" s="109"/>
      <c r="H422" s="109"/>
      <c r="I422" s="109">
        <f t="shared" ref="I422:J422" si="436">SUM(C422,E422,G422)</f>
        <v>0</v>
      </c>
      <c r="J422" s="109">
        <f t="shared" si="436"/>
        <v>0</v>
      </c>
      <c r="K422" s="109">
        <f>SUMIFS(Ações!$J$66,Ações!$N$66,Patrimônio!B422,Ações!$E$66,"Provento")</f>
        <v>0</v>
      </c>
      <c r="L422" s="109">
        <f>SUMIFS(BDRs!$J$66,BDRs!$E$66,"Provento",BDRs!$N$66,Patrimônio!B422)</f>
        <v>0</v>
      </c>
      <c r="M422" s="109">
        <f>SUMIFS(FIIs!$J$66,FIIs!$E$66,"Provento",FIIs!$N$66,Patrimônio!B422)</f>
        <v>0</v>
      </c>
      <c r="N422" s="109">
        <f t="shared" si="2"/>
        <v>0</v>
      </c>
      <c r="O422" s="109"/>
      <c r="Q422" s="154"/>
      <c r="R422" s="155" t="s">
        <v>270</v>
      </c>
      <c r="S422" s="156">
        <v>0</v>
      </c>
    </row>
    <row r="423" spans="1:19" ht="17.25" customHeight="1">
      <c r="A423" s="108">
        <v>57405</v>
      </c>
      <c r="B423" s="108">
        <f t="shared" si="0"/>
        <v>57404</v>
      </c>
      <c r="C423" s="109"/>
      <c r="D423" s="109"/>
      <c r="E423" s="109"/>
      <c r="F423" s="109"/>
      <c r="G423" s="109"/>
      <c r="H423" s="109"/>
      <c r="I423" s="109">
        <f t="shared" ref="I423:J423" si="437">SUM(C423,E423,G423)</f>
        <v>0</v>
      </c>
      <c r="J423" s="109">
        <f t="shared" si="437"/>
        <v>0</v>
      </c>
      <c r="K423" s="109">
        <f>SUMIFS(Ações!$J$66,Ações!$N$66,Patrimônio!B423,Ações!$E$66,"Provento")</f>
        <v>0</v>
      </c>
      <c r="L423" s="109">
        <f>SUMIFS(BDRs!$J$66,BDRs!$E$66,"Provento",BDRs!$N$66,Patrimônio!B423)</f>
        <v>0</v>
      </c>
      <c r="M423" s="109">
        <f>SUMIFS(FIIs!$J$66,FIIs!$E$66,"Provento",FIIs!$N$66,Patrimônio!B423)</f>
        <v>0</v>
      </c>
      <c r="N423" s="109">
        <f t="shared" si="2"/>
        <v>0</v>
      </c>
      <c r="O423" s="109"/>
      <c r="Q423" s="154"/>
      <c r="R423" s="155" t="s">
        <v>271</v>
      </c>
      <c r="S423" s="156">
        <v>0</v>
      </c>
    </row>
    <row r="424" spans="1:19" ht="17.25" customHeight="1">
      <c r="A424" s="108">
        <v>57436</v>
      </c>
      <c r="B424" s="108">
        <f t="shared" si="0"/>
        <v>57435</v>
      </c>
      <c r="C424" s="109"/>
      <c r="D424" s="109"/>
      <c r="E424" s="109"/>
      <c r="F424" s="109"/>
      <c r="G424" s="109"/>
      <c r="H424" s="109"/>
      <c r="I424" s="109">
        <f t="shared" ref="I424:J424" si="438">SUM(C424,E424,G424)</f>
        <v>0</v>
      </c>
      <c r="J424" s="109">
        <f t="shared" si="438"/>
        <v>0</v>
      </c>
      <c r="K424" s="109">
        <f>SUMIFS(Ações!$J$66,Ações!$N$66,Patrimônio!B424,Ações!$E$66,"Provento")</f>
        <v>0</v>
      </c>
      <c r="L424" s="109">
        <f>SUMIFS(BDRs!$J$66,BDRs!$E$66,"Provento",BDRs!$N$66,Patrimônio!B424)</f>
        <v>0</v>
      </c>
      <c r="M424" s="109">
        <f>SUMIFS(FIIs!$J$66,FIIs!$E$66,"Provento",FIIs!$N$66,Patrimônio!B424)</f>
        <v>0</v>
      </c>
      <c r="N424" s="109">
        <f t="shared" si="2"/>
        <v>0</v>
      </c>
      <c r="O424" s="109"/>
      <c r="Q424" s="154"/>
      <c r="R424" s="155" t="s">
        <v>272</v>
      </c>
      <c r="S424" s="156">
        <v>0</v>
      </c>
    </row>
    <row r="425" spans="1:19" ht="17.25" customHeight="1">
      <c r="A425" s="108">
        <v>57466</v>
      </c>
      <c r="B425" s="108">
        <f t="shared" si="0"/>
        <v>57465</v>
      </c>
      <c r="C425" s="109"/>
      <c r="D425" s="109"/>
      <c r="E425" s="109"/>
      <c r="F425" s="109"/>
      <c r="G425" s="109"/>
      <c r="H425" s="109"/>
      <c r="I425" s="109">
        <f t="shared" ref="I425:J425" si="439">SUM(C425,E425,G425)</f>
        <v>0</v>
      </c>
      <c r="J425" s="109">
        <f t="shared" si="439"/>
        <v>0</v>
      </c>
      <c r="K425" s="109">
        <f>SUMIFS(Ações!$J$66,Ações!$N$66,Patrimônio!B425,Ações!$E$66,"Provento")</f>
        <v>0</v>
      </c>
      <c r="L425" s="109">
        <f>SUMIFS(BDRs!$J$66,BDRs!$E$66,"Provento",BDRs!$N$66,Patrimônio!B425)</f>
        <v>0</v>
      </c>
      <c r="M425" s="109">
        <f>SUMIFS(FIIs!$J$66,FIIs!$E$66,"Provento",FIIs!$N$66,Patrimônio!B425)</f>
        <v>0</v>
      </c>
      <c r="N425" s="109">
        <f t="shared" si="2"/>
        <v>0</v>
      </c>
      <c r="O425" s="109"/>
      <c r="Q425" s="151" t="s">
        <v>152</v>
      </c>
      <c r="R425" s="157"/>
      <c r="S425" s="153">
        <v>0</v>
      </c>
    </row>
    <row r="426" spans="1:19" ht="17.25" customHeight="1">
      <c r="A426" s="108">
        <v>57497</v>
      </c>
      <c r="B426" s="108">
        <f t="shared" si="0"/>
        <v>57496</v>
      </c>
      <c r="C426" s="109"/>
      <c r="D426" s="109"/>
      <c r="E426" s="109"/>
      <c r="F426" s="109"/>
      <c r="G426" s="109"/>
      <c r="H426" s="109"/>
      <c r="I426" s="109">
        <f t="shared" ref="I426:J426" si="440">SUM(C426,E426,G426)</f>
        <v>0</v>
      </c>
      <c r="J426" s="109">
        <f t="shared" si="440"/>
        <v>0</v>
      </c>
      <c r="K426" s="109">
        <f>SUMIFS(Ações!$J$66,Ações!$N$66,Patrimônio!B426,Ações!$E$66,"Provento")</f>
        <v>0</v>
      </c>
      <c r="L426" s="109">
        <f>SUMIFS(BDRs!$J$66,BDRs!$E$66,"Provento",BDRs!$N$66,Patrimônio!B426)</f>
        <v>0</v>
      </c>
      <c r="M426" s="109">
        <f>SUMIFS(FIIs!$J$66,FIIs!$E$66,"Provento",FIIs!$N$66,Patrimônio!B426)</f>
        <v>0</v>
      </c>
      <c r="N426" s="109">
        <f t="shared" si="2"/>
        <v>0</v>
      </c>
      <c r="O426" s="109"/>
      <c r="Q426" s="151" t="s">
        <v>153</v>
      </c>
      <c r="R426" s="152" t="s">
        <v>261</v>
      </c>
      <c r="S426" s="153">
        <v>0</v>
      </c>
    </row>
    <row r="427" spans="1:19" ht="17.25" customHeight="1">
      <c r="A427" s="108">
        <v>57527</v>
      </c>
      <c r="B427" s="108">
        <f t="shared" si="0"/>
        <v>57526</v>
      </c>
      <c r="C427" s="109"/>
      <c r="D427" s="109"/>
      <c r="E427" s="109"/>
      <c r="F427" s="109"/>
      <c r="G427" s="109"/>
      <c r="H427" s="109"/>
      <c r="I427" s="109">
        <f t="shared" ref="I427:J427" si="441">SUM(C427,E427,G427)</f>
        <v>0</v>
      </c>
      <c r="J427" s="109">
        <f t="shared" si="441"/>
        <v>0</v>
      </c>
      <c r="K427" s="109">
        <f>SUMIFS(Ações!$J$66,Ações!$N$66,Patrimônio!B427,Ações!$E$66,"Provento")</f>
        <v>0</v>
      </c>
      <c r="L427" s="109">
        <f>SUMIFS(BDRs!$J$66,BDRs!$E$66,"Provento",BDRs!$N$66,Patrimônio!B427)</f>
        <v>0</v>
      </c>
      <c r="M427" s="109">
        <f>SUMIFS(FIIs!$J$66,FIIs!$E$66,"Provento",FIIs!$N$66,Patrimônio!B427)</f>
        <v>0</v>
      </c>
      <c r="N427" s="109">
        <f t="shared" si="2"/>
        <v>0</v>
      </c>
      <c r="O427" s="109"/>
      <c r="Q427" s="154"/>
      <c r="R427" s="155" t="s">
        <v>262</v>
      </c>
      <c r="S427" s="156">
        <v>0</v>
      </c>
    </row>
    <row r="428" spans="1:19" ht="17.25" customHeight="1">
      <c r="A428" s="108">
        <v>57558</v>
      </c>
      <c r="B428" s="108">
        <f t="shared" si="0"/>
        <v>57557</v>
      </c>
      <c r="C428" s="109"/>
      <c r="D428" s="109"/>
      <c r="E428" s="109"/>
      <c r="F428" s="109"/>
      <c r="G428" s="109"/>
      <c r="H428" s="109"/>
      <c r="I428" s="109">
        <f t="shared" ref="I428:J428" si="442">SUM(C428,E428,G428)</f>
        <v>0</v>
      </c>
      <c r="J428" s="109">
        <f t="shared" si="442"/>
        <v>0</v>
      </c>
      <c r="K428" s="109">
        <f>SUMIFS(Ações!$J$66,Ações!$N$66,Patrimônio!B428,Ações!$E$66,"Provento")</f>
        <v>0</v>
      </c>
      <c r="L428" s="109">
        <f>SUMIFS(BDRs!$J$66,BDRs!$E$66,"Provento",BDRs!$N$66,Patrimônio!B428)</f>
        <v>0</v>
      </c>
      <c r="M428" s="109">
        <f>SUMIFS(FIIs!$J$66,FIIs!$E$66,"Provento",FIIs!$N$66,Patrimônio!B428)</f>
        <v>0</v>
      </c>
      <c r="N428" s="109">
        <f t="shared" si="2"/>
        <v>0</v>
      </c>
      <c r="O428" s="109"/>
      <c r="Q428" s="154"/>
      <c r="R428" s="155" t="s">
        <v>263</v>
      </c>
      <c r="S428" s="156">
        <v>0</v>
      </c>
    </row>
    <row r="429" spans="1:19" ht="17.25" customHeight="1">
      <c r="A429" s="108">
        <v>57589</v>
      </c>
      <c r="B429" s="108">
        <f t="shared" si="0"/>
        <v>57588</v>
      </c>
      <c r="C429" s="109"/>
      <c r="D429" s="109"/>
      <c r="E429" s="109"/>
      <c r="F429" s="109"/>
      <c r="G429" s="109"/>
      <c r="H429" s="109"/>
      <c r="I429" s="109">
        <f t="shared" ref="I429:J429" si="443">SUM(C429,E429,G429)</f>
        <v>0</v>
      </c>
      <c r="J429" s="109">
        <f t="shared" si="443"/>
        <v>0</v>
      </c>
      <c r="K429" s="109">
        <f>SUMIFS(Ações!$J$66,Ações!$N$66,Patrimônio!B429,Ações!$E$66,"Provento")</f>
        <v>0</v>
      </c>
      <c r="L429" s="109">
        <f>SUMIFS(BDRs!$J$66,BDRs!$E$66,"Provento",BDRs!$N$66,Patrimônio!B429)</f>
        <v>0</v>
      </c>
      <c r="M429" s="109">
        <f>SUMIFS(FIIs!$J$66,FIIs!$E$66,"Provento",FIIs!$N$66,Patrimônio!B429)</f>
        <v>0</v>
      </c>
      <c r="N429" s="109">
        <f t="shared" si="2"/>
        <v>0</v>
      </c>
      <c r="O429" s="109"/>
      <c r="Q429" s="154"/>
      <c r="R429" s="155" t="s">
        <v>264</v>
      </c>
      <c r="S429" s="156">
        <v>0</v>
      </c>
    </row>
    <row r="430" spans="1:19" ht="17.25" customHeight="1">
      <c r="A430" s="108">
        <v>57619</v>
      </c>
      <c r="B430" s="108">
        <f t="shared" si="0"/>
        <v>57618</v>
      </c>
      <c r="C430" s="109"/>
      <c r="D430" s="109"/>
      <c r="E430" s="109"/>
      <c r="F430" s="109"/>
      <c r="G430" s="109"/>
      <c r="H430" s="109"/>
      <c r="I430" s="109">
        <f t="shared" ref="I430:J430" si="444">SUM(C430,E430,G430)</f>
        <v>0</v>
      </c>
      <c r="J430" s="109">
        <f t="shared" si="444"/>
        <v>0</v>
      </c>
      <c r="K430" s="109">
        <f>SUMIFS(Ações!$J$66,Ações!$N$66,Patrimônio!B430,Ações!$E$66,"Provento")</f>
        <v>0</v>
      </c>
      <c r="L430" s="109">
        <f>SUMIFS(BDRs!$J$66,BDRs!$E$66,"Provento",BDRs!$N$66,Patrimônio!B430)</f>
        <v>0</v>
      </c>
      <c r="M430" s="109">
        <f>SUMIFS(FIIs!$J$66,FIIs!$E$66,"Provento",FIIs!$N$66,Patrimônio!B430)</f>
        <v>0</v>
      </c>
      <c r="N430" s="109">
        <f t="shared" si="2"/>
        <v>0</v>
      </c>
      <c r="O430" s="109"/>
      <c r="Q430" s="154"/>
      <c r="R430" s="155" t="s">
        <v>265</v>
      </c>
      <c r="S430" s="156">
        <v>0</v>
      </c>
    </row>
    <row r="431" spans="1:19" ht="17.25" customHeight="1">
      <c r="A431" s="108">
        <v>57650</v>
      </c>
      <c r="B431" s="108">
        <f t="shared" si="0"/>
        <v>57649</v>
      </c>
      <c r="C431" s="109"/>
      <c r="D431" s="109"/>
      <c r="E431" s="109"/>
      <c r="F431" s="109"/>
      <c r="G431" s="109"/>
      <c r="H431" s="109"/>
      <c r="I431" s="109">
        <f t="shared" ref="I431:J431" si="445">SUM(C431,E431,G431)</f>
        <v>0</v>
      </c>
      <c r="J431" s="109">
        <f t="shared" si="445"/>
        <v>0</v>
      </c>
      <c r="K431" s="109">
        <f>SUMIFS(Ações!$J$66,Ações!$N$66,Patrimônio!B431,Ações!$E$66,"Provento")</f>
        <v>0</v>
      </c>
      <c r="L431" s="109">
        <f>SUMIFS(BDRs!$J$66,BDRs!$E$66,"Provento",BDRs!$N$66,Patrimônio!B431)</f>
        <v>0</v>
      </c>
      <c r="M431" s="109">
        <f>SUMIFS(FIIs!$J$66,FIIs!$E$66,"Provento",FIIs!$N$66,Patrimônio!B431)</f>
        <v>0</v>
      </c>
      <c r="N431" s="109">
        <f t="shared" si="2"/>
        <v>0</v>
      </c>
      <c r="O431" s="109"/>
      <c r="Q431" s="154"/>
      <c r="R431" s="155" t="s">
        <v>266</v>
      </c>
      <c r="S431" s="156">
        <v>0</v>
      </c>
    </row>
    <row r="432" spans="1:19" ht="17.25" customHeight="1">
      <c r="A432" s="108">
        <v>57680</v>
      </c>
      <c r="B432" s="108">
        <f t="shared" si="0"/>
        <v>57679</v>
      </c>
      <c r="C432" s="109"/>
      <c r="D432" s="109"/>
      <c r="E432" s="109"/>
      <c r="F432" s="109"/>
      <c r="G432" s="109"/>
      <c r="H432" s="109"/>
      <c r="I432" s="109">
        <f t="shared" ref="I432:J432" si="446">SUM(C432,E432,G432)</f>
        <v>0</v>
      </c>
      <c r="J432" s="109">
        <f t="shared" si="446"/>
        <v>0</v>
      </c>
      <c r="K432" s="109">
        <f>SUMIFS(Ações!$J$66,Ações!$N$66,Patrimônio!B432,Ações!$E$66,"Provento")</f>
        <v>0</v>
      </c>
      <c r="L432" s="109">
        <f>SUMIFS(BDRs!$J$66,BDRs!$E$66,"Provento",BDRs!$N$66,Patrimônio!B432)</f>
        <v>0</v>
      </c>
      <c r="M432" s="109">
        <f>SUMIFS(FIIs!$J$66,FIIs!$E$66,"Provento",FIIs!$N$66,Patrimônio!B432)</f>
        <v>0</v>
      </c>
      <c r="N432" s="109">
        <f t="shared" si="2"/>
        <v>0</v>
      </c>
      <c r="O432" s="109"/>
      <c r="Q432" s="154"/>
      <c r="R432" s="155" t="s">
        <v>267</v>
      </c>
      <c r="S432" s="156">
        <v>0</v>
      </c>
    </row>
    <row r="433" spans="1:19" ht="17.25" customHeight="1">
      <c r="A433" s="108">
        <v>57711</v>
      </c>
      <c r="B433" s="108">
        <f t="shared" si="0"/>
        <v>57710</v>
      </c>
      <c r="C433" s="109"/>
      <c r="D433" s="109"/>
      <c r="E433" s="109"/>
      <c r="F433" s="109"/>
      <c r="G433" s="109"/>
      <c r="H433" s="109"/>
      <c r="I433" s="109">
        <f t="shared" ref="I433:J433" si="447">SUM(C433,E433,G433)</f>
        <v>0</v>
      </c>
      <c r="J433" s="109">
        <f t="shared" si="447"/>
        <v>0</v>
      </c>
      <c r="K433" s="109">
        <f>SUMIFS(Ações!$J$66,Ações!$N$66,Patrimônio!B433,Ações!$E$66,"Provento")</f>
        <v>0</v>
      </c>
      <c r="L433" s="109">
        <f>SUMIFS(BDRs!$J$66,BDRs!$E$66,"Provento",BDRs!$N$66,Patrimônio!B433)</f>
        <v>0</v>
      </c>
      <c r="M433" s="109">
        <f>SUMIFS(FIIs!$J$66,FIIs!$E$66,"Provento",FIIs!$N$66,Patrimônio!B433)</f>
        <v>0</v>
      </c>
      <c r="N433" s="109">
        <f t="shared" si="2"/>
        <v>0</v>
      </c>
      <c r="O433" s="109"/>
      <c r="Q433" s="154"/>
      <c r="R433" s="155" t="s">
        <v>268</v>
      </c>
      <c r="S433" s="156">
        <v>0</v>
      </c>
    </row>
    <row r="434" spans="1:19" ht="17.25" customHeight="1">
      <c r="A434" s="108">
        <v>57742</v>
      </c>
      <c r="B434" s="108">
        <f t="shared" si="0"/>
        <v>57741</v>
      </c>
      <c r="C434" s="109"/>
      <c r="D434" s="109"/>
      <c r="E434" s="109"/>
      <c r="F434" s="109"/>
      <c r="G434" s="109"/>
      <c r="H434" s="109"/>
      <c r="I434" s="109">
        <f t="shared" ref="I434:J434" si="448">SUM(C434,E434,G434)</f>
        <v>0</v>
      </c>
      <c r="J434" s="109">
        <f t="shared" si="448"/>
        <v>0</v>
      </c>
      <c r="K434" s="109">
        <f>SUMIFS(Ações!$J$66,Ações!$N$66,Patrimônio!B434,Ações!$E$66,"Provento")</f>
        <v>0</v>
      </c>
      <c r="L434" s="109">
        <f>SUMIFS(BDRs!$J$66,BDRs!$E$66,"Provento",BDRs!$N$66,Patrimônio!B434)</f>
        <v>0</v>
      </c>
      <c r="M434" s="109">
        <f>SUMIFS(FIIs!$J$66,FIIs!$E$66,"Provento",FIIs!$N$66,Patrimônio!B434)</f>
        <v>0</v>
      </c>
      <c r="N434" s="109">
        <f t="shared" si="2"/>
        <v>0</v>
      </c>
      <c r="O434" s="109"/>
      <c r="Q434" s="154"/>
      <c r="R434" s="155" t="s">
        <v>269</v>
      </c>
      <c r="S434" s="156">
        <v>0</v>
      </c>
    </row>
    <row r="435" spans="1:19" ht="17.25" customHeight="1">
      <c r="A435" s="108">
        <v>57770</v>
      </c>
      <c r="B435" s="108">
        <f t="shared" si="0"/>
        <v>57769</v>
      </c>
      <c r="C435" s="109"/>
      <c r="D435" s="109"/>
      <c r="E435" s="109"/>
      <c r="F435" s="109"/>
      <c r="G435" s="109"/>
      <c r="H435" s="109"/>
      <c r="I435" s="109">
        <f t="shared" ref="I435:J435" si="449">SUM(C435,E435,G435)</f>
        <v>0</v>
      </c>
      <c r="J435" s="109">
        <f t="shared" si="449"/>
        <v>0</v>
      </c>
      <c r="K435" s="109">
        <f>SUMIFS(Ações!$J$66,Ações!$N$66,Patrimônio!B435,Ações!$E$66,"Provento")</f>
        <v>0</v>
      </c>
      <c r="L435" s="109">
        <f>SUMIFS(BDRs!$J$66,BDRs!$E$66,"Provento",BDRs!$N$66,Patrimônio!B435)</f>
        <v>0</v>
      </c>
      <c r="M435" s="109">
        <f>SUMIFS(FIIs!$J$66,FIIs!$E$66,"Provento",FIIs!$N$66,Patrimônio!B435)</f>
        <v>0</v>
      </c>
      <c r="N435" s="109">
        <f t="shared" si="2"/>
        <v>0</v>
      </c>
      <c r="O435" s="109"/>
      <c r="Q435" s="154"/>
      <c r="R435" s="155" t="s">
        <v>270</v>
      </c>
      <c r="S435" s="156">
        <v>0</v>
      </c>
    </row>
    <row r="436" spans="1:19" ht="17.25" customHeight="1">
      <c r="A436" s="108">
        <v>57801</v>
      </c>
      <c r="B436" s="108">
        <f t="shared" si="0"/>
        <v>57800</v>
      </c>
      <c r="C436" s="109"/>
      <c r="D436" s="109"/>
      <c r="E436" s="109"/>
      <c r="F436" s="109"/>
      <c r="G436" s="109"/>
      <c r="H436" s="109"/>
      <c r="I436" s="109">
        <f t="shared" ref="I436:J436" si="450">SUM(C436,E436,G436)</f>
        <v>0</v>
      </c>
      <c r="J436" s="109">
        <f t="shared" si="450"/>
        <v>0</v>
      </c>
      <c r="K436" s="109">
        <f>SUMIFS(Ações!$J$66,Ações!$N$66,Patrimônio!B436,Ações!$E$66,"Provento")</f>
        <v>0</v>
      </c>
      <c r="L436" s="109">
        <f>SUMIFS(BDRs!$J$66,BDRs!$E$66,"Provento",BDRs!$N$66,Patrimônio!B436)</f>
        <v>0</v>
      </c>
      <c r="M436" s="109">
        <f>SUMIFS(FIIs!$J$66,FIIs!$E$66,"Provento",FIIs!$N$66,Patrimônio!B436)</f>
        <v>0</v>
      </c>
      <c r="N436" s="109">
        <f t="shared" si="2"/>
        <v>0</v>
      </c>
      <c r="O436" s="109"/>
      <c r="Q436" s="154"/>
      <c r="R436" s="155" t="s">
        <v>271</v>
      </c>
      <c r="S436" s="156">
        <v>0</v>
      </c>
    </row>
    <row r="437" spans="1:19" ht="17.25" customHeight="1">
      <c r="A437" s="108">
        <v>57831</v>
      </c>
      <c r="B437" s="108">
        <f t="shared" si="0"/>
        <v>57830</v>
      </c>
      <c r="C437" s="109"/>
      <c r="D437" s="109"/>
      <c r="E437" s="109"/>
      <c r="F437" s="109"/>
      <c r="G437" s="109"/>
      <c r="H437" s="109"/>
      <c r="I437" s="109">
        <f t="shared" ref="I437:J437" si="451">SUM(C437,E437,G437)</f>
        <v>0</v>
      </c>
      <c r="J437" s="109">
        <f t="shared" si="451"/>
        <v>0</v>
      </c>
      <c r="K437" s="109">
        <f>SUMIFS(Ações!$J$66,Ações!$N$66,Patrimônio!B437,Ações!$E$66,"Provento")</f>
        <v>0</v>
      </c>
      <c r="L437" s="109">
        <f>SUMIFS(BDRs!$J$66,BDRs!$E$66,"Provento",BDRs!$N$66,Patrimônio!B437)</f>
        <v>0</v>
      </c>
      <c r="M437" s="109">
        <f>SUMIFS(FIIs!$J$66,FIIs!$E$66,"Provento",FIIs!$N$66,Patrimônio!B437)</f>
        <v>0</v>
      </c>
      <c r="N437" s="109">
        <f t="shared" si="2"/>
        <v>0</v>
      </c>
      <c r="O437" s="109"/>
      <c r="Q437" s="154"/>
      <c r="R437" s="155" t="s">
        <v>272</v>
      </c>
      <c r="S437" s="156">
        <v>0</v>
      </c>
    </row>
    <row r="438" spans="1:19" ht="17.25" customHeight="1">
      <c r="A438" s="108">
        <v>57862</v>
      </c>
      <c r="B438" s="108">
        <f t="shared" si="0"/>
        <v>57861</v>
      </c>
      <c r="C438" s="109"/>
      <c r="D438" s="109"/>
      <c r="E438" s="109"/>
      <c r="F438" s="109"/>
      <c r="G438" s="109"/>
      <c r="H438" s="109"/>
      <c r="I438" s="109">
        <f t="shared" ref="I438:J438" si="452">SUM(C438,E438,G438)</f>
        <v>0</v>
      </c>
      <c r="J438" s="109">
        <f t="shared" si="452"/>
        <v>0</v>
      </c>
      <c r="K438" s="109">
        <f>SUMIFS(Ações!$J$66,Ações!$N$66,Patrimônio!B438,Ações!$E$66,"Provento")</f>
        <v>0</v>
      </c>
      <c r="L438" s="109">
        <f>SUMIFS(BDRs!$J$66,BDRs!$E$66,"Provento",BDRs!$N$66,Patrimônio!B438)</f>
        <v>0</v>
      </c>
      <c r="M438" s="109">
        <f>SUMIFS(FIIs!$J$66,FIIs!$E$66,"Provento",FIIs!$N$66,Patrimônio!B438)</f>
        <v>0</v>
      </c>
      <c r="N438" s="109">
        <f t="shared" si="2"/>
        <v>0</v>
      </c>
      <c r="O438" s="109"/>
      <c r="Q438" s="151" t="s">
        <v>154</v>
      </c>
      <c r="R438" s="157"/>
      <c r="S438" s="153">
        <v>0</v>
      </c>
    </row>
    <row r="439" spans="1:19" ht="17.25" customHeight="1">
      <c r="A439" s="108">
        <v>57892</v>
      </c>
      <c r="B439" s="108">
        <f t="shared" si="0"/>
        <v>57891</v>
      </c>
      <c r="C439" s="109"/>
      <c r="D439" s="109"/>
      <c r="E439" s="109"/>
      <c r="F439" s="109"/>
      <c r="G439" s="109"/>
      <c r="H439" s="109"/>
      <c r="I439" s="109">
        <f t="shared" ref="I439:J439" si="453">SUM(C439,E439,G439)</f>
        <v>0</v>
      </c>
      <c r="J439" s="109">
        <f t="shared" si="453"/>
        <v>0</v>
      </c>
      <c r="K439" s="109">
        <f>SUMIFS(Ações!$J$66,Ações!$N$66,Patrimônio!B439,Ações!$E$66,"Provento")</f>
        <v>0</v>
      </c>
      <c r="L439" s="109">
        <f>SUMIFS(BDRs!$J$66,BDRs!$E$66,"Provento",BDRs!$N$66,Patrimônio!B439)</f>
        <v>0</v>
      </c>
      <c r="M439" s="109">
        <f>SUMIFS(FIIs!$J$66,FIIs!$E$66,"Provento",FIIs!$N$66,Patrimônio!B439)</f>
        <v>0</v>
      </c>
      <c r="N439" s="109">
        <f t="shared" si="2"/>
        <v>0</v>
      </c>
      <c r="O439" s="109"/>
      <c r="Q439" s="151" t="s">
        <v>155</v>
      </c>
      <c r="R439" s="152" t="s">
        <v>261</v>
      </c>
      <c r="S439" s="153">
        <v>0</v>
      </c>
    </row>
    <row r="440" spans="1:19" ht="17.25" customHeight="1">
      <c r="A440" s="108">
        <v>57923</v>
      </c>
      <c r="B440" s="108">
        <f t="shared" si="0"/>
        <v>57922</v>
      </c>
      <c r="C440" s="109"/>
      <c r="D440" s="109"/>
      <c r="E440" s="109"/>
      <c r="F440" s="109"/>
      <c r="G440" s="109"/>
      <c r="H440" s="109"/>
      <c r="I440" s="109">
        <f t="shared" ref="I440:J440" si="454">SUM(C440,E440,G440)</f>
        <v>0</v>
      </c>
      <c r="J440" s="109">
        <f t="shared" si="454"/>
        <v>0</v>
      </c>
      <c r="K440" s="109">
        <f>SUMIFS(Ações!$J$66,Ações!$N$66,Patrimônio!B440,Ações!$E$66,"Provento")</f>
        <v>0</v>
      </c>
      <c r="L440" s="109">
        <f>SUMIFS(BDRs!$J$66,BDRs!$E$66,"Provento",BDRs!$N$66,Patrimônio!B440)</f>
        <v>0</v>
      </c>
      <c r="M440" s="109">
        <f>SUMIFS(FIIs!$J$66,FIIs!$E$66,"Provento",FIIs!$N$66,Patrimônio!B440)</f>
        <v>0</v>
      </c>
      <c r="N440" s="109">
        <f t="shared" si="2"/>
        <v>0</v>
      </c>
      <c r="O440" s="109"/>
      <c r="Q440" s="154"/>
      <c r="R440" s="155" t="s">
        <v>262</v>
      </c>
      <c r="S440" s="156">
        <v>0</v>
      </c>
    </row>
    <row r="441" spans="1:19" ht="17.25" customHeight="1">
      <c r="A441" s="108">
        <v>57954</v>
      </c>
      <c r="B441" s="108">
        <f t="shared" si="0"/>
        <v>57953</v>
      </c>
      <c r="C441" s="109"/>
      <c r="D441" s="109"/>
      <c r="E441" s="109"/>
      <c r="F441" s="109"/>
      <c r="G441" s="109"/>
      <c r="H441" s="109"/>
      <c r="I441" s="109">
        <f t="shared" ref="I441:J441" si="455">SUM(C441,E441,G441)</f>
        <v>0</v>
      </c>
      <c r="J441" s="109">
        <f t="shared" si="455"/>
        <v>0</v>
      </c>
      <c r="K441" s="109">
        <f>SUMIFS(Ações!$J$66,Ações!$N$66,Patrimônio!B441,Ações!$E$66,"Provento")</f>
        <v>0</v>
      </c>
      <c r="L441" s="109">
        <f>SUMIFS(BDRs!$J$66,BDRs!$E$66,"Provento",BDRs!$N$66,Patrimônio!B441)</f>
        <v>0</v>
      </c>
      <c r="M441" s="109">
        <f>SUMIFS(FIIs!$J$66,FIIs!$E$66,"Provento",FIIs!$N$66,Patrimônio!B441)</f>
        <v>0</v>
      </c>
      <c r="N441" s="109">
        <f t="shared" si="2"/>
        <v>0</v>
      </c>
      <c r="O441" s="109"/>
      <c r="Q441" s="154"/>
      <c r="R441" s="155" t="s">
        <v>263</v>
      </c>
      <c r="S441" s="156">
        <v>0</v>
      </c>
    </row>
    <row r="442" spans="1:19" ht="17.25" customHeight="1">
      <c r="A442" s="108">
        <v>57984</v>
      </c>
      <c r="B442" s="108">
        <f t="shared" si="0"/>
        <v>57983</v>
      </c>
      <c r="C442" s="109"/>
      <c r="D442" s="109"/>
      <c r="E442" s="109"/>
      <c r="F442" s="109"/>
      <c r="G442" s="109"/>
      <c r="H442" s="109"/>
      <c r="I442" s="109">
        <f t="shared" ref="I442:J442" si="456">SUM(C442,E442,G442)</f>
        <v>0</v>
      </c>
      <c r="J442" s="109">
        <f t="shared" si="456"/>
        <v>0</v>
      </c>
      <c r="K442" s="109">
        <f>SUMIFS(Ações!$J$66,Ações!$N$66,Patrimônio!B442,Ações!$E$66,"Provento")</f>
        <v>0</v>
      </c>
      <c r="L442" s="109">
        <f>SUMIFS(BDRs!$J$66,BDRs!$E$66,"Provento",BDRs!$N$66,Patrimônio!B442)</f>
        <v>0</v>
      </c>
      <c r="M442" s="109">
        <f>SUMIFS(FIIs!$J$66,FIIs!$E$66,"Provento",FIIs!$N$66,Patrimônio!B442)</f>
        <v>0</v>
      </c>
      <c r="N442" s="109">
        <f t="shared" si="2"/>
        <v>0</v>
      </c>
      <c r="O442" s="109"/>
      <c r="Q442" s="154"/>
      <c r="R442" s="155" t="s">
        <v>264</v>
      </c>
      <c r="S442" s="156">
        <v>0</v>
      </c>
    </row>
    <row r="443" spans="1:19" ht="17.25" customHeight="1">
      <c r="A443" s="108">
        <v>58015</v>
      </c>
      <c r="B443" s="108">
        <f t="shared" si="0"/>
        <v>58014</v>
      </c>
      <c r="C443" s="109"/>
      <c r="D443" s="109"/>
      <c r="E443" s="109"/>
      <c r="F443" s="109"/>
      <c r="G443" s="109"/>
      <c r="H443" s="109"/>
      <c r="I443" s="109">
        <f t="shared" ref="I443:J443" si="457">SUM(C443,E443,G443)</f>
        <v>0</v>
      </c>
      <c r="J443" s="109">
        <f t="shared" si="457"/>
        <v>0</v>
      </c>
      <c r="K443" s="109">
        <f>SUMIFS(Ações!$J$66,Ações!$N$66,Patrimônio!B443,Ações!$E$66,"Provento")</f>
        <v>0</v>
      </c>
      <c r="L443" s="109">
        <f>SUMIFS(BDRs!$J$66,BDRs!$E$66,"Provento",BDRs!$N$66,Patrimônio!B443)</f>
        <v>0</v>
      </c>
      <c r="M443" s="109">
        <f>SUMIFS(FIIs!$J$66,FIIs!$E$66,"Provento",FIIs!$N$66,Patrimônio!B443)</f>
        <v>0</v>
      </c>
      <c r="N443" s="109">
        <f t="shared" si="2"/>
        <v>0</v>
      </c>
      <c r="O443" s="109"/>
      <c r="Q443" s="154"/>
      <c r="R443" s="155" t="s">
        <v>265</v>
      </c>
      <c r="S443" s="156">
        <v>0</v>
      </c>
    </row>
    <row r="444" spans="1:19" ht="17.25" customHeight="1">
      <c r="A444" s="108">
        <v>58045</v>
      </c>
      <c r="B444" s="108">
        <f t="shared" si="0"/>
        <v>58044</v>
      </c>
      <c r="C444" s="109"/>
      <c r="D444" s="109"/>
      <c r="E444" s="109"/>
      <c r="F444" s="109"/>
      <c r="G444" s="109"/>
      <c r="H444" s="109"/>
      <c r="I444" s="109">
        <f t="shared" ref="I444:J444" si="458">SUM(C444,E444,G444)</f>
        <v>0</v>
      </c>
      <c r="J444" s="109">
        <f t="shared" si="458"/>
        <v>0</v>
      </c>
      <c r="K444" s="109">
        <f>SUMIFS(Ações!$J$66,Ações!$N$66,Patrimônio!B444,Ações!$E$66,"Provento")</f>
        <v>0</v>
      </c>
      <c r="L444" s="109">
        <f>SUMIFS(BDRs!$J$66,BDRs!$E$66,"Provento",BDRs!$N$66,Patrimônio!B444)</f>
        <v>0</v>
      </c>
      <c r="M444" s="109">
        <f>SUMIFS(FIIs!$J$66,FIIs!$E$66,"Provento",FIIs!$N$66,Patrimônio!B444)</f>
        <v>0</v>
      </c>
      <c r="N444" s="109">
        <f t="shared" si="2"/>
        <v>0</v>
      </c>
      <c r="O444" s="109"/>
      <c r="Q444" s="154"/>
      <c r="R444" s="155" t="s">
        <v>266</v>
      </c>
      <c r="S444" s="156">
        <v>0</v>
      </c>
    </row>
    <row r="445" spans="1:19" ht="17.25" customHeight="1">
      <c r="A445" s="108">
        <v>58076</v>
      </c>
      <c r="B445" s="108">
        <f t="shared" si="0"/>
        <v>58075</v>
      </c>
      <c r="C445" s="109"/>
      <c r="D445" s="109"/>
      <c r="E445" s="109"/>
      <c r="F445" s="109"/>
      <c r="G445" s="109"/>
      <c r="H445" s="109"/>
      <c r="I445" s="109">
        <f t="shared" ref="I445:J445" si="459">SUM(C445,E445,G445)</f>
        <v>0</v>
      </c>
      <c r="J445" s="109">
        <f t="shared" si="459"/>
        <v>0</v>
      </c>
      <c r="K445" s="109">
        <f>SUMIFS(Ações!$J$66,Ações!$N$66,Patrimônio!B445,Ações!$E$66,"Provento")</f>
        <v>0</v>
      </c>
      <c r="L445" s="109">
        <f>SUMIFS(BDRs!$J$66,BDRs!$E$66,"Provento",BDRs!$N$66,Patrimônio!B445)</f>
        <v>0</v>
      </c>
      <c r="M445" s="109">
        <f>SUMIFS(FIIs!$J$66,FIIs!$E$66,"Provento",FIIs!$N$66,Patrimônio!B445)</f>
        <v>0</v>
      </c>
      <c r="N445" s="109">
        <f t="shared" si="2"/>
        <v>0</v>
      </c>
      <c r="O445" s="109"/>
      <c r="Q445" s="154"/>
      <c r="R445" s="155" t="s">
        <v>267</v>
      </c>
      <c r="S445" s="156">
        <v>0</v>
      </c>
    </row>
    <row r="446" spans="1:19" ht="17.25" customHeight="1">
      <c r="A446" s="108">
        <v>58107</v>
      </c>
      <c r="B446" s="108">
        <f t="shared" si="0"/>
        <v>58106</v>
      </c>
      <c r="C446" s="109"/>
      <c r="D446" s="109"/>
      <c r="E446" s="109"/>
      <c r="F446" s="109"/>
      <c r="G446" s="109"/>
      <c r="H446" s="109"/>
      <c r="I446" s="109">
        <f t="shared" ref="I446:J446" si="460">SUM(C446,E446,G446)</f>
        <v>0</v>
      </c>
      <c r="J446" s="109">
        <f t="shared" si="460"/>
        <v>0</v>
      </c>
      <c r="K446" s="109">
        <f>SUMIFS(Ações!$J$66,Ações!$N$66,Patrimônio!B446,Ações!$E$66,"Provento")</f>
        <v>0</v>
      </c>
      <c r="L446" s="109">
        <f>SUMIFS(BDRs!$J$66,BDRs!$E$66,"Provento",BDRs!$N$66,Patrimônio!B446)</f>
        <v>0</v>
      </c>
      <c r="M446" s="109">
        <f>SUMIFS(FIIs!$J$66,FIIs!$E$66,"Provento",FIIs!$N$66,Patrimônio!B446)</f>
        <v>0</v>
      </c>
      <c r="N446" s="109">
        <f t="shared" si="2"/>
        <v>0</v>
      </c>
      <c r="O446" s="109"/>
      <c r="Q446" s="154"/>
      <c r="R446" s="155" t="s">
        <v>268</v>
      </c>
      <c r="S446" s="156">
        <v>0</v>
      </c>
    </row>
    <row r="447" spans="1:19" ht="17.25" customHeight="1">
      <c r="A447" s="108">
        <v>58135</v>
      </c>
      <c r="B447" s="108">
        <f t="shared" si="0"/>
        <v>58134</v>
      </c>
      <c r="C447" s="109"/>
      <c r="D447" s="109"/>
      <c r="E447" s="109"/>
      <c r="F447" s="109"/>
      <c r="G447" s="109"/>
      <c r="H447" s="109"/>
      <c r="I447" s="109">
        <f t="shared" ref="I447:J447" si="461">SUM(C447,E447,G447)</f>
        <v>0</v>
      </c>
      <c r="J447" s="109">
        <f t="shared" si="461"/>
        <v>0</v>
      </c>
      <c r="K447" s="109">
        <f>SUMIFS(Ações!$J$66,Ações!$N$66,Patrimônio!B447,Ações!$E$66,"Provento")</f>
        <v>0</v>
      </c>
      <c r="L447" s="109">
        <f>SUMIFS(BDRs!$J$66,BDRs!$E$66,"Provento",BDRs!$N$66,Patrimônio!B447)</f>
        <v>0</v>
      </c>
      <c r="M447" s="109">
        <f>SUMIFS(FIIs!$J$66,FIIs!$E$66,"Provento",FIIs!$N$66,Patrimônio!B447)</f>
        <v>0</v>
      </c>
      <c r="N447" s="109">
        <f t="shared" si="2"/>
        <v>0</v>
      </c>
      <c r="O447" s="109"/>
      <c r="Q447" s="154"/>
      <c r="R447" s="155" t="s">
        <v>269</v>
      </c>
      <c r="S447" s="156">
        <v>0</v>
      </c>
    </row>
    <row r="448" spans="1:19" ht="17.25" customHeight="1">
      <c r="A448" s="108">
        <v>58166</v>
      </c>
      <c r="B448" s="108">
        <f t="shared" si="0"/>
        <v>58165</v>
      </c>
      <c r="C448" s="109"/>
      <c r="D448" s="109"/>
      <c r="E448" s="109"/>
      <c r="F448" s="109"/>
      <c r="G448" s="109"/>
      <c r="H448" s="109"/>
      <c r="I448" s="109">
        <f t="shared" ref="I448:J448" si="462">SUM(C448,E448,G448)</f>
        <v>0</v>
      </c>
      <c r="J448" s="109">
        <f t="shared" si="462"/>
        <v>0</v>
      </c>
      <c r="K448" s="109">
        <f>SUMIFS(Ações!$J$66,Ações!$N$66,Patrimônio!B448,Ações!$E$66,"Provento")</f>
        <v>0</v>
      </c>
      <c r="L448" s="109">
        <f>SUMIFS(BDRs!$J$66,BDRs!$E$66,"Provento",BDRs!$N$66,Patrimônio!B448)</f>
        <v>0</v>
      </c>
      <c r="M448" s="109">
        <f>SUMIFS(FIIs!$J$66,FIIs!$E$66,"Provento",FIIs!$N$66,Patrimônio!B448)</f>
        <v>0</v>
      </c>
      <c r="N448" s="109">
        <f t="shared" si="2"/>
        <v>0</v>
      </c>
      <c r="O448" s="109"/>
      <c r="Q448" s="154"/>
      <c r="R448" s="155" t="s">
        <v>270</v>
      </c>
      <c r="S448" s="156">
        <v>0</v>
      </c>
    </row>
    <row r="449" spans="1:19" ht="17.25" customHeight="1">
      <c r="A449" s="108">
        <v>58196</v>
      </c>
      <c r="B449" s="108">
        <f t="shared" si="0"/>
        <v>58195</v>
      </c>
      <c r="C449" s="109"/>
      <c r="D449" s="109"/>
      <c r="E449" s="109"/>
      <c r="F449" s="109"/>
      <c r="G449" s="109"/>
      <c r="H449" s="109"/>
      <c r="I449" s="109">
        <f t="shared" ref="I449:J449" si="463">SUM(C449,E449,G449)</f>
        <v>0</v>
      </c>
      <c r="J449" s="109">
        <f t="shared" si="463"/>
        <v>0</v>
      </c>
      <c r="K449" s="109">
        <f>SUMIFS(Ações!$J$66,Ações!$N$66,Patrimônio!B449,Ações!$E$66,"Provento")</f>
        <v>0</v>
      </c>
      <c r="L449" s="109">
        <f>SUMIFS(BDRs!$J$66,BDRs!$E$66,"Provento",BDRs!$N$66,Patrimônio!B449)</f>
        <v>0</v>
      </c>
      <c r="M449" s="109">
        <f>SUMIFS(FIIs!$J$66,FIIs!$E$66,"Provento",FIIs!$N$66,Patrimônio!B449)</f>
        <v>0</v>
      </c>
      <c r="N449" s="109">
        <f t="shared" si="2"/>
        <v>0</v>
      </c>
      <c r="O449" s="109"/>
      <c r="Q449" s="154"/>
      <c r="R449" s="155" t="s">
        <v>271</v>
      </c>
      <c r="S449" s="156">
        <v>0</v>
      </c>
    </row>
    <row r="450" spans="1:19" ht="17.25" customHeight="1">
      <c r="A450" s="108">
        <v>58227</v>
      </c>
      <c r="B450" s="108">
        <f t="shared" si="0"/>
        <v>58226</v>
      </c>
      <c r="C450" s="109"/>
      <c r="D450" s="109"/>
      <c r="E450" s="109"/>
      <c r="F450" s="109"/>
      <c r="G450" s="109"/>
      <c r="H450" s="109"/>
      <c r="I450" s="109">
        <f t="shared" ref="I450:J450" si="464">SUM(C450,E450,G450)</f>
        <v>0</v>
      </c>
      <c r="J450" s="109">
        <f t="shared" si="464"/>
        <v>0</v>
      </c>
      <c r="K450" s="109">
        <f>SUMIFS(Ações!$J$66,Ações!$N$66,Patrimônio!B450,Ações!$E$66,"Provento")</f>
        <v>0</v>
      </c>
      <c r="L450" s="109">
        <f>SUMIFS(BDRs!$J$66,BDRs!$E$66,"Provento",BDRs!$N$66,Patrimônio!B450)</f>
        <v>0</v>
      </c>
      <c r="M450" s="109">
        <f>SUMIFS(FIIs!$J$66,FIIs!$E$66,"Provento",FIIs!$N$66,Patrimônio!B450)</f>
        <v>0</v>
      </c>
      <c r="N450" s="109">
        <f t="shared" si="2"/>
        <v>0</v>
      </c>
      <c r="O450" s="109"/>
      <c r="Q450" s="154"/>
      <c r="R450" s="155" t="s">
        <v>272</v>
      </c>
      <c r="S450" s="156">
        <v>0</v>
      </c>
    </row>
    <row r="451" spans="1:19" ht="17.25" customHeight="1">
      <c r="A451" s="108">
        <v>58257</v>
      </c>
      <c r="B451" s="108">
        <f t="shared" si="0"/>
        <v>58256</v>
      </c>
      <c r="C451" s="109"/>
      <c r="D451" s="109"/>
      <c r="E451" s="109"/>
      <c r="F451" s="109"/>
      <c r="G451" s="109"/>
      <c r="H451" s="109"/>
      <c r="I451" s="109">
        <f t="shared" ref="I451:J451" si="465">SUM(C451,E451,G451)</f>
        <v>0</v>
      </c>
      <c r="J451" s="109">
        <f t="shared" si="465"/>
        <v>0</v>
      </c>
      <c r="K451" s="109">
        <f>SUMIFS(Ações!$J$66,Ações!$N$66,Patrimônio!B451,Ações!$E$66,"Provento")</f>
        <v>0</v>
      </c>
      <c r="L451" s="109">
        <f>SUMIFS(BDRs!$J$66,BDRs!$E$66,"Provento",BDRs!$N$66,Patrimônio!B451)</f>
        <v>0</v>
      </c>
      <c r="M451" s="109">
        <f>SUMIFS(FIIs!$J$66,FIIs!$E$66,"Provento",FIIs!$N$66,Patrimônio!B451)</f>
        <v>0</v>
      </c>
      <c r="N451" s="109">
        <f t="shared" si="2"/>
        <v>0</v>
      </c>
      <c r="O451" s="109"/>
      <c r="Q451" s="151" t="s">
        <v>156</v>
      </c>
      <c r="R451" s="157"/>
      <c r="S451" s="153">
        <v>0</v>
      </c>
    </row>
    <row r="452" spans="1:19" ht="17.25" customHeight="1">
      <c r="A452" s="108">
        <v>58288</v>
      </c>
      <c r="B452" s="108">
        <f t="shared" si="0"/>
        <v>58287</v>
      </c>
      <c r="C452" s="109"/>
      <c r="D452" s="109"/>
      <c r="E452" s="109"/>
      <c r="F452" s="109"/>
      <c r="G452" s="109"/>
      <c r="H452" s="109"/>
      <c r="I452" s="109">
        <f t="shared" ref="I452:J452" si="466">SUM(C452,E452,G452)</f>
        <v>0</v>
      </c>
      <c r="J452" s="109">
        <f t="shared" si="466"/>
        <v>0</v>
      </c>
      <c r="K452" s="109">
        <f>SUMIFS(Ações!$J$66,Ações!$N$66,Patrimônio!B452,Ações!$E$66,"Provento")</f>
        <v>0</v>
      </c>
      <c r="L452" s="109">
        <f>SUMIFS(BDRs!$J$66,BDRs!$E$66,"Provento",BDRs!$N$66,Patrimônio!B452)</f>
        <v>0</v>
      </c>
      <c r="M452" s="109">
        <f>SUMIFS(FIIs!$J$66,FIIs!$E$66,"Provento",FIIs!$N$66,Patrimônio!B452)</f>
        <v>0</v>
      </c>
      <c r="N452" s="109">
        <f t="shared" si="2"/>
        <v>0</v>
      </c>
      <c r="O452" s="109"/>
      <c r="Q452" s="151" t="s">
        <v>157</v>
      </c>
      <c r="R452" s="152" t="s">
        <v>261</v>
      </c>
      <c r="S452" s="153">
        <v>0</v>
      </c>
    </row>
    <row r="453" spans="1:19" ht="17.25" customHeight="1">
      <c r="A453" s="108">
        <v>58319</v>
      </c>
      <c r="B453" s="108">
        <f t="shared" si="0"/>
        <v>58318</v>
      </c>
      <c r="C453" s="109"/>
      <c r="D453" s="109"/>
      <c r="E453" s="109"/>
      <c r="F453" s="109"/>
      <c r="G453" s="109"/>
      <c r="H453" s="109"/>
      <c r="I453" s="109">
        <f t="shared" ref="I453:J453" si="467">SUM(C453,E453,G453)</f>
        <v>0</v>
      </c>
      <c r="J453" s="109">
        <f t="shared" si="467"/>
        <v>0</v>
      </c>
      <c r="K453" s="109">
        <f>SUMIFS(Ações!$J$66,Ações!$N$66,Patrimônio!B453,Ações!$E$66,"Provento")</f>
        <v>0</v>
      </c>
      <c r="L453" s="109">
        <f>SUMIFS(BDRs!$J$66,BDRs!$E$66,"Provento",BDRs!$N$66,Patrimônio!B453)</f>
        <v>0</v>
      </c>
      <c r="M453" s="109">
        <f>SUMIFS(FIIs!$J$66,FIIs!$E$66,"Provento",FIIs!$N$66,Patrimônio!B453)</f>
        <v>0</v>
      </c>
      <c r="N453" s="109">
        <f t="shared" si="2"/>
        <v>0</v>
      </c>
      <c r="O453" s="109"/>
      <c r="Q453" s="154"/>
      <c r="R453" s="155" t="s">
        <v>262</v>
      </c>
      <c r="S453" s="156">
        <v>0</v>
      </c>
    </row>
    <row r="454" spans="1:19" ht="17.25" customHeight="1">
      <c r="A454" s="108">
        <v>58349</v>
      </c>
      <c r="B454" s="108">
        <f t="shared" si="0"/>
        <v>58348</v>
      </c>
      <c r="C454" s="109"/>
      <c r="D454" s="109"/>
      <c r="E454" s="109"/>
      <c r="F454" s="109"/>
      <c r="G454" s="109"/>
      <c r="H454" s="109"/>
      <c r="I454" s="109">
        <f t="shared" ref="I454:J454" si="468">SUM(C454,E454,G454)</f>
        <v>0</v>
      </c>
      <c r="J454" s="109">
        <f t="shared" si="468"/>
        <v>0</v>
      </c>
      <c r="K454" s="109">
        <f>SUMIFS(Ações!$J$66,Ações!$N$66,Patrimônio!B454,Ações!$E$66,"Provento")</f>
        <v>0</v>
      </c>
      <c r="L454" s="109">
        <f>SUMIFS(BDRs!$J$66,BDRs!$E$66,"Provento",BDRs!$N$66,Patrimônio!B454)</f>
        <v>0</v>
      </c>
      <c r="M454" s="109">
        <f>SUMIFS(FIIs!$J$66,FIIs!$E$66,"Provento",FIIs!$N$66,Patrimônio!B454)</f>
        <v>0</v>
      </c>
      <c r="N454" s="109">
        <f t="shared" si="2"/>
        <v>0</v>
      </c>
      <c r="O454" s="109"/>
      <c r="Q454" s="154"/>
      <c r="R454" s="155" t="s">
        <v>263</v>
      </c>
      <c r="S454" s="156">
        <v>0</v>
      </c>
    </row>
    <row r="455" spans="1:19" ht="17.25" customHeight="1">
      <c r="A455" s="108">
        <v>58380</v>
      </c>
      <c r="B455" s="108">
        <f t="shared" si="0"/>
        <v>58379</v>
      </c>
      <c r="C455" s="109"/>
      <c r="D455" s="109"/>
      <c r="E455" s="109"/>
      <c r="F455" s="109"/>
      <c r="G455" s="109"/>
      <c r="H455" s="109"/>
      <c r="I455" s="109">
        <f t="shared" ref="I455:J455" si="469">SUM(C455,E455,G455)</f>
        <v>0</v>
      </c>
      <c r="J455" s="109">
        <f t="shared" si="469"/>
        <v>0</v>
      </c>
      <c r="K455" s="109">
        <f>SUMIFS(Ações!$J$66,Ações!$N$66,Patrimônio!B455,Ações!$E$66,"Provento")</f>
        <v>0</v>
      </c>
      <c r="L455" s="109">
        <f>SUMIFS(BDRs!$J$66,BDRs!$E$66,"Provento",BDRs!$N$66,Patrimônio!B455)</f>
        <v>0</v>
      </c>
      <c r="M455" s="109">
        <f>SUMIFS(FIIs!$J$66,FIIs!$E$66,"Provento",FIIs!$N$66,Patrimônio!B455)</f>
        <v>0</v>
      </c>
      <c r="N455" s="109">
        <f t="shared" si="2"/>
        <v>0</v>
      </c>
      <c r="O455" s="109"/>
      <c r="Q455" s="154"/>
      <c r="R455" s="155" t="s">
        <v>264</v>
      </c>
      <c r="S455" s="156">
        <v>0</v>
      </c>
    </row>
    <row r="456" spans="1:19" ht="17.25" customHeight="1">
      <c r="A456" s="108">
        <v>58410</v>
      </c>
      <c r="B456" s="108">
        <f t="shared" si="0"/>
        <v>58409</v>
      </c>
      <c r="C456" s="109"/>
      <c r="D456" s="109"/>
      <c r="E456" s="109"/>
      <c r="F456" s="109"/>
      <c r="G456" s="109"/>
      <c r="H456" s="109"/>
      <c r="I456" s="109">
        <f t="shared" ref="I456:J456" si="470">SUM(C456,E456,G456)</f>
        <v>0</v>
      </c>
      <c r="J456" s="109">
        <f t="shared" si="470"/>
        <v>0</v>
      </c>
      <c r="K456" s="109">
        <f>SUMIFS(Ações!$J$66,Ações!$N$66,Patrimônio!B456,Ações!$E$66,"Provento")</f>
        <v>0</v>
      </c>
      <c r="L456" s="109">
        <f>SUMIFS(BDRs!$J$66,BDRs!$E$66,"Provento",BDRs!$N$66,Patrimônio!B456)</f>
        <v>0</v>
      </c>
      <c r="M456" s="109">
        <f>SUMIFS(FIIs!$J$66,FIIs!$E$66,"Provento",FIIs!$N$66,Patrimônio!B456)</f>
        <v>0</v>
      </c>
      <c r="N456" s="109">
        <f t="shared" si="2"/>
        <v>0</v>
      </c>
      <c r="O456" s="109"/>
      <c r="Q456" s="154"/>
      <c r="R456" s="155" t="s">
        <v>265</v>
      </c>
      <c r="S456" s="156">
        <v>0</v>
      </c>
    </row>
    <row r="457" spans="1:19" ht="17.25" customHeight="1">
      <c r="A457" s="108">
        <v>58441</v>
      </c>
      <c r="B457" s="108">
        <f t="shared" si="0"/>
        <v>58440</v>
      </c>
      <c r="C457" s="109"/>
      <c r="D457" s="109"/>
      <c r="E457" s="109"/>
      <c r="F457" s="109"/>
      <c r="G457" s="109"/>
      <c r="H457" s="109"/>
      <c r="I457" s="109">
        <f t="shared" ref="I457:J457" si="471">SUM(C457,E457,G457)</f>
        <v>0</v>
      </c>
      <c r="J457" s="109">
        <f t="shared" si="471"/>
        <v>0</v>
      </c>
      <c r="K457" s="109">
        <f>SUMIFS(Ações!$J$66,Ações!$N$66,Patrimônio!B457,Ações!$E$66,"Provento")</f>
        <v>0</v>
      </c>
      <c r="L457" s="109">
        <f>SUMIFS(BDRs!$J$66,BDRs!$E$66,"Provento",BDRs!$N$66,Patrimônio!B457)</f>
        <v>0</v>
      </c>
      <c r="M457" s="109">
        <f>SUMIFS(FIIs!$J$66,FIIs!$E$66,"Provento",FIIs!$N$66,Patrimônio!B457)</f>
        <v>0</v>
      </c>
      <c r="N457" s="109">
        <f t="shared" si="2"/>
        <v>0</v>
      </c>
      <c r="O457" s="109"/>
      <c r="Q457" s="154"/>
      <c r="R457" s="155" t="s">
        <v>266</v>
      </c>
      <c r="S457" s="156">
        <v>0</v>
      </c>
    </row>
    <row r="458" spans="1:19" ht="17.25" customHeight="1">
      <c r="A458" s="108">
        <v>58472</v>
      </c>
      <c r="B458" s="108">
        <f t="shared" si="0"/>
        <v>58471</v>
      </c>
      <c r="C458" s="109"/>
      <c r="D458" s="109"/>
      <c r="E458" s="109"/>
      <c r="F458" s="109"/>
      <c r="G458" s="109"/>
      <c r="H458" s="109"/>
      <c r="I458" s="109">
        <f t="shared" ref="I458:J458" si="472">SUM(C458,E458,G458)</f>
        <v>0</v>
      </c>
      <c r="J458" s="109">
        <f t="shared" si="472"/>
        <v>0</v>
      </c>
      <c r="K458" s="109">
        <f>SUMIFS(Ações!$J$66,Ações!$N$66,Patrimônio!B458,Ações!$E$66,"Provento")</f>
        <v>0</v>
      </c>
      <c r="L458" s="109">
        <f>SUMIFS(BDRs!$J$66,BDRs!$E$66,"Provento",BDRs!$N$66,Patrimônio!B458)</f>
        <v>0</v>
      </c>
      <c r="M458" s="109">
        <f>SUMIFS(FIIs!$J$66,FIIs!$E$66,"Provento",FIIs!$N$66,Patrimônio!B458)</f>
        <v>0</v>
      </c>
      <c r="N458" s="109">
        <f t="shared" si="2"/>
        <v>0</v>
      </c>
      <c r="O458" s="109"/>
      <c r="Q458" s="154"/>
      <c r="R458" s="155" t="s">
        <v>267</v>
      </c>
      <c r="S458" s="156">
        <v>0</v>
      </c>
    </row>
    <row r="459" spans="1:19" ht="17.25" customHeight="1">
      <c r="A459" s="108">
        <v>58501</v>
      </c>
      <c r="B459" s="108">
        <f t="shared" si="0"/>
        <v>58500</v>
      </c>
      <c r="C459" s="109"/>
      <c r="D459" s="109"/>
      <c r="E459" s="109"/>
      <c r="F459" s="109"/>
      <c r="G459" s="109"/>
      <c r="H459" s="109"/>
      <c r="I459" s="109">
        <f t="shared" ref="I459:J459" si="473">SUM(C459,E459,G459)</f>
        <v>0</v>
      </c>
      <c r="J459" s="109">
        <f t="shared" si="473"/>
        <v>0</v>
      </c>
      <c r="K459" s="109">
        <f>SUMIFS(Ações!$J$66,Ações!$N$66,Patrimônio!B459,Ações!$E$66,"Provento")</f>
        <v>0</v>
      </c>
      <c r="L459" s="109">
        <f>SUMIFS(BDRs!$J$66,BDRs!$E$66,"Provento",BDRs!$N$66,Patrimônio!B459)</f>
        <v>0</v>
      </c>
      <c r="M459" s="109">
        <f>SUMIFS(FIIs!$J$66,FIIs!$E$66,"Provento",FIIs!$N$66,Patrimônio!B459)</f>
        <v>0</v>
      </c>
      <c r="N459" s="109">
        <f t="shared" si="2"/>
        <v>0</v>
      </c>
      <c r="O459" s="109"/>
      <c r="Q459" s="154"/>
      <c r="R459" s="155" t="s">
        <v>268</v>
      </c>
      <c r="S459" s="156">
        <v>0</v>
      </c>
    </row>
    <row r="460" spans="1:19" ht="17.25" customHeight="1">
      <c r="A460" s="108">
        <v>58532</v>
      </c>
      <c r="B460" s="108">
        <f t="shared" si="0"/>
        <v>58531</v>
      </c>
      <c r="C460" s="109"/>
      <c r="D460" s="109"/>
      <c r="E460" s="109"/>
      <c r="F460" s="109"/>
      <c r="G460" s="109"/>
      <c r="H460" s="109"/>
      <c r="I460" s="109">
        <f t="shared" ref="I460:J460" si="474">SUM(C460,E460,G460)</f>
        <v>0</v>
      </c>
      <c r="J460" s="109">
        <f t="shared" si="474"/>
        <v>0</v>
      </c>
      <c r="K460" s="109">
        <f>SUMIFS(Ações!$J$66,Ações!$N$66,Patrimônio!B460,Ações!$E$66,"Provento")</f>
        <v>0</v>
      </c>
      <c r="L460" s="109">
        <f>SUMIFS(BDRs!$J$66,BDRs!$E$66,"Provento",BDRs!$N$66,Patrimônio!B460)</f>
        <v>0</v>
      </c>
      <c r="M460" s="109">
        <f>SUMIFS(FIIs!$J$66,FIIs!$E$66,"Provento",FIIs!$N$66,Patrimônio!B460)</f>
        <v>0</v>
      </c>
      <c r="N460" s="109">
        <f t="shared" si="2"/>
        <v>0</v>
      </c>
      <c r="O460" s="109"/>
      <c r="Q460" s="154"/>
      <c r="R460" s="155" t="s">
        <v>269</v>
      </c>
      <c r="S460" s="156">
        <v>0</v>
      </c>
    </row>
    <row r="461" spans="1:19" ht="17.25" customHeight="1">
      <c r="A461" s="108">
        <v>58562</v>
      </c>
      <c r="B461" s="108">
        <f t="shared" si="0"/>
        <v>58561</v>
      </c>
      <c r="C461" s="109"/>
      <c r="D461" s="109"/>
      <c r="E461" s="109"/>
      <c r="F461" s="109"/>
      <c r="G461" s="109"/>
      <c r="H461" s="109"/>
      <c r="I461" s="109">
        <f t="shared" ref="I461:J461" si="475">SUM(C461,E461,G461)</f>
        <v>0</v>
      </c>
      <c r="J461" s="109">
        <f t="shared" si="475"/>
        <v>0</v>
      </c>
      <c r="K461" s="109">
        <f>SUMIFS(Ações!$J$66,Ações!$N$66,Patrimônio!B461,Ações!$E$66,"Provento")</f>
        <v>0</v>
      </c>
      <c r="L461" s="109">
        <f>SUMIFS(BDRs!$J$66,BDRs!$E$66,"Provento",BDRs!$N$66,Patrimônio!B461)</f>
        <v>0</v>
      </c>
      <c r="M461" s="109">
        <f>SUMIFS(FIIs!$J$66,FIIs!$E$66,"Provento",FIIs!$N$66,Patrimônio!B461)</f>
        <v>0</v>
      </c>
      <c r="N461" s="109">
        <f t="shared" si="2"/>
        <v>0</v>
      </c>
      <c r="O461" s="109"/>
      <c r="Q461" s="154"/>
      <c r="R461" s="155" t="s">
        <v>270</v>
      </c>
      <c r="S461" s="156">
        <v>0</v>
      </c>
    </row>
    <row r="462" spans="1:19" ht="17.25" customHeight="1">
      <c r="A462" s="108">
        <v>58593</v>
      </c>
      <c r="B462" s="108">
        <f t="shared" si="0"/>
        <v>58592</v>
      </c>
      <c r="C462" s="109"/>
      <c r="D462" s="109"/>
      <c r="E462" s="109"/>
      <c r="F462" s="109"/>
      <c r="G462" s="109"/>
      <c r="H462" s="109"/>
      <c r="I462" s="109">
        <f t="shared" ref="I462:J462" si="476">SUM(C462,E462,G462)</f>
        <v>0</v>
      </c>
      <c r="J462" s="109">
        <f t="shared" si="476"/>
        <v>0</v>
      </c>
      <c r="K462" s="109">
        <f>SUMIFS(Ações!$J$66,Ações!$N$66,Patrimônio!B462,Ações!$E$66,"Provento")</f>
        <v>0</v>
      </c>
      <c r="L462" s="109">
        <f>SUMIFS(BDRs!$J$66,BDRs!$E$66,"Provento",BDRs!$N$66,Patrimônio!B462)</f>
        <v>0</v>
      </c>
      <c r="M462" s="109">
        <f>SUMIFS(FIIs!$J$66,FIIs!$E$66,"Provento",FIIs!$N$66,Patrimônio!B462)</f>
        <v>0</v>
      </c>
      <c r="N462" s="109">
        <f t="shared" si="2"/>
        <v>0</v>
      </c>
      <c r="O462" s="109"/>
      <c r="Q462" s="154"/>
      <c r="R462" s="155" t="s">
        <v>271</v>
      </c>
      <c r="S462" s="156">
        <v>0</v>
      </c>
    </row>
    <row r="463" spans="1:19" ht="17.25" customHeight="1">
      <c r="A463" s="108">
        <v>58623</v>
      </c>
      <c r="B463" s="108">
        <f t="shared" si="0"/>
        <v>58622</v>
      </c>
      <c r="C463" s="109"/>
      <c r="D463" s="109"/>
      <c r="E463" s="109"/>
      <c r="F463" s="109"/>
      <c r="G463" s="109"/>
      <c r="H463" s="109"/>
      <c r="I463" s="109">
        <f t="shared" ref="I463:J463" si="477">SUM(C463,E463,G463)</f>
        <v>0</v>
      </c>
      <c r="J463" s="109">
        <f t="shared" si="477"/>
        <v>0</v>
      </c>
      <c r="K463" s="109">
        <f>SUMIFS(Ações!$J$66,Ações!$N$66,Patrimônio!B463,Ações!$E$66,"Provento")</f>
        <v>0</v>
      </c>
      <c r="L463" s="109">
        <f>SUMIFS(BDRs!$J$66,BDRs!$E$66,"Provento",BDRs!$N$66,Patrimônio!B463)</f>
        <v>0</v>
      </c>
      <c r="M463" s="109">
        <f>SUMIFS(FIIs!$J$66,FIIs!$E$66,"Provento",FIIs!$N$66,Patrimônio!B463)</f>
        <v>0</v>
      </c>
      <c r="N463" s="109">
        <f t="shared" si="2"/>
        <v>0</v>
      </c>
      <c r="O463" s="109"/>
      <c r="Q463" s="154"/>
      <c r="R463" s="155" t="s">
        <v>272</v>
      </c>
      <c r="S463" s="156">
        <v>0</v>
      </c>
    </row>
    <row r="464" spans="1:19" ht="17.25" customHeight="1">
      <c r="A464" s="108">
        <v>58654</v>
      </c>
      <c r="B464" s="108">
        <f t="shared" si="0"/>
        <v>58653</v>
      </c>
      <c r="C464" s="109"/>
      <c r="D464" s="109"/>
      <c r="E464" s="109"/>
      <c r="F464" s="109"/>
      <c r="G464" s="109"/>
      <c r="H464" s="109"/>
      <c r="I464" s="109">
        <f t="shared" ref="I464:J464" si="478">SUM(C464,E464,G464)</f>
        <v>0</v>
      </c>
      <c r="J464" s="109">
        <f t="shared" si="478"/>
        <v>0</v>
      </c>
      <c r="K464" s="109">
        <f>SUMIFS(Ações!$J$66,Ações!$N$66,Patrimônio!B464,Ações!$E$66,"Provento")</f>
        <v>0</v>
      </c>
      <c r="L464" s="109">
        <f>SUMIFS(BDRs!$J$66,BDRs!$E$66,"Provento",BDRs!$N$66,Patrimônio!B464)</f>
        <v>0</v>
      </c>
      <c r="M464" s="109">
        <f>SUMIFS(FIIs!$J$66,FIIs!$E$66,"Provento",FIIs!$N$66,Patrimônio!B464)</f>
        <v>0</v>
      </c>
      <c r="N464" s="109">
        <f t="shared" si="2"/>
        <v>0</v>
      </c>
      <c r="O464" s="109"/>
      <c r="Q464" s="151" t="s">
        <v>158</v>
      </c>
      <c r="R464" s="157"/>
      <c r="S464" s="153">
        <v>0</v>
      </c>
    </row>
    <row r="465" spans="1:19" ht="17.25" customHeight="1">
      <c r="A465" s="108">
        <v>58685</v>
      </c>
      <c r="B465" s="108">
        <f t="shared" si="0"/>
        <v>58684</v>
      </c>
      <c r="C465" s="109"/>
      <c r="D465" s="109"/>
      <c r="E465" s="109"/>
      <c r="F465" s="109"/>
      <c r="G465" s="109"/>
      <c r="H465" s="109"/>
      <c r="I465" s="109">
        <f t="shared" ref="I465:J465" si="479">SUM(C465,E465,G465)</f>
        <v>0</v>
      </c>
      <c r="J465" s="109">
        <f t="shared" si="479"/>
        <v>0</v>
      </c>
      <c r="K465" s="109">
        <f>SUMIFS(Ações!$J$66,Ações!$N$66,Patrimônio!B465,Ações!$E$66,"Provento")</f>
        <v>0</v>
      </c>
      <c r="L465" s="109">
        <f>SUMIFS(BDRs!$J$66,BDRs!$E$66,"Provento",BDRs!$N$66,Patrimônio!B465)</f>
        <v>0</v>
      </c>
      <c r="M465" s="109">
        <f>SUMIFS(FIIs!$J$66,FIIs!$E$66,"Provento",FIIs!$N$66,Patrimônio!B465)</f>
        <v>0</v>
      </c>
      <c r="N465" s="109">
        <f t="shared" si="2"/>
        <v>0</v>
      </c>
      <c r="O465" s="109"/>
      <c r="Q465" s="151" t="s">
        <v>159</v>
      </c>
      <c r="R465" s="152" t="s">
        <v>261</v>
      </c>
      <c r="S465" s="153">
        <v>0</v>
      </c>
    </row>
    <row r="466" spans="1:19" ht="17.25" customHeight="1">
      <c r="A466" s="108">
        <v>58715</v>
      </c>
      <c r="B466" s="108">
        <f t="shared" si="0"/>
        <v>58714</v>
      </c>
      <c r="C466" s="109"/>
      <c r="D466" s="109"/>
      <c r="E466" s="109"/>
      <c r="F466" s="109"/>
      <c r="G466" s="109"/>
      <c r="H466" s="109"/>
      <c r="I466" s="109">
        <f t="shared" ref="I466:J466" si="480">SUM(C466,E466,G466)</f>
        <v>0</v>
      </c>
      <c r="J466" s="109">
        <f t="shared" si="480"/>
        <v>0</v>
      </c>
      <c r="K466" s="109">
        <f>SUMIFS(Ações!$J$66,Ações!$N$66,Patrimônio!B466,Ações!$E$66,"Provento")</f>
        <v>0</v>
      </c>
      <c r="L466" s="109">
        <f>SUMIFS(BDRs!$J$66,BDRs!$E$66,"Provento",BDRs!$N$66,Patrimônio!B466)</f>
        <v>0</v>
      </c>
      <c r="M466" s="109">
        <f>SUMIFS(FIIs!$J$66,FIIs!$E$66,"Provento",FIIs!$N$66,Patrimônio!B466)</f>
        <v>0</v>
      </c>
      <c r="N466" s="109">
        <f t="shared" si="2"/>
        <v>0</v>
      </c>
      <c r="O466" s="109"/>
      <c r="Q466" s="154"/>
      <c r="R466" s="155" t="s">
        <v>262</v>
      </c>
      <c r="S466" s="156">
        <v>0</v>
      </c>
    </row>
    <row r="467" spans="1:19" ht="17.25" customHeight="1">
      <c r="A467" s="108">
        <v>58746</v>
      </c>
      <c r="B467" s="108">
        <f t="shared" si="0"/>
        <v>58745</v>
      </c>
      <c r="C467" s="109"/>
      <c r="D467" s="109"/>
      <c r="E467" s="109"/>
      <c r="F467" s="109"/>
      <c r="G467" s="109"/>
      <c r="H467" s="109"/>
      <c r="I467" s="109">
        <f t="shared" ref="I467:J467" si="481">SUM(C467,E467,G467)</f>
        <v>0</v>
      </c>
      <c r="J467" s="109">
        <f t="shared" si="481"/>
        <v>0</v>
      </c>
      <c r="K467" s="109">
        <f>SUMIFS(Ações!$J$66,Ações!$N$66,Patrimônio!B467,Ações!$E$66,"Provento")</f>
        <v>0</v>
      </c>
      <c r="L467" s="109">
        <f>SUMIFS(BDRs!$J$66,BDRs!$E$66,"Provento",BDRs!$N$66,Patrimônio!B467)</f>
        <v>0</v>
      </c>
      <c r="M467" s="109">
        <f>SUMIFS(FIIs!$J$66,FIIs!$E$66,"Provento",FIIs!$N$66,Patrimônio!B467)</f>
        <v>0</v>
      </c>
      <c r="N467" s="109">
        <f t="shared" si="2"/>
        <v>0</v>
      </c>
      <c r="O467" s="109"/>
      <c r="Q467" s="154"/>
      <c r="R467" s="155" t="s">
        <v>263</v>
      </c>
      <c r="S467" s="156">
        <v>0</v>
      </c>
    </row>
    <row r="468" spans="1:19" ht="17.25" customHeight="1">
      <c r="A468" s="108">
        <v>58776</v>
      </c>
      <c r="B468" s="108">
        <f t="shared" si="0"/>
        <v>58775</v>
      </c>
      <c r="C468" s="109"/>
      <c r="D468" s="109"/>
      <c r="E468" s="109"/>
      <c r="F468" s="109"/>
      <c r="G468" s="109"/>
      <c r="H468" s="109"/>
      <c r="I468" s="109">
        <f t="shared" ref="I468:J468" si="482">SUM(C468,E468,G468)</f>
        <v>0</v>
      </c>
      <c r="J468" s="109">
        <f t="shared" si="482"/>
        <v>0</v>
      </c>
      <c r="K468" s="109">
        <f>SUMIFS(Ações!$J$66,Ações!$N$66,Patrimônio!B468,Ações!$E$66,"Provento")</f>
        <v>0</v>
      </c>
      <c r="L468" s="109">
        <f>SUMIFS(BDRs!$J$66,BDRs!$E$66,"Provento",BDRs!$N$66,Patrimônio!B468)</f>
        <v>0</v>
      </c>
      <c r="M468" s="109">
        <f>SUMIFS(FIIs!$J$66,FIIs!$E$66,"Provento",FIIs!$N$66,Patrimônio!B468)</f>
        <v>0</v>
      </c>
      <c r="N468" s="109">
        <f t="shared" si="2"/>
        <v>0</v>
      </c>
      <c r="O468" s="109"/>
      <c r="Q468" s="154"/>
      <c r="R468" s="155" t="s">
        <v>264</v>
      </c>
      <c r="S468" s="156">
        <v>0</v>
      </c>
    </row>
    <row r="469" spans="1:19" ht="17.25" customHeight="1">
      <c r="A469" s="108">
        <v>58807</v>
      </c>
      <c r="B469" s="108">
        <f t="shared" si="0"/>
        <v>58806</v>
      </c>
      <c r="C469" s="109"/>
      <c r="D469" s="109"/>
      <c r="E469" s="109"/>
      <c r="F469" s="109"/>
      <c r="G469" s="109"/>
      <c r="H469" s="109"/>
      <c r="I469" s="109">
        <f t="shared" ref="I469:J469" si="483">SUM(C469,E469,G469)</f>
        <v>0</v>
      </c>
      <c r="J469" s="109">
        <f t="shared" si="483"/>
        <v>0</v>
      </c>
      <c r="K469" s="109">
        <f>SUMIFS(Ações!$J$66,Ações!$N$66,Patrimônio!B469,Ações!$E$66,"Provento")</f>
        <v>0</v>
      </c>
      <c r="L469" s="109">
        <f>SUMIFS(BDRs!$J$66,BDRs!$E$66,"Provento",BDRs!$N$66,Patrimônio!B469)</f>
        <v>0</v>
      </c>
      <c r="M469" s="109">
        <f>SUMIFS(FIIs!$J$66,FIIs!$E$66,"Provento",FIIs!$N$66,Patrimônio!B469)</f>
        <v>0</v>
      </c>
      <c r="N469" s="109">
        <f t="shared" si="2"/>
        <v>0</v>
      </c>
      <c r="O469" s="109"/>
      <c r="Q469" s="154"/>
      <c r="R469" s="155" t="s">
        <v>265</v>
      </c>
      <c r="S469" s="156">
        <v>0</v>
      </c>
    </row>
    <row r="470" spans="1:19" ht="17.25" customHeight="1">
      <c r="A470" s="108">
        <v>58838</v>
      </c>
      <c r="B470" s="108">
        <f t="shared" si="0"/>
        <v>58837</v>
      </c>
      <c r="C470" s="109"/>
      <c r="D470" s="109"/>
      <c r="E470" s="109"/>
      <c r="F470" s="109"/>
      <c r="G470" s="109"/>
      <c r="H470" s="109"/>
      <c r="I470" s="109">
        <f t="shared" ref="I470:J470" si="484">SUM(C470,E470,G470)</f>
        <v>0</v>
      </c>
      <c r="J470" s="109">
        <f t="shared" si="484"/>
        <v>0</v>
      </c>
      <c r="K470" s="109">
        <f>SUMIFS(Ações!$J$66,Ações!$N$66,Patrimônio!B470,Ações!$E$66,"Provento")</f>
        <v>0</v>
      </c>
      <c r="L470" s="109">
        <f>SUMIFS(BDRs!$J$66,BDRs!$E$66,"Provento",BDRs!$N$66,Patrimônio!B470)</f>
        <v>0</v>
      </c>
      <c r="M470" s="109">
        <f>SUMIFS(FIIs!$J$66,FIIs!$E$66,"Provento",FIIs!$N$66,Patrimônio!B470)</f>
        <v>0</v>
      </c>
      <c r="N470" s="109">
        <f t="shared" si="2"/>
        <v>0</v>
      </c>
      <c r="O470" s="109"/>
      <c r="Q470" s="154"/>
      <c r="R470" s="155" t="s">
        <v>266</v>
      </c>
      <c r="S470" s="156">
        <v>0</v>
      </c>
    </row>
    <row r="471" spans="1:19" ht="17.25" customHeight="1">
      <c r="A471" s="108">
        <v>58866</v>
      </c>
      <c r="B471" s="108">
        <f t="shared" si="0"/>
        <v>58865</v>
      </c>
      <c r="C471" s="109"/>
      <c r="D471" s="109"/>
      <c r="E471" s="109"/>
      <c r="F471" s="109"/>
      <c r="G471" s="109"/>
      <c r="H471" s="109"/>
      <c r="I471" s="109">
        <f t="shared" ref="I471:J471" si="485">SUM(C471,E471,G471)</f>
        <v>0</v>
      </c>
      <c r="J471" s="109">
        <f t="shared" si="485"/>
        <v>0</v>
      </c>
      <c r="K471" s="109">
        <f>SUMIFS(Ações!$J$66,Ações!$N$66,Patrimônio!B471,Ações!$E$66,"Provento")</f>
        <v>0</v>
      </c>
      <c r="L471" s="109">
        <f>SUMIFS(BDRs!$J$66,BDRs!$E$66,"Provento",BDRs!$N$66,Patrimônio!B471)</f>
        <v>0</v>
      </c>
      <c r="M471" s="109">
        <f>SUMIFS(FIIs!$J$66,FIIs!$E$66,"Provento",FIIs!$N$66,Patrimônio!B471)</f>
        <v>0</v>
      </c>
      <c r="N471" s="109">
        <f t="shared" si="2"/>
        <v>0</v>
      </c>
      <c r="O471" s="109"/>
      <c r="Q471" s="154"/>
      <c r="R471" s="155" t="s">
        <v>267</v>
      </c>
      <c r="S471" s="156">
        <v>0</v>
      </c>
    </row>
    <row r="472" spans="1:19" ht="17.25" customHeight="1">
      <c r="A472" s="108">
        <v>58897</v>
      </c>
      <c r="B472" s="108">
        <f t="shared" si="0"/>
        <v>58896</v>
      </c>
      <c r="C472" s="109"/>
      <c r="D472" s="109"/>
      <c r="E472" s="109"/>
      <c r="F472" s="109"/>
      <c r="G472" s="109"/>
      <c r="H472" s="109"/>
      <c r="I472" s="109">
        <f t="shared" ref="I472:J472" si="486">SUM(C472,E472,G472)</f>
        <v>0</v>
      </c>
      <c r="J472" s="109">
        <f t="shared" si="486"/>
        <v>0</v>
      </c>
      <c r="K472" s="109">
        <f>SUMIFS(Ações!$J$66,Ações!$N$66,Patrimônio!B472,Ações!$E$66,"Provento")</f>
        <v>0</v>
      </c>
      <c r="L472" s="109">
        <f>SUMIFS(BDRs!$J$66,BDRs!$E$66,"Provento",BDRs!$N$66,Patrimônio!B472)</f>
        <v>0</v>
      </c>
      <c r="M472" s="109">
        <f>SUMIFS(FIIs!$J$66,FIIs!$E$66,"Provento",FIIs!$N$66,Patrimônio!B472)</f>
        <v>0</v>
      </c>
      <c r="N472" s="109">
        <f t="shared" si="2"/>
        <v>0</v>
      </c>
      <c r="O472" s="109"/>
      <c r="Q472" s="154"/>
      <c r="R472" s="155" t="s">
        <v>268</v>
      </c>
      <c r="S472" s="156">
        <v>0</v>
      </c>
    </row>
    <row r="473" spans="1:19" ht="17.25" customHeight="1">
      <c r="A473" s="108">
        <v>58927</v>
      </c>
      <c r="B473" s="108">
        <f t="shared" si="0"/>
        <v>58926</v>
      </c>
      <c r="C473" s="109"/>
      <c r="D473" s="109"/>
      <c r="E473" s="109"/>
      <c r="F473" s="109"/>
      <c r="G473" s="109"/>
      <c r="H473" s="109"/>
      <c r="I473" s="109">
        <f t="shared" ref="I473:J473" si="487">SUM(C473,E473,G473)</f>
        <v>0</v>
      </c>
      <c r="J473" s="109">
        <f t="shared" si="487"/>
        <v>0</v>
      </c>
      <c r="K473" s="109">
        <f>SUMIFS(Ações!$J$66,Ações!$N$66,Patrimônio!B473,Ações!$E$66,"Provento")</f>
        <v>0</v>
      </c>
      <c r="L473" s="109">
        <f>SUMIFS(BDRs!$J$66,BDRs!$E$66,"Provento",BDRs!$N$66,Patrimônio!B473)</f>
        <v>0</v>
      </c>
      <c r="M473" s="109">
        <f>SUMIFS(FIIs!$J$66,FIIs!$E$66,"Provento",FIIs!$N$66,Patrimônio!B473)</f>
        <v>0</v>
      </c>
      <c r="N473" s="109">
        <f t="shared" si="2"/>
        <v>0</v>
      </c>
      <c r="O473" s="109"/>
      <c r="Q473" s="154"/>
      <c r="R473" s="155" t="s">
        <v>269</v>
      </c>
      <c r="S473" s="156">
        <v>0</v>
      </c>
    </row>
    <row r="474" spans="1:19" ht="17.25" customHeight="1">
      <c r="A474" s="108">
        <v>58958</v>
      </c>
      <c r="B474" s="108">
        <f t="shared" si="0"/>
        <v>58957</v>
      </c>
      <c r="C474" s="109"/>
      <c r="D474" s="109"/>
      <c r="E474" s="109"/>
      <c r="F474" s="109"/>
      <c r="G474" s="109"/>
      <c r="H474" s="109"/>
      <c r="I474" s="109">
        <f t="shared" ref="I474:J474" si="488">SUM(C474,E474,G474)</f>
        <v>0</v>
      </c>
      <c r="J474" s="109">
        <f t="shared" si="488"/>
        <v>0</v>
      </c>
      <c r="K474" s="109">
        <f>SUMIFS(Ações!$J$66,Ações!$N$66,Patrimônio!B474,Ações!$E$66,"Provento")</f>
        <v>0</v>
      </c>
      <c r="L474" s="109">
        <f>SUMIFS(BDRs!$J$66,BDRs!$E$66,"Provento",BDRs!$N$66,Patrimônio!B474)</f>
        <v>0</v>
      </c>
      <c r="M474" s="109">
        <f>SUMIFS(FIIs!$J$66,FIIs!$E$66,"Provento",FIIs!$N$66,Patrimônio!B474)</f>
        <v>0</v>
      </c>
      <c r="N474" s="109">
        <f t="shared" si="2"/>
        <v>0</v>
      </c>
      <c r="O474" s="109"/>
      <c r="Q474" s="154"/>
      <c r="R474" s="155" t="s">
        <v>270</v>
      </c>
      <c r="S474" s="156">
        <v>0</v>
      </c>
    </row>
    <row r="475" spans="1:19" ht="17.25" customHeight="1">
      <c r="A475" s="108">
        <v>58988</v>
      </c>
      <c r="B475" s="108">
        <f t="shared" si="0"/>
        <v>58987</v>
      </c>
      <c r="C475" s="109"/>
      <c r="D475" s="109"/>
      <c r="E475" s="109"/>
      <c r="F475" s="109"/>
      <c r="G475" s="109"/>
      <c r="H475" s="109"/>
      <c r="I475" s="109">
        <f t="shared" ref="I475:J475" si="489">SUM(C475,E475,G475)</f>
        <v>0</v>
      </c>
      <c r="J475" s="109">
        <f t="shared" si="489"/>
        <v>0</v>
      </c>
      <c r="K475" s="109">
        <f>SUMIFS(Ações!$J$66,Ações!$N$66,Patrimônio!B475,Ações!$E$66,"Provento")</f>
        <v>0</v>
      </c>
      <c r="L475" s="109">
        <f>SUMIFS(BDRs!$J$66,BDRs!$E$66,"Provento",BDRs!$N$66,Patrimônio!B475)</f>
        <v>0</v>
      </c>
      <c r="M475" s="109">
        <f>SUMIFS(FIIs!$J$66,FIIs!$E$66,"Provento",FIIs!$N$66,Patrimônio!B475)</f>
        <v>0</v>
      </c>
      <c r="N475" s="109">
        <f t="shared" si="2"/>
        <v>0</v>
      </c>
      <c r="O475" s="109"/>
      <c r="Q475" s="154"/>
      <c r="R475" s="155" t="s">
        <v>271</v>
      </c>
      <c r="S475" s="156">
        <v>0</v>
      </c>
    </row>
    <row r="476" spans="1:19" ht="17.25" customHeight="1">
      <c r="A476" s="108">
        <v>59019</v>
      </c>
      <c r="B476" s="108">
        <f t="shared" si="0"/>
        <v>59018</v>
      </c>
      <c r="C476" s="109"/>
      <c r="D476" s="109"/>
      <c r="E476" s="109"/>
      <c r="F476" s="109"/>
      <c r="G476" s="109"/>
      <c r="H476" s="109"/>
      <c r="I476" s="109">
        <f t="shared" ref="I476:J476" si="490">SUM(C476,E476,G476)</f>
        <v>0</v>
      </c>
      <c r="J476" s="109">
        <f t="shared" si="490"/>
        <v>0</v>
      </c>
      <c r="K476" s="109">
        <f>SUMIFS(Ações!$J$66,Ações!$N$66,Patrimônio!B476,Ações!$E$66,"Provento")</f>
        <v>0</v>
      </c>
      <c r="L476" s="109">
        <f>SUMIFS(BDRs!$J$66,BDRs!$E$66,"Provento",BDRs!$N$66,Patrimônio!B476)</f>
        <v>0</v>
      </c>
      <c r="M476" s="109">
        <f>SUMIFS(FIIs!$J$66,FIIs!$E$66,"Provento",FIIs!$N$66,Patrimônio!B476)</f>
        <v>0</v>
      </c>
      <c r="N476" s="109">
        <f t="shared" si="2"/>
        <v>0</v>
      </c>
      <c r="O476" s="109"/>
      <c r="Q476" s="154"/>
      <c r="R476" s="155" t="s">
        <v>272</v>
      </c>
      <c r="S476" s="156">
        <v>0</v>
      </c>
    </row>
    <row r="477" spans="1:19" ht="17.25" customHeight="1">
      <c r="A477" s="108">
        <v>59050</v>
      </c>
      <c r="B477" s="108">
        <f t="shared" si="0"/>
        <v>59049</v>
      </c>
      <c r="C477" s="109"/>
      <c r="D477" s="109"/>
      <c r="E477" s="109"/>
      <c r="F477" s="109"/>
      <c r="G477" s="109"/>
      <c r="H477" s="109"/>
      <c r="I477" s="109">
        <f t="shared" ref="I477:J477" si="491">SUM(C477,E477,G477)</f>
        <v>0</v>
      </c>
      <c r="J477" s="109">
        <f t="shared" si="491"/>
        <v>0</v>
      </c>
      <c r="K477" s="109">
        <f>SUMIFS(Ações!$J$66,Ações!$N$66,Patrimônio!B477,Ações!$E$66,"Provento")</f>
        <v>0</v>
      </c>
      <c r="L477" s="109">
        <f>SUMIFS(BDRs!$J$66,BDRs!$E$66,"Provento",BDRs!$N$66,Patrimônio!B477)</f>
        <v>0</v>
      </c>
      <c r="M477" s="109">
        <f>SUMIFS(FIIs!$J$66,FIIs!$E$66,"Provento",FIIs!$N$66,Patrimônio!B477)</f>
        <v>0</v>
      </c>
      <c r="N477" s="109">
        <f t="shared" si="2"/>
        <v>0</v>
      </c>
      <c r="O477" s="109"/>
      <c r="Q477" s="151" t="s">
        <v>160</v>
      </c>
      <c r="R477" s="157"/>
      <c r="S477" s="153">
        <v>0</v>
      </c>
    </row>
    <row r="478" spans="1:19" ht="17.25" customHeight="1">
      <c r="A478" s="108">
        <v>59080</v>
      </c>
      <c r="B478" s="108">
        <f t="shared" si="0"/>
        <v>59079</v>
      </c>
      <c r="C478" s="109"/>
      <c r="D478" s="109"/>
      <c r="E478" s="109"/>
      <c r="F478" s="109"/>
      <c r="G478" s="109"/>
      <c r="H478" s="109"/>
      <c r="I478" s="109">
        <f t="shared" ref="I478:J478" si="492">SUM(C478,E478,G478)</f>
        <v>0</v>
      </c>
      <c r="J478" s="109">
        <f t="shared" si="492"/>
        <v>0</v>
      </c>
      <c r="K478" s="109">
        <f>SUMIFS(Ações!$J$66,Ações!$N$66,Patrimônio!B478,Ações!$E$66,"Provento")</f>
        <v>0</v>
      </c>
      <c r="L478" s="109">
        <f>SUMIFS(BDRs!$J$66,BDRs!$E$66,"Provento",BDRs!$N$66,Patrimônio!B478)</f>
        <v>0</v>
      </c>
      <c r="M478" s="109">
        <f>SUMIFS(FIIs!$J$66,FIIs!$E$66,"Provento",FIIs!$N$66,Patrimônio!B478)</f>
        <v>0</v>
      </c>
      <c r="N478" s="109">
        <f t="shared" si="2"/>
        <v>0</v>
      </c>
      <c r="O478" s="109"/>
      <c r="Q478" s="151" t="s">
        <v>161</v>
      </c>
      <c r="R478" s="152" t="s">
        <v>261</v>
      </c>
      <c r="S478" s="153">
        <v>0</v>
      </c>
    </row>
    <row r="479" spans="1:19" ht="17.25" customHeight="1">
      <c r="A479" s="108">
        <v>59111</v>
      </c>
      <c r="B479" s="108">
        <f t="shared" si="0"/>
        <v>59110</v>
      </c>
      <c r="C479" s="109"/>
      <c r="D479" s="109"/>
      <c r="E479" s="109"/>
      <c r="F479" s="109"/>
      <c r="G479" s="109"/>
      <c r="H479" s="109"/>
      <c r="I479" s="109">
        <f t="shared" ref="I479:J479" si="493">SUM(C479,E479,G479)</f>
        <v>0</v>
      </c>
      <c r="J479" s="109">
        <f t="shared" si="493"/>
        <v>0</v>
      </c>
      <c r="K479" s="109">
        <f>SUMIFS(Ações!$J$66,Ações!$N$66,Patrimônio!B479,Ações!$E$66,"Provento")</f>
        <v>0</v>
      </c>
      <c r="L479" s="109">
        <f>SUMIFS(BDRs!$J$66,BDRs!$E$66,"Provento",BDRs!$N$66,Patrimônio!B479)</f>
        <v>0</v>
      </c>
      <c r="M479" s="109">
        <f>SUMIFS(FIIs!$J$66,FIIs!$E$66,"Provento",FIIs!$N$66,Patrimônio!B479)</f>
        <v>0</v>
      </c>
      <c r="N479" s="109">
        <f t="shared" si="2"/>
        <v>0</v>
      </c>
      <c r="O479" s="109"/>
      <c r="Q479" s="154"/>
      <c r="R479" s="155" t="s">
        <v>262</v>
      </c>
      <c r="S479" s="156">
        <v>0</v>
      </c>
    </row>
    <row r="480" spans="1:19" ht="17.25" customHeight="1">
      <c r="A480" s="108">
        <v>59141</v>
      </c>
      <c r="B480" s="108">
        <f t="shared" si="0"/>
        <v>59140</v>
      </c>
      <c r="C480" s="109"/>
      <c r="D480" s="109"/>
      <c r="E480" s="109"/>
      <c r="F480" s="109"/>
      <c r="G480" s="109"/>
      <c r="H480" s="109"/>
      <c r="I480" s="109">
        <f t="shared" ref="I480:J480" si="494">SUM(C480,E480,G480)</f>
        <v>0</v>
      </c>
      <c r="J480" s="109">
        <f t="shared" si="494"/>
        <v>0</v>
      </c>
      <c r="K480" s="109">
        <f>SUMIFS(Ações!$J$66,Ações!$N$66,Patrimônio!B480,Ações!$E$66,"Provento")</f>
        <v>0</v>
      </c>
      <c r="L480" s="109">
        <f>SUMIFS(BDRs!$J$66,BDRs!$E$66,"Provento",BDRs!$N$66,Patrimônio!B480)</f>
        <v>0</v>
      </c>
      <c r="M480" s="109">
        <f>SUMIFS(FIIs!$J$66,FIIs!$E$66,"Provento",FIIs!$N$66,Patrimônio!B480)</f>
        <v>0</v>
      </c>
      <c r="N480" s="109">
        <f t="shared" si="2"/>
        <v>0</v>
      </c>
      <c r="O480" s="109"/>
      <c r="Q480" s="154"/>
      <c r="R480" s="155" t="s">
        <v>263</v>
      </c>
      <c r="S480" s="156">
        <v>0</v>
      </c>
    </row>
    <row r="481" spans="1:19" ht="17.25" customHeight="1">
      <c r="A481" s="108">
        <v>59172</v>
      </c>
      <c r="B481" s="108">
        <f t="shared" si="0"/>
        <v>59171</v>
      </c>
      <c r="C481" s="109"/>
      <c r="D481" s="109"/>
      <c r="E481" s="109"/>
      <c r="F481" s="109"/>
      <c r="G481" s="109"/>
      <c r="H481" s="109"/>
      <c r="I481" s="109">
        <f t="shared" ref="I481:J481" si="495">SUM(C481,E481,G481)</f>
        <v>0</v>
      </c>
      <c r="J481" s="109">
        <f t="shared" si="495"/>
        <v>0</v>
      </c>
      <c r="K481" s="109">
        <f>SUMIFS(Ações!$J$66,Ações!$N$66,Patrimônio!B481,Ações!$E$66,"Provento")</f>
        <v>0</v>
      </c>
      <c r="L481" s="109">
        <f>SUMIFS(BDRs!$J$66,BDRs!$E$66,"Provento",BDRs!$N$66,Patrimônio!B481)</f>
        <v>0</v>
      </c>
      <c r="M481" s="109">
        <f>SUMIFS(FIIs!$J$66,FIIs!$E$66,"Provento",FIIs!$N$66,Patrimônio!B481)</f>
        <v>0</v>
      </c>
      <c r="N481" s="109">
        <f t="shared" si="2"/>
        <v>0</v>
      </c>
      <c r="O481" s="109"/>
      <c r="Q481" s="154"/>
      <c r="R481" s="155" t="s">
        <v>264</v>
      </c>
      <c r="S481" s="156">
        <v>0</v>
      </c>
    </row>
    <row r="482" spans="1:19" ht="17.25" customHeight="1">
      <c r="A482" s="108">
        <v>59203</v>
      </c>
      <c r="B482" s="108">
        <f t="shared" si="0"/>
        <v>59202</v>
      </c>
      <c r="C482" s="109"/>
      <c r="D482" s="109"/>
      <c r="E482" s="109"/>
      <c r="F482" s="109"/>
      <c r="G482" s="109"/>
      <c r="H482" s="109"/>
      <c r="I482" s="109">
        <f t="shared" ref="I482:J482" si="496">SUM(C482,E482,G482)</f>
        <v>0</v>
      </c>
      <c r="J482" s="109">
        <f t="shared" si="496"/>
        <v>0</v>
      </c>
      <c r="K482" s="109">
        <f>SUMIFS(Ações!$J$66,Ações!$N$66,Patrimônio!B482,Ações!$E$66,"Provento")</f>
        <v>0</v>
      </c>
      <c r="L482" s="109">
        <f>SUMIFS(BDRs!$J$66,BDRs!$E$66,"Provento",BDRs!$N$66,Patrimônio!B482)</f>
        <v>0</v>
      </c>
      <c r="M482" s="109">
        <f>SUMIFS(FIIs!$J$66,FIIs!$E$66,"Provento",FIIs!$N$66,Patrimônio!B482)</f>
        <v>0</v>
      </c>
      <c r="N482" s="109">
        <f t="shared" si="2"/>
        <v>0</v>
      </c>
      <c r="O482" s="109"/>
      <c r="Q482" s="154"/>
      <c r="R482" s="155" t="s">
        <v>265</v>
      </c>
      <c r="S482" s="156">
        <v>0</v>
      </c>
    </row>
    <row r="483" spans="1:19" ht="17.25" customHeight="1">
      <c r="A483" s="108">
        <v>59231</v>
      </c>
      <c r="B483" s="108">
        <f t="shared" si="0"/>
        <v>59230</v>
      </c>
      <c r="C483" s="109"/>
      <c r="D483" s="109"/>
      <c r="E483" s="109"/>
      <c r="F483" s="109"/>
      <c r="G483" s="109"/>
      <c r="H483" s="109"/>
      <c r="I483" s="109">
        <f t="shared" ref="I483:J483" si="497">SUM(C483,E483,G483)</f>
        <v>0</v>
      </c>
      <c r="J483" s="109">
        <f t="shared" si="497"/>
        <v>0</v>
      </c>
      <c r="K483" s="109">
        <f>SUMIFS(Ações!$J$66,Ações!$N$66,Patrimônio!B483,Ações!$E$66,"Provento")</f>
        <v>0</v>
      </c>
      <c r="L483" s="109">
        <f>SUMIFS(BDRs!$J$66,BDRs!$E$66,"Provento",BDRs!$N$66,Patrimônio!B483)</f>
        <v>0</v>
      </c>
      <c r="M483" s="109">
        <f>SUMIFS(FIIs!$J$66,FIIs!$E$66,"Provento",FIIs!$N$66,Patrimônio!B483)</f>
        <v>0</v>
      </c>
      <c r="N483" s="109">
        <f t="shared" si="2"/>
        <v>0</v>
      </c>
      <c r="O483" s="109"/>
      <c r="Q483" s="154"/>
      <c r="R483" s="155" t="s">
        <v>266</v>
      </c>
      <c r="S483" s="156">
        <v>0</v>
      </c>
    </row>
    <row r="484" spans="1:19" ht="17.25" customHeight="1">
      <c r="A484" s="108">
        <v>59262</v>
      </c>
      <c r="B484" s="108">
        <f t="shared" si="0"/>
        <v>59261</v>
      </c>
      <c r="C484" s="109"/>
      <c r="D484" s="109"/>
      <c r="E484" s="109"/>
      <c r="F484" s="109"/>
      <c r="G484" s="109"/>
      <c r="H484" s="109"/>
      <c r="I484" s="109">
        <f t="shared" ref="I484:J484" si="498">SUM(C484,E484,G484)</f>
        <v>0</v>
      </c>
      <c r="J484" s="109">
        <f t="shared" si="498"/>
        <v>0</v>
      </c>
      <c r="K484" s="109">
        <f>SUMIFS(Ações!$J$66,Ações!$N$66,Patrimônio!B484,Ações!$E$66,"Provento")</f>
        <v>0</v>
      </c>
      <c r="L484" s="109">
        <f>SUMIFS(BDRs!$J$66,BDRs!$E$66,"Provento",BDRs!$N$66,Patrimônio!B484)</f>
        <v>0</v>
      </c>
      <c r="M484" s="109">
        <f>SUMIFS(FIIs!$J$66,FIIs!$E$66,"Provento",FIIs!$N$66,Patrimônio!B484)</f>
        <v>0</v>
      </c>
      <c r="N484" s="109">
        <f t="shared" si="2"/>
        <v>0</v>
      </c>
      <c r="O484" s="109"/>
      <c r="Q484" s="154"/>
      <c r="R484" s="155" t="s">
        <v>267</v>
      </c>
      <c r="S484" s="156">
        <v>0</v>
      </c>
    </row>
    <row r="485" spans="1:19" ht="17.25" customHeight="1">
      <c r="A485" s="108">
        <v>59292</v>
      </c>
      <c r="B485" s="108">
        <f t="shared" si="0"/>
        <v>59291</v>
      </c>
      <c r="C485" s="109"/>
      <c r="D485" s="109"/>
      <c r="E485" s="109"/>
      <c r="F485" s="109"/>
      <c r="G485" s="109"/>
      <c r="H485" s="109"/>
      <c r="I485" s="109">
        <f t="shared" ref="I485:J485" si="499">SUM(C485,E485,G485)</f>
        <v>0</v>
      </c>
      <c r="J485" s="109">
        <f t="shared" si="499"/>
        <v>0</v>
      </c>
      <c r="K485" s="109">
        <f>SUMIFS(Ações!$J$66,Ações!$N$66,Patrimônio!B485,Ações!$E$66,"Provento")</f>
        <v>0</v>
      </c>
      <c r="L485" s="109">
        <f>SUMIFS(BDRs!$J$66,BDRs!$E$66,"Provento",BDRs!$N$66,Patrimônio!B485)</f>
        <v>0</v>
      </c>
      <c r="M485" s="109">
        <f>SUMIFS(FIIs!$J$66,FIIs!$E$66,"Provento",FIIs!$N$66,Patrimônio!B485)</f>
        <v>0</v>
      </c>
      <c r="N485" s="109">
        <f t="shared" si="2"/>
        <v>0</v>
      </c>
      <c r="O485" s="109"/>
      <c r="Q485" s="154"/>
      <c r="R485" s="155" t="s">
        <v>268</v>
      </c>
      <c r="S485" s="156">
        <v>0</v>
      </c>
    </row>
    <row r="486" spans="1:19" ht="17.25" customHeight="1">
      <c r="A486" s="108">
        <v>59323</v>
      </c>
      <c r="B486" s="108">
        <f t="shared" si="0"/>
        <v>59322</v>
      </c>
      <c r="C486" s="109"/>
      <c r="D486" s="109"/>
      <c r="E486" s="109"/>
      <c r="F486" s="109"/>
      <c r="G486" s="109"/>
      <c r="H486" s="109"/>
      <c r="I486" s="109">
        <f t="shared" ref="I486:J486" si="500">SUM(C486,E486,G486)</f>
        <v>0</v>
      </c>
      <c r="J486" s="109">
        <f t="shared" si="500"/>
        <v>0</v>
      </c>
      <c r="K486" s="109">
        <f>SUMIFS(Ações!$J$66,Ações!$N$66,Patrimônio!B486,Ações!$E$66,"Provento")</f>
        <v>0</v>
      </c>
      <c r="L486" s="109">
        <f>SUMIFS(BDRs!$J$66,BDRs!$E$66,"Provento",BDRs!$N$66,Patrimônio!B486)</f>
        <v>0</v>
      </c>
      <c r="M486" s="109">
        <f>SUMIFS(FIIs!$J$66,FIIs!$E$66,"Provento",FIIs!$N$66,Patrimônio!B486)</f>
        <v>0</v>
      </c>
      <c r="N486" s="109">
        <f t="shared" si="2"/>
        <v>0</v>
      </c>
      <c r="O486" s="109"/>
      <c r="Q486" s="154"/>
      <c r="R486" s="155" t="s">
        <v>269</v>
      </c>
      <c r="S486" s="156">
        <v>0</v>
      </c>
    </row>
    <row r="487" spans="1:19" ht="17.25" customHeight="1">
      <c r="A487" s="108">
        <v>59353</v>
      </c>
      <c r="B487" s="108">
        <f t="shared" si="0"/>
        <v>59352</v>
      </c>
      <c r="C487" s="109"/>
      <c r="D487" s="109"/>
      <c r="E487" s="109"/>
      <c r="F487" s="109"/>
      <c r="G487" s="109"/>
      <c r="H487" s="109"/>
      <c r="I487" s="109">
        <f t="shared" ref="I487:J487" si="501">SUM(C487,E487,G487)</f>
        <v>0</v>
      </c>
      <c r="J487" s="109">
        <f t="shared" si="501"/>
        <v>0</v>
      </c>
      <c r="K487" s="109">
        <f>SUMIFS(Ações!$J$66,Ações!$N$66,Patrimônio!B487,Ações!$E$66,"Provento")</f>
        <v>0</v>
      </c>
      <c r="L487" s="109">
        <f>SUMIFS(BDRs!$J$66,BDRs!$E$66,"Provento",BDRs!$N$66,Patrimônio!B487)</f>
        <v>0</v>
      </c>
      <c r="M487" s="109">
        <f>SUMIFS(FIIs!$J$66,FIIs!$E$66,"Provento",FIIs!$N$66,Patrimônio!B487)</f>
        <v>0</v>
      </c>
      <c r="N487" s="109">
        <f t="shared" si="2"/>
        <v>0</v>
      </c>
      <c r="O487" s="109"/>
      <c r="Q487" s="154"/>
      <c r="R487" s="155" t="s">
        <v>270</v>
      </c>
      <c r="S487" s="156">
        <v>0</v>
      </c>
    </row>
    <row r="488" spans="1:19" ht="17.25" customHeight="1">
      <c r="A488" s="108">
        <v>59384</v>
      </c>
      <c r="B488" s="108">
        <f t="shared" si="0"/>
        <v>59383</v>
      </c>
      <c r="C488" s="109"/>
      <c r="D488" s="109"/>
      <c r="E488" s="109"/>
      <c r="F488" s="109"/>
      <c r="G488" s="109"/>
      <c r="H488" s="109"/>
      <c r="I488" s="109">
        <f t="shared" ref="I488:J488" si="502">SUM(C488,E488,G488)</f>
        <v>0</v>
      </c>
      <c r="J488" s="109">
        <f t="shared" si="502"/>
        <v>0</v>
      </c>
      <c r="K488" s="109">
        <f>SUMIFS(Ações!$J$66,Ações!$N$66,Patrimônio!B488,Ações!$E$66,"Provento")</f>
        <v>0</v>
      </c>
      <c r="L488" s="109">
        <f>SUMIFS(BDRs!$J$66,BDRs!$E$66,"Provento",BDRs!$N$66,Patrimônio!B488)</f>
        <v>0</v>
      </c>
      <c r="M488" s="109">
        <f>SUMIFS(FIIs!$J$66,FIIs!$E$66,"Provento",FIIs!$N$66,Patrimônio!B488)</f>
        <v>0</v>
      </c>
      <c r="N488" s="109">
        <f t="shared" si="2"/>
        <v>0</v>
      </c>
      <c r="O488" s="109"/>
      <c r="Q488" s="154"/>
      <c r="R488" s="155" t="s">
        <v>271</v>
      </c>
      <c r="S488" s="156">
        <v>0</v>
      </c>
    </row>
    <row r="489" spans="1:19" ht="17.25" customHeight="1">
      <c r="A489" s="108">
        <v>59415</v>
      </c>
      <c r="B489" s="108">
        <f t="shared" si="0"/>
        <v>59414</v>
      </c>
      <c r="C489" s="109"/>
      <c r="D489" s="109"/>
      <c r="E489" s="109"/>
      <c r="F489" s="109"/>
      <c r="G489" s="109"/>
      <c r="H489" s="109"/>
      <c r="I489" s="109">
        <f t="shared" ref="I489:J489" si="503">SUM(C489,E489,G489)</f>
        <v>0</v>
      </c>
      <c r="J489" s="109">
        <f t="shared" si="503"/>
        <v>0</v>
      </c>
      <c r="K489" s="109">
        <f>SUMIFS(Ações!$J$66,Ações!$N$66,Patrimônio!B489,Ações!$E$66,"Provento")</f>
        <v>0</v>
      </c>
      <c r="L489" s="109">
        <f>SUMIFS(BDRs!$J$66,BDRs!$E$66,"Provento",BDRs!$N$66,Patrimônio!B489)</f>
        <v>0</v>
      </c>
      <c r="M489" s="109">
        <f>SUMIFS(FIIs!$J$66,FIIs!$E$66,"Provento",FIIs!$N$66,Patrimônio!B489)</f>
        <v>0</v>
      </c>
      <c r="N489" s="109">
        <f t="shared" si="2"/>
        <v>0</v>
      </c>
      <c r="O489" s="109"/>
      <c r="Q489" s="154"/>
      <c r="R489" s="155" t="s">
        <v>272</v>
      </c>
      <c r="S489" s="156">
        <v>0</v>
      </c>
    </row>
    <row r="490" spans="1:19" ht="17.25" customHeight="1">
      <c r="A490" s="108">
        <v>59445</v>
      </c>
      <c r="B490" s="108">
        <f t="shared" si="0"/>
        <v>59444</v>
      </c>
      <c r="C490" s="109"/>
      <c r="D490" s="109"/>
      <c r="E490" s="109"/>
      <c r="F490" s="109"/>
      <c r="G490" s="109"/>
      <c r="H490" s="109"/>
      <c r="I490" s="109">
        <f t="shared" ref="I490:J490" si="504">SUM(C490,E490,G490)</f>
        <v>0</v>
      </c>
      <c r="J490" s="109">
        <f t="shared" si="504"/>
        <v>0</v>
      </c>
      <c r="K490" s="109">
        <f>SUMIFS(Ações!$J$66,Ações!$N$66,Patrimônio!B490,Ações!$E$66,"Provento")</f>
        <v>0</v>
      </c>
      <c r="L490" s="109">
        <f>SUMIFS(BDRs!$J$66,BDRs!$E$66,"Provento",BDRs!$N$66,Patrimônio!B490)</f>
        <v>0</v>
      </c>
      <c r="M490" s="109">
        <f>SUMIFS(FIIs!$J$66,FIIs!$E$66,"Provento",FIIs!$N$66,Patrimônio!B490)</f>
        <v>0</v>
      </c>
      <c r="N490" s="109">
        <f t="shared" si="2"/>
        <v>0</v>
      </c>
      <c r="O490" s="109"/>
      <c r="Q490" s="151" t="s">
        <v>162</v>
      </c>
      <c r="R490" s="157"/>
      <c r="S490" s="153">
        <v>0</v>
      </c>
    </row>
    <row r="491" spans="1:19" ht="17.25" customHeight="1">
      <c r="A491" s="108">
        <v>59476</v>
      </c>
      <c r="B491" s="108">
        <f t="shared" si="0"/>
        <v>59475</v>
      </c>
      <c r="C491" s="109"/>
      <c r="D491" s="109"/>
      <c r="E491" s="109"/>
      <c r="F491" s="109"/>
      <c r="G491" s="109"/>
      <c r="H491" s="109"/>
      <c r="I491" s="109">
        <f t="shared" ref="I491:J491" si="505">SUM(C491,E491,G491)</f>
        <v>0</v>
      </c>
      <c r="J491" s="109">
        <f t="shared" si="505"/>
        <v>0</v>
      </c>
      <c r="K491" s="109">
        <f>SUMIFS(Ações!$J$66,Ações!$N$66,Patrimônio!B491,Ações!$E$66,"Provento")</f>
        <v>0</v>
      </c>
      <c r="L491" s="109">
        <f>SUMIFS(BDRs!$J$66,BDRs!$E$66,"Provento",BDRs!$N$66,Patrimônio!B491)</f>
        <v>0</v>
      </c>
      <c r="M491" s="109">
        <f>SUMIFS(FIIs!$J$66,FIIs!$E$66,"Provento",FIIs!$N$66,Patrimônio!B491)</f>
        <v>0</v>
      </c>
      <c r="N491" s="109">
        <f t="shared" si="2"/>
        <v>0</v>
      </c>
      <c r="O491" s="109"/>
      <c r="Q491" s="151" t="s">
        <v>163</v>
      </c>
      <c r="R491" s="152" t="s">
        <v>261</v>
      </c>
      <c r="S491" s="153">
        <v>0</v>
      </c>
    </row>
    <row r="492" spans="1:19" ht="17.25" customHeight="1">
      <c r="A492" s="108">
        <v>59506</v>
      </c>
      <c r="B492" s="108">
        <f t="shared" si="0"/>
        <v>59505</v>
      </c>
      <c r="C492" s="109"/>
      <c r="D492" s="109"/>
      <c r="E492" s="109"/>
      <c r="F492" s="109"/>
      <c r="G492" s="109"/>
      <c r="H492" s="109"/>
      <c r="I492" s="109">
        <f t="shared" ref="I492:J492" si="506">SUM(C492,E492,G492)</f>
        <v>0</v>
      </c>
      <c r="J492" s="109">
        <f t="shared" si="506"/>
        <v>0</v>
      </c>
      <c r="K492" s="109">
        <f>SUMIFS(Ações!$J$66,Ações!$N$66,Patrimônio!B492,Ações!$E$66,"Provento")</f>
        <v>0</v>
      </c>
      <c r="L492" s="109">
        <f>SUMIFS(BDRs!$J$66,BDRs!$E$66,"Provento",BDRs!$N$66,Patrimônio!B492)</f>
        <v>0</v>
      </c>
      <c r="M492" s="109">
        <f>SUMIFS(FIIs!$J$66,FIIs!$E$66,"Provento",FIIs!$N$66,Patrimônio!B492)</f>
        <v>0</v>
      </c>
      <c r="N492" s="109">
        <f t="shared" si="2"/>
        <v>0</v>
      </c>
      <c r="O492" s="109"/>
      <c r="Q492" s="154"/>
      <c r="R492" s="155" t="s">
        <v>262</v>
      </c>
      <c r="S492" s="156">
        <v>0</v>
      </c>
    </row>
    <row r="493" spans="1:19" ht="17.25" customHeight="1">
      <c r="A493" s="108">
        <v>59537</v>
      </c>
      <c r="B493" s="108">
        <f t="shared" si="0"/>
        <v>59536</v>
      </c>
      <c r="C493" s="109"/>
      <c r="D493" s="109"/>
      <c r="E493" s="109"/>
      <c r="F493" s="109"/>
      <c r="G493" s="109"/>
      <c r="H493" s="109"/>
      <c r="I493" s="109">
        <f t="shared" ref="I493:J493" si="507">SUM(C493,E493,G493)</f>
        <v>0</v>
      </c>
      <c r="J493" s="109">
        <f t="shared" si="507"/>
        <v>0</v>
      </c>
      <c r="K493" s="109">
        <f>SUMIFS(Ações!$J$66,Ações!$N$66,Patrimônio!B493,Ações!$E$66,"Provento")</f>
        <v>0</v>
      </c>
      <c r="L493" s="109">
        <f>SUMIFS(BDRs!$J$66,BDRs!$E$66,"Provento",BDRs!$N$66,Patrimônio!B493)</f>
        <v>0</v>
      </c>
      <c r="M493" s="109">
        <f>SUMIFS(FIIs!$J$66,FIIs!$E$66,"Provento",FIIs!$N$66,Patrimônio!B493)</f>
        <v>0</v>
      </c>
      <c r="N493" s="109">
        <f t="shared" si="2"/>
        <v>0</v>
      </c>
      <c r="O493" s="109"/>
      <c r="Q493" s="154"/>
      <c r="R493" s="155" t="s">
        <v>263</v>
      </c>
      <c r="S493" s="156">
        <v>0</v>
      </c>
    </row>
    <row r="494" spans="1:19" ht="17.25" customHeight="1">
      <c r="A494" s="108">
        <v>59568</v>
      </c>
      <c r="B494" s="108">
        <f t="shared" si="0"/>
        <v>59567</v>
      </c>
      <c r="C494" s="109"/>
      <c r="D494" s="109"/>
      <c r="E494" s="109"/>
      <c r="F494" s="109"/>
      <c r="G494" s="109"/>
      <c r="H494" s="109"/>
      <c r="I494" s="109">
        <f t="shared" ref="I494:J494" si="508">SUM(C494,E494,G494)</f>
        <v>0</v>
      </c>
      <c r="J494" s="109">
        <f t="shared" si="508"/>
        <v>0</v>
      </c>
      <c r="K494" s="109">
        <f>SUMIFS(Ações!$J$66,Ações!$N$66,Patrimônio!B494,Ações!$E$66,"Provento")</f>
        <v>0</v>
      </c>
      <c r="L494" s="109">
        <f>SUMIFS(BDRs!$J$66,BDRs!$E$66,"Provento",BDRs!$N$66,Patrimônio!B494)</f>
        <v>0</v>
      </c>
      <c r="M494" s="109">
        <f>SUMIFS(FIIs!$J$66,FIIs!$E$66,"Provento",FIIs!$N$66,Patrimônio!B494)</f>
        <v>0</v>
      </c>
      <c r="N494" s="109">
        <f t="shared" si="2"/>
        <v>0</v>
      </c>
      <c r="O494" s="109"/>
      <c r="Q494" s="154"/>
      <c r="R494" s="155" t="s">
        <v>264</v>
      </c>
      <c r="S494" s="156">
        <v>0</v>
      </c>
    </row>
    <row r="495" spans="1:19" ht="17.25" customHeight="1">
      <c r="A495" s="108">
        <v>59596</v>
      </c>
      <c r="B495" s="108">
        <f t="shared" si="0"/>
        <v>59595</v>
      </c>
      <c r="C495" s="109"/>
      <c r="D495" s="109"/>
      <c r="E495" s="109"/>
      <c r="F495" s="109"/>
      <c r="G495" s="109"/>
      <c r="H495" s="109"/>
      <c r="I495" s="109">
        <f t="shared" ref="I495:J495" si="509">SUM(C495,E495,G495)</f>
        <v>0</v>
      </c>
      <c r="J495" s="109">
        <f t="shared" si="509"/>
        <v>0</v>
      </c>
      <c r="K495" s="109">
        <f>SUMIFS(Ações!$J$66,Ações!$N$66,Patrimônio!B495,Ações!$E$66,"Provento")</f>
        <v>0</v>
      </c>
      <c r="L495" s="109">
        <f>SUMIFS(BDRs!$J$66,BDRs!$E$66,"Provento",BDRs!$N$66,Patrimônio!B495)</f>
        <v>0</v>
      </c>
      <c r="M495" s="109">
        <f>SUMIFS(FIIs!$J$66,FIIs!$E$66,"Provento",FIIs!$N$66,Patrimônio!B495)</f>
        <v>0</v>
      </c>
      <c r="N495" s="109">
        <f t="shared" si="2"/>
        <v>0</v>
      </c>
      <c r="O495" s="109"/>
      <c r="Q495" s="154"/>
      <c r="R495" s="155" t="s">
        <v>265</v>
      </c>
      <c r="S495" s="156">
        <v>0</v>
      </c>
    </row>
    <row r="496" spans="1:19" ht="17.25" customHeight="1">
      <c r="A496" s="108">
        <v>59627</v>
      </c>
      <c r="B496" s="108">
        <f t="shared" si="0"/>
        <v>59626</v>
      </c>
      <c r="C496" s="109"/>
      <c r="D496" s="109"/>
      <c r="E496" s="109"/>
      <c r="F496" s="109"/>
      <c r="G496" s="109"/>
      <c r="H496" s="109"/>
      <c r="I496" s="109">
        <f t="shared" ref="I496:J496" si="510">SUM(C496,E496,G496)</f>
        <v>0</v>
      </c>
      <c r="J496" s="109">
        <f t="shared" si="510"/>
        <v>0</v>
      </c>
      <c r="K496" s="109">
        <f>SUMIFS(Ações!$J$66,Ações!$N$66,Patrimônio!B496,Ações!$E$66,"Provento")</f>
        <v>0</v>
      </c>
      <c r="L496" s="109">
        <f>SUMIFS(BDRs!$J$66,BDRs!$E$66,"Provento",BDRs!$N$66,Patrimônio!B496)</f>
        <v>0</v>
      </c>
      <c r="M496" s="109">
        <f>SUMIFS(FIIs!$J$66,FIIs!$E$66,"Provento",FIIs!$N$66,Patrimônio!B496)</f>
        <v>0</v>
      </c>
      <c r="N496" s="109">
        <f t="shared" si="2"/>
        <v>0</v>
      </c>
      <c r="O496" s="109"/>
      <c r="Q496" s="154"/>
      <c r="R496" s="155" t="s">
        <v>266</v>
      </c>
      <c r="S496" s="156">
        <v>0</v>
      </c>
    </row>
    <row r="497" spans="1:19" ht="17.25" customHeight="1">
      <c r="A497" s="108">
        <v>59657</v>
      </c>
      <c r="B497" s="108">
        <f t="shared" si="0"/>
        <v>59656</v>
      </c>
      <c r="C497" s="109"/>
      <c r="D497" s="109"/>
      <c r="E497" s="109"/>
      <c r="F497" s="109"/>
      <c r="G497" s="109"/>
      <c r="H497" s="109"/>
      <c r="I497" s="109">
        <f t="shared" ref="I497:J497" si="511">SUM(C497,E497,G497)</f>
        <v>0</v>
      </c>
      <c r="J497" s="109">
        <f t="shared" si="511"/>
        <v>0</v>
      </c>
      <c r="K497" s="109">
        <f>SUMIFS(Ações!$J$66,Ações!$N$66,Patrimônio!B497,Ações!$E$66,"Provento")</f>
        <v>0</v>
      </c>
      <c r="L497" s="109">
        <f>SUMIFS(BDRs!$J$66,BDRs!$E$66,"Provento",BDRs!$N$66,Patrimônio!B497)</f>
        <v>0</v>
      </c>
      <c r="M497" s="109">
        <f>SUMIFS(FIIs!$J$66,FIIs!$E$66,"Provento",FIIs!$N$66,Patrimônio!B497)</f>
        <v>0</v>
      </c>
      <c r="N497" s="109">
        <f t="shared" si="2"/>
        <v>0</v>
      </c>
      <c r="O497" s="109"/>
      <c r="Q497" s="154"/>
      <c r="R497" s="155" t="s">
        <v>267</v>
      </c>
      <c r="S497" s="156">
        <v>0</v>
      </c>
    </row>
    <row r="498" spans="1:19" ht="17.25" customHeight="1">
      <c r="A498" s="108">
        <v>59688</v>
      </c>
      <c r="B498" s="108">
        <f t="shared" si="0"/>
        <v>59687</v>
      </c>
      <c r="C498" s="109"/>
      <c r="D498" s="109"/>
      <c r="E498" s="109"/>
      <c r="F498" s="109"/>
      <c r="G498" s="109"/>
      <c r="H498" s="109"/>
      <c r="I498" s="109">
        <f t="shared" ref="I498:J498" si="512">SUM(C498,E498,G498)</f>
        <v>0</v>
      </c>
      <c r="J498" s="109">
        <f t="shared" si="512"/>
        <v>0</v>
      </c>
      <c r="K498" s="109">
        <f>SUMIFS(Ações!$J$66,Ações!$N$66,Patrimônio!B498,Ações!$E$66,"Provento")</f>
        <v>0</v>
      </c>
      <c r="L498" s="109">
        <f>SUMIFS(BDRs!$J$66,BDRs!$E$66,"Provento",BDRs!$N$66,Patrimônio!B498)</f>
        <v>0</v>
      </c>
      <c r="M498" s="109">
        <f>SUMIFS(FIIs!$J$66,FIIs!$E$66,"Provento",FIIs!$N$66,Patrimônio!B498)</f>
        <v>0</v>
      </c>
      <c r="N498" s="109">
        <f t="shared" si="2"/>
        <v>0</v>
      </c>
      <c r="O498" s="109"/>
      <c r="Q498" s="154"/>
      <c r="R498" s="155" t="s">
        <v>268</v>
      </c>
      <c r="S498" s="156">
        <v>0</v>
      </c>
    </row>
    <row r="499" spans="1:19" ht="17.25" customHeight="1">
      <c r="A499" s="108">
        <v>59718</v>
      </c>
      <c r="B499" s="108">
        <f t="shared" si="0"/>
        <v>59717</v>
      </c>
      <c r="C499" s="109"/>
      <c r="D499" s="109"/>
      <c r="E499" s="109"/>
      <c r="F499" s="109"/>
      <c r="G499" s="109"/>
      <c r="H499" s="109"/>
      <c r="I499" s="109">
        <f t="shared" ref="I499:J499" si="513">SUM(C499,E499,G499)</f>
        <v>0</v>
      </c>
      <c r="J499" s="109">
        <f t="shared" si="513"/>
        <v>0</v>
      </c>
      <c r="K499" s="109">
        <f>SUMIFS(Ações!$J$66,Ações!$N$66,Patrimônio!B499,Ações!$E$66,"Provento")</f>
        <v>0</v>
      </c>
      <c r="L499" s="109">
        <f>SUMIFS(BDRs!$J$66,BDRs!$E$66,"Provento",BDRs!$N$66,Patrimônio!B499)</f>
        <v>0</v>
      </c>
      <c r="M499" s="109">
        <f>SUMIFS(FIIs!$J$66,FIIs!$E$66,"Provento",FIIs!$N$66,Patrimônio!B499)</f>
        <v>0</v>
      </c>
      <c r="N499" s="109">
        <f t="shared" si="2"/>
        <v>0</v>
      </c>
      <c r="O499" s="109"/>
      <c r="Q499" s="154"/>
      <c r="R499" s="155" t="s">
        <v>269</v>
      </c>
      <c r="S499" s="156">
        <v>0</v>
      </c>
    </row>
    <row r="500" spans="1:19" ht="17.25" customHeight="1">
      <c r="A500" s="108">
        <v>59749</v>
      </c>
      <c r="B500" s="108">
        <f t="shared" si="0"/>
        <v>59748</v>
      </c>
      <c r="C500" s="109"/>
      <c r="D500" s="109"/>
      <c r="E500" s="109"/>
      <c r="F500" s="109"/>
      <c r="G500" s="109"/>
      <c r="H500" s="109"/>
      <c r="I500" s="109">
        <f t="shared" ref="I500:J500" si="514">SUM(C500,E500,G500)</f>
        <v>0</v>
      </c>
      <c r="J500" s="109">
        <f t="shared" si="514"/>
        <v>0</v>
      </c>
      <c r="K500" s="109">
        <f>SUMIFS(Ações!$J$66,Ações!$N$66,Patrimônio!B500,Ações!$E$66,"Provento")</f>
        <v>0</v>
      </c>
      <c r="L500" s="109">
        <f>SUMIFS(BDRs!$J$66,BDRs!$E$66,"Provento",BDRs!$N$66,Patrimônio!B500)</f>
        <v>0</v>
      </c>
      <c r="M500" s="109">
        <f>SUMIFS(FIIs!$J$66,FIIs!$E$66,"Provento",FIIs!$N$66,Patrimônio!B500)</f>
        <v>0</v>
      </c>
      <c r="N500" s="109">
        <f t="shared" si="2"/>
        <v>0</v>
      </c>
      <c r="O500" s="109"/>
      <c r="Q500" s="154"/>
      <c r="R500" s="155" t="s">
        <v>270</v>
      </c>
      <c r="S500" s="156">
        <v>0</v>
      </c>
    </row>
    <row r="501" spans="1:19" ht="17.25" customHeight="1">
      <c r="A501" s="108">
        <v>59780</v>
      </c>
      <c r="B501" s="108">
        <f t="shared" si="0"/>
        <v>59779</v>
      </c>
      <c r="C501" s="109"/>
      <c r="D501" s="109"/>
      <c r="E501" s="109"/>
      <c r="F501" s="109"/>
      <c r="G501" s="109"/>
      <c r="H501" s="109"/>
      <c r="I501" s="109">
        <f t="shared" ref="I501:J501" si="515">SUM(C501,E501,G501)</f>
        <v>0</v>
      </c>
      <c r="J501" s="109">
        <f t="shared" si="515"/>
        <v>0</v>
      </c>
      <c r="K501" s="109">
        <f>SUMIFS(Ações!$J$66,Ações!$N$66,Patrimônio!B501,Ações!$E$66,"Provento")</f>
        <v>0</v>
      </c>
      <c r="L501" s="109">
        <f>SUMIFS(BDRs!$J$66,BDRs!$E$66,"Provento",BDRs!$N$66,Patrimônio!B501)</f>
        <v>0</v>
      </c>
      <c r="M501" s="109">
        <f>SUMIFS(FIIs!$J$66,FIIs!$E$66,"Provento",FIIs!$N$66,Patrimônio!B501)</f>
        <v>0</v>
      </c>
      <c r="N501" s="109">
        <f t="shared" si="2"/>
        <v>0</v>
      </c>
      <c r="O501" s="109"/>
      <c r="Q501" s="154"/>
      <c r="R501" s="155" t="s">
        <v>271</v>
      </c>
      <c r="S501" s="156">
        <v>0</v>
      </c>
    </row>
    <row r="502" spans="1:19" ht="17.25" customHeight="1">
      <c r="A502" s="108">
        <v>59810</v>
      </c>
      <c r="B502" s="108">
        <f t="shared" si="0"/>
        <v>59809</v>
      </c>
      <c r="C502" s="109"/>
      <c r="D502" s="109"/>
      <c r="E502" s="109"/>
      <c r="F502" s="109"/>
      <c r="G502" s="109"/>
      <c r="H502" s="109"/>
      <c r="I502" s="109">
        <f t="shared" ref="I502:J502" si="516">SUM(C502,E502,G502)</f>
        <v>0</v>
      </c>
      <c r="J502" s="109">
        <f t="shared" si="516"/>
        <v>0</v>
      </c>
      <c r="K502" s="109">
        <f>SUMIFS(Ações!$J$66,Ações!$N$66,Patrimônio!B502,Ações!$E$66,"Provento")</f>
        <v>0</v>
      </c>
      <c r="L502" s="109">
        <f>SUMIFS(BDRs!$J$66,BDRs!$E$66,"Provento",BDRs!$N$66,Patrimônio!B502)</f>
        <v>0</v>
      </c>
      <c r="M502" s="109">
        <f>SUMIFS(FIIs!$J$66,FIIs!$E$66,"Provento",FIIs!$N$66,Patrimônio!B502)</f>
        <v>0</v>
      </c>
      <c r="N502" s="109">
        <f t="shared" si="2"/>
        <v>0</v>
      </c>
      <c r="O502" s="109"/>
      <c r="Q502" s="154"/>
      <c r="R502" s="155" t="s">
        <v>272</v>
      </c>
      <c r="S502" s="156">
        <v>0</v>
      </c>
    </row>
    <row r="503" spans="1:19" ht="17.25" customHeight="1">
      <c r="A503" s="108">
        <v>59841</v>
      </c>
      <c r="B503" s="108">
        <f t="shared" si="0"/>
        <v>59840</v>
      </c>
      <c r="C503" s="109"/>
      <c r="D503" s="109"/>
      <c r="E503" s="109"/>
      <c r="F503" s="109"/>
      <c r="G503" s="109"/>
      <c r="H503" s="109"/>
      <c r="I503" s="109">
        <f t="shared" ref="I503:J503" si="517">SUM(C503,E503,G503)</f>
        <v>0</v>
      </c>
      <c r="J503" s="109">
        <f t="shared" si="517"/>
        <v>0</v>
      </c>
      <c r="K503" s="109">
        <f>SUMIFS(Ações!$J$66,Ações!$N$66,Patrimônio!B503,Ações!$E$66,"Provento")</f>
        <v>0</v>
      </c>
      <c r="L503" s="109">
        <f>SUMIFS(BDRs!$J$66,BDRs!$E$66,"Provento",BDRs!$N$66,Patrimônio!B503)</f>
        <v>0</v>
      </c>
      <c r="M503" s="109">
        <f>SUMIFS(FIIs!$J$66,FIIs!$E$66,"Provento",FIIs!$N$66,Patrimônio!B503)</f>
        <v>0</v>
      </c>
      <c r="N503" s="109">
        <f t="shared" si="2"/>
        <v>0</v>
      </c>
      <c r="O503" s="109"/>
      <c r="Q503" s="151" t="s">
        <v>164</v>
      </c>
      <c r="R503" s="157"/>
      <c r="S503" s="153">
        <v>0</v>
      </c>
    </row>
    <row r="504" spans="1:19" ht="17.25" customHeight="1">
      <c r="A504" s="108">
        <v>59871</v>
      </c>
      <c r="B504" s="108">
        <f t="shared" si="0"/>
        <v>59870</v>
      </c>
      <c r="C504" s="109"/>
      <c r="D504" s="109"/>
      <c r="E504" s="109"/>
      <c r="F504" s="109"/>
      <c r="G504" s="109"/>
      <c r="H504" s="109"/>
      <c r="I504" s="109">
        <f t="shared" ref="I504:J504" si="518">SUM(C504,E504,G504)</f>
        <v>0</v>
      </c>
      <c r="J504" s="109">
        <f t="shared" si="518"/>
        <v>0</v>
      </c>
      <c r="K504" s="109">
        <f>SUMIFS(Ações!$J$66,Ações!$N$66,Patrimônio!B504,Ações!$E$66,"Provento")</f>
        <v>0</v>
      </c>
      <c r="L504" s="109">
        <f>SUMIFS(BDRs!$J$66,BDRs!$E$66,"Provento",BDRs!$N$66,Patrimônio!B504)</f>
        <v>0</v>
      </c>
      <c r="M504" s="109">
        <f>SUMIFS(FIIs!$J$66,FIIs!$E$66,"Provento",FIIs!$N$66,Patrimônio!B504)</f>
        <v>0</v>
      </c>
      <c r="N504" s="109">
        <f t="shared" si="2"/>
        <v>0</v>
      </c>
      <c r="O504" s="109"/>
      <c r="Q504" s="151" t="s">
        <v>165</v>
      </c>
      <c r="R504" s="152" t="s">
        <v>261</v>
      </c>
      <c r="S504" s="153">
        <v>0</v>
      </c>
    </row>
    <row r="505" spans="1:19" ht="17.25" customHeight="1">
      <c r="A505" s="108">
        <v>59902</v>
      </c>
      <c r="B505" s="108">
        <f t="shared" si="0"/>
        <v>59901</v>
      </c>
      <c r="C505" s="109"/>
      <c r="D505" s="109"/>
      <c r="E505" s="109"/>
      <c r="F505" s="109"/>
      <c r="G505" s="109"/>
      <c r="H505" s="109"/>
      <c r="I505" s="109">
        <f t="shared" ref="I505:J505" si="519">SUM(C505,E505,G505)</f>
        <v>0</v>
      </c>
      <c r="J505" s="109">
        <f t="shared" si="519"/>
        <v>0</v>
      </c>
      <c r="K505" s="109">
        <f>SUMIFS(Ações!$J$66,Ações!$N$66,Patrimônio!B505,Ações!$E$66,"Provento")</f>
        <v>0</v>
      </c>
      <c r="L505" s="109">
        <f>SUMIFS(BDRs!$J$66,BDRs!$E$66,"Provento",BDRs!$N$66,Patrimônio!B505)</f>
        <v>0</v>
      </c>
      <c r="M505" s="109">
        <f>SUMIFS(FIIs!$J$66,FIIs!$E$66,"Provento",FIIs!$N$66,Patrimônio!B505)</f>
        <v>0</v>
      </c>
      <c r="N505" s="109">
        <f t="shared" si="2"/>
        <v>0</v>
      </c>
      <c r="O505" s="109"/>
      <c r="Q505" s="154"/>
      <c r="R505" s="155" t="s">
        <v>262</v>
      </c>
      <c r="S505" s="156">
        <v>0</v>
      </c>
    </row>
    <row r="506" spans="1:19" ht="17.25" customHeight="1">
      <c r="A506" s="108">
        <v>59933</v>
      </c>
      <c r="B506" s="108">
        <f t="shared" si="0"/>
        <v>59932</v>
      </c>
      <c r="C506" s="109"/>
      <c r="D506" s="109"/>
      <c r="E506" s="109"/>
      <c r="F506" s="109"/>
      <c r="G506" s="109"/>
      <c r="H506" s="109"/>
      <c r="I506" s="109">
        <f t="shared" ref="I506:J506" si="520">SUM(C506,E506,G506)</f>
        <v>0</v>
      </c>
      <c r="J506" s="109">
        <f t="shared" si="520"/>
        <v>0</v>
      </c>
      <c r="K506" s="109">
        <f>SUMIFS(Ações!$J$66,Ações!$N$66,Patrimônio!B506,Ações!$E$66,"Provento")</f>
        <v>0</v>
      </c>
      <c r="L506" s="109">
        <f>SUMIFS(BDRs!$J$66,BDRs!$E$66,"Provento",BDRs!$N$66,Patrimônio!B506)</f>
        <v>0</v>
      </c>
      <c r="M506" s="109">
        <f>SUMIFS(FIIs!$J$66,FIIs!$E$66,"Provento",FIIs!$N$66,Patrimônio!B506)</f>
        <v>0</v>
      </c>
      <c r="N506" s="109">
        <f t="shared" si="2"/>
        <v>0</v>
      </c>
      <c r="O506" s="109"/>
      <c r="Q506" s="154"/>
      <c r="R506" s="155" t="s">
        <v>263</v>
      </c>
      <c r="S506" s="156">
        <v>0</v>
      </c>
    </row>
    <row r="507" spans="1:19" ht="17.25" customHeight="1">
      <c r="A507" s="108">
        <v>59962</v>
      </c>
      <c r="B507" s="108">
        <f t="shared" si="0"/>
        <v>59961</v>
      </c>
      <c r="C507" s="109"/>
      <c r="D507" s="109"/>
      <c r="E507" s="109"/>
      <c r="F507" s="109"/>
      <c r="G507" s="109"/>
      <c r="H507" s="109"/>
      <c r="I507" s="109">
        <f t="shared" ref="I507:J507" si="521">SUM(C507,E507,G507)</f>
        <v>0</v>
      </c>
      <c r="J507" s="109">
        <f t="shared" si="521"/>
        <v>0</v>
      </c>
      <c r="K507" s="109">
        <f>SUMIFS(Ações!$J$66,Ações!$N$66,Patrimônio!B507,Ações!$E$66,"Provento")</f>
        <v>0</v>
      </c>
      <c r="L507" s="109">
        <f>SUMIFS(BDRs!$J$66,BDRs!$E$66,"Provento",BDRs!$N$66,Patrimônio!B507)</f>
        <v>0</v>
      </c>
      <c r="M507" s="109">
        <f>SUMIFS(FIIs!$J$66,FIIs!$E$66,"Provento",FIIs!$N$66,Patrimônio!B507)</f>
        <v>0</v>
      </c>
      <c r="N507" s="109">
        <f t="shared" si="2"/>
        <v>0</v>
      </c>
      <c r="O507" s="109"/>
      <c r="Q507" s="154"/>
      <c r="R507" s="155" t="s">
        <v>264</v>
      </c>
      <c r="S507" s="156">
        <v>0</v>
      </c>
    </row>
    <row r="508" spans="1:19" ht="17.25" customHeight="1">
      <c r="A508" s="108">
        <v>59993</v>
      </c>
      <c r="B508" s="108">
        <f t="shared" si="0"/>
        <v>59992</v>
      </c>
      <c r="C508" s="109"/>
      <c r="D508" s="109"/>
      <c r="E508" s="109"/>
      <c r="F508" s="109"/>
      <c r="G508" s="109"/>
      <c r="H508" s="109"/>
      <c r="I508" s="109">
        <f t="shared" ref="I508:J508" si="522">SUM(C508,E508,G508)</f>
        <v>0</v>
      </c>
      <c r="J508" s="109">
        <f t="shared" si="522"/>
        <v>0</v>
      </c>
      <c r="K508" s="109">
        <f>SUMIFS(Ações!$J$66,Ações!$N$66,Patrimônio!B508,Ações!$E$66,"Provento")</f>
        <v>0</v>
      </c>
      <c r="L508" s="109">
        <f>SUMIFS(BDRs!$J$66,BDRs!$E$66,"Provento",BDRs!$N$66,Patrimônio!B508)</f>
        <v>0</v>
      </c>
      <c r="M508" s="109">
        <f>SUMIFS(FIIs!$J$66,FIIs!$E$66,"Provento",FIIs!$N$66,Patrimônio!B508)</f>
        <v>0</v>
      </c>
      <c r="N508" s="109">
        <f t="shared" si="2"/>
        <v>0</v>
      </c>
      <c r="O508" s="109"/>
      <c r="Q508" s="154"/>
      <c r="R508" s="155" t="s">
        <v>265</v>
      </c>
      <c r="S508" s="156">
        <v>0</v>
      </c>
    </row>
    <row r="509" spans="1:19" ht="17.25" customHeight="1">
      <c r="A509" s="108">
        <v>60023</v>
      </c>
      <c r="B509" s="108">
        <f t="shared" si="0"/>
        <v>60022</v>
      </c>
      <c r="C509" s="109"/>
      <c r="D509" s="109"/>
      <c r="E509" s="109"/>
      <c r="F509" s="109"/>
      <c r="G509" s="109"/>
      <c r="H509" s="109"/>
      <c r="I509" s="109">
        <f t="shared" ref="I509:J509" si="523">SUM(C509,E509,G509)</f>
        <v>0</v>
      </c>
      <c r="J509" s="109">
        <f t="shared" si="523"/>
        <v>0</v>
      </c>
      <c r="K509" s="109">
        <f>SUMIFS(Ações!$J$66,Ações!$N$66,Patrimônio!B509,Ações!$E$66,"Provento")</f>
        <v>0</v>
      </c>
      <c r="L509" s="109">
        <f>SUMIFS(BDRs!$J$66,BDRs!$E$66,"Provento",BDRs!$N$66,Patrimônio!B509)</f>
        <v>0</v>
      </c>
      <c r="M509" s="109">
        <f>SUMIFS(FIIs!$J$66,FIIs!$E$66,"Provento",FIIs!$N$66,Patrimônio!B509)</f>
        <v>0</v>
      </c>
      <c r="N509" s="109">
        <f t="shared" si="2"/>
        <v>0</v>
      </c>
      <c r="O509" s="109"/>
      <c r="Q509" s="154"/>
      <c r="R509" s="155" t="s">
        <v>266</v>
      </c>
      <c r="S509" s="156">
        <v>0</v>
      </c>
    </row>
    <row r="510" spans="1:19" ht="17.25" customHeight="1">
      <c r="A510" s="108">
        <v>60054</v>
      </c>
      <c r="B510" s="108">
        <f t="shared" si="0"/>
        <v>60053</v>
      </c>
      <c r="C510" s="109"/>
      <c r="D510" s="109"/>
      <c r="E510" s="109"/>
      <c r="F510" s="109"/>
      <c r="G510" s="109"/>
      <c r="H510" s="109"/>
      <c r="I510" s="109">
        <f t="shared" ref="I510:J510" si="524">SUM(C510,E510,G510)</f>
        <v>0</v>
      </c>
      <c r="J510" s="109">
        <f t="shared" si="524"/>
        <v>0</v>
      </c>
      <c r="K510" s="109">
        <f>SUMIFS(Ações!$J$66,Ações!$N$66,Patrimônio!B510,Ações!$E$66,"Provento")</f>
        <v>0</v>
      </c>
      <c r="L510" s="109">
        <f>SUMIFS(BDRs!$J$66,BDRs!$E$66,"Provento",BDRs!$N$66,Patrimônio!B510)</f>
        <v>0</v>
      </c>
      <c r="M510" s="109">
        <f>SUMIFS(FIIs!$J$66,FIIs!$E$66,"Provento",FIIs!$N$66,Patrimônio!B510)</f>
        <v>0</v>
      </c>
      <c r="N510" s="109">
        <f t="shared" si="2"/>
        <v>0</v>
      </c>
      <c r="O510" s="109"/>
      <c r="Q510" s="154"/>
      <c r="R510" s="155" t="s">
        <v>267</v>
      </c>
      <c r="S510" s="156">
        <v>0</v>
      </c>
    </row>
    <row r="511" spans="1:19" ht="17.25" customHeight="1">
      <c r="A511" s="108">
        <v>60084</v>
      </c>
      <c r="B511" s="108">
        <f t="shared" si="0"/>
        <v>60083</v>
      </c>
      <c r="C511" s="109"/>
      <c r="D511" s="109"/>
      <c r="E511" s="109"/>
      <c r="F511" s="109"/>
      <c r="G511" s="109"/>
      <c r="H511" s="109"/>
      <c r="I511" s="109">
        <f t="shared" ref="I511:J511" si="525">SUM(C511,E511,G511)</f>
        <v>0</v>
      </c>
      <c r="J511" s="109">
        <f t="shared" si="525"/>
        <v>0</v>
      </c>
      <c r="K511" s="109">
        <f>SUMIFS(Ações!$J$66,Ações!$N$66,Patrimônio!B511,Ações!$E$66,"Provento")</f>
        <v>0</v>
      </c>
      <c r="L511" s="109">
        <f>SUMIFS(BDRs!$J$66,BDRs!$E$66,"Provento",BDRs!$N$66,Patrimônio!B511)</f>
        <v>0</v>
      </c>
      <c r="M511" s="109">
        <f>SUMIFS(FIIs!$J$66,FIIs!$E$66,"Provento",FIIs!$N$66,Patrimônio!B511)</f>
        <v>0</v>
      </c>
      <c r="N511" s="109">
        <f t="shared" si="2"/>
        <v>0</v>
      </c>
      <c r="O511" s="109"/>
      <c r="Q511" s="154"/>
      <c r="R511" s="155" t="s">
        <v>268</v>
      </c>
      <c r="S511" s="156">
        <v>0</v>
      </c>
    </row>
    <row r="512" spans="1:19" ht="17.25" customHeight="1">
      <c r="A512" s="108">
        <v>60115</v>
      </c>
      <c r="B512" s="108">
        <f t="shared" si="0"/>
        <v>60114</v>
      </c>
      <c r="C512" s="109"/>
      <c r="D512" s="109"/>
      <c r="E512" s="109"/>
      <c r="F512" s="109"/>
      <c r="G512" s="109"/>
      <c r="H512" s="109"/>
      <c r="I512" s="109">
        <f t="shared" ref="I512:J512" si="526">SUM(C512,E512,G512)</f>
        <v>0</v>
      </c>
      <c r="J512" s="109">
        <f t="shared" si="526"/>
        <v>0</v>
      </c>
      <c r="K512" s="109">
        <f>SUMIFS(Ações!$J$66,Ações!$N$66,Patrimônio!B512,Ações!$E$66,"Provento")</f>
        <v>0</v>
      </c>
      <c r="L512" s="109">
        <f>SUMIFS(BDRs!$J$66,BDRs!$E$66,"Provento",BDRs!$N$66,Patrimônio!B512)</f>
        <v>0</v>
      </c>
      <c r="M512" s="109">
        <f>SUMIFS(FIIs!$J$66,FIIs!$E$66,"Provento",FIIs!$N$66,Patrimônio!B512)</f>
        <v>0</v>
      </c>
      <c r="N512" s="109">
        <f t="shared" si="2"/>
        <v>0</v>
      </c>
      <c r="O512" s="109"/>
      <c r="Q512" s="154"/>
      <c r="R512" s="155" t="s">
        <v>269</v>
      </c>
      <c r="S512" s="156">
        <v>0</v>
      </c>
    </row>
    <row r="513" spans="1:19" ht="17.25" customHeight="1">
      <c r="A513" s="108">
        <v>60146</v>
      </c>
      <c r="B513" s="108">
        <f t="shared" si="0"/>
        <v>60145</v>
      </c>
      <c r="C513" s="109"/>
      <c r="D513" s="109"/>
      <c r="E513" s="109"/>
      <c r="F513" s="109"/>
      <c r="G513" s="109"/>
      <c r="H513" s="109"/>
      <c r="I513" s="109">
        <f t="shared" ref="I513:J513" si="527">SUM(C513,E513,G513)</f>
        <v>0</v>
      </c>
      <c r="J513" s="109">
        <f t="shared" si="527"/>
        <v>0</v>
      </c>
      <c r="K513" s="109">
        <f>SUMIFS(Ações!$J$66,Ações!$N$66,Patrimônio!B513,Ações!$E$66,"Provento")</f>
        <v>0</v>
      </c>
      <c r="L513" s="109">
        <f>SUMIFS(BDRs!$J$66,BDRs!$E$66,"Provento",BDRs!$N$66,Patrimônio!B513)</f>
        <v>0</v>
      </c>
      <c r="M513" s="109">
        <f>SUMIFS(FIIs!$J$66,FIIs!$E$66,"Provento",FIIs!$N$66,Patrimônio!B513)</f>
        <v>0</v>
      </c>
      <c r="N513" s="109">
        <f t="shared" si="2"/>
        <v>0</v>
      </c>
      <c r="O513" s="109"/>
      <c r="Q513" s="154"/>
      <c r="R513" s="155" t="s">
        <v>270</v>
      </c>
      <c r="S513" s="156">
        <v>0</v>
      </c>
    </row>
    <row r="514" spans="1:19" ht="17.25" customHeight="1">
      <c r="A514" s="108">
        <v>60176</v>
      </c>
      <c r="B514" s="108">
        <f t="shared" si="0"/>
        <v>60175</v>
      </c>
      <c r="C514" s="109"/>
      <c r="D514" s="109"/>
      <c r="E514" s="109"/>
      <c r="F514" s="109"/>
      <c r="G514" s="109"/>
      <c r="H514" s="109"/>
      <c r="I514" s="109">
        <f t="shared" ref="I514:J514" si="528">SUM(C514,E514,G514)</f>
        <v>0</v>
      </c>
      <c r="J514" s="109">
        <f t="shared" si="528"/>
        <v>0</v>
      </c>
      <c r="K514" s="109">
        <f>SUMIFS(Ações!$J$66,Ações!$N$66,Patrimônio!B514,Ações!$E$66,"Provento")</f>
        <v>0</v>
      </c>
      <c r="L514" s="109">
        <f>SUMIFS(BDRs!$J$66,BDRs!$E$66,"Provento",BDRs!$N$66,Patrimônio!B514)</f>
        <v>0</v>
      </c>
      <c r="M514" s="109">
        <f>SUMIFS(FIIs!$J$66,FIIs!$E$66,"Provento",FIIs!$N$66,Patrimônio!B514)</f>
        <v>0</v>
      </c>
      <c r="N514" s="109">
        <f t="shared" si="2"/>
        <v>0</v>
      </c>
      <c r="O514" s="109"/>
      <c r="Q514" s="154"/>
      <c r="R514" s="155" t="s">
        <v>271</v>
      </c>
      <c r="S514" s="156">
        <v>0</v>
      </c>
    </row>
    <row r="515" spans="1:19" ht="17.25" customHeight="1">
      <c r="A515" s="108">
        <v>60207</v>
      </c>
      <c r="B515" s="108">
        <f t="shared" si="0"/>
        <v>60206</v>
      </c>
      <c r="C515" s="109"/>
      <c r="D515" s="109"/>
      <c r="E515" s="109"/>
      <c r="F515" s="109"/>
      <c r="G515" s="109"/>
      <c r="H515" s="109"/>
      <c r="I515" s="109">
        <f t="shared" ref="I515:J515" si="529">SUM(C515,E515,G515)</f>
        <v>0</v>
      </c>
      <c r="J515" s="109">
        <f t="shared" si="529"/>
        <v>0</v>
      </c>
      <c r="K515" s="109">
        <f>SUMIFS(Ações!$J$66,Ações!$N$66,Patrimônio!B515,Ações!$E$66,"Provento")</f>
        <v>0</v>
      </c>
      <c r="L515" s="109">
        <f>SUMIFS(BDRs!$J$66,BDRs!$E$66,"Provento",BDRs!$N$66,Patrimônio!B515)</f>
        <v>0</v>
      </c>
      <c r="M515" s="109">
        <f>SUMIFS(FIIs!$J$66,FIIs!$E$66,"Provento",FIIs!$N$66,Patrimônio!B515)</f>
        <v>0</v>
      </c>
      <c r="N515" s="109">
        <f t="shared" si="2"/>
        <v>0</v>
      </c>
      <c r="O515" s="109"/>
      <c r="Q515" s="154"/>
      <c r="R515" s="155" t="s">
        <v>272</v>
      </c>
      <c r="S515" s="156">
        <v>0</v>
      </c>
    </row>
    <row r="516" spans="1:19" ht="17.25" customHeight="1">
      <c r="A516" s="108">
        <v>60237</v>
      </c>
      <c r="B516" s="108">
        <f t="shared" si="0"/>
        <v>60236</v>
      </c>
      <c r="C516" s="109"/>
      <c r="D516" s="109"/>
      <c r="E516" s="109"/>
      <c r="F516" s="109"/>
      <c r="G516" s="109"/>
      <c r="H516" s="109"/>
      <c r="I516" s="109">
        <f t="shared" ref="I516:J516" si="530">SUM(C516,E516,G516)</f>
        <v>0</v>
      </c>
      <c r="J516" s="109">
        <f t="shared" si="530"/>
        <v>0</v>
      </c>
      <c r="K516" s="109">
        <f>SUMIFS(Ações!$J$66,Ações!$N$66,Patrimônio!B516,Ações!$E$66,"Provento")</f>
        <v>0</v>
      </c>
      <c r="L516" s="109">
        <f>SUMIFS(BDRs!$J$66,BDRs!$E$66,"Provento",BDRs!$N$66,Patrimônio!B516)</f>
        <v>0</v>
      </c>
      <c r="M516" s="109">
        <f>SUMIFS(FIIs!$J$66,FIIs!$E$66,"Provento",FIIs!$N$66,Patrimônio!B516)</f>
        <v>0</v>
      </c>
      <c r="N516" s="109">
        <f t="shared" si="2"/>
        <v>0</v>
      </c>
      <c r="O516" s="109"/>
      <c r="Q516" s="151" t="s">
        <v>166</v>
      </c>
      <c r="R516" s="157"/>
      <c r="S516" s="153">
        <v>0</v>
      </c>
    </row>
    <row r="517" spans="1:19" ht="17.25" customHeight="1">
      <c r="A517" s="108">
        <v>60268</v>
      </c>
      <c r="B517" s="108">
        <f t="shared" si="0"/>
        <v>60267</v>
      </c>
      <c r="C517" s="109"/>
      <c r="D517" s="109"/>
      <c r="E517" s="109"/>
      <c r="F517" s="109"/>
      <c r="G517" s="109"/>
      <c r="H517" s="109"/>
      <c r="I517" s="109">
        <f t="shared" ref="I517:J517" si="531">SUM(C517,E517,G517)</f>
        <v>0</v>
      </c>
      <c r="J517" s="109">
        <f t="shared" si="531"/>
        <v>0</v>
      </c>
      <c r="K517" s="109">
        <f>SUMIFS(Ações!$J$66,Ações!$N$66,Patrimônio!B517,Ações!$E$66,"Provento")</f>
        <v>0</v>
      </c>
      <c r="L517" s="109">
        <f>SUMIFS(BDRs!$J$66,BDRs!$E$66,"Provento",BDRs!$N$66,Patrimônio!B517)</f>
        <v>0</v>
      </c>
      <c r="M517" s="109">
        <f>SUMIFS(FIIs!$J$66,FIIs!$E$66,"Provento",FIIs!$N$66,Patrimônio!B517)</f>
        <v>0</v>
      </c>
      <c r="N517" s="109">
        <f t="shared" si="2"/>
        <v>0</v>
      </c>
      <c r="O517" s="109"/>
      <c r="Q517" s="151" t="s">
        <v>167</v>
      </c>
      <c r="R517" s="152" t="s">
        <v>261</v>
      </c>
      <c r="S517" s="153">
        <v>0</v>
      </c>
    </row>
    <row r="518" spans="1:19" ht="17.25" customHeight="1">
      <c r="A518" s="108">
        <v>60299</v>
      </c>
      <c r="B518" s="108">
        <f t="shared" si="0"/>
        <v>60298</v>
      </c>
      <c r="C518" s="109"/>
      <c r="D518" s="109"/>
      <c r="E518" s="109"/>
      <c r="F518" s="109"/>
      <c r="G518" s="109"/>
      <c r="H518" s="109"/>
      <c r="I518" s="109">
        <f t="shared" ref="I518:J518" si="532">SUM(C518,E518,G518)</f>
        <v>0</v>
      </c>
      <c r="J518" s="109">
        <f t="shared" si="532"/>
        <v>0</v>
      </c>
      <c r="K518" s="109">
        <f>SUMIFS(Ações!$J$66,Ações!$N$66,Patrimônio!B518,Ações!$E$66,"Provento")</f>
        <v>0</v>
      </c>
      <c r="L518" s="109">
        <f>SUMIFS(BDRs!$J$66,BDRs!$E$66,"Provento",BDRs!$N$66,Patrimônio!B518)</f>
        <v>0</v>
      </c>
      <c r="M518" s="109">
        <f>SUMIFS(FIIs!$J$66,FIIs!$E$66,"Provento",FIIs!$N$66,Patrimônio!B518)</f>
        <v>0</v>
      </c>
      <c r="N518" s="109">
        <f t="shared" si="2"/>
        <v>0</v>
      </c>
      <c r="O518" s="109"/>
      <c r="Q518" s="154"/>
      <c r="R518" s="155" t="s">
        <v>262</v>
      </c>
      <c r="S518" s="156">
        <v>0</v>
      </c>
    </row>
    <row r="519" spans="1:19" ht="17.25" customHeight="1">
      <c r="A519" s="108">
        <v>60327</v>
      </c>
      <c r="B519" s="108">
        <f t="shared" si="0"/>
        <v>60326</v>
      </c>
      <c r="C519" s="109"/>
      <c r="D519" s="109"/>
      <c r="E519" s="109"/>
      <c r="F519" s="109"/>
      <c r="G519" s="109"/>
      <c r="H519" s="109"/>
      <c r="I519" s="109">
        <f t="shared" ref="I519:J519" si="533">SUM(C519,E519,G519)</f>
        <v>0</v>
      </c>
      <c r="J519" s="109">
        <f t="shared" si="533"/>
        <v>0</v>
      </c>
      <c r="K519" s="109">
        <f>SUMIFS(Ações!$J$66,Ações!$N$66,Patrimônio!B519,Ações!$E$66,"Provento")</f>
        <v>0</v>
      </c>
      <c r="L519" s="109">
        <f>SUMIFS(BDRs!$J$66,BDRs!$E$66,"Provento",BDRs!$N$66,Patrimônio!B519)</f>
        <v>0</v>
      </c>
      <c r="M519" s="109">
        <f>SUMIFS(FIIs!$J$66,FIIs!$E$66,"Provento",FIIs!$N$66,Patrimônio!B519)</f>
        <v>0</v>
      </c>
      <c r="N519" s="109">
        <f t="shared" si="2"/>
        <v>0</v>
      </c>
      <c r="O519" s="109"/>
      <c r="Q519" s="154"/>
      <c r="R519" s="155" t="s">
        <v>263</v>
      </c>
      <c r="S519" s="156">
        <v>0</v>
      </c>
    </row>
    <row r="520" spans="1:19" ht="17.25" customHeight="1">
      <c r="A520" s="108">
        <v>60358</v>
      </c>
      <c r="B520" s="108">
        <f t="shared" si="0"/>
        <v>60357</v>
      </c>
      <c r="C520" s="109"/>
      <c r="D520" s="109"/>
      <c r="E520" s="109"/>
      <c r="F520" s="109"/>
      <c r="G520" s="109"/>
      <c r="H520" s="109"/>
      <c r="I520" s="109">
        <f t="shared" ref="I520:J520" si="534">SUM(C520,E520,G520)</f>
        <v>0</v>
      </c>
      <c r="J520" s="109">
        <f t="shared" si="534"/>
        <v>0</v>
      </c>
      <c r="K520" s="109">
        <f>SUMIFS(Ações!$J$66,Ações!$N$66,Patrimônio!B520,Ações!$E$66,"Provento")</f>
        <v>0</v>
      </c>
      <c r="L520" s="109">
        <f>SUMIFS(BDRs!$J$66,BDRs!$E$66,"Provento",BDRs!$N$66,Patrimônio!B520)</f>
        <v>0</v>
      </c>
      <c r="M520" s="109">
        <f>SUMIFS(FIIs!$J$66,FIIs!$E$66,"Provento",FIIs!$N$66,Patrimônio!B520)</f>
        <v>0</v>
      </c>
      <c r="N520" s="109">
        <f t="shared" si="2"/>
        <v>0</v>
      </c>
      <c r="O520" s="109"/>
      <c r="Q520" s="154"/>
      <c r="R520" s="155" t="s">
        <v>264</v>
      </c>
      <c r="S520" s="156">
        <v>0</v>
      </c>
    </row>
    <row r="521" spans="1:19" ht="17.25" customHeight="1">
      <c r="A521" s="108">
        <v>60388</v>
      </c>
      <c r="B521" s="108">
        <f t="shared" si="0"/>
        <v>60387</v>
      </c>
      <c r="C521" s="109"/>
      <c r="D521" s="109"/>
      <c r="E521" s="109"/>
      <c r="F521" s="109"/>
      <c r="G521" s="109"/>
      <c r="H521" s="109"/>
      <c r="I521" s="109">
        <f t="shared" ref="I521:J521" si="535">SUM(C521,E521,G521)</f>
        <v>0</v>
      </c>
      <c r="J521" s="109">
        <f t="shared" si="535"/>
        <v>0</v>
      </c>
      <c r="K521" s="109">
        <f>SUMIFS(Ações!$J$66,Ações!$N$66,Patrimônio!B521,Ações!$E$66,"Provento")</f>
        <v>0</v>
      </c>
      <c r="L521" s="109">
        <f>SUMIFS(BDRs!$J$66,BDRs!$E$66,"Provento",BDRs!$N$66,Patrimônio!B521)</f>
        <v>0</v>
      </c>
      <c r="M521" s="109">
        <f>SUMIFS(FIIs!$J$66,FIIs!$E$66,"Provento",FIIs!$N$66,Patrimônio!B521)</f>
        <v>0</v>
      </c>
      <c r="N521" s="109">
        <f t="shared" si="2"/>
        <v>0</v>
      </c>
      <c r="O521" s="109"/>
      <c r="Q521" s="154"/>
      <c r="R521" s="155" t="s">
        <v>265</v>
      </c>
      <c r="S521" s="156">
        <v>0</v>
      </c>
    </row>
    <row r="522" spans="1:19" ht="17.25" customHeight="1">
      <c r="A522" s="108">
        <v>60419</v>
      </c>
      <c r="B522" s="108">
        <f t="shared" si="0"/>
        <v>60418</v>
      </c>
      <c r="C522" s="109"/>
      <c r="D522" s="109"/>
      <c r="E522" s="109"/>
      <c r="F522" s="109"/>
      <c r="G522" s="109"/>
      <c r="H522" s="109"/>
      <c r="I522" s="109">
        <f t="shared" ref="I522:J522" si="536">SUM(C522,E522,G522)</f>
        <v>0</v>
      </c>
      <c r="J522" s="109">
        <f t="shared" si="536"/>
        <v>0</v>
      </c>
      <c r="K522" s="109">
        <f>SUMIFS(Ações!$J$66,Ações!$N$66,Patrimônio!B522,Ações!$E$66,"Provento")</f>
        <v>0</v>
      </c>
      <c r="L522" s="109">
        <f>SUMIFS(BDRs!$J$66,BDRs!$E$66,"Provento",BDRs!$N$66,Patrimônio!B522)</f>
        <v>0</v>
      </c>
      <c r="M522" s="109">
        <f>SUMIFS(FIIs!$J$66,FIIs!$E$66,"Provento",FIIs!$N$66,Patrimônio!B522)</f>
        <v>0</v>
      </c>
      <c r="N522" s="109">
        <f t="shared" si="2"/>
        <v>0</v>
      </c>
      <c r="O522" s="109"/>
      <c r="Q522" s="154"/>
      <c r="R522" s="155" t="s">
        <v>266</v>
      </c>
      <c r="S522" s="156">
        <v>0</v>
      </c>
    </row>
    <row r="523" spans="1:19" ht="17.25" customHeight="1">
      <c r="A523" s="108">
        <v>60449</v>
      </c>
      <c r="B523" s="108">
        <f t="shared" si="0"/>
        <v>60448</v>
      </c>
      <c r="C523" s="109"/>
      <c r="D523" s="109"/>
      <c r="E523" s="109"/>
      <c r="F523" s="109"/>
      <c r="G523" s="109"/>
      <c r="H523" s="109"/>
      <c r="I523" s="109">
        <f t="shared" ref="I523:J523" si="537">SUM(C523,E523,G523)</f>
        <v>0</v>
      </c>
      <c r="J523" s="109">
        <f t="shared" si="537"/>
        <v>0</v>
      </c>
      <c r="K523" s="109">
        <f>SUMIFS(Ações!$J$66,Ações!$N$66,Patrimônio!B523,Ações!$E$66,"Provento")</f>
        <v>0</v>
      </c>
      <c r="L523" s="109">
        <f>SUMIFS(BDRs!$J$66,BDRs!$E$66,"Provento",BDRs!$N$66,Patrimônio!B523)</f>
        <v>0</v>
      </c>
      <c r="M523" s="109">
        <f>SUMIFS(FIIs!$J$66,FIIs!$E$66,"Provento",FIIs!$N$66,Patrimônio!B523)</f>
        <v>0</v>
      </c>
      <c r="N523" s="109">
        <f t="shared" si="2"/>
        <v>0</v>
      </c>
      <c r="O523" s="109"/>
      <c r="Q523" s="154"/>
      <c r="R523" s="155" t="s">
        <v>267</v>
      </c>
      <c r="S523" s="156">
        <v>0</v>
      </c>
    </row>
    <row r="524" spans="1:19" ht="17.25" customHeight="1">
      <c r="A524" s="108">
        <v>60480</v>
      </c>
      <c r="B524" s="108">
        <f t="shared" si="0"/>
        <v>60479</v>
      </c>
      <c r="C524" s="109"/>
      <c r="D524" s="109"/>
      <c r="E524" s="109"/>
      <c r="F524" s="109"/>
      <c r="G524" s="109"/>
      <c r="H524" s="109"/>
      <c r="I524" s="109">
        <f t="shared" ref="I524:J524" si="538">SUM(C524,E524,G524)</f>
        <v>0</v>
      </c>
      <c r="J524" s="109">
        <f t="shared" si="538"/>
        <v>0</v>
      </c>
      <c r="K524" s="109">
        <f>SUMIFS(Ações!$J$66,Ações!$N$66,Patrimônio!B524,Ações!$E$66,"Provento")</f>
        <v>0</v>
      </c>
      <c r="L524" s="109">
        <f>SUMIFS(BDRs!$J$66,BDRs!$E$66,"Provento",BDRs!$N$66,Patrimônio!B524)</f>
        <v>0</v>
      </c>
      <c r="M524" s="109">
        <f>SUMIFS(FIIs!$J$66,FIIs!$E$66,"Provento",FIIs!$N$66,Patrimônio!B524)</f>
        <v>0</v>
      </c>
      <c r="N524" s="109">
        <f t="shared" si="2"/>
        <v>0</v>
      </c>
      <c r="O524" s="109"/>
      <c r="Q524" s="154"/>
      <c r="R524" s="155" t="s">
        <v>268</v>
      </c>
      <c r="S524" s="156">
        <v>0</v>
      </c>
    </row>
    <row r="525" spans="1:19" ht="17.25" customHeight="1">
      <c r="A525" s="108">
        <v>60511</v>
      </c>
      <c r="B525" s="108">
        <f t="shared" si="0"/>
        <v>60510</v>
      </c>
      <c r="C525" s="109"/>
      <c r="D525" s="109"/>
      <c r="E525" s="109"/>
      <c r="F525" s="109"/>
      <c r="G525" s="109"/>
      <c r="H525" s="109"/>
      <c r="I525" s="109">
        <f t="shared" ref="I525:J525" si="539">SUM(C525,E525,G525)</f>
        <v>0</v>
      </c>
      <c r="J525" s="109">
        <f t="shared" si="539"/>
        <v>0</v>
      </c>
      <c r="K525" s="109">
        <f>SUMIFS(Ações!$J$66,Ações!$N$66,Patrimônio!B525,Ações!$E$66,"Provento")</f>
        <v>0</v>
      </c>
      <c r="L525" s="109">
        <f>SUMIFS(BDRs!$J$66,BDRs!$E$66,"Provento",BDRs!$N$66,Patrimônio!B525)</f>
        <v>0</v>
      </c>
      <c r="M525" s="109">
        <f>SUMIFS(FIIs!$J$66,FIIs!$E$66,"Provento",FIIs!$N$66,Patrimônio!B525)</f>
        <v>0</v>
      </c>
      <c r="N525" s="109">
        <f t="shared" si="2"/>
        <v>0</v>
      </c>
      <c r="O525" s="109"/>
      <c r="Q525" s="154"/>
      <c r="R525" s="155" t="s">
        <v>269</v>
      </c>
      <c r="S525" s="156">
        <v>0</v>
      </c>
    </row>
    <row r="526" spans="1:19" ht="17.25" customHeight="1">
      <c r="A526" s="108">
        <v>60541</v>
      </c>
      <c r="B526" s="108">
        <f t="shared" si="0"/>
        <v>60540</v>
      </c>
      <c r="C526" s="109"/>
      <c r="D526" s="109"/>
      <c r="E526" s="109"/>
      <c r="F526" s="109"/>
      <c r="G526" s="109"/>
      <c r="H526" s="109"/>
      <c r="I526" s="109">
        <f t="shared" ref="I526:J526" si="540">SUM(C526,E526,G526)</f>
        <v>0</v>
      </c>
      <c r="J526" s="109">
        <f t="shared" si="540"/>
        <v>0</v>
      </c>
      <c r="K526" s="109">
        <f>SUMIFS(Ações!$J$66,Ações!$N$66,Patrimônio!B526,Ações!$E$66,"Provento")</f>
        <v>0</v>
      </c>
      <c r="L526" s="109">
        <f>SUMIFS(BDRs!$J$66,BDRs!$E$66,"Provento",BDRs!$N$66,Patrimônio!B526)</f>
        <v>0</v>
      </c>
      <c r="M526" s="109">
        <f>SUMIFS(FIIs!$J$66,FIIs!$E$66,"Provento",FIIs!$N$66,Patrimônio!B526)</f>
        <v>0</v>
      </c>
      <c r="N526" s="109">
        <f t="shared" si="2"/>
        <v>0</v>
      </c>
      <c r="O526" s="109"/>
      <c r="Q526" s="154"/>
      <c r="R526" s="155" t="s">
        <v>270</v>
      </c>
      <c r="S526" s="156">
        <v>0</v>
      </c>
    </row>
    <row r="527" spans="1:19" ht="17.25" customHeight="1">
      <c r="A527" s="108">
        <v>60572</v>
      </c>
      <c r="B527" s="108">
        <f t="shared" si="0"/>
        <v>60571</v>
      </c>
      <c r="C527" s="109"/>
      <c r="D527" s="109"/>
      <c r="E527" s="109"/>
      <c r="F527" s="109"/>
      <c r="G527" s="109"/>
      <c r="H527" s="109"/>
      <c r="I527" s="109">
        <f t="shared" ref="I527:J527" si="541">SUM(C527,E527,G527)</f>
        <v>0</v>
      </c>
      <c r="J527" s="109">
        <f t="shared" si="541"/>
        <v>0</v>
      </c>
      <c r="K527" s="109">
        <f>SUMIFS(Ações!$J$66,Ações!$N$66,Patrimônio!B527,Ações!$E$66,"Provento")</f>
        <v>0</v>
      </c>
      <c r="L527" s="109">
        <f>SUMIFS(BDRs!$J$66,BDRs!$E$66,"Provento",BDRs!$N$66,Patrimônio!B527)</f>
        <v>0</v>
      </c>
      <c r="M527" s="109">
        <f>SUMIFS(FIIs!$J$66,FIIs!$E$66,"Provento",FIIs!$N$66,Patrimônio!B527)</f>
        <v>0</v>
      </c>
      <c r="N527" s="109">
        <f t="shared" si="2"/>
        <v>0</v>
      </c>
      <c r="O527" s="109"/>
      <c r="Q527" s="154"/>
      <c r="R527" s="155" t="s">
        <v>271</v>
      </c>
      <c r="S527" s="156">
        <v>0</v>
      </c>
    </row>
    <row r="528" spans="1:19" ht="17.25" customHeight="1">
      <c r="A528" s="108">
        <v>60602</v>
      </c>
      <c r="B528" s="108">
        <f t="shared" si="0"/>
        <v>60601</v>
      </c>
      <c r="C528" s="109"/>
      <c r="D528" s="109"/>
      <c r="E528" s="109"/>
      <c r="F528" s="109"/>
      <c r="G528" s="109"/>
      <c r="H528" s="109"/>
      <c r="I528" s="109">
        <f t="shared" ref="I528:J528" si="542">SUM(C528,E528,G528)</f>
        <v>0</v>
      </c>
      <c r="J528" s="109">
        <f t="shared" si="542"/>
        <v>0</v>
      </c>
      <c r="K528" s="109">
        <f>SUMIFS(Ações!$J$66,Ações!$N$66,Patrimônio!B528,Ações!$E$66,"Provento")</f>
        <v>0</v>
      </c>
      <c r="L528" s="109">
        <f>SUMIFS(BDRs!$J$66,BDRs!$E$66,"Provento",BDRs!$N$66,Patrimônio!B528)</f>
        <v>0</v>
      </c>
      <c r="M528" s="109">
        <f>SUMIFS(FIIs!$J$66,FIIs!$E$66,"Provento",FIIs!$N$66,Patrimônio!B528)</f>
        <v>0</v>
      </c>
      <c r="N528" s="109">
        <f t="shared" si="2"/>
        <v>0</v>
      </c>
      <c r="O528" s="109"/>
      <c r="Q528" s="154"/>
      <c r="R528" s="155" t="s">
        <v>272</v>
      </c>
      <c r="S528" s="156">
        <v>0</v>
      </c>
    </row>
    <row r="529" spans="1:19" ht="17.25" customHeight="1">
      <c r="A529" s="108">
        <v>60633</v>
      </c>
      <c r="B529" s="108">
        <f t="shared" si="0"/>
        <v>60632</v>
      </c>
      <c r="C529" s="109"/>
      <c r="D529" s="109"/>
      <c r="E529" s="109"/>
      <c r="F529" s="109"/>
      <c r="G529" s="109"/>
      <c r="H529" s="109"/>
      <c r="I529" s="109">
        <f t="shared" ref="I529:J529" si="543">SUM(C529,E529,G529)</f>
        <v>0</v>
      </c>
      <c r="J529" s="109">
        <f t="shared" si="543"/>
        <v>0</v>
      </c>
      <c r="K529" s="109">
        <f>SUMIFS(Ações!$J$66,Ações!$N$66,Patrimônio!B529,Ações!$E$66,"Provento")</f>
        <v>0</v>
      </c>
      <c r="L529" s="109">
        <f>SUMIFS(BDRs!$J$66,BDRs!$E$66,"Provento",BDRs!$N$66,Patrimônio!B529)</f>
        <v>0</v>
      </c>
      <c r="M529" s="109">
        <f>SUMIFS(FIIs!$J$66,FIIs!$E$66,"Provento",FIIs!$N$66,Patrimônio!B529)</f>
        <v>0</v>
      </c>
      <c r="N529" s="109">
        <f t="shared" si="2"/>
        <v>0</v>
      </c>
      <c r="O529" s="109"/>
      <c r="Q529" s="151" t="s">
        <v>168</v>
      </c>
      <c r="R529" s="157"/>
      <c r="S529" s="153">
        <v>0</v>
      </c>
    </row>
    <row r="530" spans="1:19" ht="17.25" customHeight="1">
      <c r="A530" s="108">
        <v>60664</v>
      </c>
      <c r="B530" s="108">
        <f t="shared" si="0"/>
        <v>60663</v>
      </c>
      <c r="C530" s="109"/>
      <c r="D530" s="109"/>
      <c r="E530" s="109"/>
      <c r="F530" s="109"/>
      <c r="G530" s="109"/>
      <c r="H530" s="109"/>
      <c r="I530" s="109">
        <f t="shared" ref="I530:J530" si="544">SUM(C530,E530,G530)</f>
        <v>0</v>
      </c>
      <c r="J530" s="109">
        <f t="shared" si="544"/>
        <v>0</v>
      </c>
      <c r="K530" s="109">
        <f>SUMIFS(Ações!$J$66,Ações!$N$66,Patrimônio!B530,Ações!$E$66,"Provento")</f>
        <v>0</v>
      </c>
      <c r="L530" s="109">
        <f>SUMIFS(BDRs!$J$66,BDRs!$E$66,"Provento",BDRs!$N$66,Patrimônio!B530)</f>
        <v>0</v>
      </c>
      <c r="M530" s="109">
        <f>SUMIFS(FIIs!$J$66,FIIs!$E$66,"Provento",FIIs!$N$66,Patrimônio!B530)</f>
        <v>0</v>
      </c>
      <c r="N530" s="109">
        <f t="shared" si="2"/>
        <v>0</v>
      </c>
      <c r="O530" s="109"/>
      <c r="Q530" s="151" t="s">
        <v>169</v>
      </c>
      <c r="R530" s="152" t="s">
        <v>261</v>
      </c>
      <c r="S530" s="153">
        <v>0</v>
      </c>
    </row>
    <row r="531" spans="1:19" ht="17.25" customHeight="1">
      <c r="A531" s="108">
        <v>60692</v>
      </c>
      <c r="B531" s="108">
        <f t="shared" si="0"/>
        <v>60691</v>
      </c>
      <c r="C531" s="109"/>
      <c r="D531" s="109"/>
      <c r="E531" s="109"/>
      <c r="F531" s="109"/>
      <c r="G531" s="109"/>
      <c r="H531" s="109"/>
      <c r="I531" s="109">
        <f t="shared" ref="I531:J531" si="545">SUM(C531,E531,G531)</f>
        <v>0</v>
      </c>
      <c r="J531" s="109">
        <f t="shared" si="545"/>
        <v>0</v>
      </c>
      <c r="K531" s="109">
        <f>SUMIFS(Ações!$J$66,Ações!$N$66,Patrimônio!B531,Ações!$E$66,"Provento")</f>
        <v>0</v>
      </c>
      <c r="L531" s="109">
        <f>SUMIFS(BDRs!$J$66,BDRs!$E$66,"Provento",BDRs!$N$66,Patrimônio!B531)</f>
        <v>0</v>
      </c>
      <c r="M531" s="109">
        <f>SUMIFS(FIIs!$J$66,FIIs!$E$66,"Provento",FIIs!$N$66,Patrimônio!B531)</f>
        <v>0</v>
      </c>
      <c r="N531" s="109">
        <f t="shared" si="2"/>
        <v>0</v>
      </c>
      <c r="O531" s="109"/>
      <c r="Q531" s="154"/>
      <c r="R531" s="155" t="s">
        <v>262</v>
      </c>
      <c r="S531" s="156">
        <v>0</v>
      </c>
    </row>
    <row r="532" spans="1:19" ht="17.25" customHeight="1">
      <c r="A532" s="108">
        <v>60723</v>
      </c>
      <c r="B532" s="108">
        <f t="shared" si="0"/>
        <v>60722</v>
      </c>
      <c r="C532" s="109"/>
      <c r="D532" s="109"/>
      <c r="E532" s="109"/>
      <c r="F532" s="109"/>
      <c r="G532" s="109"/>
      <c r="H532" s="109"/>
      <c r="I532" s="109">
        <f t="shared" ref="I532:J532" si="546">SUM(C532,E532,G532)</f>
        <v>0</v>
      </c>
      <c r="J532" s="109">
        <f t="shared" si="546"/>
        <v>0</v>
      </c>
      <c r="K532" s="109">
        <f>SUMIFS(Ações!$J$66,Ações!$N$66,Patrimônio!B532,Ações!$E$66,"Provento")</f>
        <v>0</v>
      </c>
      <c r="L532" s="109">
        <f>SUMIFS(BDRs!$J$66,BDRs!$E$66,"Provento",BDRs!$N$66,Patrimônio!B532)</f>
        <v>0</v>
      </c>
      <c r="M532" s="109">
        <f>SUMIFS(FIIs!$J$66,FIIs!$E$66,"Provento",FIIs!$N$66,Patrimônio!B532)</f>
        <v>0</v>
      </c>
      <c r="N532" s="109">
        <f t="shared" si="2"/>
        <v>0</v>
      </c>
      <c r="O532" s="109"/>
      <c r="Q532" s="154"/>
      <c r="R532" s="155" t="s">
        <v>263</v>
      </c>
      <c r="S532" s="156">
        <v>0</v>
      </c>
    </row>
    <row r="533" spans="1:19" ht="17.25" customHeight="1">
      <c r="A533" s="108">
        <v>60753</v>
      </c>
      <c r="B533" s="108">
        <f t="shared" si="0"/>
        <v>60752</v>
      </c>
      <c r="C533" s="109"/>
      <c r="D533" s="109"/>
      <c r="E533" s="109"/>
      <c r="F533" s="109"/>
      <c r="G533" s="109"/>
      <c r="H533" s="109"/>
      <c r="I533" s="109">
        <f t="shared" ref="I533:J533" si="547">SUM(C533,E533,G533)</f>
        <v>0</v>
      </c>
      <c r="J533" s="109">
        <f t="shared" si="547"/>
        <v>0</v>
      </c>
      <c r="K533" s="109">
        <f>SUMIFS(Ações!$J$66,Ações!$N$66,Patrimônio!B533,Ações!$E$66,"Provento")</f>
        <v>0</v>
      </c>
      <c r="L533" s="109">
        <f>SUMIFS(BDRs!$J$66,BDRs!$E$66,"Provento",BDRs!$N$66,Patrimônio!B533)</f>
        <v>0</v>
      </c>
      <c r="M533" s="109">
        <f>SUMIFS(FIIs!$J$66,FIIs!$E$66,"Provento",FIIs!$N$66,Patrimônio!B533)</f>
        <v>0</v>
      </c>
      <c r="N533" s="109">
        <f t="shared" si="2"/>
        <v>0</v>
      </c>
      <c r="O533" s="109"/>
      <c r="Q533" s="154"/>
      <c r="R533" s="155" t="s">
        <v>264</v>
      </c>
      <c r="S533" s="156">
        <v>0</v>
      </c>
    </row>
    <row r="534" spans="1:19" ht="17.25" customHeight="1">
      <c r="A534" s="108">
        <v>60784</v>
      </c>
      <c r="B534" s="108">
        <f t="shared" si="0"/>
        <v>60783</v>
      </c>
      <c r="C534" s="109"/>
      <c r="D534" s="109"/>
      <c r="E534" s="109"/>
      <c r="F534" s="109"/>
      <c r="G534" s="109"/>
      <c r="H534" s="109"/>
      <c r="I534" s="109">
        <f t="shared" ref="I534:J534" si="548">SUM(C534,E534,G534)</f>
        <v>0</v>
      </c>
      <c r="J534" s="109">
        <f t="shared" si="548"/>
        <v>0</v>
      </c>
      <c r="K534" s="109">
        <f>SUMIFS(Ações!$J$66,Ações!$N$66,Patrimônio!B534,Ações!$E$66,"Provento")</f>
        <v>0</v>
      </c>
      <c r="L534" s="109">
        <f>SUMIFS(BDRs!$J$66,BDRs!$E$66,"Provento",BDRs!$N$66,Patrimônio!B534)</f>
        <v>0</v>
      </c>
      <c r="M534" s="109">
        <f>SUMIFS(FIIs!$J$66,FIIs!$E$66,"Provento",FIIs!$N$66,Patrimônio!B534)</f>
        <v>0</v>
      </c>
      <c r="N534" s="109">
        <f t="shared" si="2"/>
        <v>0</v>
      </c>
      <c r="O534" s="109"/>
      <c r="Q534" s="154"/>
      <c r="R534" s="155" t="s">
        <v>265</v>
      </c>
      <c r="S534" s="156">
        <v>0</v>
      </c>
    </row>
    <row r="535" spans="1:19" ht="17.25" customHeight="1">
      <c r="A535" s="108">
        <v>60814</v>
      </c>
      <c r="B535" s="108">
        <f t="shared" si="0"/>
        <v>60813</v>
      </c>
      <c r="C535" s="109"/>
      <c r="D535" s="109"/>
      <c r="E535" s="109"/>
      <c r="F535" s="109"/>
      <c r="G535" s="109"/>
      <c r="H535" s="109"/>
      <c r="I535" s="109">
        <f t="shared" ref="I535:J535" si="549">SUM(C535,E535,G535)</f>
        <v>0</v>
      </c>
      <c r="J535" s="109">
        <f t="shared" si="549"/>
        <v>0</v>
      </c>
      <c r="K535" s="109">
        <f>SUMIFS(Ações!$J$66,Ações!$N$66,Patrimônio!B535,Ações!$E$66,"Provento")</f>
        <v>0</v>
      </c>
      <c r="L535" s="109">
        <f>SUMIFS(BDRs!$J$66,BDRs!$E$66,"Provento",BDRs!$N$66,Patrimônio!B535)</f>
        <v>0</v>
      </c>
      <c r="M535" s="109">
        <f>SUMIFS(FIIs!$J$66,FIIs!$E$66,"Provento",FIIs!$N$66,Patrimônio!B535)</f>
        <v>0</v>
      </c>
      <c r="N535" s="109">
        <f t="shared" si="2"/>
        <v>0</v>
      </c>
      <c r="O535" s="109"/>
      <c r="Q535" s="154"/>
      <c r="R535" s="155" t="s">
        <v>266</v>
      </c>
      <c r="S535" s="156">
        <v>0</v>
      </c>
    </row>
    <row r="536" spans="1:19" ht="17.25" customHeight="1">
      <c r="A536" s="108">
        <v>60845</v>
      </c>
      <c r="B536" s="108">
        <f t="shared" si="0"/>
        <v>60844</v>
      </c>
      <c r="C536" s="109"/>
      <c r="D536" s="109"/>
      <c r="E536" s="109"/>
      <c r="F536" s="109"/>
      <c r="G536" s="109"/>
      <c r="H536" s="109"/>
      <c r="I536" s="109">
        <f t="shared" ref="I536:J536" si="550">SUM(C536,E536,G536)</f>
        <v>0</v>
      </c>
      <c r="J536" s="109">
        <f t="shared" si="550"/>
        <v>0</v>
      </c>
      <c r="K536" s="109">
        <f>SUMIFS(Ações!$J$66,Ações!$N$66,Patrimônio!B536,Ações!$E$66,"Provento")</f>
        <v>0</v>
      </c>
      <c r="L536" s="109">
        <f>SUMIFS(BDRs!$J$66,BDRs!$E$66,"Provento",BDRs!$N$66,Patrimônio!B536)</f>
        <v>0</v>
      </c>
      <c r="M536" s="109">
        <f>SUMIFS(FIIs!$J$66,FIIs!$E$66,"Provento",FIIs!$N$66,Patrimônio!B536)</f>
        <v>0</v>
      </c>
      <c r="N536" s="109">
        <f t="shared" si="2"/>
        <v>0</v>
      </c>
      <c r="O536" s="109"/>
      <c r="Q536" s="154"/>
      <c r="R536" s="155" t="s">
        <v>267</v>
      </c>
      <c r="S536" s="156">
        <v>0</v>
      </c>
    </row>
    <row r="537" spans="1:19" ht="17.25" customHeight="1">
      <c r="A537" s="108">
        <v>60876</v>
      </c>
      <c r="B537" s="108">
        <f t="shared" si="0"/>
        <v>60875</v>
      </c>
      <c r="C537" s="109"/>
      <c r="D537" s="109"/>
      <c r="E537" s="109"/>
      <c r="F537" s="109"/>
      <c r="G537" s="109"/>
      <c r="H537" s="109"/>
      <c r="I537" s="109">
        <f t="shared" ref="I537:J537" si="551">SUM(C537,E537,G537)</f>
        <v>0</v>
      </c>
      <c r="J537" s="109">
        <f t="shared" si="551"/>
        <v>0</v>
      </c>
      <c r="K537" s="109">
        <f>SUMIFS(Ações!$J$66,Ações!$N$66,Patrimônio!B537,Ações!$E$66,"Provento")</f>
        <v>0</v>
      </c>
      <c r="L537" s="109">
        <f>SUMIFS(BDRs!$J$66,BDRs!$E$66,"Provento",BDRs!$N$66,Patrimônio!B537)</f>
        <v>0</v>
      </c>
      <c r="M537" s="109">
        <f>SUMIFS(FIIs!$J$66,FIIs!$E$66,"Provento",FIIs!$N$66,Patrimônio!B537)</f>
        <v>0</v>
      </c>
      <c r="N537" s="109">
        <f t="shared" si="2"/>
        <v>0</v>
      </c>
      <c r="O537" s="109"/>
      <c r="Q537" s="154"/>
      <c r="R537" s="155" t="s">
        <v>268</v>
      </c>
      <c r="S537" s="156">
        <v>0</v>
      </c>
    </row>
    <row r="538" spans="1:19" ht="17.25" customHeight="1">
      <c r="A538" s="108">
        <v>60906</v>
      </c>
      <c r="B538" s="108">
        <f t="shared" si="0"/>
        <v>60905</v>
      </c>
      <c r="C538" s="109"/>
      <c r="D538" s="109"/>
      <c r="E538" s="109"/>
      <c r="F538" s="109"/>
      <c r="G538" s="109"/>
      <c r="H538" s="109"/>
      <c r="I538" s="109">
        <f t="shared" ref="I538:J538" si="552">SUM(C538,E538,G538)</f>
        <v>0</v>
      </c>
      <c r="J538" s="109">
        <f t="shared" si="552"/>
        <v>0</v>
      </c>
      <c r="K538" s="109">
        <f>SUMIFS(Ações!$J$66,Ações!$N$66,Patrimônio!B538,Ações!$E$66,"Provento")</f>
        <v>0</v>
      </c>
      <c r="L538" s="109">
        <f>SUMIFS(BDRs!$J$66,BDRs!$E$66,"Provento",BDRs!$N$66,Patrimônio!B538)</f>
        <v>0</v>
      </c>
      <c r="M538" s="109">
        <f>SUMIFS(FIIs!$J$66,FIIs!$E$66,"Provento",FIIs!$N$66,Patrimônio!B538)</f>
        <v>0</v>
      </c>
      <c r="N538" s="109">
        <f t="shared" si="2"/>
        <v>0</v>
      </c>
      <c r="O538" s="109"/>
      <c r="Q538" s="154"/>
      <c r="R538" s="155" t="s">
        <v>269</v>
      </c>
      <c r="S538" s="156">
        <v>0</v>
      </c>
    </row>
    <row r="539" spans="1:19" ht="17.25" customHeight="1">
      <c r="A539" s="108">
        <v>60937</v>
      </c>
      <c r="B539" s="108">
        <f t="shared" si="0"/>
        <v>60936</v>
      </c>
      <c r="C539" s="109"/>
      <c r="D539" s="109"/>
      <c r="E539" s="109"/>
      <c r="F539" s="109"/>
      <c r="G539" s="109"/>
      <c r="H539" s="109"/>
      <c r="I539" s="109">
        <f t="shared" ref="I539:J539" si="553">SUM(C539,E539,G539)</f>
        <v>0</v>
      </c>
      <c r="J539" s="109">
        <f t="shared" si="553"/>
        <v>0</v>
      </c>
      <c r="K539" s="109">
        <f>SUMIFS(Ações!$J$66,Ações!$N$66,Patrimônio!B539,Ações!$E$66,"Provento")</f>
        <v>0</v>
      </c>
      <c r="L539" s="109">
        <f>SUMIFS(BDRs!$J$66,BDRs!$E$66,"Provento",BDRs!$N$66,Patrimônio!B539)</f>
        <v>0</v>
      </c>
      <c r="M539" s="109">
        <f>SUMIFS(FIIs!$J$66,FIIs!$E$66,"Provento",FIIs!$N$66,Patrimônio!B539)</f>
        <v>0</v>
      </c>
      <c r="N539" s="109">
        <f t="shared" si="2"/>
        <v>0</v>
      </c>
      <c r="O539" s="109"/>
      <c r="Q539" s="154"/>
      <c r="R539" s="155" t="s">
        <v>270</v>
      </c>
      <c r="S539" s="156">
        <v>0</v>
      </c>
    </row>
    <row r="540" spans="1:19" ht="17.25" customHeight="1">
      <c r="A540" s="108">
        <v>60967</v>
      </c>
      <c r="B540" s="108">
        <f t="shared" si="0"/>
        <v>60966</v>
      </c>
      <c r="C540" s="109"/>
      <c r="D540" s="109"/>
      <c r="E540" s="109"/>
      <c r="F540" s="109"/>
      <c r="G540" s="109"/>
      <c r="H540" s="109"/>
      <c r="I540" s="109">
        <f t="shared" ref="I540:J540" si="554">SUM(C540,E540,G540)</f>
        <v>0</v>
      </c>
      <c r="J540" s="109">
        <f t="shared" si="554"/>
        <v>0</v>
      </c>
      <c r="K540" s="109">
        <f>SUMIFS(Ações!$J$66,Ações!$N$66,Patrimônio!B540,Ações!$E$66,"Provento")</f>
        <v>0</v>
      </c>
      <c r="L540" s="109">
        <f>SUMIFS(BDRs!$J$66,BDRs!$E$66,"Provento",BDRs!$N$66,Patrimônio!B540)</f>
        <v>0</v>
      </c>
      <c r="M540" s="109">
        <f>SUMIFS(FIIs!$J$66,FIIs!$E$66,"Provento",FIIs!$N$66,Patrimônio!B540)</f>
        <v>0</v>
      </c>
      <c r="N540" s="109">
        <f t="shared" si="2"/>
        <v>0</v>
      </c>
      <c r="O540" s="109"/>
      <c r="Q540" s="154"/>
      <c r="R540" s="155" t="s">
        <v>271</v>
      </c>
      <c r="S540" s="156">
        <v>0</v>
      </c>
    </row>
    <row r="541" spans="1:19" ht="17.25" customHeight="1">
      <c r="A541" s="108">
        <v>60998</v>
      </c>
      <c r="B541" s="108">
        <f t="shared" si="0"/>
        <v>60997</v>
      </c>
      <c r="C541" s="109"/>
      <c r="D541" s="109"/>
      <c r="E541" s="109"/>
      <c r="F541" s="109"/>
      <c r="G541" s="109"/>
      <c r="H541" s="109"/>
      <c r="I541" s="109">
        <f t="shared" ref="I541:J541" si="555">SUM(C541,E541,G541)</f>
        <v>0</v>
      </c>
      <c r="J541" s="109">
        <f t="shared" si="555"/>
        <v>0</v>
      </c>
      <c r="K541" s="109">
        <f>SUMIFS(Ações!$J$66,Ações!$N$66,Patrimônio!B541,Ações!$E$66,"Provento")</f>
        <v>0</v>
      </c>
      <c r="L541" s="109">
        <f>SUMIFS(BDRs!$J$66,BDRs!$E$66,"Provento",BDRs!$N$66,Patrimônio!B541)</f>
        <v>0</v>
      </c>
      <c r="M541" s="109">
        <f>SUMIFS(FIIs!$J$66,FIIs!$E$66,"Provento",FIIs!$N$66,Patrimônio!B541)</f>
        <v>0</v>
      </c>
      <c r="N541" s="109">
        <f t="shared" si="2"/>
        <v>0</v>
      </c>
      <c r="O541" s="109"/>
      <c r="Q541" s="154"/>
      <c r="R541" s="155" t="s">
        <v>272</v>
      </c>
      <c r="S541" s="156">
        <v>0</v>
      </c>
    </row>
    <row r="542" spans="1:19" ht="17.25" customHeight="1">
      <c r="A542" s="108">
        <v>61029</v>
      </c>
      <c r="B542" s="108">
        <f t="shared" si="0"/>
        <v>61028</v>
      </c>
      <c r="C542" s="109"/>
      <c r="D542" s="109"/>
      <c r="E542" s="109"/>
      <c r="F542" s="109"/>
      <c r="G542" s="109"/>
      <c r="H542" s="109"/>
      <c r="I542" s="109">
        <f t="shared" ref="I542:J542" si="556">SUM(C542,E542,G542)</f>
        <v>0</v>
      </c>
      <c r="J542" s="109">
        <f t="shared" si="556"/>
        <v>0</v>
      </c>
      <c r="K542" s="109">
        <f>SUMIFS(Ações!$J$66,Ações!$N$66,Patrimônio!B542,Ações!$E$66,"Provento")</f>
        <v>0</v>
      </c>
      <c r="L542" s="109">
        <f>SUMIFS(BDRs!$J$66,BDRs!$E$66,"Provento",BDRs!$N$66,Patrimônio!B542)</f>
        <v>0</v>
      </c>
      <c r="M542" s="109">
        <f>SUMIFS(FIIs!$J$66,FIIs!$E$66,"Provento",FIIs!$N$66,Patrimônio!B542)</f>
        <v>0</v>
      </c>
      <c r="N542" s="109">
        <f t="shared" si="2"/>
        <v>0</v>
      </c>
      <c r="O542" s="109"/>
      <c r="Q542" s="151" t="s">
        <v>170</v>
      </c>
      <c r="R542" s="157"/>
      <c r="S542" s="153">
        <v>0</v>
      </c>
    </row>
    <row r="543" spans="1:19" ht="17.25" customHeight="1">
      <c r="A543" s="108">
        <v>61057</v>
      </c>
      <c r="B543" s="108">
        <f t="shared" si="0"/>
        <v>61056</v>
      </c>
      <c r="C543" s="109"/>
      <c r="D543" s="109"/>
      <c r="E543" s="109"/>
      <c r="F543" s="109"/>
      <c r="G543" s="109"/>
      <c r="H543" s="109"/>
      <c r="I543" s="109">
        <f t="shared" ref="I543:J543" si="557">SUM(C543,E543,G543)</f>
        <v>0</v>
      </c>
      <c r="J543" s="109">
        <f t="shared" si="557"/>
        <v>0</v>
      </c>
      <c r="K543" s="109">
        <f>SUMIFS(Ações!$J$66,Ações!$N$66,Patrimônio!B543,Ações!$E$66,"Provento")</f>
        <v>0</v>
      </c>
      <c r="L543" s="109">
        <f>SUMIFS(BDRs!$J$66,BDRs!$E$66,"Provento",BDRs!$N$66,Patrimônio!B543)</f>
        <v>0</v>
      </c>
      <c r="M543" s="109">
        <f>SUMIFS(FIIs!$J$66,FIIs!$E$66,"Provento",FIIs!$N$66,Patrimônio!B543)</f>
        <v>0</v>
      </c>
      <c r="N543" s="109">
        <f t="shared" si="2"/>
        <v>0</v>
      </c>
      <c r="O543" s="109"/>
      <c r="Q543" s="151" t="s">
        <v>171</v>
      </c>
      <c r="R543" s="152" t="s">
        <v>261</v>
      </c>
      <c r="S543" s="153">
        <v>0</v>
      </c>
    </row>
    <row r="544" spans="1:19" ht="17.25" customHeight="1">
      <c r="A544" s="108">
        <v>61088</v>
      </c>
      <c r="B544" s="108">
        <f t="shared" si="0"/>
        <v>61087</v>
      </c>
      <c r="C544" s="109"/>
      <c r="D544" s="109"/>
      <c r="E544" s="109"/>
      <c r="F544" s="109"/>
      <c r="G544" s="109"/>
      <c r="H544" s="109"/>
      <c r="I544" s="109">
        <f t="shared" ref="I544:J544" si="558">SUM(C544,E544,G544)</f>
        <v>0</v>
      </c>
      <c r="J544" s="109">
        <f t="shared" si="558"/>
        <v>0</v>
      </c>
      <c r="K544" s="109">
        <f>SUMIFS(Ações!$J$66,Ações!$N$66,Patrimônio!B544,Ações!$E$66,"Provento")</f>
        <v>0</v>
      </c>
      <c r="L544" s="109">
        <f>SUMIFS(BDRs!$J$66,BDRs!$E$66,"Provento",BDRs!$N$66,Patrimônio!B544)</f>
        <v>0</v>
      </c>
      <c r="M544" s="109">
        <f>SUMIFS(FIIs!$J$66,FIIs!$E$66,"Provento",FIIs!$N$66,Patrimônio!B544)</f>
        <v>0</v>
      </c>
      <c r="N544" s="109">
        <f t="shared" si="2"/>
        <v>0</v>
      </c>
      <c r="O544" s="109"/>
      <c r="Q544" s="154"/>
      <c r="R544" s="155" t="s">
        <v>262</v>
      </c>
      <c r="S544" s="156">
        <v>0</v>
      </c>
    </row>
    <row r="545" spans="1:19" ht="17.25" customHeight="1">
      <c r="A545" s="108">
        <v>61118</v>
      </c>
      <c r="B545" s="108">
        <f t="shared" si="0"/>
        <v>61117</v>
      </c>
      <c r="C545" s="109"/>
      <c r="D545" s="109"/>
      <c r="E545" s="109"/>
      <c r="F545" s="109"/>
      <c r="G545" s="109"/>
      <c r="H545" s="109"/>
      <c r="I545" s="109">
        <f t="shared" ref="I545:J545" si="559">SUM(C545,E545,G545)</f>
        <v>0</v>
      </c>
      <c r="J545" s="109">
        <f t="shared" si="559"/>
        <v>0</v>
      </c>
      <c r="K545" s="109">
        <f>SUMIFS(Ações!$J$66,Ações!$N$66,Patrimônio!B545,Ações!$E$66,"Provento")</f>
        <v>0</v>
      </c>
      <c r="L545" s="109">
        <f>SUMIFS(BDRs!$J$66,BDRs!$E$66,"Provento",BDRs!$N$66,Patrimônio!B545)</f>
        <v>0</v>
      </c>
      <c r="M545" s="109">
        <f>SUMIFS(FIIs!$J$66,FIIs!$E$66,"Provento",FIIs!$N$66,Patrimônio!B545)</f>
        <v>0</v>
      </c>
      <c r="N545" s="109">
        <f t="shared" si="2"/>
        <v>0</v>
      </c>
      <c r="O545" s="109"/>
      <c r="Q545" s="154"/>
      <c r="R545" s="155" t="s">
        <v>263</v>
      </c>
      <c r="S545" s="156">
        <v>0</v>
      </c>
    </row>
    <row r="546" spans="1:19" ht="17.25" customHeight="1">
      <c r="A546" s="108">
        <v>61149</v>
      </c>
      <c r="B546" s="108">
        <f t="shared" si="0"/>
        <v>61148</v>
      </c>
      <c r="C546" s="109"/>
      <c r="D546" s="109"/>
      <c r="E546" s="109"/>
      <c r="F546" s="109"/>
      <c r="G546" s="109"/>
      <c r="H546" s="109"/>
      <c r="I546" s="109">
        <f t="shared" ref="I546:J546" si="560">SUM(C546,E546,G546)</f>
        <v>0</v>
      </c>
      <c r="J546" s="109">
        <f t="shared" si="560"/>
        <v>0</v>
      </c>
      <c r="K546" s="109">
        <f>SUMIFS(Ações!$J$66,Ações!$N$66,Patrimônio!B546,Ações!$E$66,"Provento")</f>
        <v>0</v>
      </c>
      <c r="L546" s="109">
        <f>SUMIFS(BDRs!$J$66,BDRs!$E$66,"Provento",BDRs!$N$66,Patrimônio!B546)</f>
        <v>0</v>
      </c>
      <c r="M546" s="109">
        <f>SUMIFS(FIIs!$J$66,FIIs!$E$66,"Provento",FIIs!$N$66,Patrimônio!B546)</f>
        <v>0</v>
      </c>
      <c r="N546" s="109">
        <f t="shared" si="2"/>
        <v>0</v>
      </c>
      <c r="O546" s="109"/>
      <c r="Q546" s="154"/>
      <c r="R546" s="155" t="s">
        <v>264</v>
      </c>
      <c r="S546" s="156">
        <v>0</v>
      </c>
    </row>
    <row r="547" spans="1:19" ht="17.25" customHeight="1">
      <c r="A547" s="108">
        <v>61179</v>
      </c>
      <c r="B547" s="108">
        <f t="shared" si="0"/>
        <v>61178</v>
      </c>
      <c r="C547" s="109"/>
      <c r="D547" s="109"/>
      <c r="E547" s="109"/>
      <c r="F547" s="109"/>
      <c r="G547" s="109"/>
      <c r="H547" s="109"/>
      <c r="I547" s="109">
        <f t="shared" ref="I547:J547" si="561">SUM(C547,E547,G547)</f>
        <v>0</v>
      </c>
      <c r="J547" s="109">
        <f t="shared" si="561"/>
        <v>0</v>
      </c>
      <c r="K547" s="109">
        <f>SUMIFS(Ações!$J$66,Ações!$N$66,Patrimônio!B547,Ações!$E$66,"Provento")</f>
        <v>0</v>
      </c>
      <c r="L547" s="109">
        <f>SUMIFS(BDRs!$J$66,BDRs!$E$66,"Provento",BDRs!$N$66,Patrimônio!B547)</f>
        <v>0</v>
      </c>
      <c r="M547" s="109">
        <f>SUMIFS(FIIs!$J$66,FIIs!$E$66,"Provento",FIIs!$N$66,Patrimônio!B547)</f>
        <v>0</v>
      </c>
      <c r="N547" s="109">
        <f t="shared" si="2"/>
        <v>0</v>
      </c>
      <c r="O547" s="109"/>
      <c r="Q547" s="154"/>
      <c r="R547" s="155" t="s">
        <v>265</v>
      </c>
      <c r="S547" s="156">
        <v>0</v>
      </c>
    </row>
    <row r="548" spans="1:19" ht="17.25" customHeight="1">
      <c r="A548" s="108">
        <v>61210</v>
      </c>
      <c r="B548" s="108">
        <f t="shared" si="0"/>
        <v>61209</v>
      </c>
      <c r="C548" s="109"/>
      <c r="D548" s="109"/>
      <c r="E548" s="109"/>
      <c r="F548" s="109"/>
      <c r="G548" s="109"/>
      <c r="H548" s="109"/>
      <c r="I548" s="109">
        <f t="shared" ref="I548:J548" si="562">SUM(C548,E548,G548)</f>
        <v>0</v>
      </c>
      <c r="J548" s="109">
        <f t="shared" si="562"/>
        <v>0</v>
      </c>
      <c r="K548" s="109">
        <f>SUMIFS(Ações!$J$66,Ações!$N$66,Patrimônio!B548,Ações!$E$66,"Provento")</f>
        <v>0</v>
      </c>
      <c r="L548" s="109">
        <f>SUMIFS(BDRs!$J$66,BDRs!$E$66,"Provento",BDRs!$N$66,Patrimônio!B548)</f>
        <v>0</v>
      </c>
      <c r="M548" s="109">
        <f>SUMIFS(FIIs!$J$66,FIIs!$E$66,"Provento",FIIs!$N$66,Patrimônio!B548)</f>
        <v>0</v>
      </c>
      <c r="N548" s="109">
        <f t="shared" si="2"/>
        <v>0</v>
      </c>
      <c r="O548" s="109"/>
      <c r="Q548" s="154"/>
      <c r="R548" s="155" t="s">
        <v>266</v>
      </c>
      <c r="S548" s="156">
        <v>0</v>
      </c>
    </row>
    <row r="549" spans="1:19" ht="17.25" customHeight="1">
      <c r="A549" s="108">
        <v>61241</v>
      </c>
      <c r="B549" s="108">
        <f t="shared" si="0"/>
        <v>61240</v>
      </c>
      <c r="C549" s="109"/>
      <c r="D549" s="109"/>
      <c r="E549" s="109"/>
      <c r="F549" s="109"/>
      <c r="G549" s="109"/>
      <c r="H549" s="109"/>
      <c r="I549" s="109">
        <f t="shared" ref="I549:J549" si="563">SUM(C549,E549,G549)</f>
        <v>0</v>
      </c>
      <c r="J549" s="109">
        <f t="shared" si="563"/>
        <v>0</v>
      </c>
      <c r="K549" s="109">
        <f>SUMIFS(Ações!$J$66,Ações!$N$66,Patrimônio!B549,Ações!$E$66,"Provento")</f>
        <v>0</v>
      </c>
      <c r="L549" s="109">
        <f>SUMIFS(BDRs!$J$66,BDRs!$E$66,"Provento",BDRs!$N$66,Patrimônio!B549)</f>
        <v>0</v>
      </c>
      <c r="M549" s="109">
        <f>SUMIFS(FIIs!$J$66,FIIs!$E$66,"Provento",FIIs!$N$66,Patrimônio!B549)</f>
        <v>0</v>
      </c>
      <c r="N549" s="109">
        <f t="shared" si="2"/>
        <v>0</v>
      </c>
      <c r="O549" s="109"/>
      <c r="Q549" s="154"/>
      <c r="R549" s="155" t="s">
        <v>267</v>
      </c>
      <c r="S549" s="156">
        <v>0</v>
      </c>
    </row>
    <row r="550" spans="1:19" ht="17.25" customHeight="1">
      <c r="A550" s="108">
        <v>61271</v>
      </c>
      <c r="B550" s="108">
        <f t="shared" si="0"/>
        <v>61270</v>
      </c>
      <c r="C550" s="109"/>
      <c r="D550" s="109"/>
      <c r="E550" s="109"/>
      <c r="F550" s="109"/>
      <c r="G550" s="109"/>
      <c r="H550" s="109"/>
      <c r="I550" s="109">
        <f t="shared" ref="I550:J550" si="564">SUM(C550,E550,G550)</f>
        <v>0</v>
      </c>
      <c r="J550" s="109">
        <f t="shared" si="564"/>
        <v>0</v>
      </c>
      <c r="K550" s="109">
        <f>SUMIFS(Ações!$J$66,Ações!$N$66,Patrimônio!B550,Ações!$E$66,"Provento")</f>
        <v>0</v>
      </c>
      <c r="L550" s="109">
        <f>SUMIFS(BDRs!$J$66,BDRs!$E$66,"Provento",BDRs!$N$66,Patrimônio!B550)</f>
        <v>0</v>
      </c>
      <c r="M550" s="109">
        <f>SUMIFS(FIIs!$J$66,FIIs!$E$66,"Provento",FIIs!$N$66,Patrimônio!B550)</f>
        <v>0</v>
      </c>
      <c r="N550" s="109">
        <f t="shared" si="2"/>
        <v>0</v>
      </c>
      <c r="O550" s="109"/>
      <c r="Q550" s="154"/>
      <c r="R550" s="155" t="s">
        <v>268</v>
      </c>
      <c r="S550" s="156">
        <v>0</v>
      </c>
    </row>
    <row r="551" spans="1:19" ht="17.25" customHeight="1">
      <c r="A551" s="108">
        <v>61302</v>
      </c>
      <c r="B551" s="108">
        <f t="shared" si="0"/>
        <v>61301</v>
      </c>
      <c r="C551" s="109"/>
      <c r="D551" s="109"/>
      <c r="E551" s="109"/>
      <c r="F551" s="109"/>
      <c r="G551" s="109"/>
      <c r="H551" s="109"/>
      <c r="I551" s="109">
        <f t="shared" ref="I551:J551" si="565">SUM(C551,E551,G551)</f>
        <v>0</v>
      </c>
      <c r="J551" s="109">
        <f t="shared" si="565"/>
        <v>0</v>
      </c>
      <c r="K551" s="109">
        <f>SUMIFS(Ações!$J$66,Ações!$N$66,Patrimônio!B551,Ações!$E$66,"Provento")</f>
        <v>0</v>
      </c>
      <c r="L551" s="109">
        <f>SUMIFS(BDRs!$J$66,BDRs!$E$66,"Provento",BDRs!$N$66,Patrimônio!B551)</f>
        <v>0</v>
      </c>
      <c r="M551" s="109">
        <f>SUMIFS(FIIs!$J$66,FIIs!$E$66,"Provento",FIIs!$N$66,Patrimônio!B551)</f>
        <v>0</v>
      </c>
      <c r="N551" s="109">
        <f t="shared" si="2"/>
        <v>0</v>
      </c>
      <c r="O551" s="109"/>
      <c r="Q551" s="154"/>
      <c r="R551" s="155" t="s">
        <v>269</v>
      </c>
      <c r="S551" s="156">
        <v>0</v>
      </c>
    </row>
    <row r="552" spans="1:19" ht="17.25" customHeight="1">
      <c r="A552" s="108">
        <v>61332</v>
      </c>
      <c r="B552" s="108">
        <f t="shared" si="0"/>
        <v>61331</v>
      </c>
      <c r="C552" s="109"/>
      <c r="D552" s="109"/>
      <c r="E552" s="109"/>
      <c r="F552" s="109"/>
      <c r="G552" s="109"/>
      <c r="H552" s="109"/>
      <c r="I552" s="109">
        <f t="shared" ref="I552:J552" si="566">SUM(C552,E552,G552)</f>
        <v>0</v>
      </c>
      <c r="J552" s="109">
        <f t="shared" si="566"/>
        <v>0</v>
      </c>
      <c r="K552" s="109">
        <f>SUMIFS(Ações!$J$66,Ações!$N$66,Patrimônio!B552,Ações!$E$66,"Provento")</f>
        <v>0</v>
      </c>
      <c r="L552" s="109">
        <f>SUMIFS(BDRs!$J$66,BDRs!$E$66,"Provento",BDRs!$N$66,Patrimônio!B552)</f>
        <v>0</v>
      </c>
      <c r="M552" s="109">
        <f>SUMIFS(FIIs!$J$66,FIIs!$E$66,"Provento",FIIs!$N$66,Patrimônio!B552)</f>
        <v>0</v>
      </c>
      <c r="N552" s="109">
        <f t="shared" si="2"/>
        <v>0</v>
      </c>
      <c r="O552" s="109"/>
      <c r="Q552" s="154"/>
      <c r="R552" s="155" t="s">
        <v>270</v>
      </c>
      <c r="S552" s="156">
        <v>0</v>
      </c>
    </row>
    <row r="553" spans="1:19" ht="17.25" customHeight="1">
      <c r="A553" s="108">
        <v>61363</v>
      </c>
      <c r="B553" s="108">
        <f t="shared" si="0"/>
        <v>61362</v>
      </c>
      <c r="C553" s="109"/>
      <c r="D553" s="109"/>
      <c r="E553" s="109"/>
      <c r="F553" s="109"/>
      <c r="G553" s="109"/>
      <c r="H553" s="109"/>
      <c r="I553" s="109">
        <f t="shared" ref="I553:J553" si="567">SUM(C553,E553,G553)</f>
        <v>0</v>
      </c>
      <c r="J553" s="109">
        <f t="shared" si="567"/>
        <v>0</v>
      </c>
      <c r="K553" s="109">
        <f>SUMIFS(Ações!$J$66,Ações!$N$66,Patrimônio!B553,Ações!$E$66,"Provento")</f>
        <v>0</v>
      </c>
      <c r="L553" s="109">
        <f>SUMIFS(BDRs!$J$66,BDRs!$E$66,"Provento",BDRs!$N$66,Patrimônio!B553)</f>
        <v>0</v>
      </c>
      <c r="M553" s="109">
        <f>SUMIFS(FIIs!$J$66,FIIs!$E$66,"Provento",FIIs!$N$66,Patrimônio!B553)</f>
        <v>0</v>
      </c>
      <c r="N553" s="109">
        <f t="shared" si="2"/>
        <v>0</v>
      </c>
      <c r="O553" s="109"/>
      <c r="Q553" s="154"/>
      <c r="R553" s="155" t="s">
        <v>271</v>
      </c>
      <c r="S553" s="156">
        <v>0</v>
      </c>
    </row>
    <row r="554" spans="1:19" ht="17.25" customHeight="1">
      <c r="A554" s="108">
        <v>61394</v>
      </c>
      <c r="B554" s="108">
        <f t="shared" si="0"/>
        <v>61393</v>
      </c>
      <c r="C554" s="109"/>
      <c r="D554" s="109"/>
      <c r="E554" s="109"/>
      <c r="F554" s="109"/>
      <c r="G554" s="109"/>
      <c r="H554" s="109"/>
      <c r="I554" s="109">
        <f t="shared" ref="I554:J554" si="568">SUM(C554,E554,G554)</f>
        <v>0</v>
      </c>
      <c r="J554" s="109">
        <f t="shared" si="568"/>
        <v>0</v>
      </c>
      <c r="K554" s="109">
        <f>SUMIFS(Ações!$J$66,Ações!$N$66,Patrimônio!B554,Ações!$E$66,"Provento")</f>
        <v>0</v>
      </c>
      <c r="L554" s="109">
        <f>SUMIFS(BDRs!$J$66,BDRs!$E$66,"Provento",BDRs!$N$66,Patrimônio!B554)</f>
        <v>0</v>
      </c>
      <c r="M554" s="109">
        <f>SUMIFS(FIIs!$J$66,FIIs!$E$66,"Provento",FIIs!$N$66,Patrimônio!B554)</f>
        <v>0</v>
      </c>
      <c r="N554" s="109">
        <f t="shared" si="2"/>
        <v>0</v>
      </c>
      <c r="O554" s="109"/>
      <c r="Q554" s="154"/>
      <c r="R554" s="155" t="s">
        <v>272</v>
      </c>
      <c r="S554" s="156">
        <v>0</v>
      </c>
    </row>
    <row r="555" spans="1:19" ht="17.25" customHeight="1">
      <c r="A555" s="108">
        <v>61423</v>
      </c>
      <c r="B555" s="108">
        <f t="shared" si="0"/>
        <v>61422</v>
      </c>
      <c r="C555" s="109"/>
      <c r="D555" s="109"/>
      <c r="E555" s="109"/>
      <c r="F555" s="109"/>
      <c r="G555" s="109"/>
      <c r="H555" s="109"/>
      <c r="I555" s="109">
        <f t="shared" ref="I555:J555" si="569">SUM(C555,E555,G555)</f>
        <v>0</v>
      </c>
      <c r="J555" s="109">
        <f t="shared" si="569"/>
        <v>0</v>
      </c>
      <c r="K555" s="109">
        <f>SUMIFS(Ações!$J$66,Ações!$N$66,Patrimônio!B555,Ações!$E$66,"Provento")</f>
        <v>0</v>
      </c>
      <c r="L555" s="109">
        <f>SUMIFS(BDRs!$J$66,BDRs!$E$66,"Provento",BDRs!$N$66,Patrimônio!B555)</f>
        <v>0</v>
      </c>
      <c r="M555" s="109">
        <f>SUMIFS(FIIs!$J$66,FIIs!$E$66,"Provento",FIIs!$N$66,Patrimônio!B555)</f>
        <v>0</v>
      </c>
      <c r="N555" s="109">
        <f t="shared" si="2"/>
        <v>0</v>
      </c>
      <c r="O555" s="109"/>
      <c r="Q555" s="151" t="s">
        <v>172</v>
      </c>
      <c r="R555" s="157"/>
      <c r="S555" s="153">
        <v>0</v>
      </c>
    </row>
    <row r="556" spans="1:19" ht="17.25" customHeight="1">
      <c r="A556" s="108">
        <v>61454</v>
      </c>
      <c r="B556" s="108">
        <f t="shared" si="0"/>
        <v>61453</v>
      </c>
      <c r="C556" s="109"/>
      <c r="D556" s="109"/>
      <c r="E556" s="109"/>
      <c r="F556" s="109"/>
      <c r="G556" s="109"/>
      <c r="H556" s="109"/>
      <c r="I556" s="109">
        <f t="shared" ref="I556:J556" si="570">SUM(C556,E556,G556)</f>
        <v>0</v>
      </c>
      <c r="J556" s="109">
        <f t="shared" si="570"/>
        <v>0</v>
      </c>
      <c r="K556" s="109">
        <f>SUMIFS(Ações!$J$66,Ações!$N$66,Patrimônio!B556,Ações!$E$66,"Provento")</f>
        <v>0</v>
      </c>
      <c r="L556" s="109">
        <f>SUMIFS(BDRs!$J$66,BDRs!$E$66,"Provento",BDRs!$N$66,Patrimônio!B556)</f>
        <v>0</v>
      </c>
      <c r="M556" s="109">
        <f>SUMIFS(FIIs!$J$66,FIIs!$E$66,"Provento",FIIs!$N$66,Patrimônio!B556)</f>
        <v>0</v>
      </c>
      <c r="N556" s="109">
        <f t="shared" si="2"/>
        <v>0</v>
      </c>
      <c r="O556" s="109"/>
      <c r="Q556" s="151" t="s">
        <v>173</v>
      </c>
      <c r="R556" s="152" t="s">
        <v>261</v>
      </c>
      <c r="S556" s="153">
        <v>0</v>
      </c>
    </row>
    <row r="557" spans="1:19" ht="17.25" customHeight="1">
      <c r="A557" s="108">
        <v>61484</v>
      </c>
      <c r="B557" s="108">
        <f t="shared" si="0"/>
        <v>61483</v>
      </c>
      <c r="C557" s="109"/>
      <c r="D557" s="109"/>
      <c r="E557" s="109"/>
      <c r="F557" s="109"/>
      <c r="G557" s="109"/>
      <c r="H557" s="109"/>
      <c r="I557" s="109">
        <f t="shared" ref="I557:J557" si="571">SUM(C557,E557,G557)</f>
        <v>0</v>
      </c>
      <c r="J557" s="109">
        <f t="shared" si="571"/>
        <v>0</v>
      </c>
      <c r="K557" s="109">
        <f>SUMIFS(Ações!$J$66,Ações!$N$66,Patrimônio!B557,Ações!$E$66,"Provento")</f>
        <v>0</v>
      </c>
      <c r="L557" s="109">
        <f>SUMIFS(BDRs!$J$66,BDRs!$E$66,"Provento",BDRs!$N$66,Patrimônio!B557)</f>
        <v>0</v>
      </c>
      <c r="M557" s="109">
        <f>SUMIFS(FIIs!$J$66,FIIs!$E$66,"Provento",FIIs!$N$66,Patrimônio!B557)</f>
        <v>0</v>
      </c>
      <c r="N557" s="109">
        <f t="shared" si="2"/>
        <v>0</v>
      </c>
      <c r="O557" s="109"/>
      <c r="Q557" s="154"/>
      <c r="R557" s="155" t="s">
        <v>262</v>
      </c>
      <c r="S557" s="156">
        <v>0</v>
      </c>
    </row>
    <row r="558" spans="1:19" ht="17.25" customHeight="1">
      <c r="A558" s="108">
        <v>61515</v>
      </c>
      <c r="B558" s="108">
        <f t="shared" si="0"/>
        <v>61514</v>
      </c>
      <c r="C558" s="109"/>
      <c r="D558" s="109"/>
      <c r="E558" s="109"/>
      <c r="F558" s="109"/>
      <c r="G558" s="109"/>
      <c r="H558" s="109"/>
      <c r="I558" s="109">
        <f t="shared" ref="I558:J558" si="572">SUM(C558,E558,G558)</f>
        <v>0</v>
      </c>
      <c r="J558" s="109">
        <f t="shared" si="572"/>
        <v>0</v>
      </c>
      <c r="K558" s="109">
        <f>SUMIFS(Ações!$J$66,Ações!$N$66,Patrimônio!B558,Ações!$E$66,"Provento")</f>
        <v>0</v>
      </c>
      <c r="L558" s="109">
        <f>SUMIFS(BDRs!$J$66,BDRs!$E$66,"Provento",BDRs!$N$66,Patrimônio!B558)</f>
        <v>0</v>
      </c>
      <c r="M558" s="109">
        <f>SUMIFS(FIIs!$J$66,FIIs!$E$66,"Provento",FIIs!$N$66,Patrimônio!B558)</f>
        <v>0</v>
      </c>
      <c r="N558" s="109">
        <f t="shared" si="2"/>
        <v>0</v>
      </c>
      <c r="O558" s="109"/>
      <c r="Q558" s="154"/>
      <c r="R558" s="155" t="s">
        <v>263</v>
      </c>
      <c r="S558" s="156">
        <v>0</v>
      </c>
    </row>
    <row r="559" spans="1:19" ht="17.25" customHeight="1">
      <c r="A559" s="108">
        <v>61545</v>
      </c>
      <c r="B559" s="108">
        <f t="shared" si="0"/>
        <v>61544</v>
      </c>
      <c r="C559" s="109"/>
      <c r="D559" s="109"/>
      <c r="E559" s="109"/>
      <c r="F559" s="109"/>
      <c r="G559" s="109"/>
      <c r="H559" s="109"/>
      <c r="I559" s="109">
        <f t="shared" ref="I559:J559" si="573">SUM(C559,E559,G559)</f>
        <v>0</v>
      </c>
      <c r="J559" s="109">
        <f t="shared" si="573"/>
        <v>0</v>
      </c>
      <c r="K559" s="109">
        <f>SUMIFS(Ações!$J$66,Ações!$N$66,Patrimônio!B559,Ações!$E$66,"Provento")</f>
        <v>0</v>
      </c>
      <c r="L559" s="109">
        <f>SUMIFS(BDRs!$J$66,BDRs!$E$66,"Provento",BDRs!$N$66,Patrimônio!B559)</f>
        <v>0</v>
      </c>
      <c r="M559" s="109">
        <f>SUMIFS(FIIs!$J$66,FIIs!$E$66,"Provento",FIIs!$N$66,Patrimônio!B559)</f>
        <v>0</v>
      </c>
      <c r="N559" s="109">
        <f t="shared" si="2"/>
        <v>0</v>
      </c>
      <c r="O559" s="109"/>
      <c r="Q559" s="154"/>
      <c r="R559" s="155" t="s">
        <v>264</v>
      </c>
      <c r="S559" s="156">
        <v>0</v>
      </c>
    </row>
    <row r="560" spans="1:19" ht="17.25" customHeight="1">
      <c r="A560" s="108">
        <v>61576</v>
      </c>
      <c r="B560" s="108">
        <f t="shared" si="0"/>
        <v>61575</v>
      </c>
      <c r="C560" s="109"/>
      <c r="D560" s="109"/>
      <c r="E560" s="109"/>
      <c r="F560" s="109"/>
      <c r="G560" s="109"/>
      <c r="H560" s="109"/>
      <c r="I560" s="109">
        <f t="shared" ref="I560:J560" si="574">SUM(C560,E560,G560)</f>
        <v>0</v>
      </c>
      <c r="J560" s="109">
        <f t="shared" si="574"/>
        <v>0</v>
      </c>
      <c r="K560" s="109">
        <f>SUMIFS(Ações!$J$66,Ações!$N$66,Patrimônio!B560,Ações!$E$66,"Provento")</f>
        <v>0</v>
      </c>
      <c r="L560" s="109">
        <f>SUMIFS(BDRs!$J$66,BDRs!$E$66,"Provento",BDRs!$N$66,Patrimônio!B560)</f>
        <v>0</v>
      </c>
      <c r="M560" s="109">
        <f>SUMIFS(FIIs!$J$66,FIIs!$E$66,"Provento",FIIs!$N$66,Patrimônio!B560)</f>
        <v>0</v>
      </c>
      <c r="N560" s="109">
        <f t="shared" si="2"/>
        <v>0</v>
      </c>
      <c r="O560" s="109"/>
      <c r="Q560" s="154"/>
      <c r="R560" s="155" t="s">
        <v>265</v>
      </c>
      <c r="S560" s="156">
        <v>0</v>
      </c>
    </row>
    <row r="561" spans="1:19" ht="17.25" customHeight="1">
      <c r="A561" s="108">
        <v>61607</v>
      </c>
      <c r="B561" s="108">
        <f t="shared" si="0"/>
        <v>61606</v>
      </c>
      <c r="C561" s="109"/>
      <c r="D561" s="109"/>
      <c r="E561" s="109"/>
      <c r="F561" s="109"/>
      <c r="G561" s="109"/>
      <c r="H561" s="109"/>
      <c r="I561" s="109">
        <f t="shared" ref="I561:J561" si="575">SUM(C561,E561,G561)</f>
        <v>0</v>
      </c>
      <c r="J561" s="109">
        <f t="shared" si="575"/>
        <v>0</v>
      </c>
      <c r="K561" s="109">
        <f>SUMIFS(Ações!$J$66,Ações!$N$66,Patrimônio!B561,Ações!$E$66,"Provento")</f>
        <v>0</v>
      </c>
      <c r="L561" s="109">
        <f>SUMIFS(BDRs!$J$66,BDRs!$E$66,"Provento",BDRs!$N$66,Patrimônio!B561)</f>
        <v>0</v>
      </c>
      <c r="M561" s="109">
        <f>SUMIFS(FIIs!$J$66,FIIs!$E$66,"Provento",FIIs!$N$66,Patrimônio!B561)</f>
        <v>0</v>
      </c>
      <c r="N561" s="109">
        <f t="shared" si="2"/>
        <v>0</v>
      </c>
      <c r="O561" s="109"/>
      <c r="Q561" s="154"/>
      <c r="R561" s="155" t="s">
        <v>266</v>
      </c>
      <c r="S561" s="156">
        <v>0</v>
      </c>
    </row>
    <row r="562" spans="1:19" ht="17.25" customHeight="1">
      <c r="A562" s="108">
        <v>61637</v>
      </c>
      <c r="B562" s="108">
        <f t="shared" si="0"/>
        <v>61636</v>
      </c>
      <c r="C562" s="109"/>
      <c r="D562" s="109"/>
      <c r="E562" s="109"/>
      <c r="F562" s="109"/>
      <c r="G562" s="109"/>
      <c r="H562" s="109"/>
      <c r="I562" s="109">
        <f t="shared" ref="I562:J562" si="576">SUM(C562,E562,G562)</f>
        <v>0</v>
      </c>
      <c r="J562" s="109">
        <f t="shared" si="576"/>
        <v>0</v>
      </c>
      <c r="K562" s="109">
        <f>SUMIFS(Ações!$J$66,Ações!$N$66,Patrimônio!B562,Ações!$E$66,"Provento")</f>
        <v>0</v>
      </c>
      <c r="L562" s="109">
        <f>SUMIFS(BDRs!$J$66,BDRs!$E$66,"Provento",BDRs!$N$66,Patrimônio!B562)</f>
        <v>0</v>
      </c>
      <c r="M562" s="109">
        <f>SUMIFS(FIIs!$J$66,FIIs!$E$66,"Provento",FIIs!$N$66,Patrimônio!B562)</f>
        <v>0</v>
      </c>
      <c r="N562" s="109">
        <f t="shared" si="2"/>
        <v>0</v>
      </c>
      <c r="O562" s="109"/>
      <c r="Q562" s="154"/>
      <c r="R562" s="155" t="s">
        <v>267</v>
      </c>
      <c r="S562" s="156">
        <v>0</v>
      </c>
    </row>
    <row r="563" spans="1:19" ht="17.25" customHeight="1">
      <c r="A563" s="108">
        <v>61668</v>
      </c>
      <c r="B563" s="108">
        <f t="shared" si="0"/>
        <v>61667</v>
      </c>
      <c r="C563" s="109"/>
      <c r="D563" s="109"/>
      <c r="E563" s="109"/>
      <c r="F563" s="109"/>
      <c r="G563" s="109"/>
      <c r="H563" s="109"/>
      <c r="I563" s="109">
        <f t="shared" ref="I563:J563" si="577">SUM(C563,E563,G563)</f>
        <v>0</v>
      </c>
      <c r="J563" s="109">
        <f t="shared" si="577"/>
        <v>0</v>
      </c>
      <c r="K563" s="109">
        <f>SUMIFS(Ações!$J$66,Ações!$N$66,Patrimônio!B563,Ações!$E$66,"Provento")</f>
        <v>0</v>
      </c>
      <c r="L563" s="109">
        <f>SUMIFS(BDRs!$J$66,BDRs!$E$66,"Provento",BDRs!$N$66,Patrimônio!B563)</f>
        <v>0</v>
      </c>
      <c r="M563" s="109">
        <f>SUMIFS(FIIs!$J$66,FIIs!$E$66,"Provento",FIIs!$N$66,Patrimônio!B563)</f>
        <v>0</v>
      </c>
      <c r="N563" s="109">
        <f t="shared" si="2"/>
        <v>0</v>
      </c>
      <c r="O563" s="109"/>
      <c r="Q563" s="154"/>
      <c r="R563" s="155" t="s">
        <v>268</v>
      </c>
      <c r="S563" s="156">
        <v>0</v>
      </c>
    </row>
    <row r="564" spans="1:19" ht="17.25" customHeight="1">
      <c r="A564" s="108">
        <v>61698</v>
      </c>
      <c r="B564" s="108">
        <f t="shared" si="0"/>
        <v>61697</v>
      </c>
      <c r="C564" s="109"/>
      <c r="D564" s="109"/>
      <c r="E564" s="109"/>
      <c r="F564" s="109"/>
      <c r="G564" s="109"/>
      <c r="H564" s="109"/>
      <c r="I564" s="109">
        <f t="shared" ref="I564:J564" si="578">SUM(C564,E564,G564)</f>
        <v>0</v>
      </c>
      <c r="J564" s="109">
        <f t="shared" si="578"/>
        <v>0</v>
      </c>
      <c r="K564" s="109">
        <f>SUMIFS(Ações!$J$66,Ações!$N$66,Patrimônio!B564,Ações!$E$66,"Provento")</f>
        <v>0</v>
      </c>
      <c r="L564" s="109">
        <f>SUMIFS(BDRs!$J$66,BDRs!$E$66,"Provento",BDRs!$N$66,Patrimônio!B564)</f>
        <v>0</v>
      </c>
      <c r="M564" s="109">
        <f>SUMIFS(FIIs!$J$66,FIIs!$E$66,"Provento",FIIs!$N$66,Patrimônio!B564)</f>
        <v>0</v>
      </c>
      <c r="N564" s="109">
        <f t="shared" si="2"/>
        <v>0</v>
      </c>
      <c r="O564" s="109"/>
      <c r="Q564" s="154"/>
      <c r="R564" s="155" t="s">
        <v>269</v>
      </c>
      <c r="S564" s="156">
        <v>0</v>
      </c>
    </row>
    <row r="565" spans="1:19" ht="17.25" customHeight="1">
      <c r="A565" s="108">
        <v>61729</v>
      </c>
      <c r="B565" s="108">
        <f t="shared" si="0"/>
        <v>61728</v>
      </c>
      <c r="C565" s="109"/>
      <c r="D565" s="109"/>
      <c r="E565" s="109"/>
      <c r="F565" s="109"/>
      <c r="G565" s="109"/>
      <c r="H565" s="109"/>
      <c r="I565" s="109">
        <f t="shared" ref="I565:J565" si="579">SUM(C565,E565,G565)</f>
        <v>0</v>
      </c>
      <c r="J565" s="109">
        <f t="shared" si="579"/>
        <v>0</v>
      </c>
      <c r="K565" s="109">
        <f>SUMIFS(Ações!$J$66,Ações!$N$66,Patrimônio!B565,Ações!$E$66,"Provento")</f>
        <v>0</v>
      </c>
      <c r="L565" s="109">
        <f>SUMIFS(BDRs!$J$66,BDRs!$E$66,"Provento",BDRs!$N$66,Patrimônio!B565)</f>
        <v>0</v>
      </c>
      <c r="M565" s="109">
        <f>SUMIFS(FIIs!$J$66,FIIs!$E$66,"Provento",FIIs!$N$66,Patrimônio!B565)</f>
        <v>0</v>
      </c>
      <c r="N565" s="109">
        <f t="shared" si="2"/>
        <v>0</v>
      </c>
      <c r="O565" s="109"/>
      <c r="Q565" s="154"/>
      <c r="R565" s="155" t="s">
        <v>270</v>
      </c>
      <c r="S565" s="156">
        <v>0</v>
      </c>
    </row>
    <row r="566" spans="1:19" ht="17.25" customHeight="1">
      <c r="A566" s="108">
        <v>61760</v>
      </c>
      <c r="B566" s="108">
        <f t="shared" si="0"/>
        <v>61759</v>
      </c>
      <c r="C566" s="109"/>
      <c r="D566" s="109"/>
      <c r="E566" s="109"/>
      <c r="F566" s="109"/>
      <c r="G566" s="109"/>
      <c r="H566" s="109"/>
      <c r="I566" s="109">
        <f t="shared" ref="I566:J566" si="580">SUM(C566,E566,G566)</f>
        <v>0</v>
      </c>
      <c r="J566" s="109">
        <f t="shared" si="580"/>
        <v>0</v>
      </c>
      <c r="K566" s="109">
        <f>SUMIFS(Ações!$J$66,Ações!$N$66,Patrimônio!B566,Ações!$E$66,"Provento")</f>
        <v>0</v>
      </c>
      <c r="L566" s="109">
        <f>SUMIFS(BDRs!$J$66,BDRs!$E$66,"Provento",BDRs!$N$66,Patrimônio!B566)</f>
        <v>0</v>
      </c>
      <c r="M566" s="109">
        <f>SUMIFS(FIIs!$J$66,FIIs!$E$66,"Provento",FIIs!$N$66,Patrimônio!B566)</f>
        <v>0</v>
      </c>
      <c r="N566" s="109">
        <f t="shared" si="2"/>
        <v>0</v>
      </c>
      <c r="O566" s="109"/>
      <c r="Q566" s="154"/>
      <c r="R566" s="155" t="s">
        <v>271</v>
      </c>
      <c r="S566" s="156">
        <v>0</v>
      </c>
    </row>
    <row r="567" spans="1:19" ht="17.25" customHeight="1">
      <c r="A567" s="108">
        <v>61788</v>
      </c>
      <c r="B567" s="108">
        <f t="shared" si="0"/>
        <v>61787</v>
      </c>
      <c r="C567" s="109"/>
      <c r="D567" s="109"/>
      <c r="E567" s="109"/>
      <c r="F567" s="109"/>
      <c r="G567" s="109"/>
      <c r="H567" s="109"/>
      <c r="I567" s="109">
        <f t="shared" ref="I567:J567" si="581">SUM(C567,E567,G567)</f>
        <v>0</v>
      </c>
      <c r="J567" s="109">
        <f t="shared" si="581"/>
        <v>0</v>
      </c>
      <c r="K567" s="109">
        <f>SUMIFS(Ações!$J$66,Ações!$N$66,Patrimônio!B567,Ações!$E$66,"Provento")</f>
        <v>0</v>
      </c>
      <c r="L567" s="109">
        <f>SUMIFS(BDRs!$J$66,BDRs!$E$66,"Provento",BDRs!$N$66,Patrimônio!B567)</f>
        <v>0</v>
      </c>
      <c r="M567" s="109">
        <f>SUMIFS(FIIs!$J$66,FIIs!$E$66,"Provento",FIIs!$N$66,Patrimônio!B567)</f>
        <v>0</v>
      </c>
      <c r="N567" s="109">
        <f t="shared" si="2"/>
        <v>0</v>
      </c>
      <c r="O567" s="109"/>
      <c r="Q567" s="154"/>
      <c r="R567" s="155" t="s">
        <v>272</v>
      </c>
      <c r="S567" s="156">
        <v>0</v>
      </c>
    </row>
    <row r="568" spans="1:19" ht="17.25" customHeight="1">
      <c r="A568" s="108">
        <v>61819</v>
      </c>
      <c r="B568" s="108">
        <f t="shared" si="0"/>
        <v>61818</v>
      </c>
      <c r="C568" s="109"/>
      <c r="D568" s="109"/>
      <c r="E568" s="109"/>
      <c r="F568" s="109"/>
      <c r="G568" s="109"/>
      <c r="H568" s="109"/>
      <c r="I568" s="109">
        <f t="shared" ref="I568:J568" si="582">SUM(C568,E568,G568)</f>
        <v>0</v>
      </c>
      <c r="J568" s="109">
        <f t="shared" si="582"/>
        <v>0</v>
      </c>
      <c r="K568" s="109">
        <f>SUMIFS(Ações!$J$66,Ações!$N$66,Patrimônio!B568,Ações!$E$66,"Provento")</f>
        <v>0</v>
      </c>
      <c r="L568" s="109">
        <f>SUMIFS(BDRs!$J$66,BDRs!$E$66,"Provento",BDRs!$N$66,Patrimônio!B568)</f>
        <v>0</v>
      </c>
      <c r="M568" s="109">
        <f>SUMIFS(FIIs!$J$66,FIIs!$E$66,"Provento",FIIs!$N$66,Patrimônio!B568)</f>
        <v>0</v>
      </c>
      <c r="N568" s="109">
        <f t="shared" si="2"/>
        <v>0</v>
      </c>
      <c r="O568" s="109"/>
      <c r="Q568" s="151" t="s">
        <v>174</v>
      </c>
      <c r="R568" s="157"/>
      <c r="S568" s="153">
        <v>0</v>
      </c>
    </row>
    <row r="569" spans="1:19" ht="17.25" customHeight="1">
      <c r="A569" s="108">
        <v>61849</v>
      </c>
      <c r="B569" s="108">
        <f t="shared" si="0"/>
        <v>61848</v>
      </c>
      <c r="C569" s="109"/>
      <c r="D569" s="109"/>
      <c r="E569" s="109"/>
      <c r="F569" s="109"/>
      <c r="G569" s="109"/>
      <c r="H569" s="109"/>
      <c r="I569" s="109">
        <f t="shared" ref="I569:J569" si="583">SUM(C569,E569,G569)</f>
        <v>0</v>
      </c>
      <c r="J569" s="109">
        <f t="shared" si="583"/>
        <v>0</v>
      </c>
      <c r="K569" s="109">
        <f>SUMIFS(Ações!$J$66,Ações!$N$66,Patrimônio!B569,Ações!$E$66,"Provento")</f>
        <v>0</v>
      </c>
      <c r="L569" s="109">
        <f>SUMIFS(BDRs!$J$66,BDRs!$E$66,"Provento",BDRs!$N$66,Patrimônio!B569)</f>
        <v>0</v>
      </c>
      <c r="M569" s="109">
        <f>SUMIFS(FIIs!$J$66,FIIs!$E$66,"Provento",FIIs!$N$66,Patrimônio!B569)</f>
        <v>0</v>
      </c>
      <c r="N569" s="109">
        <f t="shared" si="2"/>
        <v>0</v>
      </c>
      <c r="O569" s="109"/>
      <c r="Q569" s="151" t="s">
        <v>175</v>
      </c>
      <c r="R569" s="152" t="s">
        <v>261</v>
      </c>
      <c r="S569" s="153">
        <v>0</v>
      </c>
    </row>
    <row r="570" spans="1:19" ht="17.25" customHeight="1">
      <c r="A570" s="108">
        <v>61880</v>
      </c>
      <c r="B570" s="108">
        <f t="shared" si="0"/>
        <v>61879</v>
      </c>
      <c r="C570" s="109"/>
      <c r="D570" s="109"/>
      <c r="E570" s="109"/>
      <c r="F570" s="109"/>
      <c r="G570" s="109"/>
      <c r="H570" s="109"/>
      <c r="I570" s="109">
        <f t="shared" ref="I570:J570" si="584">SUM(C570,E570,G570)</f>
        <v>0</v>
      </c>
      <c r="J570" s="109">
        <f t="shared" si="584"/>
        <v>0</v>
      </c>
      <c r="K570" s="109">
        <f>SUMIFS(Ações!$J$66,Ações!$N$66,Patrimônio!B570,Ações!$E$66,"Provento")</f>
        <v>0</v>
      </c>
      <c r="L570" s="109">
        <f>SUMIFS(BDRs!$J$66,BDRs!$E$66,"Provento",BDRs!$N$66,Patrimônio!B570)</f>
        <v>0</v>
      </c>
      <c r="M570" s="109">
        <f>SUMIFS(FIIs!$J$66,FIIs!$E$66,"Provento",FIIs!$N$66,Patrimônio!B570)</f>
        <v>0</v>
      </c>
      <c r="N570" s="109">
        <f t="shared" si="2"/>
        <v>0</v>
      </c>
      <c r="O570" s="109"/>
      <c r="Q570" s="154"/>
      <c r="R570" s="155" t="s">
        <v>262</v>
      </c>
      <c r="S570" s="156">
        <v>0</v>
      </c>
    </row>
    <row r="571" spans="1:19" ht="17.25" customHeight="1">
      <c r="A571" s="108">
        <v>61910</v>
      </c>
      <c r="B571" s="108">
        <f t="shared" si="0"/>
        <v>61909</v>
      </c>
      <c r="C571" s="109"/>
      <c r="D571" s="109"/>
      <c r="E571" s="109"/>
      <c r="F571" s="109"/>
      <c r="G571" s="109"/>
      <c r="H571" s="109"/>
      <c r="I571" s="109">
        <f t="shared" ref="I571:J571" si="585">SUM(C571,E571,G571)</f>
        <v>0</v>
      </c>
      <c r="J571" s="109">
        <f t="shared" si="585"/>
        <v>0</v>
      </c>
      <c r="K571" s="109">
        <f>SUMIFS(Ações!$J$66,Ações!$N$66,Patrimônio!B571,Ações!$E$66,"Provento")</f>
        <v>0</v>
      </c>
      <c r="L571" s="109">
        <f>SUMIFS(BDRs!$J$66,BDRs!$E$66,"Provento",BDRs!$N$66,Patrimônio!B571)</f>
        <v>0</v>
      </c>
      <c r="M571" s="109">
        <f>SUMIFS(FIIs!$J$66,FIIs!$E$66,"Provento",FIIs!$N$66,Patrimônio!B571)</f>
        <v>0</v>
      </c>
      <c r="N571" s="109">
        <f t="shared" si="2"/>
        <v>0</v>
      </c>
      <c r="O571" s="109"/>
      <c r="Q571" s="154"/>
      <c r="R571" s="155" t="s">
        <v>263</v>
      </c>
      <c r="S571" s="156">
        <v>0</v>
      </c>
    </row>
    <row r="572" spans="1:19" ht="17.25" customHeight="1">
      <c r="A572" s="108">
        <v>61941</v>
      </c>
      <c r="B572" s="108">
        <f t="shared" si="0"/>
        <v>61940</v>
      </c>
      <c r="C572" s="109"/>
      <c r="D572" s="109"/>
      <c r="E572" s="109"/>
      <c r="F572" s="109"/>
      <c r="G572" s="109"/>
      <c r="H572" s="109"/>
      <c r="I572" s="109">
        <f t="shared" ref="I572:J572" si="586">SUM(C572,E572,G572)</f>
        <v>0</v>
      </c>
      <c r="J572" s="109">
        <f t="shared" si="586"/>
        <v>0</v>
      </c>
      <c r="K572" s="109">
        <f>SUMIFS(Ações!$J$66,Ações!$N$66,Patrimônio!B572,Ações!$E$66,"Provento")</f>
        <v>0</v>
      </c>
      <c r="L572" s="109">
        <f>SUMIFS(BDRs!$J$66,BDRs!$E$66,"Provento",BDRs!$N$66,Patrimônio!B572)</f>
        <v>0</v>
      </c>
      <c r="M572" s="109">
        <f>SUMIFS(FIIs!$J$66,FIIs!$E$66,"Provento",FIIs!$N$66,Patrimônio!B572)</f>
        <v>0</v>
      </c>
      <c r="N572" s="109">
        <f t="shared" si="2"/>
        <v>0</v>
      </c>
      <c r="O572" s="109"/>
      <c r="Q572" s="154"/>
      <c r="R572" s="155" t="s">
        <v>264</v>
      </c>
      <c r="S572" s="156">
        <v>0</v>
      </c>
    </row>
    <row r="573" spans="1:19" ht="17.25" customHeight="1">
      <c r="A573" s="108">
        <v>61972</v>
      </c>
      <c r="B573" s="108">
        <f t="shared" si="0"/>
        <v>61971</v>
      </c>
      <c r="C573" s="109"/>
      <c r="D573" s="109"/>
      <c r="E573" s="109"/>
      <c r="F573" s="109"/>
      <c r="G573" s="109"/>
      <c r="H573" s="109"/>
      <c r="I573" s="109">
        <f t="shared" ref="I573:J573" si="587">SUM(C573,E573,G573)</f>
        <v>0</v>
      </c>
      <c r="J573" s="109">
        <f t="shared" si="587"/>
        <v>0</v>
      </c>
      <c r="K573" s="109">
        <f>SUMIFS(Ações!$J$66,Ações!$N$66,Patrimônio!B573,Ações!$E$66,"Provento")</f>
        <v>0</v>
      </c>
      <c r="L573" s="109">
        <f>SUMIFS(BDRs!$J$66,BDRs!$E$66,"Provento",BDRs!$N$66,Patrimônio!B573)</f>
        <v>0</v>
      </c>
      <c r="M573" s="109">
        <f>SUMIFS(FIIs!$J$66,FIIs!$E$66,"Provento",FIIs!$N$66,Patrimônio!B573)</f>
        <v>0</v>
      </c>
      <c r="N573" s="109">
        <f t="shared" si="2"/>
        <v>0</v>
      </c>
      <c r="O573" s="109"/>
      <c r="Q573" s="154"/>
      <c r="R573" s="155" t="s">
        <v>265</v>
      </c>
      <c r="S573" s="156">
        <v>0</v>
      </c>
    </row>
    <row r="574" spans="1:19" ht="17.25" customHeight="1">
      <c r="A574" s="108">
        <v>62002</v>
      </c>
      <c r="B574" s="108">
        <f t="shared" si="0"/>
        <v>62001</v>
      </c>
      <c r="C574" s="109"/>
      <c r="D574" s="109"/>
      <c r="E574" s="109"/>
      <c r="F574" s="109"/>
      <c r="G574" s="109"/>
      <c r="H574" s="109"/>
      <c r="I574" s="109">
        <f t="shared" ref="I574:J574" si="588">SUM(C574,E574,G574)</f>
        <v>0</v>
      </c>
      <c r="J574" s="109">
        <f t="shared" si="588"/>
        <v>0</v>
      </c>
      <c r="K574" s="109">
        <f>SUMIFS(Ações!$J$66,Ações!$N$66,Patrimônio!B574,Ações!$E$66,"Provento")</f>
        <v>0</v>
      </c>
      <c r="L574" s="109">
        <f>SUMIFS(BDRs!$J$66,BDRs!$E$66,"Provento",BDRs!$N$66,Patrimônio!B574)</f>
        <v>0</v>
      </c>
      <c r="M574" s="109">
        <f>SUMIFS(FIIs!$J$66,FIIs!$E$66,"Provento",FIIs!$N$66,Patrimônio!B574)</f>
        <v>0</v>
      </c>
      <c r="N574" s="109">
        <f t="shared" si="2"/>
        <v>0</v>
      </c>
      <c r="O574" s="109"/>
      <c r="Q574" s="154"/>
      <c r="R574" s="155" t="s">
        <v>266</v>
      </c>
      <c r="S574" s="156">
        <v>0</v>
      </c>
    </row>
    <row r="575" spans="1:19" ht="17.25" customHeight="1">
      <c r="A575" s="108">
        <v>62033</v>
      </c>
      <c r="B575" s="108">
        <f t="shared" si="0"/>
        <v>62032</v>
      </c>
      <c r="C575" s="109"/>
      <c r="D575" s="109"/>
      <c r="E575" s="109"/>
      <c r="F575" s="109"/>
      <c r="G575" s="109"/>
      <c r="H575" s="109"/>
      <c r="I575" s="109">
        <f t="shared" ref="I575:J575" si="589">SUM(C575,E575,G575)</f>
        <v>0</v>
      </c>
      <c r="J575" s="109">
        <f t="shared" si="589"/>
        <v>0</v>
      </c>
      <c r="K575" s="109">
        <f>SUMIFS(Ações!$J$66,Ações!$N$66,Patrimônio!B575,Ações!$E$66,"Provento")</f>
        <v>0</v>
      </c>
      <c r="L575" s="109">
        <f>SUMIFS(BDRs!$J$66,BDRs!$E$66,"Provento",BDRs!$N$66,Patrimônio!B575)</f>
        <v>0</v>
      </c>
      <c r="M575" s="109">
        <f>SUMIFS(FIIs!$J$66,FIIs!$E$66,"Provento",FIIs!$N$66,Patrimônio!B575)</f>
        <v>0</v>
      </c>
      <c r="N575" s="109">
        <f t="shared" si="2"/>
        <v>0</v>
      </c>
      <c r="O575" s="109"/>
      <c r="Q575" s="154"/>
      <c r="R575" s="155" t="s">
        <v>267</v>
      </c>
      <c r="S575" s="156">
        <v>0</v>
      </c>
    </row>
    <row r="576" spans="1:19" ht="17.25" customHeight="1">
      <c r="A576" s="108">
        <v>62063</v>
      </c>
      <c r="B576" s="108">
        <f t="shared" si="0"/>
        <v>62062</v>
      </c>
      <c r="C576" s="109"/>
      <c r="D576" s="109"/>
      <c r="E576" s="109"/>
      <c r="F576" s="109"/>
      <c r="G576" s="109"/>
      <c r="H576" s="109"/>
      <c r="I576" s="109">
        <f t="shared" ref="I576:J576" si="590">SUM(C576,E576,G576)</f>
        <v>0</v>
      </c>
      <c r="J576" s="109">
        <f t="shared" si="590"/>
        <v>0</v>
      </c>
      <c r="K576" s="109">
        <f>SUMIFS(Ações!$J$66,Ações!$N$66,Patrimônio!B576,Ações!$E$66,"Provento")</f>
        <v>0</v>
      </c>
      <c r="L576" s="109">
        <f>SUMIFS(BDRs!$J$66,BDRs!$E$66,"Provento",BDRs!$N$66,Patrimônio!B576)</f>
        <v>0</v>
      </c>
      <c r="M576" s="109">
        <f>SUMIFS(FIIs!$J$66,FIIs!$E$66,"Provento",FIIs!$N$66,Patrimônio!B576)</f>
        <v>0</v>
      </c>
      <c r="N576" s="109">
        <f t="shared" si="2"/>
        <v>0</v>
      </c>
      <c r="O576" s="109"/>
      <c r="Q576" s="154"/>
      <c r="R576" s="155" t="s">
        <v>268</v>
      </c>
      <c r="S576" s="156">
        <v>0</v>
      </c>
    </row>
    <row r="577" spans="1:19" ht="17.25" customHeight="1">
      <c r="A577" s="108">
        <v>62094</v>
      </c>
      <c r="B577" s="108">
        <f t="shared" si="0"/>
        <v>62093</v>
      </c>
      <c r="C577" s="109"/>
      <c r="D577" s="109"/>
      <c r="E577" s="109"/>
      <c r="F577" s="109"/>
      <c r="G577" s="109"/>
      <c r="H577" s="109"/>
      <c r="I577" s="109">
        <f t="shared" ref="I577:J577" si="591">SUM(C577,E577,G577)</f>
        <v>0</v>
      </c>
      <c r="J577" s="109">
        <f t="shared" si="591"/>
        <v>0</v>
      </c>
      <c r="K577" s="109">
        <f>SUMIFS(Ações!$J$66,Ações!$N$66,Patrimônio!B577,Ações!$E$66,"Provento")</f>
        <v>0</v>
      </c>
      <c r="L577" s="109">
        <f>SUMIFS(BDRs!$J$66,BDRs!$E$66,"Provento",BDRs!$N$66,Patrimônio!B577)</f>
        <v>0</v>
      </c>
      <c r="M577" s="109">
        <f>SUMIFS(FIIs!$J$66,FIIs!$E$66,"Provento",FIIs!$N$66,Patrimônio!B577)</f>
        <v>0</v>
      </c>
      <c r="N577" s="109">
        <f t="shared" si="2"/>
        <v>0</v>
      </c>
      <c r="O577" s="109"/>
      <c r="Q577" s="154"/>
      <c r="R577" s="155" t="s">
        <v>269</v>
      </c>
      <c r="S577" s="156">
        <v>0</v>
      </c>
    </row>
    <row r="578" spans="1:19" ht="17.25" customHeight="1">
      <c r="A578" s="108">
        <v>62125</v>
      </c>
      <c r="B578" s="108">
        <f t="shared" si="0"/>
        <v>62124</v>
      </c>
      <c r="C578" s="109"/>
      <c r="D578" s="109"/>
      <c r="E578" s="109"/>
      <c r="F578" s="109"/>
      <c r="G578" s="109"/>
      <c r="H578" s="109"/>
      <c r="I578" s="109">
        <f t="shared" ref="I578:J578" si="592">SUM(C578,E578,G578)</f>
        <v>0</v>
      </c>
      <c r="J578" s="109">
        <f t="shared" si="592"/>
        <v>0</v>
      </c>
      <c r="K578" s="109">
        <f>SUMIFS(Ações!$J$66,Ações!$N$66,Patrimônio!B578,Ações!$E$66,"Provento")</f>
        <v>0</v>
      </c>
      <c r="L578" s="109">
        <f>SUMIFS(BDRs!$J$66,BDRs!$E$66,"Provento",BDRs!$N$66,Patrimônio!B578)</f>
        <v>0</v>
      </c>
      <c r="M578" s="109">
        <f>SUMIFS(FIIs!$J$66,FIIs!$E$66,"Provento",FIIs!$N$66,Patrimônio!B578)</f>
        <v>0</v>
      </c>
      <c r="N578" s="109">
        <f t="shared" si="2"/>
        <v>0</v>
      </c>
      <c r="O578" s="109"/>
      <c r="Q578" s="154"/>
      <c r="R578" s="155" t="s">
        <v>270</v>
      </c>
      <c r="S578" s="156">
        <v>0</v>
      </c>
    </row>
    <row r="579" spans="1:19" ht="17.25" customHeight="1">
      <c r="A579" s="108">
        <v>62153</v>
      </c>
      <c r="B579" s="108">
        <f t="shared" si="0"/>
        <v>62152</v>
      </c>
      <c r="C579" s="109"/>
      <c r="D579" s="109"/>
      <c r="E579" s="109"/>
      <c r="F579" s="109"/>
      <c r="G579" s="109"/>
      <c r="H579" s="109"/>
      <c r="I579" s="109">
        <f t="shared" ref="I579:J579" si="593">SUM(C579,E579,G579)</f>
        <v>0</v>
      </c>
      <c r="J579" s="109">
        <f t="shared" si="593"/>
        <v>0</v>
      </c>
      <c r="K579" s="109">
        <f>SUMIFS(Ações!$J$66,Ações!$N$66,Patrimônio!B579,Ações!$E$66,"Provento")</f>
        <v>0</v>
      </c>
      <c r="L579" s="109">
        <f>SUMIFS(BDRs!$J$66,BDRs!$E$66,"Provento",BDRs!$N$66,Patrimônio!B579)</f>
        <v>0</v>
      </c>
      <c r="M579" s="109">
        <f>SUMIFS(FIIs!$J$66,FIIs!$E$66,"Provento",FIIs!$N$66,Patrimônio!B579)</f>
        <v>0</v>
      </c>
      <c r="N579" s="109">
        <f t="shared" si="2"/>
        <v>0</v>
      </c>
      <c r="O579" s="109"/>
      <c r="Q579" s="154"/>
      <c r="R579" s="155" t="s">
        <v>271</v>
      </c>
      <c r="S579" s="156">
        <v>0</v>
      </c>
    </row>
    <row r="580" spans="1:19" ht="17.25" customHeight="1">
      <c r="A580" s="108">
        <v>62184</v>
      </c>
      <c r="B580" s="108">
        <f t="shared" si="0"/>
        <v>62183</v>
      </c>
      <c r="C580" s="109"/>
      <c r="D580" s="109"/>
      <c r="E580" s="109"/>
      <c r="F580" s="109"/>
      <c r="G580" s="109"/>
      <c r="H580" s="109"/>
      <c r="I580" s="109">
        <f t="shared" ref="I580:J580" si="594">SUM(C580,E580,G580)</f>
        <v>0</v>
      </c>
      <c r="J580" s="109">
        <f t="shared" si="594"/>
        <v>0</v>
      </c>
      <c r="K580" s="109">
        <f>SUMIFS(Ações!$J$66,Ações!$N$66,Patrimônio!B580,Ações!$E$66,"Provento")</f>
        <v>0</v>
      </c>
      <c r="L580" s="109">
        <f>SUMIFS(BDRs!$J$66,BDRs!$E$66,"Provento",BDRs!$N$66,Patrimônio!B580)</f>
        <v>0</v>
      </c>
      <c r="M580" s="109">
        <f>SUMIFS(FIIs!$J$66,FIIs!$E$66,"Provento",FIIs!$N$66,Patrimônio!B580)</f>
        <v>0</v>
      </c>
      <c r="N580" s="109">
        <f t="shared" si="2"/>
        <v>0</v>
      </c>
      <c r="O580" s="109"/>
      <c r="Q580" s="154"/>
      <c r="R580" s="155" t="s">
        <v>272</v>
      </c>
      <c r="S580" s="156">
        <v>0</v>
      </c>
    </row>
    <row r="581" spans="1:19" ht="17.25" customHeight="1">
      <c r="A581" s="108">
        <v>62214</v>
      </c>
      <c r="B581" s="108">
        <f t="shared" si="0"/>
        <v>62213</v>
      </c>
      <c r="C581" s="109"/>
      <c r="D581" s="109"/>
      <c r="E581" s="109"/>
      <c r="F581" s="109"/>
      <c r="G581" s="109"/>
      <c r="H581" s="109"/>
      <c r="I581" s="109">
        <f t="shared" ref="I581:J581" si="595">SUM(C581,E581,G581)</f>
        <v>0</v>
      </c>
      <c r="J581" s="109">
        <f t="shared" si="595"/>
        <v>0</v>
      </c>
      <c r="K581" s="109">
        <f>SUMIFS(Ações!$J$66,Ações!$N$66,Patrimônio!B581,Ações!$E$66,"Provento")</f>
        <v>0</v>
      </c>
      <c r="L581" s="109">
        <f>SUMIFS(BDRs!$J$66,BDRs!$E$66,"Provento",BDRs!$N$66,Patrimônio!B581)</f>
        <v>0</v>
      </c>
      <c r="M581" s="109">
        <f>SUMIFS(FIIs!$J$66,FIIs!$E$66,"Provento",FIIs!$N$66,Patrimônio!B581)</f>
        <v>0</v>
      </c>
      <c r="N581" s="109">
        <f t="shared" si="2"/>
        <v>0</v>
      </c>
      <c r="O581" s="109"/>
      <c r="Q581" s="151" t="s">
        <v>176</v>
      </c>
      <c r="R581" s="157"/>
      <c r="S581" s="153">
        <v>0</v>
      </c>
    </row>
    <row r="582" spans="1:19" ht="17.25" customHeight="1">
      <c r="A582" s="108">
        <v>62245</v>
      </c>
      <c r="B582" s="108">
        <f t="shared" si="0"/>
        <v>62244</v>
      </c>
      <c r="C582" s="109"/>
      <c r="D582" s="109"/>
      <c r="E582" s="109"/>
      <c r="F582" s="109"/>
      <c r="G582" s="109"/>
      <c r="H582" s="109"/>
      <c r="I582" s="109">
        <f t="shared" ref="I582:J582" si="596">SUM(C582,E582,G582)</f>
        <v>0</v>
      </c>
      <c r="J582" s="109">
        <f t="shared" si="596"/>
        <v>0</v>
      </c>
      <c r="K582" s="109">
        <f>SUMIFS(Ações!$J$66,Ações!$N$66,Patrimônio!B582,Ações!$E$66,"Provento")</f>
        <v>0</v>
      </c>
      <c r="L582" s="109">
        <f>SUMIFS(BDRs!$J$66,BDRs!$E$66,"Provento",BDRs!$N$66,Patrimônio!B582)</f>
        <v>0</v>
      </c>
      <c r="M582" s="109">
        <f>SUMIFS(FIIs!$J$66,FIIs!$E$66,"Provento",FIIs!$N$66,Patrimônio!B582)</f>
        <v>0</v>
      </c>
      <c r="N582" s="109">
        <f t="shared" si="2"/>
        <v>0</v>
      </c>
      <c r="O582" s="109"/>
      <c r="Q582" s="151" t="s">
        <v>177</v>
      </c>
      <c r="R582" s="152" t="s">
        <v>261</v>
      </c>
      <c r="S582" s="153">
        <v>0</v>
      </c>
    </row>
    <row r="583" spans="1:19" ht="17.25" customHeight="1">
      <c r="A583" s="108">
        <v>62275</v>
      </c>
      <c r="B583" s="108">
        <f t="shared" si="0"/>
        <v>62274</v>
      </c>
      <c r="C583" s="109"/>
      <c r="D583" s="109"/>
      <c r="E583" s="109"/>
      <c r="F583" s="109"/>
      <c r="G583" s="109"/>
      <c r="H583" s="109"/>
      <c r="I583" s="109">
        <f t="shared" ref="I583:J583" si="597">SUM(C583,E583,G583)</f>
        <v>0</v>
      </c>
      <c r="J583" s="109">
        <f t="shared" si="597"/>
        <v>0</v>
      </c>
      <c r="K583" s="109">
        <f>SUMIFS(Ações!$J$66,Ações!$N$66,Patrimônio!B583,Ações!$E$66,"Provento")</f>
        <v>0</v>
      </c>
      <c r="L583" s="109">
        <f>SUMIFS(BDRs!$J$66,BDRs!$E$66,"Provento",BDRs!$N$66,Patrimônio!B583)</f>
        <v>0</v>
      </c>
      <c r="M583" s="109">
        <f>SUMIFS(FIIs!$J$66,FIIs!$E$66,"Provento",FIIs!$N$66,Patrimônio!B583)</f>
        <v>0</v>
      </c>
      <c r="N583" s="109">
        <f t="shared" si="2"/>
        <v>0</v>
      </c>
      <c r="O583" s="109"/>
      <c r="Q583" s="154"/>
      <c r="R583" s="155" t="s">
        <v>262</v>
      </c>
      <c r="S583" s="156">
        <v>0</v>
      </c>
    </row>
    <row r="584" spans="1:19" ht="17.25" customHeight="1">
      <c r="A584" s="108">
        <v>62306</v>
      </c>
      <c r="B584" s="108">
        <f t="shared" si="0"/>
        <v>62305</v>
      </c>
      <c r="C584" s="109"/>
      <c r="D584" s="109"/>
      <c r="E584" s="109"/>
      <c r="F584" s="109"/>
      <c r="G584" s="109"/>
      <c r="H584" s="109"/>
      <c r="I584" s="109">
        <f t="shared" ref="I584:J584" si="598">SUM(C584,E584,G584)</f>
        <v>0</v>
      </c>
      <c r="J584" s="109">
        <f t="shared" si="598"/>
        <v>0</v>
      </c>
      <c r="K584" s="109">
        <f>SUMIFS(Ações!$J$66,Ações!$N$66,Patrimônio!B584,Ações!$E$66,"Provento")</f>
        <v>0</v>
      </c>
      <c r="L584" s="109">
        <f>SUMIFS(BDRs!$J$66,BDRs!$E$66,"Provento",BDRs!$N$66,Patrimônio!B584)</f>
        <v>0</v>
      </c>
      <c r="M584" s="109">
        <f>SUMIFS(FIIs!$J$66,FIIs!$E$66,"Provento",FIIs!$N$66,Patrimônio!B584)</f>
        <v>0</v>
      </c>
      <c r="N584" s="109">
        <f t="shared" si="2"/>
        <v>0</v>
      </c>
      <c r="O584" s="109"/>
      <c r="Q584" s="154"/>
      <c r="R584" s="155" t="s">
        <v>263</v>
      </c>
      <c r="S584" s="156">
        <v>0</v>
      </c>
    </row>
    <row r="585" spans="1:19" ht="17.25" customHeight="1">
      <c r="A585" s="108">
        <v>62337</v>
      </c>
      <c r="B585" s="108">
        <f t="shared" si="0"/>
        <v>62336</v>
      </c>
      <c r="C585" s="109"/>
      <c r="D585" s="109"/>
      <c r="E585" s="109"/>
      <c r="F585" s="109"/>
      <c r="G585" s="109"/>
      <c r="H585" s="109"/>
      <c r="I585" s="109">
        <f t="shared" ref="I585:J585" si="599">SUM(C585,E585,G585)</f>
        <v>0</v>
      </c>
      <c r="J585" s="109">
        <f t="shared" si="599"/>
        <v>0</v>
      </c>
      <c r="K585" s="109">
        <f>SUMIFS(Ações!$J$66,Ações!$N$66,Patrimônio!B585,Ações!$E$66,"Provento")</f>
        <v>0</v>
      </c>
      <c r="L585" s="109">
        <f>SUMIFS(BDRs!$J$66,BDRs!$E$66,"Provento",BDRs!$N$66,Patrimônio!B585)</f>
        <v>0</v>
      </c>
      <c r="M585" s="109">
        <f>SUMIFS(FIIs!$J$66,FIIs!$E$66,"Provento",FIIs!$N$66,Patrimônio!B585)</f>
        <v>0</v>
      </c>
      <c r="N585" s="109">
        <f t="shared" si="2"/>
        <v>0</v>
      </c>
      <c r="O585" s="109"/>
      <c r="Q585" s="154"/>
      <c r="R585" s="155" t="s">
        <v>264</v>
      </c>
      <c r="S585" s="156">
        <v>0</v>
      </c>
    </row>
    <row r="586" spans="1:19" ht="17.25" customHeight="1">
      <c r="A586" s="108">
        <v>62367</v>
      </c>
      <c r="B586" s="108">
        <f t="shared" si="0"/>
        <v>62366</v>
      </c>
      <c r="C586" s="109"/>
      <c r="D586" s="109"/>
      <c r="E586" s="109"/>
      <c r="F586" s="109"/>
      <c r="G586" s="109"/>
      <c r="H586" s="109"/>
      <c r="I586" s="109">
        <f t="shared" ref="I586:J586" si="600">SUM(C586,E586,G586)</f>
        <v>0</v>
      </c>
      <c r="J586" s="109">
        <f t="shared" si="600"/>
        <v>0</v>
      </c>
      <c r="K586" s="109">
        <f>SUMIFS(Ações!$J$66,Ações!$N$66,Patrimônio!B586,Ações!$E$66,"Provento")</f>
        <v>0</v>
      </c>
      <c r="L586" s="109">
        <f>SUMIFS(BDRs!$J$66,BDRs!$E$66,"Provento",BDRs!$N$66,Patrimônio!B586)</f>
        <v>0</v>
      </c>
      <c r="M586" s="109">
        <f>SUMIFS(FIIs!$J$66,FIIs!$E$66,"Provento",FIIs!$N$66,Patrimônio!B586)</f>
        <v>0</v>
      </c>
      <c r="N586" s="109">
        <f t="shared" si="2"/>
        <v>0</v>
      </c>
      <c r="O586" s="109"/>
      <c r="Q586" s="154"/>
      <c r="R586" s="155" t="s">
        <v>265</v>
      </c>
      <c r="S586" s="156">
        <v>0</v>
      </c>
    </row>
    <row r="587" spans="1:19" ht="17.25" customHeight="1">
      <c r="A587" s="108">
        <v>62398</v>
      </c>
      <c r="B587" s="108">
        <f t="shared" si="0"/>
        <v>62397</v>
      </c>
      <c r="C587" s="109"/>
      <c r="D587" s="109"/>
      <c r="E587" s="109"/>
      <c r="F587" s="109"/>
      <c r="G587" s="109"/>
      <c r="H587" s="109"/>
      <c r="I587" s="109">
        <f t="shared" ref="I587:J587" si="601">SUM(C587,E587,G587)</f>
        <v>0</v>
      </c>
      <c r="J587" s="109">
        <f t="shared" si="601"/>
        <v>0</v>
      </c>
      <c r="K587" s="109">
        <f>SUMIFS(Ações!$J$66,Ações!$N$66,Patrimônio!B587,Ações!$E$66,"Provento")</f>
        <v>0</v>
      </c>
      <c r="L587" s="109">
        <f>SUMIFS(BDRs!$J$66,BDRs!$E$66,"Provento",BDRs!$N$66,Patrimônio!B587)</f>
        <v>0</v>
      </c>
      <c r="M587" s="109">
        <f>SUMIFS(FIIs!$J$66,FIIs!$E$66,"Provento",FIIs!$N$66,Patrimônio!B587)</f>
        <v>0</v>
      </c>
      <c r="N587" s="109">
        <f t="shared" si="2"/>
        <v>0</v>
      </c>
      <c r="O587" s="109"/>
      <c r="Q587" s="154"/>
      <c r="R587" s="155" t="s">
        <v>266</v>
      </c>
      <c r="S587" s="156">
        <v>0</v>
      </c>
    </row>
    <row r="588" spans="1:19" ht="17.25" customHeight="1">
      <c r="A588" s="108">
        <v>62428</v>
      </c>
      <c r="B588" s="108">
        <f t="shared" si="0"/>
        <v>62427</v>
      </c>
      <c r="C588" s="109"/>
      <c r="D588" s="109"/>
      <c r="E588" s="109"/>
      <c r="F588" s="109"/>
      <c r="G588" s="109"/>
      <c r="H588" s="109"/>
      <c r="I588" s="109">
        <f t="shared" ref="I588:J588" si="602">SUM(C588,E588,G588)</f>
        <v>0</v>
      </c>
      <c r="J588" s="109">
        <f t="shared" si="602"/>
        <v>0</v>
      </c>
      <c r="K588" s="109">
        <f>SUMIFS(Ações!$J$66,Ações!$N$66,Patrimônio!B588,Ações!$E$66,"Provento")</f>
        <v>0</v>
      </c>
      <c r="L588" s="109">
        <f>SUMIFS(BDRs!$J$66,BDRs!$E$66,"Provento",BDRs!$N$66,Patrimônio!B588)</f>
        <v>0</v>
      </c>
      <c r="M588" s="109">
        <f>SUMIFS(FIIs!$J$66,FIIs!$E$66,"Provento",FIIs!$N$66,Patrimônio!B588)</f>
        <v>0</v>
      </c>
      <c r="N588" s="109">
        <f t="shared" si="2"/>
        <v>0</v>
      </c>
      <c r="O588" s="109"/>
      <c r="Q588" s="154"/>
      <c r="R588" s="155" t="s">
        <v>267</v>
      </c>
      <c r="S588" s="156">
        <v>0</v>
      </c>
    </row>
    <row r="589" spans="1:19" ht="17.25" customHeight="1">
      <c r="A589" s="108">
        <v>62459</v>
      </c>
      <c r="B589" s="108">
        <f t="shared" si="0"/>
        <v>62458</v>
      </c>
      <c r="C589" s="109"/>
      <c r="D589" s="109"/>
      <c r="E589" s="109"/>
      <c r="F589" s="109"/>
      <c r="G589" s="109"/>
      <c r="H589" s="109"/>
      <c r="I589" s="109">
        <f t="shared" ref="I589:J589" si="603">SUM(C589,E589,G589)</f>
        <v>0</v>
      </c>
      <c r="J589" s="109">
        <f t="shared" si="603"/>
        <v>0</v>
      </c>
      <c r="K589" s="109">
        <f>SUMIFS(Ações!$J$66,Ações!$N$66,Patrimônio!B589,Ações!$E$66,"Provento")</f>
        <v>0</v>
      </c>
      <c r="L589" s="109">
        <f>SUMIFS(BDRs!$J$66,BDRs!$E$66,"Provento",BDRs!$N$66,Patrimônio!B589)</f>
        <v>0</v>
      </c>
      <c r="M589" s="109">
        <f>SUMIFS(FIIs!$J$66,FIIs!$E$66,"Provento",FIIs!$N$66,Patrimônio!B589)</f>
        <v>0</v>
      </c>
      <c r="N589" s="109">
        <f t="shared" si="2"/>
        <v>0</v>
      </c>
      <c r="O589" s="109"/>
      <c r="Q589" s="154"/>
      <c r="R589" s="155" t="s">
        <v>268</v>
      </c>
      <c r="S589" s="156">
        <v>0</v>
      </c>
    </row>
    <row r="590" spans="1:19" ht="17.25" customHeight="1">
      <c r="A590" s="108">
        <v>62490</v>
      </c>
      <c r="B590" s="108">
        <f t="shared" si="0"/>
        <v>62489</v>
      </c>
      <c r="C590" s="109"/>
      <c r="D590" s="109"/>
      <c r="E590" s="109"/>
      <c r="F590" s="109"/>
      <c r="G590" s="109"/>
      <c r="H590" s="109"/>
      <c r="I590" s="109">
        <f t="shared" ref="I590:J590" si="604">SUM(C590,E590,G590)</f>
        <v>0</v>
      </c>
      <c r="J590" s="109">
        <f t="shared" si="604"/>
        <v>0</v>
      </c>
      <c r="K590" s="109">
        <f>SUMIFS(Ações!$J$66,Ações!$N$66,Patrimônio!B590,Ações!$E$66,"Provento")</f>
        <v>0</v>
      </c>
      <c r="L590" s="109">
        <f>SUMIFS(BDRs!$J$66,BDRs!$E$66,"Provento",BDRs!$N$66,Patrimônio!B590)</f>
        <v>0</v>
      </c>
      <c r="M590" s="109">
        <f>SUMIFS(FIIs!$J$66,FIIs!$E$66,"Provento",FIIs!$N$66,Patrimônio!B590)</f>
        <v>0</v>
      </c>
      <c r="N590" s="109">
        <f t="shared" si="2"/>
        <v>0</v>
      </c>
      <c r="O590" s="109"/>
      <c r="Q590" s="154"/>
      <c r="R590" s="155" t="s">
        <v>269</v>
      </c>
      <c r="S590" s="156">
        <v>0</v>
      </c>
    </row>
    <row r="591" spans="1:19" ht="17.25" customHeight="1">
      <c r="A591" s="108">
        <v>62518</v>
      </c>
      <c r="B591" s="108">
        <f t="shared" si="0"/>
        <v>62517</v>
      </c>
      <c r="C591" s="109"/>
      <c r="D591" s="109"/>
      <c r="E591" s="109"/>
      <c r="F591" s="109"/>
      <c r="G591" s="109"/>
      <c r="H591" s="109"/>
      <c r="I591" s="109">
        <f t="shared" ref="I591:J591" si="605">SUM(C591,E591,G591)</f>
        <v>0</v>
      </c>
      <c r="J591" s="109">
        <f t="shared" si="605"/>
        <v>0</v>
      </c>
      <c r="K591" s="109">
        <f>SUMIFS(Ações!$J$66,Ações!$N$66,Patrimônio!B591,Ações!$E$66,"Provento")</f>
        <v>0</v>
      </c>
      <c r="L591" s="109">
        <f>SUMIFS(BDRs!$J$66,BDRs!$E$66,"Provento",BDRs!$N$66,Patrimônio!B591)</f>
        <v>0</v>
      </c>
      <c r="M591" s="109">
        <f>SUMIFS(FIIs!$J$66,FIIs!$E$66,"Provento",FIIs!$N$66,Patrimônio!B591)</f>
        <v>0</v>
      </c>
      <c r="N591" s="109">
        <f t="shared" si="2"/>
        <v>0</v>
      </c>
      <c r="O591" s="109"/>
      <c r="Q591" s="154"/>
      <c r="R591" s="155" t="s">
        <v>270</v>
      </c>
      <c r="S591" s="156">
        <v>0</v>
      </c>
    </row>
    <row r="592" spans="1:19" ht="17.25" customHeight="1">
      <c r="A592" s="108">
        <v>62549</v>
      </c>
      <c r="B592" s="108">
        <f t="shared" si="0"/>
        <v>62548</v>
      </c>
      <c r="C592" s="109"/>
      <c r="D592" s="109"/>
      <c r="E592" s="109"/>
      <c r="F592" s="109"/>
      <c r="G592" s="109"/>
      <c r="H592" s="109"/>
      <c r="I592" s="109">
        <f t="shared" ref="I592:J592" si="606">SUM(C592,E592,G592)</f>
        <v>0</v>
      </c>
      <c r="J592" s="109">
        <f t="shared" si="606"/>
        <v>0</v>
      </c>
      <c r="K592" s="109">
        <f>SUMIFS(Ações!$J$66,Ações!$N$66,Patrimônio!B592,Ações!$E$66,"Provento")</f>
        <v>0</v>
      </c>
      <c r="L592" s="109">
        <f>SUMIFS(BDRs!$J$66,BDRs!$E$66,"Provento",BDRs!$N$66,Patrimônio!B592)</f>
        <v>0</v>
      </c>
      <c r="M592" s="109">
        <f>SUMIFS(FIIs!$J$66,FIIs!$E$66,"Provento",FIIs!$N$66,Patrimônio!B592)</f>
        <v>0</v>
      </c>
      <c r="N592" s="109">
        <f t="shared" si="2"/>
        <v>0</v>
      </c>
      <c r="O592" s="109"/>
      <c r="Q592" s="154"/>
      <c r="R592" s="155" t="s">
        <v>271</v>
      </c>
      <c r="S592" s="156">
        <v>0</v>
      </c>
    </row>
    <row r="593" spans="1:19" ht="17.25" customHeight="1">
      <c r="A593" s="108">
        <v>62579</v>
      </c>
      <c r="B593" s="108">
        <f t="shared" si="0"/>
        <v>62578</v>
      </c>
      <c r="C593" s="109"/>
      <c r="D593" s="109"/>
      <c r="E593" s="109"/>
      <c r="F593" s="109"/>
      <c r="G593" s="109"/>
      <c r="H593" s="109"/>
      <c r="I593" s="109">
        <f t="shared" ref="I593:J593" si="607">SUM(C593,E593,G593)</f>
        <v>0</v>
      </c>
      <c r="J593" s="109">
        <f t="shared" si="607"/>
        <v>0</v>
      </c>
      <c r="K593" s="109">
        <f>SUMIFS(Ações!$J$66,Ações!$N$66,Patrimônio!B593,Ações!$E$66,"Provento")</f>
        <v>0</v>
      </c>
      <c r="L593" s="109">
        <f>SUMIFS(BDRs!$J$66,BDRs!$E$66,"Provento",BDRs!$N$66,Patrimônio!B593)</f>
        <v>0</v>
      </c>
      <c r="M593" s="109">
        <f>SUMIFS(FIIs!$J$66,FIIs!$E$66,"Provento",FIIs!$N$66,Patrimônio!B593)</f>
        <v>0</v>
      </c>
      <c r="N593" s="109">
        <f t="shared" si="2"/>
        <v>0</v>
      </c>
      <c r="O593" s="109"/>
      <c r="Q593" s="154"/>
      <c r="R593" s="155" t="s">
        <v>272</v>
      </c>
      <c r="S593" s="156">
        <v>0</v>
      </c>
    </row>
    <row r="594" spans="1:19" ht="17.25" customHeight="1">
      <c r="A594" s="108">
        <v>62610</v>
      </c>
      <c r="B594" s="108">
        <f t="shared" si="0"/>
        <v>62609</v>
      </c>
      <c r="C594" s="109"/>
      <c r="D594" s="109"/>
      <c r="E594" s="109"/>
      <c r="F594" s="109"/>
      <c r="G594" s="109"/>
      <c r="H594" s="109"/>
      <c r="I594" s="109">
        <f t="shared" ref="I594:J594" si="608">SUM(C594,E594,G594)</f>
        <v>0</v>
      </c>
      <c r="J594" s="109">
        <f t="shared" si="608"/>
        <v>0</v>
      </c>
      <c r="K594" s="109">
        <f>SUMIFS(Ações!$J$66,Ações!$N$66,Patrimônio!B594,Ações!$E$66,"Provento")</f>
        <v>0</v>
      </c>
      <c r="L594" s="109">
        <f>SUMIFS(BDRs!$J$66,BDRs!$E$66,"Provento",BDRs!$N$66,Patrimônio!B594)</f>
        <v>0</v>
      </c>
      <c r="M594" s="109">
        <f>SUMIFS(FIIs!$J$66,FIIs!$E$66,"Provento",FIIs!$N$66,Patrimônio!B594)</f>
        <v>0</v>
      </c>
      <c r="N594" s="109">
        <f t="shared" si="2"/>
        <v>0</v>
      </c>
      <c r="O594" s="109"/>
      <c r="Q594" s="151" t="s">
        <v>178</v>
      </c>
      <c r="R594" s="157"/>
      <c r="S594" s="153">
        <v>0</v>
      </c>
    </row>
    <row r="595" spans="1:19" ht="17.25" customHeight="1">
      <c r="A595" s="108">
        <v>62640</v>
      </c>
      <c r="B595" s="108">
        <f t="shared" si="0"/>
        <v>62639</v>
      </c>
      <c r="C595" s="109"/>
      <c r="D595" s="109"/>
      <c r="E595" s="109"/>
      <c r="F595" s="109"/>
      <c r="G595" s="109"/>
      <c r="H595" s="109"/>
      <c r="I595" s="109">
        <f t="shared" ref="I595:J595" si="609">SUM(C595,E595,G595)</f>
        <v>0</v>
      </c>
      <c r="J595" s="109">
        <f t="shared" si="609"/>
        <v>0</v>
      </c>
      <c r="K595" s="109">
        <f>SUMIFS(Ações!$J$66,Ações!$N$66,Patrimônio!B595,Ações!$E$66,"Provento")</f>
        <v>0</v>
      </c>
      <c r="L595" s="109">
        <f>SUMIFS(BDRs!$J$66,BDRs!$E$66,"Provento",BDRs!$N$66,Patrimônio!B595)</f>
        <v>0</v>
      </c>
      <c r="M595" s="109">
        <f>SUMIFS(FIIs!$J$66,FIIs!$E$66,"Provento",FIIs!$N$66,Patrimônio!B595)</f>
        <v>0</v>
      </c>
      <c r="N595" s="109">
        <f t="shared" si="2"/>
        <v>0</v>
      </c>
      <c r="O595" s="109"/>
      <c r="Q595" s="151" t="s">
        <v>179</v>
      </c>
      <c r="R595" s="152" t="s">
        <v>261</v>
      </c>
      <c r="S595" s="153">
        <v>0</v>
      </c>
    </row>
    <row r="596" spans="1:19" ht="17.25" customHeight="1">
      <c r="A596" s="108">
        <v>62671</v>
      </c>
      <c r="B596" s="108">
        <f t="shared" si="0"/>
        <v>62670</v>
      </c>
      <c r="C596" s="109"/>
      <c r="D596" s="109"/>
      <c r="E596" s="109"/>
      <c r="F596" s="109"/>
      <c r="G596" s="109"/>
      <c r="H596" s="109"/>
      <c r="I596" s="109">
        <f t="shared" ref="I596:J596" si="610">SUM(C596,E596,G596)</f>
        <v>0</v>
      </c>
      <c r="J596" s="109">
        <f t="shared" si="610"/>
        <v>0</v>
      </c>
      <c r="K596" s="109">
        <f>SUMIFS(Ações!$J$66,Ações!$N$66,Patrimônio!B596,Ações!$E$66,"Provento")</f>
        <v>0</v>
      </c>
      <c r="L596" s="109">
        <f>SUMIFS(BDRs!$J$66,BDRs!$E$66,"Provento",BDRs!$N$66,Patrimônio!B596)</f>
        <v>0</v>
      </c>
      <c r="M596" s="109">
        <f>SUMIFS(FIIs!$J$66,FIIs!$E$66,"Provento",FIIs!$N$66,Patrimônio!B596)</f>
        <v>0</v>
      </c>
      <c r="N596" s="109">
        <f t="shared" si="2"/>
        <v>0</v>
      </c>
      <c r="O596" s="109"/>
      <c r="Q596" s="154"/>
      <c r="R596" s="155" t="s">
        <v>262</v>
      </c>
      <c r="S596" s="156">
        <v>0</v>
      </c>
    </row>
    <row r="597" spans="1:19" ht="17.25" customHeight="1">
      <c r="A597" s="108">
        <v>62702</v>
      </c>
      <c r="B597" s="108">
        <f t="shared" si="0"/>
        <v>62701</v>
      </c>
      <c r="C597" s="109"/>
      <c r="D597" s="109"/>
      <c r="E597" s="109"/>
      <c r="F597" s="109"/>
      <c r="G597" s="109"/>
      <c r="H597" s="109"/>
      <c r="I597" s="109">
        <f t="shared" ref="I597:J597" si="611">SUM(C597,E597,G597)</f>
        <v>0</v>
      </c>
      <c r="J597" s="109">
        <f t="shared" si="611"/>
        <v>0</v>
      </c>
      <c r="K597" s="109">
        <f>SUMIFS(Ações!$J$66,Ações!$N$66,Patrimônio!B597,Ações!$E$66,"Provento")</f>
        <v>0</v>
      </c>
      <c r="L597" s="109">
        <f>SUMIFS(BDRs!$J$66,BDRs!$E$66,"Provento",BDRs!$N$66,Patrimônio!B597)</f>
        <v>0</v>
      </c>
      <c r="M597" s="109">
        <f>SUMIFS(FIIs!$J$66,FIIs!$E$66,"Provento",FIIs!$N$66,Patrimônio!B597)</f>
        <v>0</v>
      </c>
      <c r="N597" s="109">
        <f t="shared" si="2"/>
        <v>0</v>
      </c>
      <c r="O597" s="109"/>
      <c r="Q597" s="154"/>
      <c r="R597" s="155" t="s">
        <v>263</v>
      </c>
      <c r="S597" s="156">
        <v>0</v>
      </c>
    </row>
    <row r="598" spans="1:19" ht="17.25" customHeight="1">
      <c r="A598" s="108">
        <v>62732</v>
      </c>
      <c r="B598" s="108">
        <f t="shared" si="0"/>
        <v>62731</v>
      </c>
      <c r="C598" s="109"/>
      <c r="D598" s="109"/>
      <c r="E598" s="109"/>
      <c r="F598" s="109"/>
      <c r="G598" s="109"/>
      <c r="H598" s="109"/>
      <c r="I598" s="109">
        <f t="shared" ref="I598:J598" si="612">SUM(C598,E598,G598)</f>
        <v>0</v>
      </c>
      <c r="J598" s="109">
        <f t="shared" si="612"/>
        <v>0</v>
      </c>
      <c r="K598" s="109">
        <f>SUMIFS(Ações!$J$66,Ações!$N$66,Patrimônio!B598,Ações!$E$66,"Provento")</f>
        <v>0</v>
      </c>
      <c r="L598" s="109">
        <f>SUMIFS(BDRs!$J$66,BDRs!$E$66,"Provento",BDRs!$N$66,Patrimônio!B598)</f>
        <v>0</v>
      </c>
      <c r="M598" s="109">
        <f>SUMIFS(FIIs!$J$66,FIIs!$E$66,"Provento",FIIs!$N$66,Patrimônio!B598)</f>
        <v>0</v>
      </c>
      <c r="N598" s="109">
        <f t="shared" si="2"/>
        <v>0</v>
      </c>
      <c r="O598" s="109"/>
      <c r="Q598" s="154"/>
      <c r="R598" s="155" t="s">
        <v>264</v>
      </c>
      <c r="S598" s="156">
        <v>0</v>
      </c>
    </row>
    <row r="599" spans="1:19" ht="17.25" customHeight="1">
      <c r="A599" s="108">
        <v>62763</v>
      </c>
      <c r="B599" s="108">
        <f t="shared" si="0"/>
        <v>62762</v>
      </c>
      <c r="C599" s="109"/>
      <c r="D599" s="109"/>
      <c r="E599" s="109"/>
      <c r="F599" s="109"/>
      <c r="G599" s="109"/>
      <c r="H599" s="109"/>
      <c r="I599" s="109">
        <f t="shared" ref="I599:J599" si="613">SUM(C599,E599,G599)</f>
        <v>0</v>
      </c>
      <c r="J599" s="109">
        <f t="shared" si="613"/>
        <v>0</v>
      </c>
      <c r="K599" s="109">
        <f>SUMIFS(Ações!$J$66,Ações!$N$66,Patrimônio!B599,Ações!$E$66,"Provento")</f>
        <v>0</v>
      </c>
      <c r="L599" s="109">
        <f>SUMIFS(BDRs!$J$66,BDRs!$E$66,"Provento",BDRs!$N$66,Patrimônio!B599)</f>
        <v>0</v>
      </c>
      <c r="M599" s="109">
        <f>SUMIFS(FIIs!$J$66,FIIs!$E$66,"Provento",FIIs!$N$66,Patrimônio!B599)</f>
        <v>0</v>
      </c>
      <c r="N599" s="109">
        <f t="shared" si="2"/>
        <v>0</v>
      </c>
      <c r="O599" s="109"/>
      <c r="Q599" s="154"/>
      <c r="R599" s="155" t="s">
        <v>265</v>
      </c>
      <c r="S599" s="156">
        <v>0</v>
      </c>
    </row>
    <row r="600" spans="1:19" ht="17.25" customHeight="1">
      <c r="A600" s="108">
        <v>62793</v>
      </c>
      <c r="B600" s="108">
        <f t="shared" si="0"/>
        <v>62792</v>
      </c>
      <c r="C600" s="109"/>
      <c r="D600" s="109"/>
      <c r="E600" s="109"/>
      <c r="F600" s="109"/>
      <c r="G600" s="109"/>
      <c r="H600" s="109"/>
      <c r="I600" s="109">
        <f t="shared" ref="I600:J600" si="614">SUM(C600,E600,G600)</f>
        <v>0</v>
      </c>
      <c r="J600" s="109">
        <f t="shared" si="614"/>
        <v>0</v>
      </c>
      <c r="K600" s="109">
        <f>SUMIFS(Ações!$J$66,Ações!$N$66,Patrimônio!B600,Ações!$E$66,"Provento")</f>
        <v>0</v>
      </c>
      <c r="L600" s="109">
        <f>SUMIFS(BDRs!$J$66,BDRs!$E$66,"Provento",BDRs!$N$66,Patrimônio!B600)</f>
        <v>0</v>
      </c>
      <c r="M600" s="109">
        <f>SUMIFS(FIIs!$J$66,FIIs!$E$66,"Provento",FIIs!$N$66,Patrimônio!B600)</f>
        <v>0</v>
      </c>
      <c r="N600" s="109">
        <f t="shared" si="2"/>
        <v>0</v>
      </c>
      <c r="O600" s="109"/>
      <c r="Q600" s="154"/>
      <c r="R600" s="155" t="s">
        <v>266</v>
      </c>
      <c r="S600" s="156">
        <v>0</v>
      </c>
    </row>
    <row r="601" spans="1:19" ht="17.25" customHeight="1">
      <c r="A601" s="108">
        <v>62824</v>
      </c>
      <c r="B601" s="108">
        <f t="shared" si="0"/>
        <v>62823</v>
      </c>
      <c r="C601" s="109"/>
      <c r="D601" s="109"/>
      <c r="E601" s="109"/>
      <c r="F601" s="109"/>
      <c r="G601" s="109"/>
      <c r="H601" s="109"/>
      <c r="I601" s="109">
        <f t="shared" ref="I601:J601" si="615">SUM(C601,E601,G601)</f>
        <v>0</v>
      </c>
      <c r="J601" s="109">
        <f t="shared" si="615"/>
        <v>0</v>
      </c>
      <c r="K601" s="109">
        <f>SUMIFS(Ações!$J$66,Ações!$N$66,Patrimônio!B601,Ações!$E$66,"Provento")</f>
        <v>0</v>
      </c>
      <c r="L601" s="109">
        <f>SUMIFS(BDRs!$J$66,BDRs!$E$66,"Provento",BDRs!$N$66,Patrimônio!B601)</f>
        <v>0</v>
      </c>
      <c r="M601" s="109">
        <f>SUMIFS(FIIs!$J$66,FIIs!$E$66,"Provento",FIIs!$N$66,Patrimônio!B601)</f>
        <v>0</v>
      </c>
      <c r="N601" s="109">
        <f t="shared" si="2"/>
        <v>0</v>
      </c>
      <c r="O601" s="109"/>
      <c r="Q601" s="154"/>
      <c r="R601" s="155" t="s">
        <v>267</v>
      </c>
      <c r="S601" s="156">
        <v>0</v>
      </c>
    </row>
    <row r="602" spans="1:19" ht="17.25" customHeight="1">
      <c r="A602" s="108">
        <v>62855</v>
      </c>
      <c r="B602" s="108">
        <f t="shared" si="0"/>
        <v>62854</v>
      </c>
      <c r="C602" s="109"/>
      <c r="D602" s="109"/>
      <c r="E602" s="109"/>
      <c r="F602" s="109"/>
      <c r="G602" s="109"/>
      <c r="H602" s="109"/>
      <c r="I602" s="109">
        <f t="shared" ref="I602:J602" si="616">SUM(C602,E602,G602)</f>
        <v>0</v>
      </c>
      <c r="J602" s="109">
        <f t="shared" si="616"/>
        <v>0</v>
      </c>
      <c r="K602" s="109">
        <f>SUMIFS(Ações!$J$66,Ações!$N$66,Patrimônio!B602,Ações!$E$66,"Provento")</f>
        <v>0</v>
      </c>
      <c r="L602" s="109">
        <f>SUMIFS(BDRs!$J$66,BDRs!$E$66,"Provento",BDRs!$N$66,Patrimônio!B602)</f>
        <v>0</v>
      </c>
      <c r="M602" s="109">
        <f>SUMIFS(FIIs!$J$66,FIIs!$E$66,"Provento",FIIs!$N$66,Patrimônio!B602)</f>
        <v>0</v>
      </c>
      <c r="N602" s="109">
        <f t="shared" si="2"/>
        <v>0</v>
      </c>
      <c r="O602" s="109"/>
      <c r="Q602" s="154"/>
      <c r="R602" s="155" t="s">
        <v>268</v>
      </c>
      <c r="S602" s="156">
        <v>0</v>
      </c>
    </row>
    <row r="603" spans="1:19" ht="17.25" customHeight="1">
      <c r="A603" s="108">
        <v>62884</v>
      </c>
      <c r="B603" s="108">
        <f t="shared" si="0"/>
        <v>62883</v>
      </c>
      <c r="C603" s="109"/>
      <c r="D603" s="109"/>
      <c r="E603" s="109"/>
      <c r="F603" s="109"/>
      <c r="G603" s="109"/>
      <c r="H603" s="109"/>
      <c r="I603" s="109">
        <f t="shared" ref="I603:J603" si="617">SUM(C603,E603,G603)</f>
        <v>0</v>
      </c>
      <c r="J603" s="109">
        <f t="shared" si="617"/>
        <v>0</v>
      </c>
      <c r="K603" s="109">
        <f>SUMIFS(Ações!$J$66,Ações!$N$66,Patrimônio!B603,Ações!$E$66,"Provento")</f>
        <v>0</v>
      </c>
      <c r="L603" s="109">
        <f>SUMIFS(BDRs!$J$66,BDRs!$E$66,"Provento",BDRs!$N$66,Patrimônio!B603)</f>
        <v>0</v>
      </c>
      <c r="M603" s="109">
        <f>SUMIFS(FIIs!$J$66,FIIs!$E$66,"Provento",FIIs!$N$66,Patrimônio!B603)</f>
        <v>0</v>
      </c>
      <c r="N603" s="109">
        <f t="shared" si="2"/>
        <v>0</v>
      </c>
      <c r="O603" s="109"/>
      <c r="Q603" s="154"/>
      <c r="R603" s="155" t="s">
        <v>269</v>
      </c>
      <c r="S603" s="156">
        <v>0</v>
      </c>
    </row>
    <row r="604" spans="1:19" ht="17.25" customHeight="1">
      <c r="A604" s="108">
        <v>62915</v>
      </c>
      <c r="B604" s="108">
        <f t="shared" si="0"/>
        <v>62914</v>
      </c>
      <c r="C604" s="109"/>
      <c r="D604" s="109"/>
      <c r="E604" s="109"/>
      <c r="F604" s="109"/>
      <c r="G604" s="109"/>
      <c r="H604" s="109"/>
      <c r="I604" s="109">
        <f t="shared" ref="I604:J604" si="618">SUM(C604,E604,G604)</f>
        <v>0</v>
      </c>
      <c r="J604" s="109">
        <f t="shared" si="618"/>
        <v>0</v>
      </c>
      <c r="K604" s="109">
        <f>SUMIFS(Ações!$J$66,Ações!$N$66,Patrimônio!B604,Ações!$E$66,"Provento")</f>
        <v>0</v>
      </c>
      <c r="L604" s="109">
        <f>SUMIFS(BDRs!$J$66,BDRs!$E$66,"Provento",BDRs!$N$66,Patrimônio!B604)</f>
        <v>0</v>
      </c>
      <c r="M604" s="109">
        <f>SUMIFS(FIIs!$J$66,FIIs!$E$66,"Provento",FIIs!$N$66,Patrimônio!B604)</f>
        <v>0</v>
      </c>
      <c r="N604" s="109">
        <f t="shared" si="2"/>
        <v>0</v>
      </c>
      <c r="O604" s="109"/>
      <c r="Q604" s="154"/>
      <c r="R604" s="155" t="s">
        <v>270</v>
      </c>
      <c r="S604" s="156">
        <v>0</v>
      </c>
    </row>
    <row r="605" spans="1:19" ht="17.25" customHeight="1">
      <c r="A605" s="108">
        <v>62945</v>
      </c>
      <c r="B605" s="108">
        <f t="shared" si="0"/>
        <v>62944</v>
      </c>
      <c r="C605" s="109"/>
      <c r="D605" s="109"/>
      <c r="E605" s="109"/>
      <c r="F605" s="109"/>
      <c r="G605" s="109"/>
      <c r="H605" s="109"/>
      <c r="I605" s="109">
        <f t="shared" ref="I605:J605" si="619">SUM(C605,E605,G605)</f>
        <v>0</v>
      </c>
      <c r="J605" s="109">
        <f t="shared" si="619"/>
        <v>0</v>
      </c>
      <c r="K605" s="109">
        <f>SUMIFS(Ações!$J$66,Ações!$N$66,Patrimônio!B605,Ações!$E$66,"Provento")</f>
        <v>0</v>
      </c>
      <c r="L605" s="109">
        <f>SUMIFS(BDRs!$J$66,BDRs!$E$66,"Provento",BDRs!$N$66,Patrimônio!B605)</f>
        <v>0</v>
      </c>
      <c r="M605" s="109">
        <f>SUMIFS(FIIs!$J$66,FIIs!$E$66,"Provento",FIIs!$N$66,Patrimônio!B605)</f>
        <v>0</v>
      </c>
      <c r="N605" s="109">
        <f t="shared" si="2"/>
        <v>0</v>
      </c>
      <c r="O605" s="109"/>
      <c r="Q605" s="154"/>
      <c r="R605" s="155" t="s">
        <v>271</v>
      </c>
      <c r="S605" s="156">
        <v>0</v>
      </c>
    </row>
    <row r="606" spans="1:19" ht="17.25" customHeight="1">
      <c r="A606" s="108">
        <v>62976</v>
      </c>
      <c r="B606" s="108">
        <f t="shared" si="0"/>
        <v>62975</v>
      </c>
      <c r="C606" s="109"/>
      <c r="D606" s="109"/>
      <c r="E606" s="109"/>
      <c r="F606" s="109"/>
      <c r="G606" s="109"/>
      <c r="H606" s="109"/>
      <c r="I606" s="109">
        <f t="shared" ref="I606:J606" si="620">SUM(C606,E606,G606)</f>
        <v>0</v>
      </c>
      <c r="J606" s="109">
        <f t="shared" si="620"/>
        <v>0</v>
      </c>
      <c r="K606" s="109">
        <f>SUMIFS(Ações!$J$66,Ações!$N$66,Patrimônio!B606,Ações!$E$66,"Provento")</f>
        <v>0</v>
      </c>
      <c r="L606" s="109">
        <f>SUMIFS(BDRs!$J$66,BDRs!$E$66,"Provento",BDRs!$N$66,Patrimônio!B606)</f>
        <v>0</v>
      </c>
      <c r="M606" s="109">
        <f>SUMIFS(FIIs!$J$66,FIIs!$E$66,"Provento",FIIs!$N$66,Patrimônio!B606)</f>
        <v>0</v>
      </c>
      <c r="N606" s="109">
        <f t="shared" si="2"/>
        <v>0</v>
      </c>
      <c r="O606" s="109"/>
      <c r="Q606" s="154"/>
      <c r="R606" s="155" t="s">
        <v>272</v>
      </c>
      <c r="S606" s="156">
        <v>0</v>
      </c>
    </row>
    <row r="607" spans="1:19" ht="17.25" customHeight="1">
      <c r="A607" s="108">
        <v>63006</v>
      </c>
      <c r="B607" s="108">
        <f t="shared" si="0"/>
        <v>63005</v>
      </c>
      <c r="C607" s="109"/>
      <c r="D607" s="109"/>
      <c r="E607" s="109"/>
      <c r="F607" s="109"/>
      <c r="G607" s="109"/>
      <c r="H607" s="109"/>
      <c r="I607" s="109">
        <f t="shared" ref="I607:J607" si="621">SUM(C607,E607,G607)</f>
        <v>0</v>
      </c>
      <c r="J607" s="109">
        <f t="shared" si="621"/>
        <v>0</v>
      </c>
      <c r="K607" s="109">
        <f>SUMIFS(Ações!$J$66,Ações!$N$66,Patrimônio!B607,Ações!$E$66,"Provento")</f>
        <v>0</v>
      </c>
      <c r="L607" s="109">
        <f>SUMIFS(BDRs!$J$66,BDRs!$E$66,"Provento",BDRs!$N$66,Patrimônio!B607)</f>
        <v>0</v>
      </c>
      <c r="M607" s="109">
        <f>SUMIFS(FIIs!$J$66,FIIs!$E$66,"Provento",FIIs!$N$66,Patrimônio!B607)</f>
        <v>0</v>
      </c>
      <c r="N607" s="109">
        <f t="shared" si="2"/>
        <v>0</v>
      </c>
      <c r="O607" s="109"/>
      <c r="Q607" s="151" t="s">
        <v>180</v>
      </c>
      <c r="R607" s="157"/>
      <c r="S607" s="153">
        <v>0</v>
      </c>
    </row>
    <row r="608" spans="1:19" ht="17.25" customHeight="1">
      <c r="A608" s="108">
        <v>63037</v>
      </c>
      <c r="B608" s="108">
        <f t="shared" si="0"/>
        <v>63036</v>
      </c>
      <c r="C608" s="109"/>
      <c r="D608" s="109"/>
      <c r="E608" s="109"/>
      <c r="F608" s="109"/>
      <c r="G608" s="109"/>
      <c r="H608" s="109"/>
      <c r="I608" s="109">
        <f t="shared" ref="I608:J608" si="622">SUM(C608,E608,G608)</f>
        <v>0</v>
      </c>
      <c r="J608" s="109">
        <f t="shared" si="622"/>
        <v>0</v>
      </c>
      <c r="K608" s="109">
        <f>SUMIFS(Ações!$J$66,Ações!$N$66,Patrimônio!B608,Ações!$E$66,"Provento")</f>
        <v>0</v>
      </c>
      <c r="L608" s="109">
        <f>SUMIFS(BDRs!$J$66,BDRs!$E$66,"Provento",BDRs!$N$66,Patrimônio!B608)</f>
        <v>0</v>
      </c>
      <c r="M608" s="109">
        <f>SUMIFS(FIIs!$J$66,FIIs!$E$66,"Provento",FIIs!$N$66,Patrimônio!B608)</f>
        <v>0</v>
      </c>
      <c r="N608" s="109">
        <f t="shared" si="2"/>
        <v>0</v>
      </c>
      <c r="O608" s="109"/>
      <c r="Q608" s="151" t="s">
        <v>181</v>
      </c>
      <c r="R608" s="152" t="s">
        <v>261</v>
      </c>
      <c r="S608" s="153">
        <v>0</v>
      </c>
    </row>
    <row r="609" spans="1:19" ht="17.25" customHeight="1">
      <c r="A609" s="108">
        <v>63068</v>
      </c>
      <c r="B609" s="108">
        <f t="shared" si="0"/>
        <v>63067</v>
      </c>
      <c r="C609" s="109"/>
      <c r="D609" s="109"/>
      <c r="E609" s="109"/>
      <c r="F609" s="109"/>
      <c r="G609" s="109"/>
      <c r="H609" s="109"/>
      <c r="I609" s="109">
        <f t="shared" ref="I609:J609" si="623">SUM(C609,E609,G609)</f>
        <v>0</v>
      </c>
      <c r="J609" s="109">
        <f t="shared" si="623"/>
        <v>0</v>
      </c>
      <c r="K609" s="109">
        <f>SUMIFS(Ações!$J$66,Ações!$N$66,Patrimônio!B609,Ações!$E$66,"Provento")</f>
        <v>0</v>
      </c>
      <c r="L609" s="109">
        <f>SUMIFS(BDRs!$J$66,BDRs!$E$66,"Provento",BDRs!$N$66,Patrimônio!B609)</f>
        <v>0</v>
      </c>
      <c r="M609" s="109">
        <f>SUMIFS(FIIs!$J$66,FIIs!$E$66,"Provento",FIIs!$N$66,Patrimônio!B609)</f>
        <v>0</v>
      </c>
      <c r="N609" s="109">
        <f t="shared" si="2"/>
        <v>0</v>
      </c>
      <c r="O609" s="109"/>
      <c r="Q609" s="154"/>
      <c r="R609" s="155" t="s">
        <v>262</v>
      </c>
      <c r="S609" s="156">
        <v>0</v>
      </c>
    </row>
    <row r="610" spans="1:19" ht="17.25" customHeight="1">
      <c r="A610" s="108">
        <v>63098</v>
      </c>
      <c r="B610" s="108">
        <f t="shared" si="0"/>
        <v>63097</v>
      </c>
      <c r="C610" s="109"/>
      <c r="D610" s="109"/>
      <c r="E610" s="109"/>
      <c r="F610" s="109"/>
      <c r="G610" s="109"/>
      <c r="H610" s="109"/>
      <c r="I610" s="109">
        <f t="shared" ref="I610:J610" si="624">SUM(C610,E610,G610)</f>
        <v>0</v>
      </c>
      <c r="J610" s="109">
        <f t="shared" si="624"/>
        <v>0</v>
      </c>
      <c r="K610" s="109">
        <f>SUMIFS(Ações!$J$66,Ações!$N$66,Patrimônio!B610,Ações!$E$66,"Provento")</f>
        <v>0</v>
      </c>
      <c r="L610" s="109">
        <f>SUMIFS(BDRs!$J$66,BDRs!$E$66,"Provento",BDRs!$N$66,Patrimônio!B610)</f>
        <v>0</v>
      </c>
      <c r="M610" s="109">
        <f>SUMIFS(FIIs!$J$66,FIIs!$E$66,"Provento",FIIs!$N$66,Patrimônio!B610)</f>
        <v>0</v>
      </c>
      <c r="N610" s="109">
        <f t="shared" si="2"/>
        <v>0</v>
      </c>
      <c r="O610" s="109"/>
      <c r="Q610" s="154"/>
      <c r="R610" s="155" t="s">
        <v>263</v>
      </c>
      <c r="S610" s="156">
        <v>0</v>
      </c>
    </row>
    <row r="611" spans="1:19" ht="17.25" customHeight="1">
      <c r="A611" s="108">
        <v>63129</v>
      </c>
      <c r="B611" s="108">
        <f t="shared" si="0"/>
        <v>63128</v>
      </c>
      <c r="C611" s="109"/>
      <c r="D611" s="109"/>
      <c r="E611" s="109"/>
      <c r="F611" s="109"/>
      <c r="G611" s="109"/>
      <c r="H611" s="109"/>
      <c r="I611" s="109">
        <f t="shared" ref="I611:J611" si="625">SUM(C611,E611,G611)</f>
        <v>0</v>
      </c>
      <c r="J611" s="109">
        <f t="shared" si="625"/>
        <v>0</v>
      </c>
      <c r="K611" s="109">
        <f>SUMIFS(Ações!$J$66,Ações!$N$66,Patrimônio!B611,Ações!$E$66,"Provento")</f>
        <v>0</v>
      </c>
      <c r="L611" s="109">
        <f>SUMIFS(BDRs!$J$66,BDRs!$E$66,"Provento",BDRs!$N$66,Patrimônio!B611)</f>
        <v>0</v>
      </c>
      <c r="M611" s="109">
        <f>SUMIFS(FIIs!$J$66,FIIs!$E$66,"Provento",FIIs!$N$66,Patrimônio!B611)</f>
        <v>0</v>
      </c>
      <c r="N611" s="109">
        <f t="shared" si="2"/>
        <v>0</v>
      </c>
      <c r="O611" s="109"/>
      <c r="Q611" s="154"/>
      <c r="R611" s="155" t="s">
        <v>264</v>
      </c>
      <c r="S611" s="156">
        <v>0</v>
      </c>
    </row>
    <row r="612" spans="1:19" ht="17.25" customHeight="1">
      <c r="A612" s="108">
        <v>63159</v>
      </c>
      <c r="B612" s="108">
        <f t="shared" si="0"/>
        <v>63158</v>
      </c>
      <c r="C612" s="109"/>
      <c r="D612" s="109"/>
      <c r="E612" s="109"/>
      <c r="F612" s="109"/>
      <c r="G612" s="109"/>
      <c r="H612" s="109"/>
      <c r="I612" s="109">
        <f t="shared" ref="I612:J612" si="626">SUM(C612,E612,G612)</f>
        <v>0</v>
      </c>
      <c r="J612" s="109">
        <f t="shared" si="626"/>
        <v>0</v>
      </c>
      <c r="K612" s="109">
        <f>SUMIFS(Ações!$J$66,Ações!$N$66,Patrimônio!B612,Ações!$E$66,"Provento")</f>
        <v>0</v>
      </c>
      <c r="L612" s="109">
        <f>SUMIFS(BDRs!$J$66,BDRs!$E$66,"Provento",BDRs!$N$66,Patrimônio!B612)</f>
        <v>0</v>
      </c>
      <c r="M612" s="109">
        <f>SUMIFS(FIIs!$J$66,FIIs!$E$66,"Provento",FIIs!$N$66,Patrimônio!B612)</f>
        <v>0</v>
      </c>
      <c r="N612" s="109">
        <f t="shared" si="2"/>
        <v>0</v>
      </c>
      <c r="O612" s="109"/>
      <c r="Q612" s="154"/>
      <c r="R612" s="155" t="s">
        <v>265</v>
      </c>
      <c r="S612" s="156">
        <v>0</v>
      </c>
    </row>
    <row r="613" spans="1:19" ht="17.25" customHeight="1">
      <c r="A613" s="108">
        <v>63190</v>
      </c>
      <c r="B613" s="108">
        <f t="shared" si="0"/>
        <v>63189</v>
      </c>
      <c r="C613" s="109"/>
      <c r="D613" s="109"/>
      <c r="E613" s="109"/>
      <c r="F613" s="109"/>
      <c r="G613" s="109"/>
      <c r="H613" s="109"/>
      <c r="I613" s="109">
        <f t="shared" ref="I613:J613" si="627">SUM(C613,E613,G613)</f>
        <v>0</v>
      </c>
      <c r="J613" s="109">
        <f t="shared" si="627"/>
        <v>0</v>
      </c>
      <c r="K613" s="109">
        <f>SUMIFS(Ações!$J$66,Ações!$N$66,Patrimônio!B613,Ações!$E$66,"Provento")</f>
        <v>0</v>
      </c>
      <c r="L613" s="109">
        <f>SUMIFS(BDRs!$J$66,BDRs!$E$66,"Provento",BDRs!$N$66,Patrimônio!B613)</f>
        <v>0</v>
      </c>
      <c r="M613" s="109">
        <f>SUMIFS(FIIs!$J$66,FIIs!$E$66,"Provento",FIIs!$N$66,Patrimônio!B613)</f>
        <v>0</v>
      </c>
      <c r="N613" s="109">
        <f t="shared" si="2"/>
        <v>0</v>
      </c>
      <c r="O613" s="109"/>
      <c r="Q613" s="154"/>
      <c r="R613" s="155" t="s">
        <v>266</v>
      </c>
      <c r="S613" s="156">
        <v>0</v>
      </c>
    </row>
    <row r="614" spans="1:19" ht="17.25" customHeight="1">
      <c r="A614" s="108">
        <v>63221</v>
      </c>
      <c r="B614" s="108">
        <f t="shared" si="0"/>
        <v>63220</v>
      </c>
      <c r="C614" s="109"/>
      <c r="D614" s="109"/>
      <c r="E614" s="109"/>
      <c r="F614" s="109"/>
      <c r="G614" s="109"/>
      <c r="H614" s="109"/>
      <c r="I614" s="109">
        <f t="shared" ref="I614:J614" si="628">SUM(C614,E614,G614)</f>
        <v>0</v>
      </c>
      <c r="J614" s="109">
        <f t="shared" si="628"/>
        <v>0</v>
      </c>
      <c r="K614" s="109">
        <f>SUMIFS(Ações!$J$66,Ações!$N$66,Patrimônio!B614,Ações!$E$66,"Provento")</f>
        <v>0</v>
      </c>
      <c r="L614" s="109">
        <f>SUMIFS(BDRs!$J$66,BDRs!$E$66,"Provento",BDRs!$N$66,Patrimônio!B614)</f>
        <v>0</v>
      </c>
      <c r="M614" s="109">
        <f>SUMIFS(FIIs!$J$66,FIIs!$E$66,"Provento",FIIs!$N$66,Patrimônio!B614)</f>
        <v>0</v>
      </c>
      <c r="N614" s="109">
        <f t="shared" si="2"/>
        <v>0</v>
      </c>
      <c r="O614" s="109"/>
      <c r="Q614" s="154"/>
      <c r="R614" s="155" t="s">
        <v>267</v>
      </c>
      <c r="S614" s="156">
        <v>0</v>
      </c>
    </row>
    <row r="615" spans="1:19" ht="17.25" customHeight="1">
      <c r="A615" s="108">
        <v>63249</v>
      </c>
      <c r="B615" s="108">
        <f t="shared" si="0"/>
        <v>63248</v>
      </c>
      <c r="C615" s="109"/>
      <c r="D615" s="109"/>
      <c r="E615" s="109"/>
      <c r="F615" s="109"/>
      <c r="G615" s="109"/>
      <c r="H615" s="109"/>
      <c r="I615" s="109">
        <f t="shared" ref="I615:J615" si="629">SUM(C615,E615,G615)</f>
        <v>0</v>
      </c>
      <c r="J615" s="109">
        <f t="shared" si="629"/>
        <v>0</v>
      </c>
      <c r="K615" s="109">
        <f>SUMIFS(Ações!$J$66,Ações!$N$66,Patrimônio!B615,Ações!$E$66,"Provento")</f>
        <v>0</v>
      </c>
      <c r="L615" s="109">
        <f>SUMIFS(BDRs!$J$66,BDRs!$E$66,"Provento",BDRs!$N$66,Patrimônio!B615)</f>
        <v>0</v>
      </c>
      <c r="M615" s="109">
        <f>SUMIFS(FIIs!$J$66,FIIs!$E$66,"Provento",FIIs!$N$66,Patrimônio!B615)</f>
        <v>0</v>
      </c>
      <c r="N615" s="109">
        <f t="shared" si="2"/>
        <v>0</v>
      </c>
      <c r="O615" s="109"/>
      <c r="Q615" s="154"/>
      <c r="R615" s="155" t="s">
        <v>268</v>
      </c>
      <c r="S615" s="156">
        <v>0</v>
      </c>
    </row>
    <row r="616" spans="1:19" ht="17.25" customHeight="1">
      <c r="A616" s="108">
        <v>63280</v>
      </c>
      <c r="B616" s="108">
        <f t="shared" si="0"/>
        <v>63279</v>
      </c>
      <c r="C616" s="109"/>
      <c r="D616" s="109"/>
      <c r="E616" s="109"/>
      <c r="F616" s="109"/>
      <c r="G616" s="109"/>
      <c r="H616" s="109"/>
      <c r="I616" s="109">
        <f t="shared" ref="I616:J616" si="630">SUM(C616,E616,G616)</f>
        <v>0</v>
      </c>
      <c r="J616" s="109">
        <f t="shared" si="630"/>
        <v>0</v>
      </c>
      <c r="K616" s="109">
        <f>SUMIFS(Ações!$J$66,Ações!$N$66,Patrimônio!B616,Ações!$E$66,"Provento")</f>
        <v>0</v>
      </c>
      <c r="L616" s="109">
        <f>SUMIFS(BDRs!$J$66,BDRs!$E$66,"Provento",BDRs!$N$66,Patrimônio!B616)</f>
        <v>0</v>
      </c>
      <c r="M616" s="109">
        <f>SUMIFS(FIIs!$J$66,FIIs!$E$66,"Provento",FIIs!$N$66,Patrimônio!B616)</f>
        <v>0</v>
      </c>
      <c r="N616" s="109">
        <f t="shared" si="2"/>
        <v>0</v>
      </c>
      <c r="O616" s="109"/>
      <c r="Q616" s="154"/>
      <c r="R616" s="155" t="s">
        <v>269</v>
      </c>
      <c r="S616" s="156">
        <v>0</v>
      </c>
    </row>
    <row r="617" spans="1:19" ht="17.25" customHeight="1">
      <c r="A617" s="108">
        <v>63310</v>
      </c>
      <c r="B617" s="108">
        <f t="shared" si="0"/>
        <v>63309</v>
      </c>
      <c r="C617" s="109"/>
      <c r="D617" s="109"/>
      <c r="E617" s="109"/>
      <c r="F617" s="109"/>
      <c r="G617" s="109"/>
      <c r="H617" s="109"/>
      <c r="I617" s="109">
        <f t="shared" ref="I617:J617" si="631">SUM(C617,E617,G617)</f>
        <v>0</v>
      </c>
      <c r="J617" s="109">
        <f t="shared" si="631"/>
        <v>0</v>
      </c>
      <c r="K617" s="109">
        <f>SUMIFS(Ações!$J$66,Ações!$N$66,Patrimônio!B617,Ações!$E$66,"Provento")</f>
        <v>0</v>
      </c>
      <c r="L617" s="109">
        <f>SUMIFS(BDRs!$J$66,BDRs!$E$66,"Provento",BDRs!$N$66,Patrimônio!B617)</f>
        <v>0</v>
      </c>
      <c r="M617" s="109">
        <f>SUMIFS(FIIs!$J$66,FIIs!$E$66,"Provento",FIIs!$N$66,Patrimônio!B617)</f>
        <v>0</v>
      </c>
      <c r="N617" s="109">
        <f t="shared" si="2"/>
        <v>0</v>
      </c>
      <c r="O617" s="109"/>
      <c r="Q617" s="154"/>
      <c r="R617" s="155" t="s">
        <v>270</v>
      </c>
      <c r="S617" s="156">
        <v>0</v>
      </c>
    </row>
    <row r="618" spans="1:19" ht="17.25" customHeight="1">
      <c r="A618" s="108">
        <v>63341</v>
      </c>
      <c r="B618" s="108">
        <f t="shared" si="0"/>
        <v>63340</v>
      </c>
      <c r="C618" s="109"/>
      <c r="D618" s="109"/>
      <c r="E618" s="109"/>
      <c r="F618" s="109"/>
      <c r="G618" s="109"/>
      <c r="H618" s="109"/>
      <c r="I618" s="109">
        <f t="shared" ref="I618:J618" si="632">SUM(C618,E618,G618)</f>
        <v>0</v>
      </c>
      <c r="J618" s="109">
        <f t="shared" si="632"/>
        <v>0</v>
      </c>
      <c r="K618" s="109">
        <f>SUMIFS(Ações!$J$66,Ações!$N$66,Patrimônio!B618,Ações!$E$66,"Provento")</f>
        <v>0</v>
      </c>
      <c r="L618" s="109">
        <f>SUMIFS(BDRs!$J$66,BDRs!$E$66,"Provento",BDRs!$N$66,Patrimônio!B618)</f>
        <v>0</v>
      </c>
      <c r="M618" s="109">
        <f>SUMIFS(FIIs!$J$66,FIIs!$E$66,"Provento",FIIs!$N$66,Patrimônio!B618)</f>
        <v>0</v>
      </c>
      <c r="N618" s="109">
        <f t="shared" si="2"/>
        <v>0</v>
      </c>
      <c r="O618" s="109"/>
      <c r="Q618" s="154"/>
      <c r="R618" s="155" t="s">
        <v>271</v>
      </c>
      <c r="S618" s="156">
        <v>0</v>
      </c>
    </row>
    <row r="619" spans="1:19" ht="17.25" customHeight="1">
      <c r="A619" s="108">
        <v>63371</v>
      </c>
      <c r="B619" s="108">
        <f t="shared" si="0"/>
        <v>63370</v>
      </c>
      <c r="C619" s="109"/>
      <c r="D619" s="109"/>
      <c r="E619" s="109"/>
      <c r="F619" s="109"/>
      <c r="G619" s="109"/>
      <c r="H619" s="109"/>
      <c r="I619" s="109">
        <f t="shared" ref="I619:J619" si="633">SUM(C619,E619,G619)</f>
        <v>0</v>
      </c>
      <c r="J619" s="109">
        <f t="shared" si="633"/>
        <v>0</v>
      </c>
      <c r="K619" s="109">
        <f>SUMIFS(Ações!$J$66,Ações!$N$66,Patrimônio!B619,Ações!$E$66,"Provento")</f>
        <v>0</v>
      </c>
      <c r="L619" s="109">
        <f>SUMIFS(BDRs!$J$66,BDRs!$E$66,"Provento",BDRs!$N$66,Patrimônio!B619)</f>
        <v>0</v>
      </c>
      <c r="M619" s="109">
        <f>SUMIFS(FIIs!$J$66,FIIs!$E$66,"Provento",FIIs!$N$66,Patrimônio!B619)</f>
        <v>0</v>
      </c>
      <c r="N619" s="109">
        <f t="shared" si="2"/>
        <v>0</v>
      </c>
      <c r="O619" s="109"/>
      <c r="Q619" s="154"/>
      <c r="R619" s="155" t="s">
        <v>272</v>
      </c>
      <c r="S619" s="156">
        <v>0</v>
      </c>
    </row>
    <row r="620" spans="1:19" ht="17.25" customHeight="1">
      <c r="A620" s="108">
        <v>63402</v>
      </c>
      <c r="B620" s="108">
        <f t="shared" si="0"/>
        <v>63401</v>
      </c>
      <c r="C620" s="109"/>
      <c r="D620" s="109"/>
      <c r="E620" s="109"/>
      <c r="F620" s="109"/>
      <c r="G620" s="109"/>
      <c r="H620" s="109"/>
      <c r="I620" s="109">
        <f t="shared" ref="I620:J620" si="634">SUM(C620,E620,G620)</f>
        <v>0</v>
      </c>
      <c r="J620" s="109">
        <f t="shared" si="634"/>
        <v>0</v>
      </c>
      <c r="K620" s="109">
        <f>SUMIFS(Ações!$J$66,Ações!$N$66,Patrimônio!B620,Ações!$E$66,"Provento")</f>
        <v>0</v>
      </c>
      <c r="L620" s="109">
        <f>SUMIFS(BDRs!$J$66,BDRs!$E$66,"Provento",BDRs!$N$66,Patrimônio!B620)</f>
        <v>0</v>
      </c>
      <c r="M620" s="109">
        <f>SUMIFS(FIIs!$J$66,FIIs!$E$66,"Provento",FIIs!$N$66,Patrimônio!B620)</f>
        <v>0</v>
      </c>
      <c r="N620" s="109">
        <f t="shared" si="2"/>
        <v>0</v>
      </c>
      <c r="O620" s="109"/>
      <c r="Q620" s="151" t="s">
        <v>182</v>
      </c>
      <c r="R620" s="157"/>
      <c r="S620" s="153">
        <v>0</v>
      </c>
    </row>
    <row r="621" spans="1:19" ht="17.25" customHeight="1">
      <c r="A621" s="108">
        <v>63433</v>
      </c>
      <c r="B621" s="108">
        <f t="shared" si="0"/>
        <v>63432</v>
      </c>
      <c r="C621" s="109"/>
      <c r="D621" s="109"/>
      <c r="E621" s="109"/>
      <c r="F621" s="109"/>
      <c r="G621" s="109"/>
      <c r="H621" s="109"/>
      <c r="I621" s="109">
        <f t="shared" ref="I621:J621" si="635">SUM(C621,E621,G621)</f>
        <v>0</v>
      </c>
      <c r="J621" s="109">
        <f t="shared" si="635"/>
        <v>0</v>
      </c>
      <c r="K621" s="109">
        <f>SUMIFS(Ações!$J$66,Ações!$N$66,Patrimônio!B621,Ações!$E$66,"Provento")</f>
        <v>0</v>
      </c>
      <c r="L621" s="109">
        <f>SUMIFS(BDRs!$J$66,BDRs!$E$66,"Provento",BDRs!$N$66,Patrimônio!B621)</f>
        <v>0</v>
      </c>
      <c r="M621" s="109">
        <f>SUMIFS(FIIs!$J$66,FIIs!$E$66,"Provento",FIIs!$N$66,Patrimônio!B621)</f>
        <v>0</v>
      </c>
      <c r="N621" s="109">
        <f t="shared" si="2"/>
        <v>0</v>
      </c>
      <c r="O621" s="109"/>
      <c r="Q621" s="151" t="s">
        <v>183</v>
      </c>
      <c r="R621" s="152" t="s">
        <v>261</v>
      </c>
      <c r="S621" s="153">
        <v>0</v>
      </c>
    </row>
    <row r="622" spans="1:19" ht="17.25" customHeight="1">
      <c r="A622" s="108">
        <v>63463</v>
      </c>
      <c r="B622" s="108">
        <f t="shared" si="0"/>
        <v>63462</v>
      </c>
      <c r="C622" s="109"/>
      <c r="D622" s="109"/>
      <c r="E622" s="109"/>
      <c r="F622" s="109"/>
      <c r="G622" s="109"/>
      <c r="H622" s="109"/>
      <c r="I622" s="109">
        <f t="shared" ref="I622:J622" si="636">SUM(C622,E622,G622)</f>
        <v>0</v>
      </c>
      <c r="J622" s="109">
        <f t="shared" si="636"/>
        <v>0</v>
      </c>
      <c r="K622" s="109">
        <f>SUMIFS(Ações!$J$66,Ações!$N$66,Patrimônio!B622,Ações!$E$66,"Provento")</f>
        <v>0</v>
      </c>
      <c r="L622" s="109">
        <f>SUMIFS(BDRs!$J$66,BDRs!$E$66,"Provento",BDRs!$N$66,Patrimônio!B622)</f>
        <v>0</v>
      </c>
      <c r="M622" s="109">
        <f>SUMIFS(FIIs!$J$66,FIIs!$E$66,"Provento",FIIs!$N$66,Patrimônio!B622)</f>
        <v>0</v>
      </c>
      <c r="N622" s="109">
        <f t="shared" si="2"/>
        <v>0</v>
      </c>
      <c r="O622" s="109"/>
      <c r="Q622" s="154"/>
      <c r="R622" s="155" t="s">
        <v>262</v>
      </c>
      <c r="S622" s="156">
        <v>0</v>
      </c>
    </row>
    <row r="623" spans="1:19" ht="17.25" customHeight="1">
      <c r="A623" s="108">
        <v>63494</v>
      </c>
      <c r="B623" s="108">
        <f t="shared" si="0"/>
        <v>63493</v>
      </c>
      <c r="C623" s="109"/>
      <c r="D623" s="109"/>
      <c r="E623" s="109"/>
      <c r="F623" s="109"/>
      <c r="G623" s="109"/>
      <c r="H623" s="109"/>
      <c r="I623" s="109">
        <f t="shared" ref="I623:J623" si="637">SUM(C623,E623,G623)</f>
        <v>0</v>
      </c>
      <c r="J623" s="109">
        <f t="shared" si="637"/>
        <v>0</v>
      </c>
      <c r="K623" s="109">
        <f>SUMIFS(Ações!$J$66,Ações!$N$66,Patrimônio!B623,Ações!$E$66,"Provento")</f>
        <v>0</v>
      </c>
      <c r="L623" s="109">
        <f>SUMIFS(BDRs!$J$66,BDRs!$E$66,"Provento",BDRs!$N$66,Patrimônio!B623)</f>
        <v>0</v>
      </c>
      <c r="M623" s="109">
        <f>SUMIFS(FIIs!$J$66,FIIs!$E$66,"Provento",FIIs!$N$66,Patrimônio!B623)</f>
        <v>0</v>
      </c>
      <c r="N623" s="109">
        <f t="shared" si="2"/>
        <v>0</v>
      </c>
      <c r="O623" s="109"/>
      <c r="Q623" s="154"/>
      <c r="R623" s="155" t="s">
        <v>263</v>
      </c>
      <c r="S623" s="156">
        <v>0</v>
      </c>
    </row>
    <row r="624" spans="1:19" ht="17.25" customHeight="1">
      <c r="A624" s="108">
        <v>63524</v>
      </c>
      <c r="B624" s="108">
        <f t="shared" si="0"/>
        <v>63523</v>
      </c>
      <c r="C624" s="109"/>
      <c r="D624" s="109"/>
      <c r="E624" s="109"/>
      <c r="F624" s="109"/>
      <c r="G624" s="109"/>
      <c r="H624" s="109"/>
      <c r="I624" s="109">
        <f t="shared" ref="I624:J624" si="638">SUM(C624,E624,G624)</f>
        <v>0</v>
      </c>
      <c r="J624" s="109">
        <f t="shared" si="638"/>
        <v>0</v>
      </c>
      <c r="K624" s="109">
        <f>SUMIFS(Ações!$J$66,Ações!$N$66,Patrimônio!B624,Ações!$E$66,"Provento")</f>
        <v>0</v>
      </c>
      <c r="L624" s="109">
        <f>SUMIFS(BDRs!$J$66,BDRs!$E$66,"Provento",BDRs!$N$66,Patrimônio!B624)</f>
        <v>0</v>
      </c>
      <c r="M624" s="109">
        <f>SUMIFS(FIIs!$J$66,FIIs!$E$66,"Provento",FIIs!$N$66,Patrimônio!B624)</f>
        <v>0</v>
      </c>
      <c r="N624" s="109">
        <f t="shared" si="2"/>
        <v>0</v>
      </c>
      <c r="O624" s="109"/>
      <c r="Q624" s="154"/>
      <c r="R624" s="155" t="s">
        <v>264</v>
      </c>
      <c r="S624" s="156">
        <v>0</v>
      </c>
    </row>
    <row r="625" spans="1:19" ht="17.25" customHeight="1">
      <c r="A625" s="108">
        <v>63555</v>
      </c>
      <c r="B625" s="108">
        <f t="shared" si="0"/>
        <v>63554</v>
      </c>
      <c r="C625" s="109"/>
      <c r="D625" s="109"/>
      <c r="E625" s="109"/>
      <c r="F625" s="109"/>
      <c r="G625" s="109"/>
      <c r="H625" s="109"/>
      <c r="I625" s="109">
        <f t="shared" ref="I625:J625" si="639">SUM(C625,E625,G625)</f>
        <v>0</v>
      </c>
      <c r="J625" s="109">
        <f t="shared" si="639"/>
        <v>0</v>
      </c>
      <c r="K625" s="109">
        <f>SUMIFS(Ações!$J$66,Ações!$N$66,Patrimônio!B625,Ações!$E$66,"Provento")</f>
        <v>0</v>
      </c>
      <c r="L625" s="109">
        <f>SUMIFS(BDRs!$J$66,BDRs!$E$66,"Provento",BDRs!$N$66,Patrimônio!B625)</f>
        <v>0</v>
      </c>
      <c r="M625" s="109">
        <f>SUMIFS(FIIs!$J$66,FIIs!$E$66,"Provento",FIIs!$N$66,Patrimônio!B625)</f>
        <v>0</v>
      </c>
      <c r="N625" s="109">
        <f t="shared" si="2"/>
        <v>0</v>
      </c>
      <c r="O625" s="109"/>
      <c r="Q625" s="154"/>
      <c r="R625" s="155" t="s">
        <v>265</v>
      </c>
      <c r="S625" s="156">
        <v>0</v>
      </c>
    </row>
    <row r="626" spans="1:19" ht="17.25" customHeight="1">
      <c r="A626" s="108">
        <v>63586</v>
      </c>
      <c r="B626" s="108">
        <f t="shared" si="0"/>
        <v>63585</v>
      </c>
      <c r="C626" s="109"/>
      <c r="D626" s="109"/>
      <c r="E626" s="109"/>
      <c r="F626" s="109"/>
      <c r="G626" s="109"/>
      <c r="H626" s="109"/>
      <c r="I626" s="109">
        <f t="shared" ref="I626:J626" si="640">SUM(C626,E626,G626)</f>
        <v>0</v>
      </c>
      <c r="J626" s="109">
        <f t="shared" si="640"/>
        <v>0</v>
      </c>
      <c r="K626" s="109">
        <f>SUMIFS(Ações!$J$66,Ações!$N$66,Patrimônio!B626,Ações!$E$66,"Provento")</f>
        <v>0</v>
      </c>
      <c r="L626" s="109">
        <f>SUMIFS(BDRs!$J$66,BDRs!$E$66,"Provento",BDRs!$N$66,Patrimônio!B626)</f>
        <v>0</v>
      </c>
      <c r="M626" s="109">
        <f>SUMIFS(FIIs!$J$66,FIIs!$E$66,"Provento",FIIs!$N$66,Patrimônio!B626)</f>
        <v>0</v>
      </c>
      <c r="N626" s="109">
        <f t="shared" si="2"/>
        <v>0</v>
      </c>
      <c r="O626" s="109"/>
      <c r="Q626" s="154"/>
      <c r="R626" s="155" t="s">
        <v>266</v>
      </c>
      <c r="S626" s="156">
        <v>0</v>
      </c>
    </row>
    <row r="627" spans="1:19" ht="17.25" customHeight="1">
      <c r="A627" s="108">
        <v>63614</v>
      </c>
      <c r="B627" s="108">
        <f t="shared" si="0"/>
        <v>63613</v>
      </c>
      <c r="C627" s="109"/>
      <c r="D627" s="109"/>
      <c r="E627" s="109"/>
      <c r="F627" s="109"/>
      <c r="G627" s="109"/>
      <c r="H627" s="109"/>
      <c r="I627" s="109">
        <f t="shared" ref="I627:J627" si="641">SUM(C627,E627,G627)</f>
        <v>0</v>
      </c>
      <c r="J627" s="109">
        <f t="shared" si="641"/>
        <v>0</v>
      </c>
      <c r="K627" s="109">
        <f>SUMIFS(Ações!$J$66,Ações!$N$66,Patrimônio!B627,Ações!$E$66,"Provento")</f>
        <v>0</v>
      </c>
      <c r="L627" s="109">
        <f>SUMIFS(BDRs!$J$66,BDRs!$E$66,"Provento",BDRs!$N$66,Patrimônio!B627)</f>
        <v>0</v>
      </c>
      <c r="M627" s="109">
        <f>SUMIFS(FIIs!$J$66,FIIs!$E$66,"Provento",FIIs!$N$66,Patrimônio!B627)</f>
        <v>0</v>
      </c>
      <c r="N627" s="109">
        <f t="shared" si="2"/>
        <v>0</v>
      </c>
      <c r="O627" s="109"/>
      <c r="Q627" s="154"/>
      <c r="R627" s="155" t="s">
        <v>267</v>
      </c>
      <c r="S627" s="156">
        <v>0</v>
      </c>
    </row>
    <row r="628" spans="1:19" ht="17.25" customHeight="1">
      <c r="A628" s="108">
        <v>63645</v>
      </c>
      <c r="B628" s="108">
        <f t="shared" si="0"/>
        <v>63644</v>
      </c>
      <c r="C628" s="109"/>
      <c r="D628" s="109"/>
      <c r="E628" s="109"/>
      <c r="F628" s="109"/>
      <c r="G628" s="109"/>
      <c r="H628" s="109"/>
      <c r="I628" s="109">
        <f t="shared" ref="I628:J628" si="642">SUM(C628,E628,G628)</f>
        <v>0</v>
      </c>
      <c r="J628" s="109">
        <f t="shared" si="642"/>
        <v>0</v>
      </c>
      <c r="K628" s="109">
        <f>SUMIFS(Ações!$J$66,Ações!$N$66,Patrimônio!B628,Ações!$E$66,"Provento")</f>
        <v>0</v>
      </c>
      <c r="L628" s="109">
        <f>SUMIFS(BDRs!$J$66,BDRs!$E$66,"Provento",BDRs!$N$66,Patrimônio!B628)</f>
        <v>0</v>
      </c>
      <c r="M628" s="109">
        <f>SUMIFS(FIIs!$J$66,FIIs!$E$66,"Provento",FIIs!$N$66,Patrimônio!B628)</f>
        <v>0</v>
      </c>
      <c r="N628" s="109">
        <f t="shared" si="2"/>
        <v>0</v>
      </c>
      <c r="O628" s="109"/>
      <c r="Q628" s="154"/>
      <c r="R628" s="155" t="s">
        <v>268</v>
      </c>
      <c r="S628" s="156">
        <v>0</v>
      </c>
    </row>
    <row r="629" spans="1:19" ht="17.25" customHeight="1">
      <c r="A629" s="108">
        <v>63675</v>
      </c>
      <c r="B629" s="108">
        <f t="shared" si="0"/>
        <v>63674</v>
      </c>
      <c r="C629" s="109"/>
      <c r="D629" s="109"/>
      <c r="E629" s="109"/>
      <c r="F629" s="109"/>
      <c r="G629" s="109"/>
      <c r="H629" s="109"/>
      <c r="I629" s="109">
        <f t="shared" ref="I629:J629" si="643">SUM(C629,E629,G629)</f>
        <v>0</v>
      </c>
      <c r="J629" s="109">
        <f t="shared" si="643"/>
        <v>0</v>
      </c>
      <c r="K629" s="109">
        <f>SUMIFS(Ações!$J$66,Ações!$N$66,Patrimônio!B629,Ações!$E$66,"Provento")</f>
        <v>0</v>
      </c>
      <c r="L629" s="109">
        <f>SUMIFS(BDRs!$J$66,BDRs!$E$66,"Provento",BDRs!$N$66,Patrimônio!B629)</f>
        <v>0</v>
      </c>
      <c r="M629" s="109">
        <f>SUMIFS(FIIs!$J$66,FIIs!$E$66,"Provento",FIIs!$N$66,Patrimônio!B629)</f>
        <v>0</v>
      </c>
      <c r="N629" s="109">
        <f t="shared" si="2"/>
        <v>0</v>
      </c>
      <c r="O629" s="109"/>
      <c r="Q629" s="154"/>
      <c r="R629" s="155" t="s">
        <v>269</v>
      </c>
      <c r="S629" s="156">
        <v>0</v>
      </c>
    </row>
    <row r="630" spans="1:19" ht="17.25" customHeight="1">
      <c r="A630" s="108">
        <v>63706</v>
      </c>
      <c r="B630" s="108">
        <f t="shared" si="0"/>
        <v>63705</v>
      </c>
      <c r="C630" s="109"/>
      <c r="D630" s="109"/>
      <c r="E630" s="109"/>
      <c r="F630" s="109"/>
      <c r="G630" s="109"/>
      <c r="H630" s="109"/>
      <c r="I630" s="109">
        <f t="shared" ref="I630:J630" si="644">SUM(C630,E630,G630)</f>
        <v>0</v>
      </c>
      <c r="J630" s="109">
        <f t="shared" si="644"/>
        <v>0</v>
      </c>
      <c r="K630" s="109">
        <f>SUMIFS(Ações!$J$66,Ações!$N$66,Patrimônio!B630,Ações!$E$66,"Provento")</f>
        <v>0</v>
      </c>
      <c r="L630" s="109">
        <f>SUMIFS(BDRs!$J$66,BDRs!$E$66,"Provento",BDRs!$N$66,Patrimônio!B630)</f>
        <v>0</v>
      </c>
      <c r="M630" s="109">
        <f>SUMIFS(FIIs!$J$66,FIIs!$E$66,"Provento",FIIs!$N$66,Patrimônio!B630)</f>
        <v>0</v>
      </c>
      <c r="N630" s="109">
        <f t="shared" si="2"/>
        <v>0</v>
      </c>
      <c r="O630" s="109"/>
      <c r="Q630" s="154"/>
      <c r="R630" s="155" t="s">
        <v>270</v>
      </c>
      <c r="S630" s="156">
        <v>0</v>
      </c>
    </row>
    <row r="631" spans="1:19" ht="17.25" customHeight="1">
      <c r="A631" s="108">
        <v>63736</v>
      </c>
      <c r="B631" s="108">
        <f t="shared" si="0"/>
        <v>63735</v>
      </c>
      <c r="C631" s="109"/>
      <c r="D631" s="109"/>
      <c r="E631" s="109"/>
      <c r="F631" s="109"/>
      <c r="G631" s="109"/>
      <c r="H631" s="109"/>
      <c r="I631" s="109">
        <f t="shared" ref="I631:J631" si="645">SUM(C631,E631,G631)</f>
        <v>0</v>
      </c>
      <c r="J631" s="109">
        <f t="shared" si="645"/>
        <v>0</v>
      </c>
      <c r="K631" s="109">
        <f>SUMIFS(Ações!$J$66,Ações!$N$66,Patrimônio!B631,Ações!$E$66,"Provento")</f>
        <v>0</v>
      </c>
      <c r="L631" s="109">
        <f>SUMIFS(BDRs!$J$66,BDRs!$E$66,"Provento",BDRs!$N$66,Patrimônio!B631)</f>
        <v>0</v>
      </c>
      <c r="M631" s="109">
        <f>SUMIFS(FIIs!$J$66,FIIs!$E$66,"Provento",FIIs!$N$66,Patrimônio!B631)</f>
        <v>0</v>
      </c>
      <c r="N631" s="109">
        <f t="shared" si="2"/>
        <v>0</v>
      </c>
      <c r="O631" s="109"/>
      <c r="Q631" s="154"/>
      <c r="R631" s="155" t="s">
        <v>271</v>
      </c>
      <c r="S631" s="156">
        <v>0</v>
      </c>
    </row>
    <row r="632" spans="1:19" ht="17.25" customHeight="1">
      <c r="A632" s="108">
        <v>63767</v>
      </c>
      <c r="B632" s="108">
        <f t="shared" si="0"/>
        <v>63766</v>
      </c>
      <c r="C632" s="109"/>
      <c r="D632" s="109"/>
      <c r="E632" s="109"/>
      <c r="F632" s="109"/>
      <c r="G632" s="109"/>
      <c r="H632" s="109"/>
      <c r="I632" s="109">
        <f t="shared" ref="I632:J632" si="646">SUM(C632,E632,G632)</f>
        <v>0</v>
      </c>
      <c r="J632" s="109">
        <f t="shared" si="646"/>
        <v>0</v>
      </c>
      <c r="K632" s="109">
        <f>SUMIFS(Ações!$J$66,Ações!$N$66,Patrimônio!B632,Ações!$E$66,"Provento")</f>
        <v>0</v>
      </c>
      <c r="L632" s="109">
        <f>SUMIFS(BDRs!$J$66,BDRs!$E$66,"Provento",BDRs!$N$66,Patrimônio!B632)</f>
        <v>0</v>
      </c>
      <c r="M632" s="109">
        <f>SUMIFS(FIIs!$J$66,FIIs!$E$66,"Provento",FIIs!$N$66,Patrimônio!B632)</f>
        <v>0</v>
      </c>
      <c r="N632" s="109">
        <f t="shared" si="2"/>
        <v>0</v>
      </c>
      <c r="O632" s="109"/>
      <c r="Q632" s="154"/>
      <c r="R632" s="155" t="s">
        <v>272</v>
      </c>
      <c r="S632" s="156">
        <v>0</v>
      </c>
    </row>
    <row r="633" spans="1:19" ht="17.25" customHeight="1">
      <c r="A633" s="108">
        <v>63798</v>
      </c>
      <c r="B633" s="108">
        <f t="shared" si="0"/>
        <v>63797</v>
      </c>
      <c r="C633" s="109"/>
      <c r="D633" s="109"/>
      <c r="E633" s="109"/>
      <c r="F633" s="109"/>
      <c r="G633" s="109"/>
      <c r="H633" s="109"/>
      <c r="I633" s="109">
        <f t="shared" ref="I633:J633" si="647">SUM(C633,E633,G633)</f>
        <v>0</v>
      </c>
      <c r="J633" s="109">
        <f t="shared" si="647"/>
        <v>0</v>
      </c>
      <c r="K633" s="109">
        <f>SUMIFS(Ações!$J$66,Ações!$N$66,Patrimônio!B633,Ações!$E$66,"Provento")</f>
        <v>0</v>
      </c>
      <c r="L633" s="109">
        <f>SUMIFS(BDRs!$J$66,BDRs!$E$66,"Provento",BDRs!$N$66,Patrimônio!B633)</f>
        <v>0</v>
      </c>
      <c r="M633" s="109">
        <f>SUMIFS(FIIs!$J$66,FIIs!$E$66,"Provento",FIIs!$N$66,Patrimônio!B633)</f>
        <v>0</v>
      </c>
      <c r="N633" s="109">
        <f t="shared" si="2"/>
        <v>0</v>
      </c>
      <c r="O633" s="109"/>
      <c r="Q633" s="151" t="s">
        <v>184</v>
      </c>
      <c r="R633" s="157"/>
      <c r="S633" s="153">
        <v>0</v>
      </c>
    </row>
    <row r="634" spans="1:19" ht="17.25" customHeight="1">
      <c r="A634" s="108">
        <v>63828</v>
      </c>
      <c r="B634" s="108">
        <f t="shared" si="0"/>
        <v>63827</v>
      </c>
      <c r="C634" s="109"/>
      <c r="D634" s="109"/>
      <c r="E634" s="109"/>
      <c r="F634" s="109"/>
      <c r="G634" s="109"/>
      <c r="H634" s="109"/>
      <c r="I634" s="109">
        <f t="shared" ref="I634:J634" si="648">SUM(C634,E634,G634)</f>
        <v>0</v>
      </c>
      <c r="J634" s="109">
        <f t="shared" si="648"/>
        <v>0</v>
      </c>
      <c r="K634" s="109">
        <f>SUMIFS(Ações!$J$66,Ações!$N$66,Patrimônio!B634,Ações!$E$66,"Provento")</f>
        <v>0</v>
      </c>
      <c r="L634" s="109">
        <f>SUMIFS(BDRs!$J$66,BDRs!$E$66,"Provento",BDRs!$N$66,Patrimônio!B634)</f>
        <v>0</v>
      </c>
      <c r="M634" s="109">
        <f>SUMIFS(FIIs!$J$66,FIIs!$E$66,"Provento",FIIs!$N$66,Patrimônio!B634)</f>
        <v>0</v>
      </c>
      <c r="N634" s="109">
        <f t="shared" si="2"/>
        <v>0</v>
      </c>
      <c r="O634" s="109"/>
      <c r="Q634" s="151" t="s">
        <v>185</v>
      </c>
      <c r="R634" s="152" t="s">
        <v>261</v>
      </c>
      <c r="S634" s="153">
        <v>0</v>
      </c>
    </row>
    <row r="635" spans="1:19" ht="17.25" customHeight="1">
      <c r="A635" s="108">
        <v>63859</v>
      </c>
      <c r="B635" s="108">
        <f t="shared" si="0"/>
        <v>63858</v>
      </c>
      <c r="C635" s="109"/>
      <c r="D635" s="109"/>
      <c r="E635" s="109"/>
      <c r="F635" s="109"/>
      <c r="G635" s="109"/>
      <c r="H635" s="109"/>
      <c r="I635" s="109">
        <f t="shared" ref="I635:J635" si="649">SUM(C635,E635,G635)</f>
        <v>0</v>
      </c>
      <c r="J635" s="109">
        <f t="shared" si="649"/>
        <v>0</v>
      </c>
      <c r="K635" s="109">
        <f>SUMIFS(Ações!$J$66,Ações!$N$66,Patrimônio!B635,Ações!$E$66,"Provento")</f>
        <v>0</v>
      </c>
      <c r="L635" s="109">
        <f>SUMIFS(BDRs!$J$66,BDRs!$E$66,"Provento",BDRs!$N$66,Patrimônio!B635)</f>
        <v>0</v>
      </c>
      <c r="M635" s="109">
        <f>SUMIFS(FIIs!$J$66,FIIs!$E$66,"Provento",FIIs!$N$66,Patrimônio!B635)</f>
        <v>0</v>
      </c>
      <c r="N635" s="109">
        <f t="shared" si="2"/>
        <v>0</v>
      </c>
      <c r="O635" s="109"/>
      <c r="Q635" s="154"/>
      <c r="R635" s="155" t="s">
        <v>262</v>
      </c>
      <c r="S635" s="156">
        <v>0</v>
      </c>
    </row>
    <row r="636" spans="1:19" ht="17.25" customHeight="1">
      <c r="A636" s="108">
        <v>63889</v>
      </c>
      <c r="B636" s="108">
        <f t="shared" si="0"/>
        <v>63888</v>
      </c>
      <c r="C636" s="109"/>
      <c r="D636" s="109"/>
      <c r="E636" s="109"/>
      <c r="F636" s="109"/>
      <c r="G636" s="109"/>
      <c r="H636" s="109"/>
      <c r="I636" s="109">
        <f t="shared" ref="I636:J636" si="650">SUM(C636,E636,G636)</f>
        <v>0</v>
      </c>
      <c r="J636" s="109">
        <f t="shared" si="650"/>
        <v>0</v>
      </c>
      <c r="K636" s="109">
        <f>SUMIFS(Ações!$J$66,Ações!$N$66,Patrimônio!B636,Ações!$E$66,"Provento")</f>
        <v>0</v>
      </c>
      <c r="L636" s="109">
        <f>SUMIFS(BDRs!$J$66,BDRs!$E$66,"Provento",BDRs!$N$66,Patrimônio!B636)</f>
        <v>0</v>
      </c>
      <c r="M636" s="109">
        <f>SUMIFS(FIIs!$J$66,FIIs!$E$66,"Provento",FIIs!$N$66,Patrimônio!B636)</f>
        <v>0</v>
      </c>
      <c r="N636" s="109">
        <f t="shared" si="2"/>
        <v>0</v>
      </c>
      <c r="O636" s="109"/>
      <c r="Q636" s="154"/>
      <c r="R636" s="155" t="s">
        <v>263</v>
      </c>
      <c r="S636" s="156">
        <v>0</v>
      </c>
    </row>
    <row r="637" spans="1:19" ht="17.25" customHeight="1">
      <c r="A637" s="108">
        <v>63920</v>
      </c>
      <c r="B637" s="108">
        <f t="shared" si="0"/>
        <v>63919</v>
      </c>
      <c r="C637" s="109"/>
      <c r="D637" s="109"/>
      <c r="E637" s="109"/>
      <c r="F637" s="109"/>
      <c r="G637" s="109"/>
      <c r="H637" s="109"/>
      <c r="I637" s="109">
        <f t="shared" ref="I637:J637" si="651">SUM(C637,E637,G637)</f>
        <v>0</v>
      </c>
      <c r="J637" s="109">
        <f t="shared" si="651"/>
        <v>0</v>
      </c>
      <c r="K637" s="109">
        <f>SUMIFS(Ações!$J$66,Ações!$N$66,Patrimônio!B637,Ações!$E$66,"Provento")</f>
        <v>0</v>
      </c>
      <c r="L637" s="109">
        <f>SUMIFS(BDRs!$J$66,BDRs!$E$66,"Provento",BDRs!$N$66,Patrimônio!B637)</f>
        <v>0</v>
      </c>
      <c r="M637" s="109">
        <f>SUMIFS(FIIs!$J$66,FIIs!$E$66,"Provento",FIIs!$N$66,Patrimônio!B637)</f>
        <v>0</v>
      </c>
      <c r="N637" s="109">
        <f t="shared" si="2"/>
        <v>0</v>
      </c>
      <c r="O637" s="109"/>
      <c r="Q637" s="154"/>
      <c r="R637" s="155" t="s">
        <v>264</v>
      </c>
      <c r="S637" s="156">
        <v>0</v>
      </c>
    </row>
    <row r="638" spans="1:19" ht="17.25" customHeight="1">
      <c r="A638" s="108">
        <v>63951</v>
      </c>
      <c r="B638" s="108">
        <f t="shared" si="0"/>
        <v>63950</v>
      </c>
      <c r="C638" s="109"/>
      <c r="D638" s="109"/>
      <c r="E638" s="109"/>
      <c r="F638" s="109"/>
      <c r="G638" s="109"/>
      <c r="H638" s="109"/>
      <c r="I638" s="109">
        <f t="shared" ref="I638:J638" si="652">SUM(C638,E638,G638)</f>
        <v>0</v>
      </c>
      <c r="J638" s="109">
        <f t="shared" si="652"/>
        <v>0</v>
      </c>
      <c r="K638" s="109">
        <f>SUMIFS(Ações!$J$66,Ações!$N$66,Patrimônio!B638,Ações!$E$66,"Provento")</f>
        <v>0</v>
      </c>
      <c r="L638" s="109">
        <f>SUMIFS(BDRs!$J$66,BDRs!$E$66,"Provento",BDRs!$N$66,Patrimônio!B638)</f>
        <v>0</v>
      </c>
      <c r="M638" s="109">
        <f>SUMIFS(FIIs!$J$66,FIIs!$E$66,"Provento",FIIs!$N$66,Patrimônio!B638)</f>
        <v>0</v>
      </c>
      <c r="N638" s="109">
        <f t="shared" si="2"/>
        <v>0</v>
      </c>
      <c r="O638" s="109"/>
      <c r="Q638" s="154"/>
      <c r="R638" s="155" t="s">
        <v>265</v>
      </c>
      <c r="S638" s="156">
        <v>0</v>
      </c>
    </row>
    <row r="639" spans="1:19" ht="17.25" customHeight="1">
      <c r="A639" s="108">
        <v>63979</v>
      </c>
      <c r="B639" s="108">
        <f t="shared" si="0"/>
        <v>63978</v>
      </c>
      <c r="C639" s="109"/>
      <c r="D639" s="109"/>
      <c r="E639" s="109"/>
      <c r="F639" s="109"/>
      <c r="G639" s="109"/>
      <c r="H639" s="109"/>
      <c r="I639" s="109">
        <f t="shared" ref="I639:J639" si="653">SUM(C639,E639,G639)</f>
        <v>0</v>
      </c>
      <c r="J639" s="109">
        <f t="shared" si="653"/>
        <v>0</v>
      </c>
      <c r="K639" s="109">
        <f>SUMIFS(Ações!$J$66,Ações!$N$66,Patrimônio!B639,Ações!$E$66,"Provento")</f>
        <v>0</v>
      </c>
      <c r="L639" s="109">
        <f>SUMIFS(BDRs!$J$66,BDRs!$E$66,"Provento",BDRs!$N$66,Patrimônio!B639)</f>
        <v>0</v>
      </c>
      <c r="M639" s="109">
        <f>SUMIFS(FIIs!$J$66,FIIs!$E$66,"Provento",FIIs!$N$66,Patrimônio!B639)</f>
        <v>0</v>
      </c>
      <c r="N639" s="109">
        <f t="shared" si="2"/>
        <v>0</v>
      </c>
      <c r="O639" s="109"/>
      <c r="Q639" s="154"/>
      <c r="R639" s="155" t="s">
        <v>266</v>
      </c>
      <c r="S639" s="156">
        <v>0</v>
      </c>
    </row>
    <row r="640" spans="1:19" ht="17.25" customHeight="1">
      <c r="A640" s="108">
        <v>64010</v>
      </c>
      <c r="B640" s="108">
        <f t="shared" si="0"/>
        <v>64009</v>
      </c>
      <c r="C640" s="109"/>
      <c r="D640" s="109"/>
      <c r="E640" s="109"/>
      <c r="F640" s="109"/>
      <c r="G640" s="109"/>
      <c r="H640" s="109"/>
      <c r="I640" s="109">
        <f t="shared" ref="I640:J640" si="654">SUM(C640,E640,G640)</f>
        <v>0</v>
      </c>
      <c r="J640" s="109">
        <f t="shared" si="654"/>
        <v>0</v>
      </c>
      <c r="K640" s="109">
        <f>SUMIFS(Ações!$J$66,Ações!$N$66,Patrimônio!B640,Ações!$E$66,"Provento")</f>
        <v>0</v>
      </c>
      <c r="L640" s="109">
        <f>SUMIFS(BDRs!$J$66,BDRs!$E$66,"Provento",BDRs!$N$66,Patrimônio!B640)</f>
        <v>0</v>
      </c>
      <c r="M640" s="109">
        <f>SUMIFS(FIIs!$J$66,FIIs!$E$66,"Provento",FIIs!$N$66,Patrimônio!B640)</f>
        <v>0</v>
      </c>
      <c r="N640" s="109">
        <f t="shared" si="2"/>
        <v>0</v>
      </c>
      <c r="O640" s="109"/>
      <c r="Q640" s="154"/>
      <c r="R640" s="155" t="s">
        <v>267</v>
      </c>
      <c r="S640" s="156">
        <v>0</v>
      </c>
    </row>
    <row r="641" spans="1:19" ht="17.25" customHeight="1">
      <c r="A641" s="108">
        <v>64040</v>
      </c>
      <c r="B641" s="108">
        <f t="shared" si="0"/>
        <v>64039</v>
      </c>
      <c r="C641" s="109"/>
      <c r="D641" s="109"/>
      <c r="E641" s="109"/>
      <c r="F641" s="109"/>
      <c r="G641" s="109"/>
      <c r="H641" s="109"/>
      <c r="I641" s="109">
        <f t="shared" ref="I641:J641" si="655">SUM(C641,E641,G641)</f>
        <v>0</v>
      </c>
      <c r="J641" s="109">
        <f t="shared" si="655"/>
        <v>0</v>
      </c>
      <c r="K641" s="109">
        <f>SUMIFS(Ações!$J$66,Ações!$N$66,Patrimônio!B641,Ações!$E$66,"Provento")</f>
        <v>0</v>
      </c>
      <c r="L641" s="109">
        <f>SUMIFS(BDRs!$J$66,BDRs!$E$66,"Provento",BDRs!$N$66,Patrimônio!B641)</f>
        <v>0</v>
      </c>
      <c r="M641" s="109">
        <f>SUMIFS(FIIs!$J$66,FIIs!$E$66,"Provento",FIIs!$N$66,Patrimônio!B641)</f>
        <v>0</v>
      </c>
      <c r="N641" s="109">
        <f t="shared" si="2"/>
        <v>0</v>
      </c>
      <c r="O641" s="109"/>
      <c r="Q641" s="154"/>
      <c r="R641" s="155" t="s">
        <v>268</v>
      </c>
      <c r="S641" s="156">
        <v>0</v>
      </c>
    </row>
    <row r="642" spans="1:19" ht="17.25" customHeight="1">
      <c r="A642" s="108">
        <v>64071</v>
      </c>
      <c r="B642" s="108">
        <f t="shared" si="0"/>
        <v>64070</v>
      </c>
      <c r="C642" s="109"/>
      <c r="D642" s="109"/>
      <c r="E642" s="109"/>
      <c r="F642" s="109"/>
      <c r="G642" s="109"/>
      <c r="H642" s="109"/>
      <c r="I642" s="109">
        <f t="shared" ref="I642:J642" si="656">SUM(C642,E642,G642)</f>
        <v>0</v>
      </c>
      <c r="J642" s="109">
        <f t="shared" si="656"/>
        <v>0</v>
      </c>
      <c r="K642" s="109">
        <f>SUMIFS(Ações!$J$66,Ações!$N$66,Patrimônio!B642,Ações!$E$66,"Provento")</f>
        <v>0</v>
      </c>
      <c r="L642" s="109">
        <f>SUMIFS(BDRs!$J$66,BDRs!$E$66,"Provento",BDRs!$N$66,Patrimônio!B642)</f>
        <v>0</v>
      </c>
      <c r="M642" s="109">
        <f>SUMIFS(FIIs!$J$66,FIIs!$E$66,"Provento",FIIs!$N$66,Patrimônio!B642)</f>
        <v>0</v>
      </c>
      <c r="N642" s="109">
        <f t="shared" si="2"/>
        <v>0</v>
      </c>
      <c r="O642" s="109"/>
      <c r="Q642" s="154"/>
      <c r="R642" s="155" t="s">
        <v>269</v>
      </c>
      <c r="S642" s="156">
        <v>0</v>
      </c>
    </row>
    <row r="643" spans="1:19" ht="17.25" customHeight="1">
      <c r="A643" s="108">
        <v>64101</v>
      </c>
      <c r="B643" s="108">
        <f t="shared" si="0"/>
        <v>64100</v>
      </c>
      <c r="C643" s="109"/>
      <c r="D643" s="109"/>
      <c r="E643" s="109"/>
      <c r="F643" s="109"/>
      <c r="G643" s="109"/>
      <c r="H643" s="109"/>
      <c r="I643" s="109">
        <f t="shared" ref="I643:J643" si="657">SUM(C643,E643,G643)</f>
        <v>0</v>
      </c>
      <c r="J643" s="109">
        <f t="shared" si="657"/>
        <v>0</v>
      </c>
      <c r="K643" s="109">
        <f>SUMIFS(Ações!$J$66,Ações!$N$66,Patrimônio!B643,Ações!$E$66,"Provento")</f>
        <v>0</v>
      </c>
      <c r="L643" s="109">
        <f>SUMIFS(BDRs!$J$66,BDRs!$E$66,"Provento",BDRs!$N$66,Patrimônio!B643)</f>
        <v>0</v>
      </c>
      <c r="M643" s="109">
        <f>SUMIFS(FIIs!$J$66,FIIs!$E$66,"Provento",FIIs!$N$66,Patrimônio!B643)</f>
        <v>0</v>
      </c>
      <c r="N643" s="109">
        <f t="shared" si="2"/>
        <v>0</v>
      </c>
      <c r="O643" s="109"/>
      <c r="Q643" s="154"/>
      <c r="R643" s="155" t="s">
        <v>270</v>
      </c>
      <c r="S643" s="156">
        <v>0</v>
      </c>
    </row>
    <row r="644" spans="1:19" ht="17.25" customHeight="1">
      <c r="A644" s="108">
        <v>64132</v>
      </c>
      <c r="B644" s="108">
        <f t="shared" si="0"/>
        <v>64131</v>
      </c>
      <c r="C644" s="109"/>
      <c r="D644" s="109"/>
      <c r="E644" s="109"/>
      <c r="F644" s="109"/>
      <c r="G644" s="109"/>
      <c r="H644" s="109"/>
      <c r="I644" s="109">
        <f t="shared" ref="I644:J644" si="658">SUM(C644,E644,G644)</f>
        <v>0</v>
      </c>
      <c r="J644" s="109">
        <f t="shared" si="658"/>
        <v>0</v>
      </c>
      <c r="K644" s="109">
        <f>SUMIFS(Ações!$J$66,Ações!$N$66,Patrimônio!B644,Ações!$E$66,"Provento")</f>
        <v>0</v>
      </c>
      <c r="L644" s="109">
        <f>SUMIFS(BDRs!$J$66,BDRs!$E$66,"Provento",BDRs!$N$66,Patrimônio!B644)</f>
        <v>0</v>
      </c>
      <c r="M644" s="109">
        <f>SUMIFS(FIIs!$J$66,FIIs!$E$66,"Provento",FIIs!$N$66,Patrimônio!B644)</f>
        <v>0</v>
      </c>
      <c r="N644" s="109">
        <f t="shared" si="2"/>
        <v>0</v>
      </c>
      <c r="O644" s="109"/>
      <c r="Q644" s="154"/>
      <c r="R644" s="155" t="s">
        <v>271</v>
      </c>
      <c r="S644" s="156">
        <v>0</v>
      </c>
    </row>
    <row r="645" spans="1:19" ht="17.25" customHeight="1">
      <c r="A645" s="108">
        <v>64163</v>
      </c>
      <c r="B645" s="108">
        <f t="shared" si="0"/>
        <v>64162</v>
      </c>
      <c r="C645" s="109"/>
      <c r="D645" s="109"/>
      <c r="E645" s="109"/>
      <c r="F645" s="109"/>
      <c r="G645" s="109"/>
      <c r="H645" s="109"/>
      <c r="I645" s="109">
        <f t="shared" ref="I645:J645" si="659">SUM(C645,E645,G645)</f>
        <v>0</v>
      </c>
      <c r="J645" s="109">
        <f t="shared" si="659"/>
        <v>0</v>
      </c>
      <c r="K645" s="109">
        <f>SUMIFS(Ações!$J$66,Ações!$N$66,Patrimônio!B645,Ações!$E$66,"Provento")</f>
        <v>0</v>
      </c>
      <c r="L645" s="109">
        <f>SUMIFS(BDRs!$J$66,BDRs!$E$66,"Provento",BDRs!$N$66,Patrimônio!B645)</f>
        <v>0</v>
      </c>
      <c r="M645" s="109">
        <f>SUMIFS(FIIs!$J$66,FIIs!$E$66,"Provento",FIIs!$N$66,Patrimônio!B645)</f>
        <v>0</v>
      </c>
      <c r="N645" s="109">
        <f t="shared" si="2"/>
        <v>0</v>
      </c>
      <c r="O645" s="109"/>
      <c r="Q645" s="154"/>
      <c r="R645" s="155" t="s">
        <v>272</v>
      </c>
      <c r="S645" s="156">
        <v>0</v>
      </c>
    </row>
    <row r="646" spans="1:19" ht="17.25" customHeight="1">
      <c r="A646" s="108">
        <v>64193</v>
      </c>
      <c r="B646" s="108">
        <f t="shared" si="0"/>
        <v>64192</v>
      </c>
      <c r="C646" s="109"/>
      <c r="D646" s="109"/>
      <c r="E646" s="109"/>
      <c r="F646" s="109"/>
      <c r="G646" s="109"/>
      <c r="H646" s="109"/>
      <c r="I646" s="109">
        <f t="shared" ref="I646:J646" si="660">SUM(C646,E646,G646)</f>
        <v>0</v>
      </c>
      <c r="J646" s="109">
        <f t="shared" si="660"/>
        <v>0</v>
      </c>
      <c r="K646" s="109">
        <f>SUMIFS(Ações!$J$66,Ações!$N$66,Patrimônio!B646,Ações!$E$66,"Provento")</f>
        <v>0</v>
      </c>
      <c r="L646" s="109">
        <f>SUMIFS(BDRs!$J$66,BDRs!$E$66,"Provento",BDRs!$N$66,Patrimônio!B646)</f>
        <v>0</v>
      </c>
      <c r="M646" s="109">
        <f>SUMIFS(FIIs!$J$66,FIIs!$E$66,"Provento",FIIs!$N$66,Patrimônio!B646)</f>
        <v>0</v>
      </c>
      <c r="N646" s="109">
        <f t="shared" si="2"/>
        <v>0</v>
      </c>
      <c r="O646" s="109"/>
      <c r="Q646" s="151" t="s">
        <v>186</v>
      </c>
      <c r="R646" s="157"/>
      <c r="S646" s="153">
        <v>0</v>
      </c>
    </row>
    <row r="647" spans="1:19" ht="17.25" customHeight="1">
      <c r="A647" s="108">
        <v>64224</v>
      </c>
      <c r="B647" s="108">
        <f t="shared" si="0"/>
        <v>64223</v>
      </c>
      <c r="C647" s="109"/>
      <c r="D647" s="109"/>
      <c r="E647" s="109"/>
      <c r="F647" s="109"/>
      <c r="G647" s="109"/>
      <c r="H647" s="109"/>
      <c r="I647" s="109">
        <f t="shared" ref="I647:J647" si="661">SUM(C647,E647,G647)</f>
        <v>0</v>
      </c>
      <c r="J647" s="109">
        <f t="shared" si="661"/>
        <v>0</v>
      </c>
      <c r="K647" s="109">
        <f>SUMIFS(Ações!$J$66,Ações!$N$66,Patrimônio!B647,Ações!$E$66,"Provento")</f>
        <v>0</v>
      </c>
      <c r="L647" s="109">
        <f>SUMIFS(BDRs!$J$66,BDRs!$E$66,"Provento",BDRs!$N$66,Patrimônio!B647)</f>
        <v>0</v>
      </c>
      <c r="M647" s="109">
        <f>SUMIFS(FIIs!$J$66,FIIs!$E$66,"Provento",FIIs!$N$66,Patrimônio!B647)</f>
        <v>0</v>
      </c>
      <c r="N647" s="109">
        <f t="shared" si="2"/>
        <v>0</v>
      </c>
      <c r="O647" s="109"/>
      <c r="Q647" s="151" t="s">
        <v>187</v>
      </c>
      <c r="R647" s="152" t="s">
        <v>261</v>
      </c>
      <c r="S647" s="153">
        <v>0</v>
      </c>
    </row>
    <row r="648" spans="1:19" ht="17.25" customHeight="1">
      <c r="A648" s="108">
        <v>64254</v>
      </c>
      <c r="B648" s="108">
        <f t="shared" si="0"/>
        <v>64253</v>
      </c>
      <c r="C648" s="109"/>
      <c r="D648" s="109"/>
      <c r="E648" s="109"/>
      <c r="F648" s="109"/>
      <c r="G648" s="109"/>
      <c r="H648" s="109"/>
      <c r="I648" s="109">
        <f t="shared" ref="I648:J648" si="662">SUM(C648,E648,G648)</f>
        <v>0</v>
      </c>
      <c r="J648" s="109">
        <f t="shared" si="662"/>
        <v>0</v>
      </c>
      <c r="K648" s="109">
        <f>SUMIFS(Ações!$J$66,Ações!$N$66,Patrimônio!B648,Ações!$E$66,"Provento")</f>
        <v>0</v>
      </c>
      <c r="L648" s="109">
        <f>SUMIFS(BDRs!$J$66,BDRs!$E$66,"Provento",BDRs!$N$66,Patrimônio!B648)</f>
        <v>0</v>
      </c>
      <c r="M648" s="109">
        <f>SUMIFS(FIIs!$J$66,FIIs!$E$66,"Provento",FIIs!$N$66,Patrimônio!B648)</f>
        <v>0</v>
      </c>
      <c r="N648" s="109">
        <f t="shared" si="2"/>
        <v>0</v>
      </c>
      <c r="O648" s="109"/>
      <c r="Q648" s="154"/>
      <c r="R648" s="155" t="s">
        <v>262</v>
      </c>
      <c r="S648" s="156">
        <v>0</v>
      </c>
    </row>
    <row r="649" spans="1:19" ht="17.25" customHeight="1">
      <c r="A649" s="108">
        <v>64285</v>
      </c>
      <c r="B649" s="108">
        <f t="shared" si="0"/>
        <v>64284</v>
      </c>
      <c r="C649" s="109"/>
      <c r="D649" s="109"/>
      <c r="E649" s="109"/>
      <c r="F649" s="109"/>
      <c r="G649" s="109"/>
      <c r="H649" s="109"/>
      <c r="I649" s="109">
        <f t="shared" ref="I649:J649" si="663">SUM(C649,E649,G649)</f>
        <v>0</v>
      </c>
      <c r="J649" s="109">
        <f t="shared" si="663"/>
        <v>0</v>
      </c>
      <c r="K649" s="109">
        <f>SUMIFS(Ações!$J$66,Ações!$N$66,Patrimônio!B649,Ações!$E$66,"Provento")</f>
        <v>0</v>
      </c>
      <c r="L649" s="109">
        <f>SUMIFS(BDRs!$J$66,BDRs!$E$66,"Provento",BDRs!$N$66,Patrimônio!B649)</f>
        <v>0</v>
      </c>
      <c r="M649" s="109">
        <f>SUMIFS(FIIs!$J$66,FIIs!$E$66,"Provento",FIIs!$N$66,Patrimônio!B649)</f>
        <v>0</v>
      </c>
      <c r="N649" s="109">
        <f t="shared" si="2"/>
        <v>0</v>
      </c>
      <c r="O649" s="109"/>
      <c r="Q649" s="154"/>
      <c r="R649" s="155" t="s">
        <v>263</v>
      </c>
      <c r="S649" s="156">
        <v>0</v>
      </c>
    </row>
    <row r="650" spans="1:19" ht="17.25" customHeight="1">
      <c r="A650" s="108">
        <v>64316</v>
      </c>
      <c r="B650" s="108">
        <f t="shared" si="0"/>
        <v>64315</v>
      </c>
      <c r="C650" s="109"/>
      <c r="D650" s="109"/>
      <c r="E650" s="109"/>
      <c r="F650" s="109"/>
      <c r="G650" s="109"/>
      <c r="H650" s="109"/>
      <c r="I650" s="109">
        <f t="shared" ref="I650:J650" si="664">SUM(C650,E650,G650)</f>
        <v>0</v>
      </c>
      <c r="J650" s="109">
        <f t="shared" si="664"/>
        <v>0</v>
      </c>
      <c r="K650" s="109">
        <f>SUMIFS(Ações!$J$66,Ações!$N$66,Patrimônio!B650,Ações!$E$66,"Provento")</f>
        <v>0</v>
      </c>
      <c r="L650" s="109">
        <f>SUMIFS(BDRs!$J$66,BDRs!$E$66,"Provento",BDRs!$N$66,Patrimônio!B650)</f>
        <v>0</v>
      </c>
      <c r="M650" s="109">
        <f>SUMIFS(FIIs!$J$66,FIIs!$E$66,"Provento",FIIs!$N$66,Patrimônio!B650)</f>
        <v>0</v>
      </c>
      <c r="N650" s="109">
        <f t="shared" si="2"/>
        <v>0</v>
      </c>
      <c r="O650" s="109"/>
      <c r="Q650" s="154"/>
      <c r="R650" s="155" t="s">
        <v>264</v>
      </c>
      <c r="S650" s="156">
        <v>0</v>
      </c>
    </row>
    <row r="651" spans="1:19" ht="17.25" customHeight="1">
      <c r="A651" s="108">
        <v>64345</v>
      </c>
      <c r="B651" s="108">
        <f t="shared" si="0"/>
        <v>64344</v>
      </c>
      <c r="C651" s="109"/>
      <c r="D651" s="109"/>
      <c r="E651" s="109"/>
      <c r="F651" s="109"/>
      <c r="G651" s="109"/>
      <c r="H651" s="109"/>
      <c r="I651" s="109">
        <f t="shared" ref="I651:J651" si="665">SUM(C651,E651,G651)</f>
        <v>0</v>
      </c>
      <c r="J651" s="109">
        <f t="shared" si="665"/>
        <v>0</v>
      </c>
      <c r="K651" s="109">
        <f>SUMIFS(Ações!$J$66,Ações!$N$66,Patrimônio!B651,Ações!$E$66,"Provento")</f>
        <v>0</v>
      </c>
      <c r="L651" s="109">
        <f>SUMIFS(BDRs!$J$66,BDRs!$E$66,"Provento",BDRs!$N$66,Patrimônio!B651)</f>
        <v>0</v>
      </c>
      <c r="M651" s="109">
        <f>SUMIFS(FIIs!$J$66,FIIs!$E$66,"Provento",FIIs!$N$66,Patrimônio!B651)</f>
        <v>0</v>
      </c>
      <c r="N651" s="109">
        <f t="shared" si="2"/>
        <v>0</v>
      </c>
      <c r="O651" s="109"/>
      <c r="Q651" s="154"/>
      <c r="R651" s="155" t="s">
        <v>265</v>
      </c>
      <c r="S651" s="156">
        <v>0</v>
      </c>
    </row>
    <row r="652" spans="1:19" ht="17.25" customHeight="1">
      <c r="A652" s="108">
        <v>64376</v>
      </c>
      <c r="B652" s="108">
        <f t="shared" si="0"/>
        <v>64375</v>
      </c>
      <c r="C652" s="109"/>
      <c r="D652" s="109"/>
      <c r="E652" s="109"/>
      <c r="F652" s="109"/>
      <c r="G652" s="109"/>
      <c r="H652" s="109"/>
      <c r="I652" s="109">
        <f t="shared" ref="I652:J652" si="666">SUM(C652,E652,G652)</f>
        <v>0</v>
      </c>
      <c r="J652" s="109">
        <f t="shared" si="666"/>
        <v>0</v>
      </c>
      <c r="K652" s="109">
        <f>SUMIFS(Ações!$J$66,Ações!$N$66,Patrimônio!B652,Ações!$E$66,"Provento")</f>
        <v>0</v>
      </c>
      <c r="L652" s="109">
        <f>SUMIFS(BDRs!$J$66,BDRs!$E$66,"Provento",BDRs!$N$66,Patrimônio!B652)</f>
        <v>0</v>
      </c>
      <c r="M652" s="109">
        <f>SUMIFS(FIIs!$J$66,FIIs!$E$66,"Provento",FIIs!$N$66,Patrimônio!B652)</f>
        <v>0</v>
      </c>
      <c r="N652" s="109">
        <f t="shared" si="2"/>
        <v>0</v>
      </c>
      <c r="O652" s="109"/>
      <c r="Q652" s="154"/>
      <c r="R652" s="155" t="s">
        <v>266</v>
      </c>
      <c r="S652" s="156">
        <v>0</v>
      </c>
    </row>
    <row r="653" spans="1:19" ht="17.25" customHeight="1">
      <c r="A653" s="108">
        <v>64406</v>
      </c>
      <c r="B653" s="108">
        <f t="shared" si="0"/>
        <v>64405</v>
      </c>
      <c r="C653" s="109"/>
      <c r="D653" s="109"/>
      <c r="E653" s="109"/>
      <c r="F653" s="109"/>
      <c r="G653" s="109"/>
      <c r="H653" s="109"/>
      <c r="I653" s="109">
        <f t="shared" ref="I653:J653" si="667">SUM(C653,E653,G653)</f>
        <v>0</v>
      </c>
      <c r="J653" s="109">
        <f t="shared" si="667"/>
        <v>0</v>
      </c>
      <c r="K653" s="109">
        <f>SUMIFS(Ações!$J$66,Ações!$N$66,Patrimônio!B653,Ações!$E$66,"Provento")</f>
        <v>0</v>
      </c>
      <c r="L653" s="109">
        <f>SUMIFS(BDRs!$J$66,BDRs!$E$66,"Provento",BDRs!$N$66,Patrimônio!B653)</f>
        <v>0</v>
      </c>
      <c r="M653" s="109">
        <f>SUMIFS(FIIs!$J$66,FIIs!$E$66,"Provento",FIIs!$N$66,Patrimônio!B653)</f>
        <v>0</v>
      </c>
      <c r="N653" s="109">
        <f t="shared" si="2"/>
        <v>0</v>
      </c>
      <c r="O653" s="109"/>
      <c r="Q653" s="154"/>
      <c r="R653" s="155" t="s">
        <v>267</v>
      </c>
      <c r="S653" s="156">
        <v>0</v>
      </c>
    </row>
    <row r="654" spans="1:19" ht="17.25" customHeight="1">
      <c r="A654" s="108">
        <v>64437</v>
      </c>
      <c r="B654" s="108">
        <f t="shared" si="0"/>
        <v>64436</v>
      </c>
      <c r="C654" s="109"/>
      <c r="D654" s="109"/>
      <c r="E654" s="109"/>
      <c r="F654" s="109"/>
      <c r="G654" s="109"/>
      <c r="H654" s="109"/>
      <c r="I654" s="109">
        <f t="shared" ref="I654:J654" si="668">SUM(C654,E654,G654)</f>
        <v>0</v>
      </c>
      <c r="J654" s="109">
        <f t="shared" si="668"/>
        <v>0</v>
      </c>
      <c r="K654" s="109">
        <f>SUMIFS(Ações!$J$66,Ações!$N$66,Patrimônio!B654,Ações!$E$66,"Provento")</f>
        <v>0</v>
      </c>
      <c r="L654" s="109">
        <f>SUMIFS(BDRs!$J$66,BDRs!$E$66,"Provento",BDRs!$N$66,Patrimônio!B654)</f>
        <v>0</v>
      </c>
      <c r="M654" s="109">
        <f>SUMIFS(FIIs!$J$66,FIIs!$E$66,"Provento",FIIs!$N$66,Patrimônio!B654)</f>
        <v>0</v>
      </c>
      <c r="N654" s="109">
        <f t="shared" si="2"/>
        <v>0</v>
      </c>
      <c r="O654" s="109"/>
      <c r="Q654" s="154"/>
      <c r="R654" s="155" t="s">
        <v>268</v>
      </c>
      <c r="S654" s="156">
        <v>0</v>
      </c>
    </row>
    <row r="655" spans="1:19" ht="17.25" customHeight="1">
      <c r="A655" s="108">
        <v>64467</v>
      </c>
      <c r="B655" s="108">
        <f t="shared" si="0"/>
        <v>64466</v>
      </c>
      <c r="C655" s="109"/>
      <c r="D655" s="109"/>
      <c r="E655" s="109"/>
      <c r="F655" s="109"/>
      <c r="G655" s="109"/>
      <c r="H655" s="109"/>
      <c r="I655" s="109">
        <f t="shared" ref="I655:J655" si="669">SUM(C655,E655,G655)</f>
        <v>0</v>
      </c>
      <c r="J655" s="109">
        <f t="shared" si="669"/>
        <v>0</v>
      </c>
      <c r="K655" s="109">
        <f>SUMIFS(Ações!$J$66,Ações!$N$66,Patrimônio!B655,Ações!$E$66,"Provento")</f>
        <v>0</v>
      </c>
      <c r="L655" s="109">
        <f>SUMIFS(BDRs!$J$66,BDRs!$E$66,"Provento",BDRs!$N$66,Patrimônio!B655)</f>
        <v>0</v>
      </c>
      <c r="M655" s="109">
        <f>SUMIFS(FIIs!$J$66,FIIs!$E$66,"Provento",FIIs!$N$66,Patrimônio!B655)</f>
        <v>0</v>
      </c>
      <c r="N655" s="109">
        <f t="shared" si="2"/>
        <v>0</v>
      </c>
      <c r="O655" s="109"/>
      <c r="Q655" s="154"/>
      <c r="R655" s="155" t="s">
        <v>269</v>
      </c>
      <c r="S655" s="156">
        <v>0</v>
      </c>
    </row>
    <row r="656" spans="1:19" ht="17.25" customHeight="1">
      <c r="A656" s="108">
        <v>64498</v>
      </c>
      <c r="B656" s="108">
        <f t="shared" si="0"/>
        <v>64497</v>
      </c>
      <c r="C656" s="109"/>
      <c r="D656" s="109"/>
      <c r="E656" s="109"/>
      <c r="F656" s="109"/>
      <c r="G656" s="109"/>
      <c r="H656" s="109"/>
      <c r="I656" s="109">
        <f t="shared" ref="I656:J656" si="670">SUM(C656,E656,G656)</f>
        <v>0</v>
      </c>
      <c r="J656" s="109">
        <f t="shared" si="670"/>
        <v>0</v>
      </c>
      <c r="K656" s="109">
        <f>SUMIFS(Ações!$J$66,Ações!$N$66,Patrimônio!B656,Ações!$E$66,"Provento")</f>
        <v>0</v>
      </c>
      <c r="L656" s="109">
        <f>SUMIFS(BDRs!$J$66,BDRs!$E$66,"Provento",BDRs!$N$66,Patrimônio!B656)</f>
        <v>0</v>
      </c>
      <c r="M656" s="109">
        <f>SUMIFS(FIIs!$J$66,FIIs!$E$66,"Provento",FIIs!$N$66,Patrimônio!B656)</f>
        <v>0</v>
      </c>
      <c r="N656" s="109">
        <f t="shared" si="2"/>
        <v>0</v>
      </c>
      <c r="O656" s="109"/>
      <c r="Q656" s="154"/>
      <c r="R656" s="155" t="s">
        <v>270</v>
      </c>
      <c r="S656" s="156">
        <v>0</v>
      </c>
    </row>
    <row r="657" spans="1:19" ht="17.25" customHeight="1">
      <c r="A657" s="108">
        <v>64529</v>
      </c>
      <c r="B657" s="108">
        <f t="shared" si="0"/>
        <v>64528</v>
      </c>
      <c r="C657" s="109"/>
      <c r="D657" s="109"/>
      <c r="E657" s="109"/>
      <c r="F657" s="109"/>
      <c r="G657" s="109"/>
      <c r="H657" s="109"/>
      <c r="I657" s="109">
        <f t="shared" ref="I657:J657" si="671">SUM(C657,E657,G657)</f>
        <v>0</v>
      </c>
      <c r="J657" s="109">
        <f t="shared" si="671"/>
        <v>0</v>
      </c>
      <c r="K657" s="109">
        <f>SUMIFS(Ações!$J$66,Ações!$N$66,Patrimônio!B657,Ações!$E$66,"Provento")</f>
        <v>0</v>
      </c>
      <c r="L657" s="109">
        <f>SUMIFS(BDRs!$J$66,BDRs!$E$66,"Provento",BDRs!$N$66,Patrimônio!B657)</f>
        <v>0</v>
      </c>
      <c r="M657" s="109">
        <f>SUMIFS(FIIs!$J$66,FIIs!$E$66,"Provento",FIIs!$N$66,Patrimônio!B657)</f>
        <v>0</v>
      </c>
      <c r="N657" s="109">
        <f t="shared" si="2"/>
        <v>0</v>
      </c>
      <c r="O657" s="109"/>
      <c r="Q657" s="154"/>
      <c r="R657" s="155" t="s">
        <v>271</v>
      </c>
      <c r="S657" s="156">
        <v>0</v>
      </c>
    </row>
    <row r="658" spans="1:19" ht="17.25" customHeight="1">
      <c r="A658" s="108">
        <v>64559</v>
      </c>
      <c r="B658" s="108">
        <f t="shared" si="0"/>
        <v>64558</v>
      </c>
      <c r="C658" s="109"/>
      <c r="D658" s="109"/>
      <c r="E658" s="109"/>
      <c r="F658" s="109"/>
      <c r="G658" s="109"/>
      <c r="H658" s="109"/>
      <c r="I658" s="109">
        <f t="shared" ref="I658:J658" si="672">SUM(C658,E658,G658)</f>
        <v>0</v>
      </c>
      <c r="J658" s="109">
        <f t="shared" si="672"/>
        <v>0</v>
      </c>
      <c r="K658" s="109">
        <f>SUMIFS(Ações!$J$66,Ações!$N$66,Patrimônio!B658,Ações!$E$66,"Provento")</f>
        <v>0</v>
      </c>
      <c r="L658" s="109">
        <f>SUMIFS(BDRs!$J$66,BDRs!$E$66,"Provento",BDRs!$N$66,Patrimônio!B658)</f>
        <v>0</v>
      </c>
      <c r="M658" s="109">
        <f>SUMIFS(FIIs!$J$66,FIIs!$E$66,"Provento",FIIs!$N$66,Patrimônio!B658)</f>
        <v>0</v>
      </c>
      <c r="N658" s="109">
        <f t="shared" si="2"/>
        <v>0</v>
      </c>
      <c r="O658" s="109"/>
      <c r="Q658" s="154"/>
      <c r="R658" s="155" t="s">
        <v>272</v>
      </c>
      <c r="S658" s="156">
        <v>0</v>
      </c>
    </row>
    <row r="659" spans="1:19" ht="17.25" customHeight="1">
      <c r="A659" s="108">
        <v>64590</v>
      </c>
      <c r="B659" s="108">
        <f t="shared" si="0"/>
        <v>64589</v>
      </c>
      <c r="C659" s="109"/>
      <c r="D659" s="109"/>
      <c r="E659" s="109"/>
      <c r="F659" s="109"/>
      <c r="G659" s="109"/>
      <c r="H659" s="109"/>
      <c r="I659" s="109">
        <f t="shared" ref="I659:J659" si="673">SUM(C659,E659,G659)</f>
        <v>0</v>
      </c>
      <c r="J659" s="109">
        <f t="shared" si="673"/>
        <v>0</v>
      </c>
      <c r="K659" s="109">
        <f>SUMIFS(Ações!$J$66,Ações!$N$66,Patrimônio!B659,Ações!$E$66,"Provento")</f>
        <v>0</v>
      </c>
      <c r="L659" s="109">
        <f>SUMIFS(BDRs!$J$66,BDRs!$E$66,"Provento",BDRs!$N$66,Patrimônio!B659)</f>
        <v>0</v>
      </c>
      <c r="M659" s="109">
        <f>SUMIFS(FIIs!$J$66,FIIs!$E$66,"Provento",FIIs!$N$66,Patrimônio!B659)</f>
        <v>0</v>
      </c>
      <c r="N659" s="109">
        <f t="shared" si="2"/>
        <v>0</v>
      </c>
      <c r="O659" s="109"/>
      <c r="Q659" s="151" t="s">
        <v>188</v>
      </c>
      <c r="R659" s="157"/>
      <c r="S659" s="153">
        <v>0</v>
      </c>
    </row>
    <row r="660" spans="1:19" ht="17.25" customHeight="1">
      <c r="A660" s="108">
        <v>64620</v>
      </c>
      <c r="B660" s="108">
        <f t="shared" si="0"/>
        <v>64619</v>
      </c>
      <c r="C660" s="109"/>
      <c r="D660" s="109"/>
      <c r="E660" s="109"/>
      <c r="F660" s="109"/>
      <c r="G660" s="109"/>
      <c r="H660" s="109"/>
      <c r="I660" s="109">
        <f t="shared" ref="I660:J660" si="674">SUM(C660,E660,G660)</f>
        <v>0</v>
      </c>
      <c r="J660" s="109">
        <f t="shared" si="674"/>
        <v>0</v>
      </c>
      <c r="K660" s="109">
        <f>SUMIFS(Ações!$J$66,Ações!$N$66,Patrimônio!B660,Ações!$E$66,"Provento")</f>
        <v>0</v>
      </c>
      <c r="L660" s="109">
        <f>SUMIFS(BDRs!$J$66,BDRs!$E$66,"Provento",BDRs!$N$66,Patrimônio!B660)</f>
        <v>0</v>
      </c>
      <c r="M660" s="109">
        <f>SUMIFS(FIIs!$J$66,FIIs!$E$66,"Provento",FIIs!$N$66,Patrimônio!B660)</f>
        <v>0</v>
      </c>
      <c r="N660" s="109">
        <f t="shared" si="2"/>
        <v>0</v>
      </c>
      <c r="O660" s="109"/>
      <c r="Q660" s="151" t="s">
        <v>189</v>
      </c>
      <c r="R660" s="152" t="s">
        <v>261</v>
      </c>
      <c r="S660" s="153">
        <v>0</v>
      </c>
    </row>
    <row r="661" spans="1:19" ht="17.25" customHeight="1">
      <c r="A661" s="108">
        <v>64651</v>
      </c>
      <c r="B661" s="108">
        <f t="shared" si="0"/>
        <v>64650</v>
      </c>
      <c r="C661" s="109"/>
      <c r="D661" s="109"/>
      <c r="E661" s="109"/>
      <c r="F661" s="109"/>
      <c r="G661" s="109"/>
      <c r="H661" s="109"/>
      <c r="I661" s="109">
        <f t="shared" ref="I661:J661" si="675">SUM(C661,E661,G661)</f>
        <v>0</v>
      </c>
      <c r="J661" s="109">
        <f t="shared" si="675"/>
        <v>0</v>
      </c>
      <c r="K661" s="109">
        <f>SUMIFS(Ações!$J$66,Ações!$N$66,Patrimônio!B661,Ações!$E$66,"Provento")</f>
        <v>0</v>
      </c>
      <c r="L661" s="109">
        <f>SUMIFS(BDRs!$J$66,BDRs!$E$66,"Provento",BDRs!$N$66,Patrimônio!B661)</f>
        <v>0</v>
      </c>
      <c r="M661" s="109">
        <f>SUMIFS(FIIs!$J$66,FIIs!$E$66,"Provento",FIIs!$N$66,Patrimônio!B661)</f>
        <v>0</v>
      </c>
      <c r="N661" s="109">
        <f t="shared" si="2"/>
        <v>0</v>
      </c>
      <c r="O661" s="109"/>
      <c r="Q661" s="154"/>
      <c r="R661" s="155" t="s">
        <v>262</v>
      </c>
      <c r="S661" s="156">
        <v>0</v>
      </c>
    </row>
    <row r="662" spans="1:19" ht="17.25" customHeight="1">
      <c r="A662" s="108">
        <v>64682</v>
      </c>
      <c r="B662" s="108">
        <f t="shared" si="0"/>
        <v>64681</v>
      </c>
      <c r="C662" s="109"/>
      <c r="D662" s="109"/>
      <c r="E662" s="109"/>
      <c r="F662" s="109"/>
      <c r="G662" s="109"/>
      <c r="H662" s="109"/>
      <c r="I662" s="109">
        <f t="shared" ref="I662:J662" si="676">SUM(C662,E662,G662)</f>
        <v>0</v>
      </c>
      <c r="J662" s="109">
        <f t="shared" si="676"/>
        <v>0</v>
      </c>
      <c r="K662" s="109">
        <f>SUMIFS(Ações!$J$66,Ações!$N$66,Patrimônio!B662,Ações!$E$66,"Provento")</f>
        <v>0</v>
      </c>
      <c r="L662" s="109">
        <f>SUMIFS(BDRs!$J$66,BDRs!$E$66,"Provento",BDRs!$N$66,Patrimônio!B662)</f>
        <v>0</v>
      </c>
      <c r="M662" s="109">
        <f>SUMIFS(FIIs!$J$66,FIIs!$E$66,"Provento",FIIs!$N$66,Patrimônio!B662)</f>
        <v>0</v>
      </c>
      <c r="N662" s="109">
        <f t="shared" si="2"/>
        <v>0</v>
      </c>
      <c r="O662" s="109"/>
      <c r="Q662" s="154"/>
      <c r="R662" s="155" t="s">
        <v>263</v>
      </c>
      <c r="S662" s="156">
        <v>0</v>
      </c>
    </row>
    <row r="663" spans="1:19" ht="17.25" customHeight="1">
      <c r="A663" s="108">
        <v>64710</v>
      </c>
      <c r="B663" s="108">
        <f t="shared" si="0"/>
        <v>64709</v>
      </c>
      <c r="C663" s="109"/>
      <c r="D663" s="109"/>
      <c r="E663" s="109"/>
      <c r="F663" s="109"/>
      <c r="G663" s="109"/>
      <c r="H663" s="109"/>
      <c r="I663" s="109">
        <f t="shared" ref="I663:J663" si="677">SUM(C663,E663,G663)</f>
        <v>0</v>
      </c>
      <c r="J663" s="109">
        <f t="shared" si="677"/>
        <v>0</v>
      </c>
      <c r="K663" s="109">
        <f>SUMIFS(Ações!$J$66,Ações!$N$66,Patrimônio!B663,Ações!$E$66,"Provento")</f>
        <v>0</v>
      </c>
      <c r="L663" s="109">
        <f>SUMIFS(BDRs!$J$66,BDRs!$E$66,"Provento",BDRs!$N$66,Patrimônio!B663)</f>
        <v>0</v>
      </c>
      <c r="M663" s="109">
        <f>SUMIFS(FIIs!$J$66,FIIs!$E$66,"Provento",FIIs!$N$66,Patrimônio!B663)</f>
        <v>0</v>
      </c>
      <c r="N663" s="109">
        <f t="shared" si="2"/>
        <v>0</v>
      </c>
      <c r="O663" s="109"/>
      <c r="Q663" s="154"/>
      <c r="R663" s="155" t="s">
        <v>264</v>
      </c>
      <c r="S663" s="156">
        <v>0</v>
      </c>
    </row>
    <row r="664" spans="1:19" ht="17.25" customHeight="1">
      <c r="A664" s="108">
        <v>64741</v>
      </c>
      <c r="B664" s="108">
        <f t="shared" si="0"/>
        <v>64740</v>
      </c>
      <c r="C664" s="109"/>
      <c r="D664" s="109"/>
      <c r="E664" s="109"/>
      <c r="F664" s="109"/>
      <c r="G664" s="109"/>
      <c r="H664" s="109"/>
      <c r="I664" s="109">
        <f t="shared" ref="I664:J664" si="678">SUM(C664,E664,G664)</f>
        <v>0</v>
      </c>
      <c r="J664" s="109">
        <f t="shared" si="678"/>
        <v>0</v>
      </c>
      <c r="K664" s="109">
        <f>SUMIFS(Ações!$J$66,Ações!$N$66,Patrimônio!B664,Ações!$E$66,"Provento")</f>
        <v>0</v>
      </c>
      <c r="L664" s="109">
        <f>SUMIFS(BDRs!$J$66,BDRs!$E$66,"Provento",BDRs!$N$66,Patrimônio!B664)</f>
        <v>0</v>
      </c>
      <c r="M664" s="109">
        <f>SUMIFS(FIIs!$J$66,FIIs!$E$66,"Provento",FIIs!$N$66,Patrimônio!B664)</f>
        <v>0</v>
      </c>
      <c r="N664" s="109">
        <f t="shared" si="2"/>
        <v>0</v>
      </c>
      <c r="O664" s="109"/>
      <c r="Q664" s="154"/>
      <c r="R664" s="155" t="s">
        <v>265</v>
      </c>
      <c r="S664" s="156">
        <v>0</v>
      </c>
    </row>
    <row r="665" spans="1:19" ht="17.25" customHeight="1">
      <c r="A665" s="108">
        <v>64771</v>
      </c>
      <c r="B665" s="108">
        <f t="shared" si="0"/>
        <v>64770</v>
      </c>
      <c r="C665" s="109"/>
      <c r="D665" s="109"/>
      <c r="E665" s="109"/>
      <c r="F665" s="109"/>
      <c r="G665" s="109"/>
      <c r="H665" s="109"/>
      <c r="I665" s="109">
        <f t="shared" ref="I665:J665" si="679">SUM(C665,E665,G665)</f>
        <v>0</v>
      </c>
      <c r="J665" s="109">
        <f t="shared" si="679"/>
        <v>0</v>
      </c>
      <c r="K665" s="109">
        <f>SUMIFS(Ações!$J$66,Ações!$N$66,Patrimônio!B665,Ações!$E$66,"Provento")</f>
        <v>0</v>
      </c>
      <c r="L665" s="109">
        <f>SUMIFS(BDRs!$J$66,BDRs!$E$66,"Provento",BDRs!$N$66,Patrimônio!B665)</f>
        <v>0</v>
      </c>
      <c r="M665" s="109">
        <f>SUMIFS(FIIs!$J$66,FIIs!$E$66,"Provento",FIIs!$N$66,Patrimônio!B665)</f>
        <v>0</v>
      </c>
      <c r="N665" s="109">
        <f t="shared" si="2"/>
        <v>0</v>
      </c>
      <c r="O665" s="109"/>
      <c r="Q665" s="154"/>
      <c r="R665" s="155" t="s">
        <v>266</v>
      </c>
      <c r="S665" s="156">
        <v>0</v>
      </c>
    </row>
    <row r="666" spans="1:19" ht="17.25" customHeight="1">
      <c r="A666" s="108">
        <v>64802</v>
      </c>
      <c r="B666" s="108">
        <f t="shared" si="0"/>
        <v>64801</v>
      </c>
      <c r="C666" s="109"/>
      <c r="D666" s="109"/>
      <c r="E666" s="109"/>
      <c r="F666" s="109"/>
      <c r="G666" s="109"/>
      <c r="H666" s="109"/>
      <c r="I666" s="109">
        <f t="shared" ref="I666:J666" si="680">SUM(C666,E666,G666)</f>
        <v>0</v>
      </c>
      <c r="J666" s="109">
        <f t="shared" si="680"/>
        <v>0</v>
      </c>
      <c r="K666" s="109">
        <f>SUMIFS(Ações!$J$66,Ações!$N$66,Patrimônio!B666,Ações!$E$66,"Provento")</f>
        <v>0</v>
      </c>
      <c r="L666" s="109">
        <f>SUMIFS(BDRs!$J$66,BDRs!$E$66,"Provento",BDRs!$N$66,Patrimônio!B666)</f>
        <v>0</v>
      </c>
      <c r="M666" s="109">
        <f>SUMIFS(FIIs!$J$66,FIIs!$E$66,"Provento",FIIs!$N$66,Patrimônio!B666)</f>
        <v>0</v>
      </c>
      <c r="N666" s="109">
        <f t="shared" si="2"/>
        <v>0</v>
      </c>
      <c r="O666" s="109"/>
      <c r="Q666" s="154"/>
      <c r="R666" s="155" t="s">
        <v>267</v>
      </c>
      <c r="S666" s="156">
        <v>0</v>
      </c>
    </row>
    <row r="667" spans="1:19" ht="17.25" customHeight="1">
      <c r="A667" s="108">
        <v>64832</v>
      </c>
      <c r="B667" s="108">
        <f t="shared" si="0"/>
        <v>64831</v>
      </c>
      <c r="C667" s="109"/>
      <c r="D667" s="109"/>
      <c r="E667" s="109"/>
      <c r="F667" s="109"/>
      <c r="G667" s="109"/>
      <c r="H667" s="109"/>
      <c r="I667" s="109">
        <f t="shared" ref="I667:J667" si="681">SUM(C667,E667,G667)</f>
        <v>0</v>
      </c>
      <c r="J667" s="109">
        <f t="shared" si="681"/>
        <v>0</v>
      </c>
      <c r="K667" s="109">
        <f>SUMIFS(Ações!$J$66,Ações!$N$66,Patrimônio!B667,Ações!$E$66,"Provento")</f>
        <v>0</v>
      </c>
      <c r="L667" s="109">
        <f>SUMIFS(BDRs!$J$66,BDRs!$E$66,"Provento",BDRs!$N$66,Patrimônio!B667)</f>
        <v>0</v>
      </c>
      <c r="M667" s="109">
        <f>SUMIFS(FIIs!$J$66,FIIs!$E$66,"Provento",FIIs!$N$66,Patrimônio!B667)</f>
        <v>0</v>
      </c>
      <c r="N667" s="109">
        <f t="shared" si="2"/>
        <v>0</v>
      </c>
      <c r="O667" s="109"/>
      <c r="Q667" s="154"/>
      <c r="R667" s="155" t="s">
        <v>268</v>
      </c>
      <c r="S667" s="156">
        <v>0</v>
      </c>
    </row>
    <row r="668" spans="1:19" ht="17.25" customHeight="1">
      <c r="A668" s="108">
        <v>64863</v>
      </c>
      <c r="B668" s="108">
        <f t="shared" si="0"/>
        <v>64862</v>
      </c>
      <c r="C668" s="109"/>
      <c r="D668" s="109"/>
      <c r="E668" s="109"/>
      <c r="F668" s="109"/>
      <c r="G668" s="109"/>
      <c r="H668" s="109"/>
      <c r="I668" s="109">
        <f t="shared" ref="I668:J668" si="682">SUM(C668,E668,G668)</f>
        <v>0</v>
      </c>
      <c r="J668" s="109">
        <f t="shared" si="682"/>
        <v>0</v>
      </c>
      <c r="K668" s="109">
        <f>SUMIFS(Ações!$J$66,Ações!$N$66,Patrimônio!B668,Ações!$E$66,"Provento")</f>
        <v>0</v>
      </c>
      <c r="L668" s="109">
        <f>SUMIFS(BDRs!$J$66,BDRs!$E$66,"Provento",BDRs!$N$66,Patrimônio!B668)</f>
        <v>0</v>
      </c>
      <c r="M668" s="109">
        <f>SUMIFS(FIIs!$J$66,FIIs!$E$66,"Provento",FIIs!$N$66,Patrimônio!B668)</f>
        <v>0</v>
      </c>
      <c r="N668" s="109">
        <f t="shared" si="2"/>
        <v>0</v>
      </c>
      <c r="O668" s="109"/>
      <c r="Q668" s="154"/>
      <c r="R668" s="155" t="s">
        <v>269</v>
      </c>
      <c r="S668" s="156">
        <v>0</v>
      </c>
    </row>
    <row r="669" spans="1:19" ht="17.25" customHeight="1">
      <c r="A669" s="108">
        <v>64894</v>
      </c>
      <c r="B669" s="108">
        <f t="shared" si="0"/>
        <v>64893</v>
      </c>
      <c r="C669" s="109"/>
      <c r="D669" s="109"/>
      <c r="E669" s="109"/>
      <c r="F669" s="109"/>
      <c r="G669" s="109"/>
      <c r="H669" s="109"/>
      <c r="I669" s="109">
        <f t="shared" ref="I669:J669" si="683">SUM(C669,E669,G669)</f>
        <v>0</v>
      </c>
      <c r="J669" s="109">
        <f t="shared" si="683"/>
        <v>0</v>
      </c>
      <c r="K669" s="109">
        <f>SUMIFS(Ações!$J$66,Ações!$N$66,Patrimônio!B669,Ações!$E$66,"Provento")</f>
        <v>0</v>
      </c>
      <c r="L669" s="109">
        <f>SUMIFS(BDRs!$J$66,BDRs!$E$66,"Provento",BDRs!$N$66,Patrimônio!B669)</f>
        <v>0</v>
      </c>
      <c r="M669" s="109">
        <f>SUMIFS(FIIs!$J$66,FIIs!$E$66,"Provento",FIIs!$N$66,Patrimônio!B669)</f>
        <v>0</v>
      </c>
      <c r="N669" s="109">
        <f t="shared" si="2"/>
        <v>0</v>
      </c>
      <c r="O669" s="109"/>
      <c r="Q669" s="154"/>
      <c r="R669" s="155" t="s">
        <v>270</v>
      </c>
      <c r="S669" s="156">
        <v>0</v>
      </c>
    </row>
    <row r="670" spans="1:19" ht="17.25" customHeight="1">
      <c r="A670" s="108">
        <v>64924</v>
      </c>
      <c r="B670" s="108">
        <f t="shared" si="0"/>
        <v>64923</v>
      </c>
      <c r="C670" s="109"/>
      <c r="D670" s="109"/>
      <c r="E670" s="109"/>
      <c r="F670" s="109"/>
      <c r="G670" s="109"/>
      <c r="H670" s="109"/>
      <c r="I670" s="109">
        <f t="shared" ref="I670:J670" si="684">SUM(C670,E670,G670)</f>
        <v>0</v>
      </c>
      <c r="J670" s="109">
        <f t="shared" si="684"/>
        <v>0</v>
      </c>
      <c r="K670" s="109">
        <f>SUMIFS(Ações!$J$66,Ações!$N$66,Patrimônio!B670,Ações!$E$66,"Provento")</f>
        <v>0</v>
      </c>
      <c r="L670" s="109">
        <f>SUMIFS(BDRs!$J$66,BDRs!$E$66,"Provento",BDRs!$N$66,Patrimônio!B670)</f>
        <v>0</v>
      </c>
      <c r="M670" s="109">
        <f>SUMIFS(FIIs!$J$66,FIIs!$E$66,"Provento",FIIs!$N$66,Patrimônio!B670)</f>
        <v>0</v>
      </c>
      <c r="N670" s="109">
        <f t="shared" si="2"/>
        <v>0</v>
      </c>
      <c r="O670" s="109"/>
      <c r="Q670" s="154"/>
      <c r="R670" s="155" t="s">
        <v>271</v>
      </c>
      <c r="S670" s="156">
        <v>0</v>
      </c>
    </row>
    <row r="671" spans="1:19" ht="17.25" customHeight="1">
      <c r="A671" s="108">
        <v>64955</v>
      </c>
      <c r="B671" s="108">
        <f t="shared" si="0"/>
        <v>64954</v>
      </c>
      <c r="C671" s="109"/>
      <c r="D671" s="109"/>
      <c r="E671" s="109"/>
      <c r="F671" s="109"/>
      <c r="G671" s="109"/>
      <c r="H671" s="109"/>
      <c r="I671" s="109">
        <f t="shared" ref="I671:J671" si="685">SUM(C671,E671,G671)</f>
        <v>0</v>
      </c>
      <c r="J671" s="109">
        <f t="shared" si="685"/>
        <v>0</v>
      </c>
      <c r="K671" s="109">
        <f>SUMIFS(Ações!$J$66,Ações!$N$66,Patrimônio!B671,Ações!$E$66,"Provento")</f>
        <v>0</v>
      </c>
      <c r="L671" s="109">
        <f>SUMIFS(BDRs!$J$66,BDRs!$E$66,"Provento",BDRs!$N$66,Patrimônio!B671)</f>
        <v>0</v>
      </c>
      <c r="M671" s="109">
        <f>SUMIFS(FIIs!$J$66,FIIs!$E$66,"Provento",FIIs!$N$66,Patrimônio!B671)</f>
        <v>0</v>
      </c>
      <c r="N671" s="109">
        <f t="shared" si="2"/>
        <v>0</v>
      </c>
      <c r="O671" s="109"/>
      <c r="Q671" s="154"/>
      <c r="R671" s="155" t="s">
        <v>272</v>
      </c>
      <c r="S671" s="156">
        <v>0</v>
      </c>
    </row>
    <row r="672" spans="1:19" ht="17.25" customHeight="1">
      <c r="A672" s="108">
        <v>64985</v>
      </c>
      <c r="B672" s="108">
        <f t="shared" si="0"/>
        <v>64984</v>
      </c>
      <c r="C672" s="109"/>
      <c r="D672" s="109"/>
      <c r="E672" s="109"/>
      <c r="F672" s="109"/>
      <c r="G672" s="109"/>
      <c r="H672" s="109"/>
      <c r="I672" s="109">
        <f t="shared" ref="I672:J672" si="686">SUM(C672,E672,G672)</f>
        <v>0</v>
      </c>
      <c r="J672" s="109">
        <f t="shared" si="686"/>
        <v>0</v>
      </c>
      <c r="K672" s="109">
        <f>SUMIFS(Ações!$J$66,Ações!$N$66,Patrimônio!B672,Ações!$E$66,"Provento")</f>
        <v>0</v>
      </c>
      <c r="L672" s="109">
        <f>SUMIFS(BDRs!$J$66,BDRs!$E$66,"Provento",BDRs!$N$66,Patrimônio!B672)</f>
        <v>0</v>
      </c>
      <c r="M672" s="109">
        <f>SUMIFS(FIIs!$J$66,FIIs!$E$66,"Provento",FIIs!$N$66,Patrimônio!B672)</f>
        <v>0</v>
      </c>
      <c r="N672" s="109">
        <f t="shared" si="2"/>
        <v>0</v>
      </c>
      <c r="O672" s="109"/>
      <c r="Q672" s="151" t="s">
        <v>190</v>
      </c>
      <c r="R672" s="157"/>
      <c r="S672" s="153">
        <v>0</v>
      </c>
    </row>
    <row r="673" spans="1:19" ht="17.25" customHeight="1">
      <c r="A673" s="108">
        <v>65016</v>
      </c>
      <c r="B673" s="108">
        <f t="shared" si="0"/>
        <v>65015</v>
      </c>
      <c r="C673" s="109"/>
      <c r="D673" s="109"/>
      <c r="E673" s="109"/>
      <c r="F673" s="109"/>
      <c r="G673" s="109"/>
      <c r="H673" s="109"/>
      <c r="I673" s="109">
        <f t="shared" ref="I673:J673" si="687">SUM(C673,E673,G673)</f>
        <v>0</v>
      </c>
      <c r="J673" s="109">
        <f t="shared" si="687"/>
        <v>0</v>
      </c>
      <c r="K673" s="109">
        <f>SUMIFS(Ações!$J$66,Ações!$N$66,Patrimônio!B673,Ações!$E$66,"Provento")</f>
        <v>0</v>
      </c>
      <c r="L673" s="109">
        <f>SUMIFS(BDRs!$J$66,BDRs!$E$66,"Provento",BDRs!$N$66,Patrimônio!B673)</f>
        <v>0</v>
      </c>
      <c r="M673" s="109">
        <f>SUMIFS(FIIs!$J$66,FIIs!$E$66,"Provento",FIIs!$N$66,Patrimônio!B673)</f>
        <v>0</v>
      </c>
      <c r="N673" s="109">
        <f t="shared" si="2"/>
        <v>0</v>
      </c>
      <c r="O673" s="109"/>
      <c r="Q673" s="151" t="s">
        <v>191</v>
      </c>
      <c r="R673" s="152" t="s">
        <v>261</v>
      </c>
      <c r="S673" s="153">
        <v>0</v>
      </c>
    </row>
    <row r="674" spans="1:19" ht="17.25" customHeight="1">
      <c r="A674" s="108">
        <v>65047</v>
      </c>
      <c r="B674" s="108">
        <f t="shared" si="0"/>
        <v>65046</v>
      </c>
      <c r="C674" s="109"/>
      <c r="D674" s="109"/>
      <c r="E674" s="109"/>
      <c r="F674" s="109"/>
      <c r="G674" s="109"/>
      <c r="H674" s="109"/>
      <c r="I674" s="109">
        <f t="shared" ref="I674:J674" si="688">SUM(C674,E674,G674)</f>
        <v>0</v>
      </c>
      <c r="J674" s="109">
        <f t="shared" si="688"/>
        <v>0</v>
      </c>
      <c r="K674" s="109">
        <f>SUMIFS(Ações!$J$66,Ações!$N$66,Patrimônio!B674,Ações!$E$66,"Provento")</f>
        <v>0</v>
      </c>
      <c r="L674" s="109">
        <f>SUMIFS(BDRs!$J$66,BDRs!$E$66,"Provento",BDRs!$N$66,Patrimônio!B674)</f>
        <v>0</v>
      </c>
      <c r="M674" s="109">
        <f>SUMIFS(FIIs!$J$66,FIIs!$E$66,"Provento",FIIs!$N$66,Patrimônio!B674)</f>
        <v>0</v>
      </c>
      <c r="N674" s="109">
        <f t="shared" si="2"/>
        <v>0</v>
      </c>
      <c r="O674" s="109"/>
      <c r="Q674" s="154"/>
      <c r="R674" s="155" t="s">
        <v>262</v>
      </c>
      <c r="S674" s="156">
        <v>0</v>
      </c>
    </row>
    <row r="675" spans="1:19" ht="17.25" customHeight="1">
      <c r="A675" s="108">
        <v>65075</v>
      </c>
      <c r="B675" s="108">
        <f t="shared" si="0"/>
        <v>65074</v>
      </c>
      <c r="C675" s="109"/>
      <c r="D675" s="109"/>
      <c r="E675" s="109"/>
      <c r="F675" s="109"/>
      <c r="G675" s="109"/>
      <c r="H675" s="109"/>
      <c r="I675" s="109">
        <f t="shared" ref="I675:J675" si="689">SUM(C675,E675,G675)</f>
        <v>0</v>
      </c>
      <c r="J675" s="109">
        <f t="shared" si="689"/>
        <v>0</v>
      </c>
      <c r="K675" s="109">
        <f>SUMIFS(Ações!$J$66,Ações!$N$66,Patrimônio!B675,Ações!$E$66,"Provento")</f>
        <v>0</v>
      </c>
      <c r="L675" s="109">
        <f>SUMIFS(BDRs!$J$66,BDRs!$E$66,"Provento",BDRs!$N$66,Patrimônio!B675)</f>
        <v>0</v>
      </c>
      <c r="M675" s="109">
        <f>SUMIFS(FIIs!$J$66,FIIs!$E$66,"Provento",FIIs!$N$66,Patrimônio!B675)</f>
        <v>0</v>
      </c>
      <c r="N675" s="109">
        <f t="shared" si="2"/>
        <v>0</v>
      </c>
      <c r="O675" s="109"/>
      <c r="Q675" s="154"/>
      <c r="R675" s="155" t="s">
        <v>263</v>
      </c>
      <c r="S675" s="156">
        <v>0</v>
      </c>
    </row>
    <row r="676" spans="1:19" ht="17.25" customHeight="1">
      <c r="A676" s="108">
        <v>65106</v>
      </c>
      <c r="B676" s="108">
        <f t="shared" si="0"/>
        <v>65105</v>
      </c>
      <c r="C676" s="109"/>
      <c r="D676" s="109"/>
      <c r="E676" s="109"/>
      <c r="F676" s="109"/>
      <c r="G676" s="109"/>
      <c r="H676" s="109"/>
      <c r="I676" s="109">
        <f t="shared" ref="I676:J676" si="690">SUM(C676,E676,G676)</f>
        <v>0</v>
      </c>
      <c r="J676" s="109">
        <f t="shared" si="690"/>
        <v>0</v>
      </c>
      <c r="K676" s="109">
        <f>SUMIFS(Ações!$J$66,Ações!$N$66,Patrimônio!B676,Ações!$E$66,"Provento")</f>
        <v>0</v>
      </c>
      <c r="L676" s="109">
        <f>SUMIFS(BDRs!$J$66,BDRs!$E$66,"Provento",BDRs!$N$66,Patrimônio!B676)</f>
        <v>0</v>
      </c>
      <c r="M676" s="109">
        <f>SUMIFS(FIIs!$J$66,FIIs!$E$66,"Provento",FIIs!$N$66,Patrimônio!B676)</f>
        <v>0</v>
      </c>
      <c r="N676" s="109">
        <f t="shared" si="2"/>
        <v>0</v>
      </c>
      <c r="O676" s="109"/>
      <c r="Q676" s="154"/>
      <c r="R676" s="155" t="s">
        <v>264</v>
      </c>
      <c r="S676" s="156">
        <v>0</v>
      </c>
    </row>
    <row r="677" spans="1:19" ht="17.25" customHeight="1">
      <c r="A677" s="108">
        <v>65136</v>
      </c>
      <c r="B677" s="108">
        <f t="shared" si="0"/>
        <v>65135</v>
      </c>
      <c r="C677" s="109"/>
      <c r="D677" s="109"/>
      <c r="E677" s="109"/>
      <c r="F677" s="109"/>
      <c r="G677" s="109"/>
      <c r="H677" s="109"/>
      <c r="I677" s="109">
        <f t="shared" ref="I677:J677" si="691">SUM(C677,E677,G677)</f>
        <v>0</v>
      </c>
      <c r="J677" s="109">
        <f t="shared" si="691"/>
        <v>0</v>
      </c>
      <c r="K677" s="109">
        <f>SUMIFS(Ações!$J$66,Ações!$N$66,Patrimônio!B677,Ações!$E$66,"Provento")</f>
        <v>0</v>
      </c>
      <c r="L677" s="109">
        <f>SUMIFS(BDRs!$J$66,BDRs!$E$66,"Provento",BDRs!$N$66,Patrimônio!B677)</f>
        <v>0</v>
      </c>
      <c r="M677" s="109">
        <f>SUMIFS(FIIs!$J$66,FIIs!$E$66,"Provento",FIIs!$N$66,Patrimônio!B677)</f>
        <v>0</v>
      </c>
      <c r="N677" s="109">
        <f t="shared" si="2"/>
        <v>0</v>
      </c>
      <c r="O677" s="109"/>
      <c r="Q677" s="154"/>
      <c r="R677" s="155" t="s">
        <v>265</v>
      </c>
      <c r="S677" s="156">
        <v>0</v>
      </c>
    </row>
    <row r="678" spans="1:19" ht="17.25" customHeight="1">
      <c r="A678" s="108">
        <v>65167</v>
      </c>
      <c r="B678" s="108">
        <f t="shared" si="0"/>
        <v>65166</v>
      </c>
      <c r="C678" s="109"/>
      <c r="D678" s="109"/>
      <c r="E678" s="109"/>
      <c r="F678" s="109"/>
      <c r="G678" s="109"/>
      <c r="H678" s="109"/>
      <c r="I678" s="109">
        <f t="shared" ref="I678:J678" si="692">SUM(C678,E678,G678)</f>
        <v>0</v>
      </c>
      <c r="J678" s="109">
        <f t="shared" si="692"/>
        <v>0</v>
      </c>
      <c r="K678" s="109">
        <f>SUMIFS(Ações!$J$66,Ações!$N$66,Patrimônio!B678,Ações!$E$66,"Provento")</f>
        <v>0</v>
      </c>
      <c r="L678" s="109">
        <f>SUMIFS(BDRs!$J$66,BDRs!$E$66,"Provento",BDRs!$N$66,Patrimônio!B678)</f>
        <v>0</v>
      </c>
      <c r="M678" s="109">
        <f>SUMIFS(FIIs!$J$66,FIIs!$E$66,"Provento",FIIs!$N$66,Patrimônio!B678)</f>
        <v>0</v>
      </c>
      <c r="N678" s="109">
        <f t="shared" si="2"/>
        <v>0</v>
      </c>
      <c r="O678" s="109"/>
      <c r="Q678" s="154"/>
      <c r="R678" s="155" t="s">
        <v>266</v>
      </c>
      <c r="S678" s="156">
        <v>0</v>
      </c>
    </row>
    <row r="679" spans="1:19" ht="17.25" customHeight="1">
      <c r="A679" s="108">
        <v>65197</v>
      </c>
      <c r="B679" s="108">
        <f t="shared" si="0"/>
        <v>65196</v>
      </c>
      <c r="C679" s="109"/>
      <c r="D679" s="109"/>
      <c r="E679" s="109"/>
      <c r="F679" s="109"/>
      <c r="G679" s="109"/>
      <c r="H679" s="109"/>
      <c r="I679" s="109">
        <f t="shared" ref="I679:J679" si="693">SUM(C679,E679,G679)</f>
        <v>0</v>
      </c>
      <c r="J679" s="109">
        <f t="shared" si="693"/>
        <v>0</v>
      </c>
      <c r="K679" s="109">
        <f>SUMIFS(Ações!$J$66,Ações!$N$66,Patrimônio!B679,Ações!$E$66,"Provento")</f>
        <v>0</v>
      </c>
      <c r="L679" s="109">
        <f>SUMIFS(BDRs!$J$66,BDRs!$E$66,"Provento",BDRs!$N$66,Patrimônio!B679)</f>
        <v>0</v>
      </c>
      <c r="M679" s="109">
        <f>SUMIFS(FIIs!$J$66,FIIs!$E$66,"Provento",FIIs!$N$66,Patrimônio!B679)</f>
        <v>0</v>
      </c>
      <c r="N679" s="109">
        <f t="shared" si="2"/>
        <v>0</v>
      </c>
      <c r="O679" s="109"/>
      <c r="Q679" s="154"/>
      <c r="R679" s="155" t="s">
        <v>267</v>
      </c>
      <c r="S679" s="156">
        <v>0</v>
      </c>
    </row>
    <row r="680" spans="1:19" ht="17.25" customHeight="1">
      <c r="A680" s="108">
        <v>65228</v>
      </c>
      <c r="B680" s="108">
        <f t="shared" si="0"/>
        <v>65227</v>
      </c>
      <c r="C680" s="109"/>
      <c r="D680" s="109"/>
      <c r="E680" s="109"/>
      <c r="F680" s="109"/>
      <c r="G680" s="109"/>
      <c r="H680" s="109"/>
      <c r="I680" s="109">
        <f t="shared" ref="I680:J680" si="694">SUM(C680,E680,G680)</f>
        <v>0</v>
      </c>
      <c r="J680" s="109">
        <f t="shared" si="694"/>
        <v>0</v>
      </c>
      <c r="K680" s="109">
        <f>SUMIFS(Ações!$J$66,Ações!$N$66,Patrimônio!B680,Ações!$E$66,"Provento")</f>
        <v>0</v>
      </c>
      <c r="L680" s="109">
        <f>SUMIFS(BDRs!$J$66,BDRs!$E$66,"Provento",BDRs!$N$66,Patrimônio!B680)</f>
        <v>0</v>
      </c>
      <c r="M680" s="109">
        <f>SUMIFS(FIIs!$J$66,FIIs!$E$66,"Provento",FIIs!$N$66,Patrimônio!B680)</f>
        <v>0</v>
      </c>
      <c r="N680" s="109">
        <f t="shared" si="2"/>
        <v>0</v>
      </c>
      <c r="O680" s="109"/>
      <c r="Q680" s="154"/>
      <c r="R680" s="155" t="s">
        <v>268</v>
      </c>
      <c r="S680" s="156">
        <v>0</v>
      </c>
    </row>
    <row r="681" spans="1:19" ht="17.25" customHeight="1">
      <c r="A681" s="108">
        <v>65259</v>
      </c>
      <c r="B681" s="108">
        <f t="shared" si="0"/>
        <v>65258</v>
      </c>
      <c r="C681" s="109"/>
      <c r="D681" s="109"/>
      <c r="E681" s="109"/>
      <c r="F681" s="109"/>
      <c r="G681" s="109"/>
      <c r="H681" s="109"/>
      <c r="I681" s="109">
        <f t="shared" ref="I681:J681" si="695">SUM(C681,E681,G681)</f>
        <v>0</v>
      </c>
      <c r="J681" s="109">
        <f t="shared" si="695"/>
        <v>0</v>
      </c>
      <c r="K681" s="109">
        <f>SUMIFS(Ações!$J$66,Ações!$N$66,Patrimônio!B681,Ações!$E$66,"Provento")</f>
        <v>0</v>
      </c>
      <c r="L681" s="109">
        <f>SUMIFS(BDRs!$J$66,BDRs!$E$66,"Provento",BDRs!$N$66,Patrimônio!B681)</f>
        <v>0</v>
      </c>
      <c r="M681" s="109">
        <f>SUMIFS(FIIs!$J$66,FIIs!$E$66,"Provento",FIIs!$N$66,Patrimônio!B681)</f>
        <v>0</v>
      </c>
      <c r="N681" s="109">
        <f t="shared" si="2"/>
        <v>0</v>
      </c>
      <c r="O681" s="109"/>
      <c r="Q681" s="154"/>
      <c r="R681" s="155" t="s">
        <v>269</v>
      </c>
      <c r="S681" s="156">
        <v>0</v>
      </c>
    </row>
    <row r="682" spans="1:19" ht="17.25" customHeight="1">
      <c r="A682" s="108">
        <v>65289</v>
      </c>
      <c r="B682" s="108">
        <f t="shared" si="0"/>
        <v>65288</v>
      </c>
      <c r="C682" s="109"/>
      <c r="D682" s="109"/>
      <c r="E682" s="109"/>
      <c r="F682" s="109"/>
      <c r="G682" s="109"/>
      <c r="H682" s="109"/>
      <c r="I682" s="109">
        <f t="shared" ref="I682:J682" si="696">SUM(C682,E682,G682)</f>
        <v>0</v>
      </c>
      <c r="J682" s="109">
        <f t="shared" si="696"/>
        <v>0</v>
      </c>
      <c r="K682" s="109">
        <f>SUMIFS(Ações!$J$66,Ações!$N$66,Patrimônio!B682,Ações!$E$66,"Provento")</f>
        <v>0</v>
      </c>
      <c r="L682" s="109">
        <f>SUMIFS(BDRs!$J$66,BDRs!$E$66,"Provento",BDRs!$N$66,Patrimônio!B682)</f>
        <v>0</v>
      </c>
      <c r="M682" s="109">
        <f>SUMIFS(FIIs!$J$66,FIIs!$E$66,"Provento",FIIs!$N$66,Patrimônio!B682)</f>
        <v>0</v>
      </c>
      <c r="N682" s="109">
        <f t="shared" si="2"/>
        <v>0</v>
      </c>
      <c r="O682" s="109"/>
      <c r="Q682" s="154"/>
      <c r="R682" s="155" t="s">
        <v>270</v>
      </c>
      <c r="S682" s="156">
        <v>0</v>
      </c>
    </row>
    <row r="683" spans="1:19" ht="17.25" customHeight="1">
      <c r="A683" s="108">
        <v>65320</v>
      </c>
      <c r="B683" s="108">
        <f t="shared" si="0"/>
        <v>65319</v>
      </c>
      <c r="C683" s="109"/>
      <c r="D683" s="109"/>
      <c r="E683" s="109"/>
      <c r="F683" s="109"/>
      <c r="G683" s="109"/>
      <c r="H683" s="109"/>
      <c r="I683" s="109">
        <f t="shared" ref="I683:J683" si="697">SUM(C683,E683,G683)</f>
        <v>0</v>
      </c>
      <c r="J683" s="109">
        <f t="shared" si="697"/>
        <v>0</v>
      </c>
      <c r="K683" s="109">
        <f>SUMIFS(Ações!$J$66,Ações!$N$66,Patrimônio!B683,Ações!$E$66,"Provento")</f>
        <v>0</v>
      </c>
      <c r="L683" s="109">
        <f>SUMIFS(BDRs!$J$66,BDRs!$E$66,"Provento",BDRs!$N$66,Patrimônio!B683)</f>
        <v>0</v>
      </c>
      <c r="M683" s="109">
        <f>SUMIFS(FIIs!$J$66,FIIs!$E$66,"Provento",FIIs!$N$66,Patrimônio!B683)</f>
        <v>0</v>
      </c>
      <c r="N683" s="109">
        <f t="shared" si="2"/>
        <v>0</v>
      </c>
      <c r="O683" s="109"/>
      <c r="Q683" s="154"/>
      <c r="R683" s="155" t="s">
        <v>271</v>
      </c>
      <c r="S683" s="156">
        <v>0</v>
      </c>
    </row>
    <row r="684" spans="1:19" ht="17.25" customHeight="1">
      <c r="A684" s="108">
        <v>65350</v>
      </c>
      <c r="B684" s="108">
        <f t="shared" si="0"/>
        <v>65349</v>
      </c>
      <c r="C684" s="109"/>
      <c r="D684" s="109"/>
      <c r="E684" s="109"/>
      <c r="F684" s="109"/>
      <c r="G684" s="109"/>
      <c r="H684" s="109"/>
      <c r="I684" s="109">
        <f t="shared" ref="I684:J684" si="698">SUM(C684,E684,G684)</f>
        <v>0</v>
      </c>
      <c r="J684" s="109">
        <f t="shared" si="698"/>
        <v>0</v>
      </c>
      <c r="K684" s="109">
        <f>SUMIFS(Ações!$J$66,Ações!$N$66,Patrimônio!B684,Ações!$E$66,"Provento")</f>
        <v>0</v>
      </c>
      <c r="L684" s="109">
        <f>SUMIFS(BDRs!$J$66,BDRs!$E$66,"Provento",BDRs!$N$66,Patrimônio!B684)</f>
        <v>0</v>
      </c>
      <c r="M684" s="109">
        <f>SUMIFS(FIIs!$J$66,FIIs!$E$66,"Provento",FIIs!$N$66,Patrimônio!B684)</f>
        <v>0</v>
      </c>
      <c r="N684" s="109">
        <f t="shared" si="2"/>
        <v>0</v>
      </c>
      <c r="O684" s="109"/>
      <c r="Q684" s="154"/>
      <c r="R684" s="155" t="s">
        <v>272</v>
      </c>
      <c r="S684" s="156">
        <v>0</v>
      </c>
    </row>
    <row r="685" spans="1:19" ht="17.25" customHeight="1">
      <c r="A685" s="108">
        <v>65381</v>
      </c>
      <c r="B685" s="108">
        <f t="shared" si="0"/>
        <v>65380</v>
      </c>
      <c r="C685" s="109"/>
      <c r="D685" s="109"/>
      <c r="E685" s="109"/>
      <c r="F685" s="109"/>
      <c r="G685" s="109"/>
      <c r="H685" s="109"/>
      <c r="I685" s="109">
        <f t="shared" ref="I685:J685" si="699">SUM(C685,E685,G685)</f>
        <v>0</v>
      </c>
      <c r="J685" s="109">
        <f t="shared" si="699"/>
        <v>0</v>
      </c>
      <c r="K685" s="109">
        <f>SUMIFS(Ações!$J$66,Ações!$N$66,Patrimônio!B685,Ações!$E$66,"Provento")</f>
        <v>0</v>
      </c>
      <c r="L685" s="109">
        <f>SUMIFS(BDRs!$J$66,BDRs!$E$66,"Provento",BDRs!$N$66,Patrimônio!B685)</f>
        <v>0</v>
      </c>
      <c r="M685" s="109">
        <f>SUMIFS(FIIs!$J$66,FIIs!$E$66,"Provento",FIIs!$N$66,Patrimônio!B685)</f>
        <v>0</v>
      </c>
      <c r="N685" s="109">
        <f t="shared" si="2"/>
        <v>0</v>
      </c>
      <c r="O685" s="109"/>
      <c r="Q685" s="151" t="s">
        <v>192</v>
      </c>
      <c r="R685" s="157"/>
      <c r="S685" s="153">
        <v>0</v>
      </c>
    </row>
    <row r="686" spans="1:19" ht="17.25" customHeight="1">
      <c r="A686" s="108">
        <v>65412</v>
      </c>
      <c r="B686" s="108">
        <f t="shared" si="0"/>
        <v>65411</v>
      </c>
      <c r="C686" s="109"/>
      <c r="D686" s="109"/>
      <c r="E686" s="109"/>
      <c r="F686" s="109"/>
      <c r="G686" s="109"/>
      <c r="H686" s="109"/>
      <c r="I686" s="109">
        <f t="shared" ref="I686:J686" si="700">SUM(C686,E686,G686)</f>
        <v>0</v>
      </c>
      <c r="J686" s="109">
        <f t="shared" si="700"/>
        <v>0</v>
      </c>
      <c r="K686" s="109">
        <f>SUMIFS(Ações!$J$66,Ações!$N$66,Patrimônio!B686,Ações!$E$66,"Provento")</f>
        <v>0</v>
      </c>
      <c r="L686" s="109">
        <f>SUMIFS(BDRs!$J$66,BDRs!$E$66,"Provento",BDRs!$N$66,Patrimônio!B686)</f>
        <v>0</v>
      </c>
      <c r="M686" s="109">
        <f>SUMIFS(FIIs!$J$66,FIIs!$E$66,"Provento",FIIs!$N$66,Patrimônio!B686)</f>
        <v>0</v>
      </c>
      <c r="N686" s="109">
        <f t="shared" si="2"/>
        <v>0</v>
      </c>
      <c r="O686" s="109"/>
      <c r="Q686" s="151" t="s">
        <v>193</v>
      </c>
      <c r="R686" s="152" t="s">
        <v>261</v>
      </c>
      <c r="S686" s="153">
        <v>0</v>
      </c>
    </row>
    <row r="687" spans="1:19" ht="17.25" customHeight="1">
      <c r="A687" s="108">
        <v>65440</v>
      </c>
      <c r="B687" s="108">
        <f t="shared" si="0"/>
        <v>65439</v>
      </c>
      <c r="C687" s="109"/>
      <c r="D687" s="109"/>
      <c r="E687" s="109"/>
      <c r="F687" s="109"/>
      <c r="G687" s="109"/>
      <c r="H687" s="109"/>
      <c r="I687" s="109">
        <f t="shared" ref="I687:J687" si="701">SUM(C687,E687,G687)</f>
        <v>0</v>
      </c>
      <c r="J687" s="109">
        <f t="shared" si="701"/>
        <v>0</v>
      </c>
      <c r="K687" s="109">
        <f>SUMIFS(Ações!$J$66,Ações!$N$66,Patrimônio!B687,Ações!$E$66,"Provento")</f>
        <v>0</v>
      </c>
      <c r="L687" s="109">
        <f>SUMIFS(BDRs!$J$66,BDRs!$E$66,"Provento",BDRs!$N$66,Patrimônio!B687)</f>
        <v>0</v>
      </c>
      <c r="M687" s="109">
        <f>SUMIFS(FIIs!$J$66,FIIs!$E$66,"Provento",FIIs!$N$66,Patrimônio!B687)</f>
        <v>0</v>
      </c>
      <c r="N687" s="109">
        <f t="shared" si="2"/>
        <v>0</v>
      </c>
      <c r="O687" s="109"/>
      <c r="Q687" s="154"/>
      <c r="R687" s="155" t="s">
        <v>262</v>
      </c>
      <c r="S687" s="156">
        <v>0</v>
      </c>
    </row>
    <row r="688" spans="1:19" ht="17.25" customHeight="1">
      <c r="A688" s="108">
        <v>65471</v>
      </c>
      <c r="B688" s="108">
        <f t="shared" si="0"/>
        <v>65470</v>
      </c>
      <c r="C688" s="109"/>
      <c r="D688" s="109"/>
      <c r="E688" s="109"/>
      <c r="F688" s="109"/>
      <c r="G688" s="109"/>
      <c r="H688" s="109"/>
      <c r="I688" s="109">
        <f t="shared" ref="I688:J688" si="702">SUM(C688,E688,G688)</f>
        <v>0</v>
      </c>
      <c r="J688" s="109">
        <f t="shared" si="702"/>
        <v>0</v>
      </c>
      <c r="K688" s="109">
        <f>SUMIFS(Ações!$J$66,Ações!$N$66,Patrimônio!B688,Ações!$E$66,"Provento")</f>
        <v>0</v>
      </c>
      <c r="L688" s="109">
        <f>SUMIFS(BDRs!$J$66,BDRs!$E$66,"Provento",BDRs!$N$66,Patrimônio!B688)</f>
        <v>0</v>
      </c>
      <c r="M688" s="109">
        <f>SUMIFS(FIIs!$J$66,FIIs!$E$66,"Provento",FIIs!$N$66,Patrimônio!B688)</f>
        <v>0</v>
      </c>
      <c r="N688" s="109">
        <f t="shared" si="2"/>
        <v>0</v>
      </c>
      <c r="O688" s="109"/>
      <c r="Q688" s="154"/>
      <c r="R688" s="155" t="s">
        <v>263</v>
      </c>
      <c r="S688" s="156">
        <v>0</v>
      </c>
    </row>
    <row r="689" spans="1:19" ht="17.25" customHeight="1">
      <c r="A689" s="108">
        <v>65501</v>
      </c>
      <c r="B689" s="108">
        <f t="shared" si="0"/>
        <v>65500</v>
      </c>
      <c r="C689" s="109"/>
      <c r="D689" s="109"/>
      <c r="E689" s="109"/>
      <c r="F689" s="109"/>
      <c r="G689" s="109"/>
      <c r="H689" s="109"/>
      <c r="I689" s="109">
        <f t="shared" ref="I689:J689" si="703">SUM(C689,E689,G689)</f>
        <v>0</v>
      </c>
      <c r="J689" s="109">
        <f t="shared" si="703"/>
        <v>0</v>
      </c>
      <c r="K689" s="109">
        <f>SUMIFS(Ações!$J$66,Ações!$N$66,Patrimônio!B689,Ações!$E$66,"Provento")</f>
        <v>0</v>
      </c>
      <c r="L689" s="109">
        <f>SUMIFS(BDRs!$J$66,BDRs!$E$66,"Provento",BDRs!$N$66,Patrimônio!B689)</f>
        <v>0</v>
      </c>
      <c r="M689" s="109">
        <f>SUMIFS(FIIs!$J$66,FIIs!$E$66,"Provento",FIIs!$N$66,Patrimônio!B689)</f>
        <v>0</v>
      </c>
      <c r="N689" s="109">
        <f t="shared" si="2"/>
        <v>0</v>
      </c>
      <c r="O689" s="109"/>
      <c r="Q689" s="154"/>
      <c r="R689" s="155" t="s">
        <v>264</v>
      </c>
      <c r="S689" s="156">
        <v>0</v>
      </c>
    </row>
    <row r="690" spans="1:19" ht="17.25" customHeight="1">
      <c r="A690" s="108">
        <v>65532</v>
      </c>
      <c r="B690" s="108">
        <f t="shared" si="0"/>
        <v>65531</v>
      </c>
      <c r="C690" s="109"/>
      <c r="D690" s="109"/>
      <c r="E690" s="109"/>
      <c r="F690" s="109"/>
      <c r="G690" s="109"/>
      <c r="H690" s="109"/>
      <c r="I690" s="109">
        <f t="shared" ref="I690:J690" si="704">SUM(C690,E690,G690)</f>
        <v>0</v>
      </c>
      <c r="J690" s="109">
        <f t="shared" si="704"/>
        <v>0</v>
      </c>
      <c r="K690" s="109">
        <f>SUMIFS(Ações!$J$66,Ações!$N$66,Patrimônio!B690,Ações!$E$66,"Provento")</f>
        <v>0</v>
      </c>
      <c r="L690" s="109">
        <f>SUMIFS(BDRs!$J$66,BDRs!$E$66,"Provento",BDRs!$N$66,Patrimônio!B690)</f>
        <v>0</v>
      </c>
      <c r="M690" s="109">
        <f>SUMIFS(FIIs!$J$66,FIIs!$E$66,"Provento",FIIs!$N$66,Patrimônio!B690)</f>
        <v>0</v>
      </c>
      <c r="N690" s="109">
        <f t="shared" si="2"/>
        <v>0</v>
      </c>
      <c r="O690" s="109"/>
      <c r="Q690" s="154"/>
      <c r="R690" s="155" t="s">
        <v>265</v>
      </c>
      <c r="S690" s="156">
        <v>0</v>
      </c>
    </row>
    <row r="691" spans="1:19" ht="17.25" customHeight="1">
      <c r="A691" s="108">
        <v>65562</v>
      </c>
      <c r="B691" s="108">
        <f t="shared" si="0"/>
        <v>65561</v>
      </c>
      <c r="C691" s="109"/>
      <c r="D691" s="109"/>
      <c r="E691" s="109"/>
      <c r="F691" s="109"/>
      <c r="G691" s="109"/>
      <c r="H691" s="109"/>
      <c r="I691" s="109">
        <f t="shared" ref="I691:J691" si="705">SUM(C691,E691,G691)</f>
        <v>0</v>
      </c>
      <c r="J691" s="109">
        <f t="shared" si="705"/>
        <v>0</v>
      </c>
      <c r="K691" s="109">
        <f>SUMIFS(Ações!$J$66,Ações!$N$66,Patrimônio!B691,Ações!$E$66,"Provento")</f>
        <v>0</v>
      </c>
      <c r="L691" s="109">
        <f>SUMIFS(BDRs!$J$66,BDRs!$E$66,"Provento",BDRs!$N$66,Patrimônio!B691)</f>
        <v>0</v>
      </c>
      <c r="M691" s="109">
        <f>SUMIFS(FIIs!$J$66,FIIs!$E$66,"Provento",FIIs!$N$66,Patrimônio!B691)</f>
        <v>0</v>
      </c>
      <c r="N691" s="109">
        <f t="shared" si="2"/>
        <v>0</v>
      </c>
      <c r="O691" s="109"/>
      <c r="Q691" s="154"/>
      <c r="R691" s="155" t="s">
        <v>266</v>
      </c>
      <c r="S691" s="156">
        <v>0</v>
      </c>
    </row>
    <row r="692" spans="1:19" ht="17.25" customHeight="1">
      <c r="A692" s="108">
        <v>65593</v>
      </c>
      <c r="B692" s="108">
        <f t="shared" si="0"/>
        <v>65592</v>
      </c>
      <c r="C692" s="109"/>
      <c r="D692" s="109"/>
      <c r="E692" s="109"/>
      <c r="F692" s="109"/>
      <c r="G692" s="109"/>
      <c r="H692" s="109"/>
      <c r="I692" s="109">
        <f t="shared" ref="I692:J692" si="706">SUM(C692,E692,G692)</f>
        <v>0</v>
      </c>
      <c r="J692" s="109">
        <f t="shared" si="706"/>
        <v>0</v>
      </c>
      <c r="K692" s="109">
        <f>SUMIFS(Ações!$J$66,Ações!$N$66,Patrimônio!B692,Ações!$E$66,"Provento")</f>
        <v>0</v>
      </c>
      <c r="L692" s="109">
        <f>SUMIFS(BDRs!$J$66,BDRs!$E$66,"Provento",BDRs!$N$66,Patrimônio!B692)</f>
        <v>0</v>
      </c>
      <c r="M692" s="109">
        <f>SUMIFS(FIIs!$J$66,FIIs!$E$66,"Provento",FIIs!$N$66,Patrimônio!B692)</f>
        <v>0</v>
      </c>
      <c r="N692" s="109">
        <f t="shared" si="2"/>
        <v>0</v>
      </c>
      <c r="O692" s="109"/>
      <c r="Q692" s="154"/>
      <c r="R692" s="155" t="s">
        <v>267</v>
      </c>
      <c r="S692" s="156">
        <v>0</v>
      </c>
    </row>
    <row r="693" spans="1:19" ht="17.25" customHeight="1">
      <c r="A693" s="108">
        <v>65624</v>
      </c>
      <c r="B693" s="108">
        <f t="shared" si="0"/>
        <v>65623</v>
      </c>
      <c r="C693" s="109"/>
      <c r="D693" s="109"/>
      <c r="E693" s="109"/>
      <c r="F693" s="109"/>
      <c r="G693" s="109"/>
      <c r="H693" s="109"/>
      <c r="I693" s="109">
        <f t="shared" ref="I693:J693" si="707">SUM(C693,E693,G693)</f>
        <v>0</v>
      </c>
      <c r="J693" s="109">
        <f t="shared" si="707"/>
        <v>0</v>
      </c>
      <c r="K693" s="109">
        <f>SUMIFS(Ações!$J$66,Ações!$N$66,Patrimônio!B693,Ações!$E$66,"Provento")</f>
        <v>0</v>
      </c>
      <c r="L693" s="109">
        <f>SUMIFS(BDRs!$J$66,BDRs!$E$66,"Provento",BDRs!$N$66,Patrimônio!B693)</f>
        <v>0</v>
      </c>
      <c r="M693" s="109">
        <f>SUMIFS(FIIs!$J$66,FIIs!$E$66,"Provento",FIIs!$N$66,Patrimônio!B693)</f>
        <v>0</v>
      </c>
      <c r="N693" s="109">
        <f t="shared" si="2"/>
        <v>0</v>
      </c>
      <c r="O693" s="109"/>
      <c r="Q693" s="154"/>
      <c r="R693" s="155" t="s">
        <v>268</v>
      </c>
      <c r="S693" s="156">
        <v>0</v>
      </c>
    </row>
    <row r="694" spans="1:19" ht="17.25" customHeight="1">
      <c r="A694" s="108">
        <v>65654</v>
      </c>
      <c r="B694" s="108">
        <f t="shared" si="0"/>
        <v>65653</v>
      </c>
      <c r="C694" s="109"/>
      <c r="D694" s="109"/>
      <c r="E694" s="109"/>
      <c r="F694" s="109"/>
      <c r="G694" s="109"/>
      <c r="H694" s="109"/>
      <c r="I694" s="109">
        <f t="shared" ref="I694:J694" si="708">SUM(C694,E694,G694)</f>
        <v>0</v>
      </c>
      <c r="J694" s="109">
        <f t="shared" si="708"/>
        <v>0</v>
      </c>
      <c r="K694" s="109">
        <f>SUMIFS(Ações!$J$66,Ações!$N$66,Patrimônio!B694,Ações!$E$66,"Provento")</f>
        <v>0</v>
      </c>
      <c r="L694" s="109">
        <f>SUMIFS(BDRs!$J$66,BDRs!$E$66,"Provento",BDRs!$N$66,Patrimônio!B694)</f>
        <v>0</v>
      </c>
      <c r="M694" s="109">
        <f>SUMIFS(FIIs!$J$66,FIIs!$E$66,"Provento",FIIs!$N$66,Patrimônio!B694)</f>
        <v>0</v>
      </c>
      <c r="N694" s="109">
        <f t="shared" si="2"/>
        <v>0</v>
      </c>
      <c r="O694" s="109"/>
      <c r="Q694" s="154"/>
      <c r="R694" s="155" t="s">
        <v>269</v>
      </c>
      <c r="S694" s="156">
        <v>0</v>
      </c>
    </row>
    <row r="695" spans="1:19" ht="17.25" customHeight="1">
      <c r="A695" s="108">
        <v>65685</v>
      </c>
      <c r="B695" s="108">
        <f t="shared" si="0"/>
        <v>65684</v>
      </c>
      <c r="C695" s="109"/>
      <c r="D695" s="109"/>
      <c r="E695" s="109"/>
      <c r="F695" s="109"/>
      <c r="G695" s="109"/>
      <c r="H695" s="109"/>
      <c r="I695" s="109">
        <f t="shared" ref="I695:J695" si="709">SUM(C695,E695,G695)</f>
        <v>0</v>
      </c>
      <c r="J695" s="109">
        <f t="shared" si="709"/>
        <v>0</v>
      </c>
      <c r="K695" s="109">
        <f>SUMIFS(Ações!$J$66,Ações!$N$66,Patrimônio!B695,Ações!$E$66,"Provento")</f>
        <v>0</v>
      </c>
      <c r="L695" s="109">
        <f>SUMIFS(BDRs!$J$66,BDRs!$E$66,"Provento",BDRs!$N$66,Patrimônio!B695)</f>
        <v>0</v>
      </c>
      <c r="M695" s="109">
        <f>SUMIFS(FIIs!$J$66,FIIs!$E$66,"Provento",FIIs!$N$66,Patrimônio!B695)</f>
        <v>0</v>
      </c>
      <c r="N695" s="109">
        <f t="shared" si="2"/>
        <v>0</v>
      </c>
      <c r="O695" s="109"/>
      <c r="Q695" s="154"/>
      <c r="R695" s="155" t="s">
        <v>270</v>
      </c>
      <c r="S695" s="156">
        <v>0</v>
      </c>
    </row>
    <row r="696" spans="1:19" ht="17.25" customHeight="1">
      <c r="A696" s="108">
        <v>65715</v>
      </c>
      <c r="B696" s="108">
        <f t="shared" si="0"/>
        <v>65714</v>
      </c>
      <c r="C696" s="109"/>
      <c r="D696" s="109"/>
      <c r="E696" s="109"/>
      <c r="F696" s="109"/>
      <c r="G696" s="109"/>
      <c r="H696" s="109"/>
      <c r="I696" s="109">
        <f t="shared" ref="I696:J696" si="710">SUM(C696,E696,G696)</f>
        <v>0</v>
      </c>
      <c r="J696" s="109">
        <f t="shared" si="710"/>
        <v>0</v>
      </c>
      <c r="K696" s="109">
        <f>SUMIFS(Ações!$J$66,Ações!$N$66,Patrimônio!B696,Ações!$E$66,"Provento")</f>
        <v>0</v>
      </c>
      <c r="L696" s="109">
        <f>SUMIFS(BDRs!$J$66,BDRs!$E$66,"Provento",BDRs!$N$66,Patrimônio!B696)</f>
        <v>0</v>
      </c>
      <c r="M696" s="109">
        <f>SUMIFS(FIIs!$J$66,FIIs!$E$66,"Provento",FIIs!$N$66,Patrimônio!B696)</f>
        <v>0</v>
      </c>
      <c r="N696" s="109">
        <f t="shared" si="2"/>
        <v>0</v>
      </c>
      <c r="O696" s="109"/>
      <c r="Q696" s="154"/>
      <c r="R696" s="155" t="s">
        <v>271</v>
      </c>
      <c r="S696" s="156">
        <v>0</v>
      </c>
    </row>
    <row r="697" spans="1:19" ht="17.25" customHeight="1">
      <c r="A697" s="108">
        <v>65746</v>
      </c>
      <c r="B697" s="108">
        <f t="shared" si="0"/>
        <v>65745</v>
      </c>
      <c r="C697" s="109"/>
      <c r="D697" s="109"/>
      <c r="E697" s="109"/>
      <c r="F697" s="109"/>
      <c r="G697" s="109"/>
      <c r="H697" s="109"/>
      <c r="I697" s="109">
        <f t="shared" ref="I697:J697" si="711">SUM(C697,E697,G697)</f>
        <v>0</v>
      </c>
      <c r="J697" s="109">
        <f t="shared" si="711"/>
        <v>0</v>
      </c>
      <c r="K697" s="109">
        <f>SUMIFS(Ações!$J$66,Ações!$N$66,Patrimônio!B697,Ações!$E$66,"Provento")</f>
        <v>0</v>
      </c>
      <c r="L697" s="109">
        <f>SUMIFS(BDRs!$J$66,BDRs!$E$66,"Provento",BDRs!$N$66,Patrimônio!B697)</f>
        <v>0</v>
      </c>
      <c r="M697" s="109">
        <f>SUMIFS(FIIs!$J$66,FIIs!$E$66,"Provento",FIIs!$N$66,Patrimônio!B697)</f>
        <v>0</v>
      </c>
      <c r="N697" s="109">
        <f t="shared" si="2"/>
        <v>0</v>
      </c>
      <c r="O697" s="109"/>
      <c r="Q697" s="154"/>
      <c r="R697" s="155" t="s">
        <v>272</v>
      </c>
      <c r="S697" s="156">
        <v>0</v>
      </c>
    </row>
    <row r="698" spans="1:19" ht="17.25" customHeight="1">
      <c r="A698" s="108">
        <v>65777</v>
      </c>
      <c r="B698" s="108">
        <f t="shared" si="0"/>
        <v>65776</v>
      </c>
      <c r="C698" s="109"/>
      <c r="D698" s="109"/>
      <c r="E698" s="109"/>
      <c r="F698" s="109"/>
      <c r="G698" s="109"/>
      <c r="H698" s="109"/>
      <c r="I698" s="109">
        <f t="shared" ref="I698:J698" si="712">SUM(C698,E698,G698)</f>
        <v>0</v>
      </c>
      <c r="J698" s="109">
        <f t="shared" si="712"/>
        <v>0</v>
      </c>
      <c r="K698" s="109">
        <f>SUMIFS(Ações!$J$66,Ações!$N$66,Patrimônio!B698,Ações!$E$66,"Provento")</f>
        <v>0</v>
      </c>
      <c r="L698" s="109">
        <f>SUMIFS(BDRs!$J$66,BDRs!$E$66,"Provento",BDRs!$N$66,Patrimônio!B698)</f>
        <v>0</v>
      </c>
      <c r="M698" s="109">
        <f>SUMIFS(FIIs!$J$66,FIIs!$E$66,"Provento",FIIs!$N$66,Patrimônio!B698)</f>
        <v>0</v>
      </c>
      <c r="N698" s="109">
        <f t="shared" si="2"/>
        <v>0</v>
      </c>
      <c r="O698" s="109"/>
      <c r="Q698" s="151" t="s">
        <v>194</v>
      </c>
      <c r="R698" s="157"/>
      <c r="S698" s="153">
        <v>0</v>
      </c>
    </row>
    <row r="699" spans="1:19" ht="17.25" customHeight="1">
      <c r="A699" s="108">
        <v>65806</v>
      </c>
      <c r="B699" s="108">
        <f t="shared" si="0"/>
        <v>65805</v>
      </c>
      <c r="C699" s="109"/>
      <c r="D699" s="109"/>
      <c r="E699" s="109"/>
      <c r="F699" s="109"/>
      <c r="G699" s="109"/>
      <c r="H699" s="109"/>
      <c r="I699" s="109">
        <f t="shared" ref="I699:J699" si="713">SUM(C699,E699,G699)</f>
        <v>0</v>
      </c>
      <c r="J699" s="109">
        <f t="shared" si="713"/>
        <v>0</v>
      </c>
      <c r="K699" s="109">
        <f>SUMIFS(Ações!$J$66,Ações!$N$66,Patrimônio!B699,Ações!$E$66,"Provento")</f>
        <v>0</v>
      </c>
      <c r="L699" s="109">
        <f>SUMIFS(BDRs!$J$66,BDRs!$E$66,"Provento",BDRs!$N$66,Patrimônio!B699)</f>
        <v>0</v>
      </c>
      <c r="M699" s="109">
        <f>SUMIFS(FIIs!$J$66,FIIs!$E$66,"Provento",FIIs!$N$66,Patrimônio!B699)</f>
        <v>0</v>
      </c>
      <c r="N699" s="109">
        <f t="shared" si="2"/>
        <v>0</v>
      </c>
      <c r="O699" s="109"/>
      <c r="Q699" s="151" t="s">
        <v>195</v>
      </c>
      <c r="R699" s="152" t="s">
        <v>261</v>
      </c>
      <c r="S699" s="153">
        <v>0</v>
      </c>
    </row>
    <row r="700" spans="1:19" ht="17.25" customHeight="1">
      <c r="A700" s="108">
        <v>65837</v>
      </c>
      <c r="B700" s="108">
        <f t="shared" si="0"/>
        <v>65836</v>
      </c>
      <c r="C700" s="109"/>
      <c r="D700" s="109"/>
      <c r="E700" s="109"/>
      <c r="F700" s="109"/>
      <c r="G700" s="109"/>
      <c r="H700" s="109"/>
      <c r="I700" s="109">
        <f t="shared" ref="I700:J700" si="714">SUM(C700,E700,G700)</f>
        <v>0</v>
      </c>
      <c r="J700" s="109">
        <f t="shared" si="714"/>
        <v>0</v>
      </c>
      <c r="K700" s="109">
        <f>SUMIFS(Ações!$J$66,Ações!$N$66,Patrimônio!B700,Ações!$E$66,"Provento")</f>
        <v>0</v>
      </c>
      <c r="L700" s="109">
        <f>SUMIFS(BDRs!$J$66,BDRs!$E$66,"Provento",BDRs!$N$66,Patrimônio!B700)</f>
        <v>0</v>
      </c>
      <c r="M700" s="109">
        <f>SUMIFS(FIIs!$J$66,FIIs!$E$66,"Provento",FIIs!$N$66,Patrimônio!B700)</f>
        <v>0</v>
      </c>
      <c r="N700" s="109">
        <f t="shared" si="2"/>
        <v>0</v>
      </c>
      <c r="O700" s="109"/>
      <c r="Q700" s="154"/>
      <c r="R700" s="155" t="s">
        <v>262</v>
      </c>
      <c r="S700" s="156">
        <v>0</v>
      </c>
    </row>
    <row r="701" spans="1:19" ht="17.25" customHeight="1">
      <c r="A701" s="108">
        <v>65867</v>
      </c>
      <c r="B701" s="108">
        <f t="shared" si="0"/>
        <v>65866</v>
      </c>
      <c r="C701" s="109"/>
      <c r="D701" s="109"/>
      <c r="E701" s="109"/>
      <c r="F701" s="109"/>
      <c r="G701" s="109"/>
      <c r="H701" s="109"/>
      <c r="I701" s="109">
        <f t="shared" ref="I701:J701" si="715">SUM(C701,E701,G701)</f>
        <v>0</v>
      </c>
      <c r="J701" s="109">
        <f t="shared" si="715"/>
        <v>0</v>
      </c>
      <c r="K701" s="109">
        <f>SUMIFS(Ações!$J$66,Ações!$N$66,Patrimônio!B701,Ações!$E$66,"Provento")</f>
        <v>0</v>
      </c>
      <c r="L701" s="109">
        <f>SUMIFS(BDRs!$J$66,BDRs!$E$66,"Provento",BDRs!$N$66,Patrimônio!B701)</f>
        <v>0</v>
      </c>
      <c r="M701" s="109">
        <f>SUMIFS(FIIs!$J$66,FIIs!$E$66,"Provento",FIIs!$N$66,Patrimônio!B701)</f>
        <v>0</v>
      </c>
      <c r="N701" s="109">
        <f t="shared" si="2"/>
        <v>0</v>
      </c>
      <c r="O701" s="109"/>
      <c r="Q701" s="154"/>
      <c r="R701" s="155" t="s">
        <v>263</v>
      </c>
      <c r="S701" s="156">
        <v>0</v>
      </c>
    </row>
    <row r="702" spans="1:19" ht="17.25" customHeight="1">
      <c r="A702" s="108">
        <v>65898</v>
      </c>
      <c r="B702" s="108">
        <f t="shared" si="0"/>
        <v>65897</v>
      </c>
      <c r="C702" s="109"/>
      <c r="D702" s="109"/>
      <c r="E702" s="109"/>
      <c r="F702" s="109"/>
      <c r="G702" s="109"/>
      <c r="H702" s="109"/>
      <c r="I702" s="109">
        <f t="shared" ref="I702:J702" si="716">SUM(C702,E702,G702)</f>
        <v>0</v>
      </c>
      <c r="J702" s="109">
        <f t="shared" si="716"/>
        <v>0</v>
      </c>
      <c r="K702" s="109">
        <f>SUMIFS(Ações!$J$66,Ações!$N$66,Patrimônio!B702,Ações!$E$66,"Provento")</f>
        <v>0</v>
      </c>
      <c r="L702" s="109">
        <f>SUMIFS(BDRs!$J$66,BDRs!$E$66,"Provento",BDRs!$N$66,Patrimônio!B702)</f>
        <v>0</v>
      </c>
      <c r="M702" s="109">
        <f>SUMIFS(FIIs!$J$66,FIIs!$E$66,"Provento",FIIs!$N$66,Patrimônio!B702)</f>
        <v>0</v>
      </c>
      <c r="N702" s="109">
        <f t="shared" si="2"/>
        <v>0</v>
      </c>
      <c r="O702" s="109"/>
      <c r="Q702" s="154"/>
      <c r="R702" s="155" t="s">
        <v>264</v>
      </c>
      <c r="S702" s="156">
        <v>0</v>
      </c>
    </row>
    <row r="703" spans="1:19" ht="17.25" customHeight="1">
      <c r="A703" s="108">
        <v>65928</v>
      </c>
      <c r="B703" s="108">
        <f t="shared" si="0"/>
        <v>65927</v>
      </c>
      <c r="C703" s="109"/>
      <c r="D703" s="109"/>
      <c r="E703" s="109"/>
      <c r="F703" s="109"/>
      <c r="G703" s="109"/>
      <c r="H703" s="109"/>
      <c r="I703" s="109">
        <f t="shared" ref="I703:J703" si="717">SUM(C703,E703,G703)</f>
        <v>0</v>
      </c>
      <c r="J703" s="109">
        <f t="shared" si="717"/>
        <v>0</v>
      </c>
      <c r="K703" s="109">
        <f>SUMIFS(Ações!$J$66,Ações!$N$66,Patrimônio!B703,Ações!$E$66,"Provento")</f>
        <v>0</v>
      </c>
      <c r="L703" s="109">
        <f>SUMIFS(BDRs!$J$66,BDRs!$E$66,"Provento",BDRs!$N$66,Patrimônio!B703)</f>
        <v>0</v>
      </c>
      <c r="M703" s="109">
        <f>SUMIFS(FIIs!$J$66,FIIs!$E$66,"Provento",FIIs!$N$66,Patrimônio!B703)</f>
        <v>0</v>
      </c>
      <c r="N703" s="109">
        <f t="shared" si="2"/>
        <v>0</v>
      </c>
      <c r="O703" s="109"/>
      <c r="Q703" s="154"/>
      <c r="R703" s="155" t="s">
        <v>265</v>
      </c>
      <c r="S703" s="156">
        <v>0</v>
      </c>
    </row>
    <row r="704" spans="1:19" ht="17.25" customHeight="1">
      <c r="A704" s="108">
        <v>65959</v>
      </c>
      <c r="B704" s="108">
        <f t="shared" si="0"/>
        <v>65958</v>
      </c>
      <c r="C704" s="109"/>
      <c r="D704" s="109"/>
      <c r="E704" s="109"/>
      <c r="F704" s="109"/>
      <c r="G704" s="109"/>
      <c r="H704" s="109"/>
      <c r="I704" s="109">
        <f t="shared" ref="I704:J704" si="718">SUM(C704,E704,G704)</f>
        <v>0</v>
      </c>
      <c r="J704" s="109">
        <f t="shared" si="718"/>
        <v>0</v>
      </c>
      <c r="K704" s="109">
        <f>SUMIFS(Ações!$J$66,Ações!$N$66,Patrimônio!B704,Ações!$E$66,"Provento")</f>
        <v>0</v>
      </c>
      <c r="L704" s="109">
        <f>SUMIFS(BDRs!$J$66,BDRs!$E$66,"Provento",BDRs!$N$66,Patrimônio!B704)</f>
        <v>0</v>
      </c>
      <c r="M704" s="109">
        <f>SUMIFS(FIIs!$J$66,FIIs!$E$66,"Provento",FIIs!$N$66,Patrimônio!B704)</f>
        <v>0</v>
      </c>
      <c r="N704" s="109">
        <f t="shared" si="2"/>
        <v>0</v>
      </c>
      <c r="O704" s="109"/>
      <c r="Q704" s="154"/>
      <c r="R704" s="155" t="s">
        <v>266</v>
      </c>
      <c r="S704" s="156">
        <v>0</v>
      </c>
    </row>
    <row r="705" spans="1:19" ht="17.25" customHeight="1">
      <c r="A705" s="108">
        <v>65990</v>
      </c>
      <c r="B705" s="108">
        <f t="shared" si="0"/>
        <v>65989</v>
      </c>
      <c r="C705" s="109"/>
      <c r="D705" s="109"/>
      <c r="E705" s="109"/>
      <c r="F705" s="109"/>
      <c r="G705" s="109"/>
      <c r="H705" s="109"/>
      <c r="I705" s="109">
        <f t="shared" ref="I705:J705" si="719">SUM(C705,E705,G705)</f>
        <v>0</v>
      </c>
      <c r="J705" s="109">
        <f t="shared" si="719"/>
        <v>0</v>
      </c>
      <c r="K705" s="109">
        <f>SUMIFS(Ações!$J$66,Ações!$N$66,Patrimônio!B705,Ações!$E$66,"Provento")</f>
        <v>0</v>
      </c>
      <c r="L705" s="109">
        <f>SUMIFS(BDRs!$J$66,BDRs!$E$66,"Provento",BDRs!$N$66,Patrimônio!B705)</f>
        <v>0</v>
      </c>
      <c r="M705" s="109">
        <f>SUMIFS(FIIs!$J$66,FIIs!$E$66,"Provento",FIIs!$N$66,Patrimônio!B705)</f>
        <v>0</v>
      </c>
      <c r="N705" s="109">
        <f t="shared" si="2"/>
        <v>0</v>
      </c>
      <c r="O705" s="109"/>
      <c r="Q705" s="154"/>
      <c r="R705" s="155" t="s">
        <v>267</v>
      </c>
      <c r="S705" s="156">
        <v>0</v>
      </c>
    </row>
    <row r="706" spans="1:19" ht="17.25" customHeight="1">
      <c r="A706" s="108">
        <v>66020</v>
      </c>
      <c r="B706" s="108">
        <f t="shared" si="0"/>
        <v>66019</v>
      </c>
      <c r="C706" s="109"/>
      <c r="D706" s="109"/>
      <c r="E706" s="109"/>
      <c r="F706" s="109"/>
      <c r="G706" s="109"/>
      <c r="H706" s="109"/>
      <c r="I706" s="109">
        <f t="shared" ref="I706:J706" si="720">SUM(C706,E706,G706)</f>
        <v>0</v>
      </c>
      <c r="J706" s="109">
        <f t="shared" si="720"/>
        <v>0</v>
      </c>
      <c r="K706" s="109">
        <f>SUMIFS(Ações!$J$66,Ações!$N$66,Patrimônio!B706,Ações!$E$66,"Provento")</f>
        <v>0</v>
      </c>
      <c r="L706" s="109">
        <f>SUMIFS(BDRs!$J$66,BDRs!$E$66,"Provento",BDRs!$N$66,Patrimônio!B706)</f>
        <v>0</v>
      </c>
      <c r="M706" s="109">
        <f>SUMIFS(FIIs!$J$66,FIIs!$E$66,"Provento",FIIs!$N$66,Patrimônio!B706)</f>
        <v>0</v>
      </c>
      <c r="N706" s="109">
        <f t="shared" si="2"/>
        <v>0</v>
      </c>
      <c r="O706" s="109"/>
      <c r="Q706" s="154"/>
      <c r="R706" s="155" t="s">
        <v>268</v>
      </c>
      <c r="S706" s="156">
        <v>0</v>
      </c>
    </row>
    <row r="707" spans="1:19" ht="17.25" customHeight="1">
      <c r="A707" s="108">
        <v>66051</v>
      </c>
      <c r="B707" s="108">
        <f t="shared" si="0"/>
        <v>66050</v>
      </c>
      <c r="C707" s="109"/>
      <c r="D707" s="109"/>
      <c r="E707" s="109"/>
      <c r="F707" s="109"/>
      <c r="G707" s="109"/>
      <c r="H707" s="109"/>
      <c r="I707" s="109">
        <f t="shared" ref="I707:J707" si="721">SUM(C707,E707,G707)</f>
        <v>0</v>
      </c>
      <c r="J707" s="109">
        <f t="shared" si="721"/>
        <v>0</v>
      </c>
      <c r="K707" s="109">
        <f>SUMIFS(Ações!$J$66,Ações!$N$66,Patrimônio!B707,Ações!$E$66,"Provento")</f>
        <v>0</v>
      </c>
      <c r="L707" s="109">
        <f>SUMIFS(BDRs!$J$66,BDRs!$E$66,"Provento",BDRs!$N$66,Patrimônio!B707)</f>
        <v>0</v>
      </c>
      <c r="M707" s="109">
        <f>SUMIFS(FIIs!$J$66,FIIs!$E$66,"Provento",FIIs!$N$66,Patrimônio!B707)</f>
        <v>0</v>
      </c>
      <c r="N707" s="109">
        <f t="shared" si="2"/>
        <v>0</v>
      </c>
      <c r="O707" s="109"/>
      <c r="Q707" s="154"/>
      <c r="R707" s="155" t="s">
        <v>269</v>
      </c>
      <c r="S707" s="156">
        <v>0</v>
      </c>
    </row>
    <row r="708" spans="1:19" ht="17.25" customHeight="1">
      <c r="A708" s="108">
        <v>66081</v>
      </c>
      <c r="B708" s="108">
        <f t="shared" si="0"/>
        <v>66080</v>
      </c>
      <c r="C708" s="109"/>
      <c r="D708" s="109"/>
      <c r="E708" s="109"/>
      <c r="F708" s="109"/>
      <c r="G708" s="109"/>
      <c r="H708" s="109"/>
      <c r="I708" s="109">
        <f t="shared" ref="I708:J708" si="722">SUM(C708,E708,G708)</f>
        <v>0</v>
      </c>
      <c r="J708" s="109">
        <f t="shared" si="722"/>
        <v>0</v>
      </c>
      <c r="K708" s="109">
        <f>SUMIFS(Ações!$J$66,Ações!$N$66,Patrimônio!B708,Ações!$E$66,"Provento")</f>
        <v>0</v>
      </c>
      <c r="L708" s="109">
        <f>SUMIFS(BDRs!$J$66,BDRs!$E$66,"Provento",BDRs!$N$66,Patrimônio!B708)</f>
        <v>0</v>
      </c>
      <c r="M708" s="109">
        <f>SUMIFS(FIIs!$J$66,FIIs!$E$66,"Provento",FIIs!$N$66,Patrimônio!B708)</f>
        <v>0</v>
      </c>
      <c r="N708" s="109">
        <f t="shared" si="2"/>
        <v>0</v>
      </c>
      <c r="O708" s="109"/>
      <c r="Q708" s="154"/>
      <c r="R708" s="155" t="s">
        <v>270</v>
      </c>
      <c r="S708" s="156">
        <v>0</v>
      </c>
    </row>
    <row r="709" spans="1:19" ht="17.25" customHeight="1">
      <c r="A709" s="108">
        <v>66112</v>
      </c>
      <c r="B709" s="108">
        <f t="shared" si="0"/>
        <v>66111</v>
      </c>
      <c r="C709" s="109"/>
      <c r="D709" s="109"/>
      <c r="E709" s="109"/>
      <c r="F709" s="109"/>
      <c r="G709" s="109"/>
      <c r="H709" s="109"/>
      <c r="I709" s="109">
        <f t="shared" ref="I709:J709" si="723">SUM(C709,E709,G709)</f>
        <v>0</v>
      </c>
      <c r="J709" s="109">
        <f t="shared" si="723"/>
        <v>0</v>
      </c>
      <c r="K709" s="109">
        <f>SUMIFS(Ações!$J$66,Ações!$N$66,Patrimônio!B709,Ações!$E$66,"Provento")</f>
        <v>0</v>
      </c>
      <c r="L709" s="109">
        <f>SUMIFS(BDRs!$J$66,BDRs!$E$66,"Provento",BDRs!$N$66,Patrimônio!B709)</f>
        <v>0</v>
      </c>
      <c r="M709" s="109">
        <f>SUMIFS(FIIs!$J$66,FIIs!$E$66,"Provento",FIIs!$N$66,Patrimônio!B709)</f>
        <v>0</v>
      </c>
      <c r="N709" s="109">
        <f t="shared" si="2"/>
        <v>0</v>
      </c>
      <c r="O709" s="109"/>
      <c r="Q709" s="154"/>
      <c r="R709" s="155" t="s">
        <v>271</v>
      </c>
      <c r="S709" s="156">
        <v>0</v>
      </c>
    </row>
    <row r="710" spans="1:19" ht="17.25" customHeight="1">
      <c r="A710" s="108">
        <v>66143</v>
      </c>
      <c r="B710" s="108">
        <f t="shared" si="0"/>
        <v>66142</v>
      </c>
      <c r="C710" s="109"/>
      <c r="D710" s="109"/>
      <c r="E710" s="109"/>
      <c r="F710" s="109"/>
      <c r="G710" s="109"/>
      <c r="H710" s="109"/>
      <c r="I710" s="109">
        <f t="shared" ref="I710:J710" si="724">SUM(C710,E710,G710)</f>
        <v>0</v>
      </c>
      <c r="J710" s="109">
        <f t="shared" si="724"/>
        <v>0</v>
      </c>
      <c r="K710" s="109">
        <f>SUMIFS(Ações!$J$66,Ações!$N$66,Patrimônio!B710,Ações!$E$66,"Provento")</f>
        <v>0</v>
      </c>
      <c r="L710" s="109">
        <f>SUMIFS(BDRs!$J$66,BDRs!$E$66,"Provento",BDRs!$N$66,Patrimônio!B710)</f>
        <v>0</v>
      </c>
      <c r="M710" s="109">
        <f>SUMIFS(FIIs!$J$66,FIIs!$E$66,"Provento",FIIs!$N$66,Patrimônio!B710)</f>
        <v>0</v>
      </c>
      <c r="N710" s="109">
        <f t="shared" si="2"/>
        <v>0</v>
      </c>
      <c r="O710" s="109"/>
      <c r="Q710" s="154"/>
      <c r="R710" s="155" t="s">
        <v>272</v>
      </c>
      <c r="S710" s="156">
        <v>0</v>
      </c>
    </row>
    <row r="711" spans="1:19" ht="17.25" customHeight="1">
      <c r="A711" s="108">
        <v>66171</v>
      </c>
      <c r="B711" s="108">
        <f t="shared" si="0"/>
        <v>66170</v>
      </c>
      <c r="C711" s="109"/>
      <c r="D711" s="109"/>
      <c r="E711" s="109"/>
      <c r="F711" s="109"/>
      <c r="G711" s="109"/>
      <c r="H711" s="109"/>
      <c r="I711" s="109">
        <f t="shared" ref="I711:J711" si="725">SUM(C711,E711,G711)</f>
        <v>0</v>
      </c>
      <c r="J711" s="109">
        <f t="shared" si="725"/>
        <v>0</v>
      </c>
      <c r="K711" s="109">
        <f>SUMIFS(Ações!$J$66,Ações!$N$66,Patrimônio!B711,Ações!$E$66,"Provento")</f>
        <v>0</v>
      </c>
      <c r="L711" s="109">
        <f>SUMIFS(BDRs!$J$66,BDRs!$E$66,"Provento",BDRs!$N$66,Patrimônio!B711)</f>
        <v>0</v>
      </c>
      <c r="M711" s="109">
        <f>SUMIFS(FIIs!$J$66,FIIs!$E$66,"Provento",FIIs!$N$66,Patrimônio!B711)</f>
        <v>0</v>
      </c>
      <c r="N711" s="109">
        <f t="shared" si="2"/>
        <v>0</v>
      </c>
      <c r="O711" s="109"/>
      <c r="Q711" s="151" t="s">
        <v>196</v>
      </c>
      <c r="R711" s="157"/>
      <c r="S711" s="153">
        <v>0</v>
      </c>
    </row>
    <row r="712" spans="1:19" ht="17.25" customHeight="1">
      <c r="A712" s="108">
        <v>66202</v>
      </c>
      <c r="B712" s="108">
        <f t="shared" si="0"/>
        <v>66201</v>
      </c>
      <c r="C712" s="109"/>
      <c r="D712" s="109"/>
      <c r="E712" s="109"/>
      <c r="F712" s="109"/>
      <c r="G712" s="109"/>
      <c r="H712" s="109"/>
      <c r="I712" s="109">
        <f t="shared" ref="I712:J712" si="726">SUM(C712,E712,G712)</f>
        <v>0</v>
      </c>
      <c r="J712" s="109">
        <f t="shared" si="726"/>
        <v>0</v>
      </c>
      <c r="K712" s="109">
        <f>SUMIFS(Ações!$J$66,Ações!$N$66,Patrimônio!B712,Ações!$E$66,"Provento")</f>
        <v>0</v>
      </c>
      <c r="L712" s="109">
        <f>SUMIFS(BDRs!$J$66,BDRs!$E$66,"Provento",BDRs!$N$66,Patrimônio!B712)</f>
        <v>0</v>
      </c>
      <c r="M712" s="109">
        <f>SUMIFS(FIIs!$J$66,FIIs!$E$66,"Provento",FIIs!$N$66,Patrimônio!B712)</f>
        <v>0</v>
      </c>
      <c r="N712" s="109">
        <f t="shared" si="2"/>
        <v>0</v>
      </c>
      <c r="O712" s="109"/>
      <c r="Q712" s="151" t="s">
        <v>197</v>
      </c>
      <c r="R712" s="152" t="s">
        <v>261</v>
      </c>
      <c r="S712" s="153">
        <v>0</v>
      </c>
    </row>
    <row r="713" spans="1:19" ht="17.25" customHeight="1">
      <c r="A713" s="108">
        <v>66232</v>
      </c>
      <c r="B713" s="108">
        <f t="shared" si="0"/>
        <v>66231</v>
      </c>
      <c r="C713" s="109"/>
      <c r="D713" s="109"/>
      <c r="E713" s="109"/>
      <c r="F713" s="109"/>
      <c r="G713" s="109"/>
      <c r="H713" s="109"/>
      <c r="I713" s="109">
        <f t="shared" ref="I713:J713" si="727">SUM(C713,E713,G713)</f>
        <v>0</v>
      </c>
      <c r="J713" s="109">
        <f t="shared" si="727"/>
        <v>0</v>
      </c>
      <c r="K713" s="109">
        <f>SUMIFS(Ações!$J$66,Ações!$N$66,Patrimônio!B713,Ações!$E$66,"Provento")</f>
        <v>0</v>
      </c>
      <c r="L713" s="109">
        <f>SUMIFS(BDRs!$J$66,BDRs!$E$66,"Provento",BDRs!$N$66,Patrimônio!B713)</f>
        <v>0</v>
      </c>
      <c r="M713" s="109">
        <f>SUMIFS(FIIs!$J$66,FIIs!$E$66,"Provento",FIIs!$N$66,Patrimônio!B713)</f>
        <v>0</v>
      </c>
      <c r="N713" s="109">
        <f t="shared" si="2"/>
        <v>0</v>
      </c>
      <c r="O713" s="109"/>
      <c r="Q713" s="154"/>
      <c r="R713" s="155" t="s">
        <v>262</v>
      </c>
      <c r="S713" s="156">
        <v>0</v>
      </c>
    </row>
    <row r="714" spans="1:19" ht="17.25" customHeight="1">
      <c r="A714" s="108">
        <v>66263</v>
      </c>
      <c r="B714" s="108">
        <f t="shared" si="0"/>
        <v>66262</v>
      </c>
      <c r="C714" s="109"/>
      <c r="D714" s="109"/>
      <c r="E714" s="109"/>
      <c r="F714" s="109"/>
      <c r="G714" s="109"/>
      <c r="H714" s="109"/>
      <c r="I714" s="109">
        <f t="shared" ref="I714:J714" si="728">SUM(C714,E714,G714)</f>
        <v>0</v>
      </c>
      <c r="J714" s="109">
        <f t="shared" si="728"/>
        <v>0</v>
      </c>
      <c r="K714" s="109">
        <f>SUMIFS(Ações!$J$66,Ações!$N$66,Patrimônio!B714,Ações!$E$66,"Provento")</f>
        <v>0</v>
      </c>
      <c r="L714" s="109">
        <f>SUMIFS(BDRs!$J$66,BDRs!$E$66,"Provento",BDRs!$N$66,Patrimônio!B714)</f>
        <v>0</v>
      </c>
      <c r="M714" s="109">
        <f>SUMIFS(FIIs!$J$66,FIIs!$E$66,"Provento",FIIs!$N$66,Patrimônio!B714)</f>
        <v>0</v>
      </c>
      <c r="N714" s="109">
        <f t="shared" si="2"/>
        <v>0</v>
      </c>
      <c r="O714" s="109"/>
      <c r="Q714" s="154"/>
      <c r="R714" s="155" t="s">
        <v>263</v>
      </c>
      <c r="S714" s="156">
        <v>0</v>
      </c>
    </row>
    <row r="715" spans="1:19" ht="17.25" customHeight="1">
      <c r="A715" s="108">
        <v>66293</v>
      </c>
      <c r="B715" s="108">
        <f t="shared" si="0"/>
        <v>66292</v>
      </c>
      <c r="C715" s="109"/>
      <c r="D715" s="109"/>
      <c r="E715" s="109"/>
      <c r="F715" s="109"/>
      <c r="G715" s="109"/>
      <c r="H715" s="109"/>
      <c r="I715" s="109">
        <f t="shared" ref="I715:J715" si="729">SUM(C715,E715,G715)</f>
        <v>0</v>
      </c>
      <c r="J715" s="109">
        <f t="shared" si="729"/>
        <v>0</v>
      </c>
      <c r="K715" s="109">
        <f>SUMIFS(Ações!$J$66,Ações!$N$66,Patrimônio!B715,Ações!$E$66,"Provento")</f>
        <v>0</v>
      </c>
      <c r="L715" s="109">
        <f>SUMIFS(BDRs!$J$66,BDRs!$E$66,"Provento",BDRs!$N$66,Patrimônio!B715)</f>
        <v>0</v>
      </c>
      <c r="M715" s="109">
        <f>SUMIFS(FIIs!$J$66,FIIs!$E$66,"Provento",FIIs!$N$66,Patrimônio!B715)</f>
        <v>0</v>
      </c>
      <c r="N715" s="109">
        <f t="shared" si="2"/>
        <v>0</v>
      </c>
      <c r="O715" s="109"/>
      <c r="Q715" s="154"/>
      <c r="R715" s="155" t="s">
        <v>264</v>
      </c>
      <c r="S715" s="156">
        <v>0</v>
      </c>
    </row>
    <row r="716" spans="1:19" ht="17.25" customHeight="1">
      <c r="A716" s="108">
        <v>66324</v>
      </c>
      <c r="B716" s="108">
        <f t="shared" si="0"/>
        <v>66323</v>
      </c>
      <c r="C716" s="109"/>
      <c r="D716" s="109"/>
      <c r="E716" s="109"/>
      <c r="F716" s="109"/>
      <c r="G716" s="109"/>
      <c r="H716" s="109"/>
      <c r="I716" s="109">
        <f t="shared" ref="I716:J716" si="730">SUM(C716,E716,G716)</f>
        <v>0</v>
      </c>
      <c r="J716" s="109">
        <f t="shared" si="730"/>
        <v>0</v>
      </c>
      <c r="K716" s="109">
        <f>SUMIFS(Ações!$J$66,Ações!$N$66,Patrimônio!B716,Ações!$E$66,"Provento")</f>
        <v>0</v>
      </c>
      <c r="L716" s="109">
        <f>SUMIFS(BDRs!$J$66,BDRs!$E$66,"Provento",BDRs!$N$66,Patrimônio!B716)</f>
        <v>0</v>
      </c>
      <c r="M716" s="109">
        <f>SUMIFS(FIIs!$J$66,FIIs!$E$66,"Provento",FIIs!$N$66,Patrimônio!B716)</f>
        <v>0</v>
      </c>
      <c r="N716" s="109">
        <f t="shared" si="2"/>
        <v>0</v>
      </c>
      <c r="O716" s="109"/>
      <c r="Q716" s="154"/>
      <c r="R716" s="155" t="s">
        <v>265</v>
      </c>
      <c r="S716" s="156">
        <v>0</v>
      </c>
    </row>
    <row r="717" spans="1:19" ht="17.25" customHeight="1">
      <c r="A717" s="108">
        <v>66355</v>
      </c>
      <c r="B717" s="108">
        <f t="shared" si="0"/>
        <v>66354</v>
      </c>
      <c r="C717" s="109"/>
      <c r="D717" s="109"/>
      <c r="E717" s="109"/>
      <c r="F717" s="109"/>
      <c r="G717" s="109"/>
      <c r="H717" s="109"/>
      <c r="I717" s="109">
        <f t="shared" ref="I717:J717" si="731">SUM(C717,E717,G717)</f>
        <v>0</v>
      </c>
      <c r="J717" s="109">
        <f t="shared" si="731"/>
        <v>0</v>
      </c>
      <c r="K717" s="109">
        <f>SUMIFS(Ações!$J$66,Ações!$N$66,Patrimônio!B717,Ações!$E$66,"Provento")</f>
        <v>0</v>
      </c>
      <c r="L717" s="109">
        <f>SUMIFS(BDRs!$J$66,BDRs!$E$66,"Provento",BDRs!$N$66,Patrimônio!B717)</f>
        <v>0</v>
      </c>
      <c r="M717" s="109">
        <f>SUMIFS(FIIs!$J$66,FIIs!$E$66,"Provento",FIIs!$N$66,Patrimônio!B717)</f>
        <v>0</v>
      </c>
      <c r="N717" s="109">
        <f t="shared" si="2"/>
        <v>0</v>
      </c>
      <c r="O717" s="109"/>
      <c r="Q717" s="154"/>
      <c r="R717" s="155" t="s">
        <v>266</v>
      </c>
      <c r="S717" s="156">
        <v>0</v>
      </c>
    </row>
    <row r="718" spans="1:19" ht="17.25" customHeight="1">
      <c r="A718" s="108">
        <v>66385</v>
      </c>
      <c r="B718" s="108">
        <f t="shared" si="0"/>
        <v>66384</v>
      </c>
      <c r="C718" s="109"/>
      <c r="D718" s="109"/>
      <c r="E718" s="109"/>
      <c r="F718" s="109"/>
      <c r="G718" s="109"/>
      <c r="H718" s="109"/>
      <c r="I718" s="109">
        <f t="shared" ref="I718:J718" si="732">SUM(C718,E718,G718)</f>
        <v>0</v>
      </c>
      <c r="J718" s="109">
        <f t="shared" si="732"/>
        <v>0</v>
      </c>
      <c r="K718" s="109">
        <f>SUMIFS(Ações!$J$66,Ações!$N$66,Patrimônio!B718,Ações!$E$66,"Provento")</f>
        <v>0</v>
      </c>
      <c r="L718" s="109">
        <f>SUMIFS(BDRs!$J$66,BDRs!$E$66,"Provento",BDRs!$N$66,Patrimônio!B718)</f>
        <v>0</v>
      </c>
      <c r="M718" s="109">
        <f>SUMIFS(FIIs!$J$66,FIIs!$E$66,"Provento",FIIs!$N$66,Patrimônio!B718)</f>
        <v>0</v>
      </c>
      <c r="N718" s="109">
        <f t="shared" si="2"/>
        <v>0</v>
      </c>
      <c r="O718" s="109"/>
      <c r="Q718" s="154"/>
      <c r="R718" s="155" t="s">
        <v>267</v>
      </c>
      <c r="S718" s="156">
        <v>0</v>
      </c>
    </row>
    <row r="719" spans="1:19" ht="17.25" customHeight="1">
      <c r="A719" s="108">
        <v>66416</v>
      </c>
      <c r="B719" s="108">
        <f t="shared" si="0"/>
        <v>66415</v>
      </c>
      <c r="C719" s="109"/>
      <c r="D719" s="109"/>
      <c r="E719" s="109"/>
      <c r="F719" s="109"/>
      <c r="G719" s="109"/>
      <c r="H719" s="109"/>
      <c r="I719" s="109">
        <f t="shared" ref="I719:J719" si="733">SUM(C719,E719,G719)</f>
        <v>0</v>
      </c>
      <c r="J719" s="109">
        <f t="shared" si="733"/>
        <v>0</v>
      </c>
      <c r="K719" s="109">
        <f>SUMIFS(Ações!$J$66,Ações!$N$66,Patrimônio!B719,Ações!$E$66,"Provento")</f>
        <v>0</v>
      </c>
      <c r="L719" s="109">
        <f>SUMIFS(BDRs!$J$66,BDRs!$E$66,"Provento",BDRs!$N$66,Patrimônio!B719)</f>
        <v>0</v>
      </c>
      <c r="M719" s="109">
        <f>SUMIFS(FIIs!$J$66,FIIs!$E$66,"Provento",FIIs!$N$66,Patrimônio!B719)</f>
        <v>0</v>
      </c>
      <c r="N719" s="109">
        <f t="shared" si="2"/>
        <v>0</v>
      </c>
      <c r="O719" s="109"/>
      <c r="Q719" s="154"/>
      <c r="R719" s="155" t="s">
        <v>268</v>
      </c>
      <c r="S719" s="156">
        <v>0</v>
      </c>
    </row>
    <row r="720" spans="1:19" ht="17.25" customHeight="1">
      <c r="A720" s="108">
        <v>66446</v>
      </c>
      <c r="B720" s="108">
        <f t="shared" si="0"/>
        <v>66445</v>
      </c>
      <c r="C720" s="109"/>
      <c r="D720" s="109"/>
      <c r="E720" s="109"/>
      <c r="F720" s="109"/>
      <c r="G720" s="109"/>
      <c r="H720" s="109"/>
      <c r="I720" s="109">
        <f t="shared" ref="I720:J720" si="734">SUM(C720,E720,G720)</f>
        <v>0</v>
      </c>
      <c r="J720" s="109">
        <f t="shared" si="734"/>
        <v>0</v>
      </c>
      <c r="K720" s="109">
        <f>SUMIFS(Ações!$J$66,Ações!$N$66,Patrimônio!B720,Ações!$E$66,"Provento")</f>
        <v>0</v>
      </c>
      <c r="L720" s="109">
        <f>SUMIFS(BDRs!$J$66,BDRs!$E$66,"Provento",BDRs!$N$66,Patrimônio!B720)</f>
        <v>0</v>
      </c>
      <c r="M720" s="109">
        <f>SUMIFS(FIIs!$J$66,FIIs!$E$66,"Provento",FIIs!$N$66,Patrimônio!B720)</f>
        <v>0</v>
      </c>
      <c r="N720" s="109">
        <f t="shared" si="2"/>
        <v>0</v>
      </c>
      <c r="O720" s="109"/>
      <c r="Q720" s="154"/>
      <c r="R720" s="155" t="s">
        <v>269</v>
      </c>
      <c r="S720" s="156">
        <v>0</v>
      </c>
    </row>
    <row r="721" spans="1:19" ht="17.25" customHeight="1">
      <c r="A721" s="108">
        <v>66477</v>
      </c>
      <c r="B721" s="108">
        <f t="shared" si="0"/>
        <v>66476</v>
      </c>
      <c r="C721" s="109"/>
      <c r="D721" s="109"/>
      <c r="E721" s="109"/>
      <c r="F721" s="109"/>
      <c r="G721" s="109"/>
      <c r="H721" s="109"/>
      <c r="I721" s="109">
        <f t="shared" ref="I721:J721" si="735">SUM(C721,E721,G721)</f>
        <v>0</v>
      </c>
      <c r="J721" s="109">
        <f t="shared" si="735"/>
        <v>0</v>
      </c>
      <c r="K721" s="109">
        <f>SUMIFS(Ações!$J$66,Ações!$N$66,Patrimônio!B721,Ações!$E$66,"Provento")</f>
        <v>0</v>
      </c>
      <c r="L721" s="109">
        <f>SUMIFS(BDRs!$J$66,BDRs!$E$66,"Provento",BDRs!$N$66,Patrimônio!B721)</f>
        <v>0</v>
      </c>
      <c r="M721" s="109">
        <f>SUMIFS(FIIs!$J$66,FIIs!$E$66,"Provento",FIIs!$N$66,Patrimônio!B721)</f>
        <v>0</v>
      </c>
      <c r="N721" s="109">
        <f t="shared" si="2"/>
        <v>0</v>
      </c>
      <c r="O721" s="109"/>
      <c r="Q721" s="154"/>
      <c r="R721" s="155" t="s">
        <v>270</v>
      </c>
      <c r="S721" s="156">
        <v>0</v>
      </c>
    </row>
    <row r="722" spans="1:19" ht="17.25" customHeight="1">
      <c r="A722" s="108">
        <v>66508</v>
      </c>
      <c r="B722" s="108">
        <f t="shared" si="0"/>
        <v>66507</v>
      </c>
      <c r="C722" s="109"/>
      <c r="D722" s="109"/>
      <c r="E722" s="109"/>
      <c r="F722" s="109"/>
      <c r="G722" s="109"/>
      <c r="H722" s="109"/>
      <c r="I722" s="109">
        <f t="shared" ref="I722:J722" si="736">SUM(C722,E722,G722)</f>
        <v>0</v>
      </c>
      <c r="J722" s="109">
        <f t="shared" si="736"/>
        <v>0</v>
      </c>
      <c r="K722" s="109">
        <f>SUMIFS(Ações!$J$66,Ações!$N$66,Patrimônio!B722,Ações!$E$66,"Provento")</f>
        <v>0</v>
      </c>
      <c r="L722" s="109">
        <f>SUMIFS(BDRs!$J$66,BDRs!$E$66,"Provento",BDRs!$N$66,Patrimônio!B722)</f>
        <v>0</v>
      </c>
      <c r="M722" s="109">
        <f>SUMIFS(FIIs!$J$66,FIIs!$E$66,"Provento",FIIs!$N$66,Patrimônio!B722)</f>
        <v>0</v>
      </c>
      <c r="N722" s="109">
        <f t="shared" si="2"/>
        <v>0</v>
      </c>
      <c r="O722" s="109"/>
      <c r="Q722" s="154"/>
      <c r="R722" s="155" t="s">
        <v>271</v>
      </c>
      <c r="S722" s="156">
        <v>0</v>
      </c>
    </row>
    <row r="723" spans="1:19" ht="17.25" customHeight="1">
      <c r="A723" s="108">
        <v>66536</v>
      </c>
      <c r="B723" s="108">
        <f t="shared" si="0"/>
        <v>66535</v>
      </c>
      <c r="C723" s="109"/>
      <c r="D723" s="109"/>
      <c r="E723" s="109"/>
      <c r="F723" s="109"/>
      <c r="G723" s="109"/>
      <c r="H723" s="109"/>
      <c r="I723" s="109">
        <f t="shared" ref="I723:J723" si="737">SUM(C723,E723,G723)</f>
        <v>0</v>
      </c>
      <c r="J723" s="109">
        <f t="shared" si="737"/>
        <v>0</v>
      </c>
      <c r="K723" s="109">
        <f>SUMIFS(Ações!$J$66,Ações!$N$66,Patrimônio!B723,Ações!$E$66,"Provento")</f>
        <v>0</v>
      </c>
      <c r="L723" s="109">
        <f>SUMIFS(BDRs!$J$66,BDRs!$E$66,"Provento",BDRs!$N$66,Patrimônio!B723)</f>
        <v>0</v>
      </c>
      <c r="M723" s="109">
        <f>SUMIFS(FIIs!$J$66,FIIs!$E$66,"Provento",FIIs!$N$66,Patrimônio!B723)</f>
        <v>0</v>
      </c>
      <c r="N723" s="109">
        <f t="shared" si="2"/>
        <v>0</v>
      </c>
      <c r="O723" s="109"/>
      <c r="Q723" s="154"/>
      <c r="R723" s="155" t="s">
        <v>272</v>
      </c>
      <c r="S723" s="156">
        <v>0</v>
      </c>
    </row>
    <row r="724" spans="1:19" ht="17.25" customHeight="1">
      <c r="A724" s="108">
        <v>66567</v>
      </c>
      <c r="B724" s="108">
        <f t="shared" si="0"/>
        <v>66566</v>
      </c>
      <c r="C724" s="109"/>
      <c r="D724" s="109"/>
      <c r="E724" s="109"/>
      <c r="F724" s="109"/>
      <c r="G724" s="109"/>
      <c r="H724" s="109"/>
      <c r="I724" s="109">
        <f t="shared" ref="I724:J724" si="738">SUM(C724,E724,G724)</f>
        <v>0</v>
      </c>
      <c r="J724" s="109">
        <f t="shared" si="738"/>
        <v>0</v>
      </c>
      <c r="K724" s="109">
        <f>SUMIFS(Ações!$J$66,Ações!$N$66,Patrimônio!B724,Ações!$E$66,"Provento")</f>
        <v>0</v>
      </c>
      <c r="L724" s="109">
        <f>SUMIFS(BDRs!$J$66,BDRs!$E$66,"Provento",BDRs!$N$66,Patrimônio!B724)</f>
        <v>0</v>
      </c>
      <c r="M724" s="109">
        <f>SUMIFS(FIIs!$J$66,FIIs!$E$66,"Provento",FIIs!$N$66,Patrimônio!B724)</f>
        <v>0</v>
      </c>
      <c r="N724" s="109">
        <f t="shared" si="2"/>
        <v>0</v>
      </c>
      <c r="O724" s="109"/>
      <c r="Q724" s="151" t="s">
        <v>198</v>
      </c>
      <c r="R724" s="157"/>
      <c r="S724" s="153">
        <v>0</v>
      </c>
    </row>
    <row r="725" spans="1:19" ht="17.25" customHeight="1">
      <c r="A725" s="108">
        <v>66597</v>
      </c>
      <c r="B725" s="108">
        <f t="shared" si="0"/>
        <v>66596</v>
      </c>
      <c r="C725" s="109"/>
      <c r="D725" s="109"/>
      <c r="E725" s="109"/>
      <c r="F725" s="109"/>
      <c r="G725" s="109"/>
      <c r="H725" s="109"/>
      <c r="I725" s="109">
        <f t="shared" ref="I725:J725" si="739">SUM(C725,E725,G725)</f>
        <v>0</v>
      </c>
      <c r="J725" s="109">
        <f t="shared" si="739"/>
        <v>0</v>
      </c>
      <c r="K725" s="109">
        <f>SUMIFS(Ações!$J$66,Ações!$N$66,Patrimônio!B725,Ações!$E$66,"Provento")</f>
        <v>0</v>
      </c>
      <c r="L725" s="109">
        <f>SUMIFS(BDRs!$J$66,BDRs!$E$66,"Provento",BDRs!$N$66,Patrimônio!B725)</f>
        <v>0</v>
      </c>
      <c r="M725" s="109">
        <f>SUMIFS(FIIs!$J$66,FIIs!$E$66,"Provento",FIIs!$N$66,Patrimônio!B725)</f>
        <v>0</v>
      </c>
      <c r="N725" s="109">
        <f t="shared" si="2"/>
        <v>0</v>
      </c>
      <c r="O725" s="109"/>
      <c r="Q725" s="151" t="s">
        <v>199</v>
      </c>
      <c r="R725" s="152" t="s">
        <v>261</v>
      </c>
      <c r="S725" s="153">
        <v>0</v>
      </c>
    </row>
    <row r="726" spans="1:19" ht="17.25" customHeight="1">
      <c r="A726" s="108">
        <v>66628</v>
      </c>
      <c r="B726" s="108">
        <f t="shared" si="0"/>
        <v>66627</v>
      </c>
      <c r="C726" s="109"/>
      <c r="D726" s="109"/>
      <c r="E726" s="109"/>
      <c r="F726" s="109"/>
      <c r="G726" s="109"/>
      <c r="H726" s="109"/>
      <c r="I726" s="109">
        <f t="shared" ref="I726:J726" si="740">SUM(C726,E726,G726)</f>
        <v>0</v>
      </c>
      <c r="J726" s="109">
        <f t="shared" si="740"/>
        <v>0</v>
      </c>
      <c r="K726" s="109">
        <f>SUMIFS(Ações!$J$66,Ações!$N$66,Patrimônio!B726,Ações!$E$66,"Provento")</f>
        <v>0</v>
      </c>
      <c r="L726" s="109">
        <f>SUMIFS(BDRs!$J$66,BDRs!$E$66,"Provento",BDRs!$N$66,Patrimônio!B726)</f>
        <v>0</v>
      </c>
      <c r="M726" s="109">
        <f>SUMIFS(FIIs!$J$66,FIIs!$E$66,"Provento",FIIs!$N$66,Patrimônio!B726)</f>
        <v>0</v>
      </c>
      <c r="N726" s="109">
        <f t="shared" si="2"/>
        <v>0</v>
      </c>
      <c r="O726" s="109"/>
      <c r="Q726" s="154"/>
      <c r="R726" s="155" t="s">
        <v>262</v>
      </c>
      <c r="S726" s="156">
        <v>0</v>
      </c>
    </row>
    <row r="727" spans="1:19" ht="17.25" customHeight="1">
      <c r="A727" s="108">
        <v>66658</v>
      </c>
      <c r="B727" s="108">
        <f t="shared" si="0"/>
        <v>66657</v>
      </c>
      <c r="C727" s="109"/>
      <c r="D727" s="109"/>
      <c r="E727" s="109"/>
      <c r="F727" s="109"/>
      <c r="G727" s="109"/>
      <c r="H727" s="109"/>
      <c r="I727" s="109">
        <f t="shared" ref="I727:J727" si="741">SUM(C727,E727,G727)</f>
        <v>0</v>
      </c>
      <c r="J727" s="109">
        <f t="shared" si="741"/>
        <v>0</v>
      </c>
      <c r="K727" s="109">
        <f>SUMIFS(Ações!$J$66,Ações!$N$66,Patrimônio!B727,Ações!$E$66,"Provento")</f>
        <v>0</v>
      </c>
      <c r="L727" s="109">
        <f>SUMIFS(BDRs!$J$66,BDRs!$E$66,"Provento",BDRs!$N$66,Patrimônio!B727)</f>
        <v>0</v>
      </c>
      <c r="M727" s="109">
        <f>SUMIFS(FIIs!$J$66,FIIs!$E$66,"Provento",FIIs!$N$66,Patrimônio!B727)</f>
        <v>0</v>
      </c>
      <c r="N727" s="109">
        <f t="shared" si="2"/>
        <v>0</v>
      </c>
      <c r="O727" s="109"/>
      <c r="Q727" s="154"/>
      <c r="R727" s="155" t="s">
        <v>263</v>
      </c>
      <c r="S727" s="156">
        <v>0</v>
      </c>
    </row>
    <row r="728" spans="1:19" ht="17.25" customHeight="1">
      <c r="A728" s="108">
        <v>66689</v>
      </c>
      <c r="B728" s="108">
        <f t="shared" si="0"/>
        <v>66688</v>
      </c>
      <c r="C728" s="109"/>
      <c r="D728" s="109"/>
      <c r="E728" s="109"/>
      <c r="F728" s="109"/>
      <c r="G728" s="109"/>
      <c r="H728" s="109"/>
      <c r="I728" s="109">
        <f t="shared" ref="I728:J728" si="742">SUM(C728,E728,G728)</f>
        <v>0</v>
      </c>
      <c r="J728" s="109">
        <f t="shared" si="742"/>
        <v>0</v>
      </c>
      <c r="K728" s="109">
        <f>SUMIFS(Ações!$J$66,Ações!$N$66,Patrimônio!B728,Ações!$E$66,"Provento")</f>
        <v>0</v>
      </c>
      <c r="L728" s="109">
        <f>SUMIFS(BDRs!$J$66,BDRs!$E$66,"Provento",BDRs!$N$66,Patrimônio!B728)</f>
        <v>0</v>
      </c>
      <c r="M728" s="109">
        <f>SUMIFS(FIIs!$J$66,FIIs!$E$66,"Provento",FIIs!$N$66,Patrimônio!B728)</f>
        <v>0</v>
      </c>
      <c r="N728" s="109">
        <f t="shared" si="2"/>
        <v>0</v>
      </c>
      <c r="O728" s="109"/>
      <c r="Q728" s="154"/>
      <c r="R728" s="155" t="s">
        <v>264</v>
      </c>
      <c r="S728" s="156">
        <v>0</v>
      </c>
    </row>
    <row r="729" spans="1:19" ht="17.25" customHeight="1">
      <c r="A729" s="108">
        <v>66720</v>
      </c>
      <c r="B729" s="108">
        <f t="shared" si="0"/>
        <v>66719</v>
      </c>
      <c r="C729" s="109"/>
      <c r="D729" s="109"/>
      <c r="E729" s="109"/>
      <c r="F729" s="109"/>
      <c r="G729" s="109"/>
      <c r="H729" s="109"/>
      <c r="I729" s="109">
        <f t="shared" ref="I729:J729" si="743">SUM(C729,E729,G729)</f>
        <v>0</v>
      </c>
      <c r="J729" s="109">
        <f t="shared" si="743"/>
        <v>0</v>
      </c>
      <c r="K729" s="109">
        <f>SUMIFS(Ações!$J$66,Ações!$N$66,Patrimônio!B729,Ações!$E$66,"Provento")</f>
        <v>0</v>
      </c>
      <c r="L729" s="109">
        <f>SUMIFS(BDRs!$J$66,BDRs!$E$66,"Provento",BDRs!$N$66,Patrimônio!B729)</f>
        <v>0</v>
      </c>
      <c r="M729" s="109">
        <f>SUMIFS(FIIs!$J$66,FIIs!$E$66,"Provento",FIIs!$N$66,Patrimônio!B729)</f>
        <v>0</v>
      </c>
      <c r="N729" s="109">
        <f t="shared" si="2"/>
        <v>0</v>
      </c>
      <c r="O729" s="109"/>
      <c r="Q729" s="154"/>
      <c r="R729" s="155" t="s">
        <v>265</v>
      </c>
      <c r="S729" s="156">
        <v>0</v>
      </c>
    </row>
    <row r="730" spans="1:19" ht="17.25" customHeight="1">
      <c r="A730" s="108">
        <v>66750</v>
      </c>
      <c r="B730" s="108">
        <f t="shared" si="0"/>
        <v>66749</v>
      </c>
      <c r="C730" s="109"/>
      <c r="D730" s="109"/>
      <c r="E730" s="109"/>
      <c r="F730" s="109"/>
      <c r="G730" s="109"/>
      <c r="H730" s="109"/>
      <c r="I730" s="109">
        <f t="shared" ref="I730:J730" si="744">SUM(C730,E730,G730)</f>
        <v>0</v>
      </c>
      <c r="J730" s="109">
        <f t="shared" si="744"/>
        <v>0</v>
      </c>
      <c r="K730" s="109">
        <f>SUMIFS(Ações!$J$66,Ações!$N$66,Patrimônio!B730,Ações!$E$66,"Provento")</f>
        <v>0</v>
      </c>
      <c r="L730" s="109">
        <f>SUMIFS(BDRs!$J$66,BDRs!$E$66,"Provento",BDRs!$N$66,Patrimônio!B730)</f>
        <v>0</v>
      </c>
      <c r="M730" s="109">
        <f>SUMIFS(FIIs!$J$66,FIIs!$E$66,"Provento",FIIs!$N$66,Patrimônio!B730)</f>
        <v>0</v>
      </c>
      <c r="N730" s="109">
        <f t="shared" si="2"/>
        <v>0</v>
      </c>
      <c r="O730" s="109"/>
      <c r="Q730" s="154"/>
      <c r="R730" s="155" t="s">
        <v>266</v>
      </c>
      <c r="S730" s="156">
        <v>0</v>
      </c>
    </row>
    <row r="731" spans="1:19" ht="17.25" customHeight="1">
      <c r="A731" s="108">
        <v>66781</v>
      </c>
      <c r="B731" s="108">
        <f t="shared" si="0"/>
        <v>66780</v>
      </c>
      <c r="C731" s="109"/>
      <c r="D731" s="109"/>
      <c r="E731" s="109"/>
      <c r="F731" s="109"/>
      <c r="G731" s="109"/>
      <c r="H731" s="109"/>
      <c r="I731" s="109">
        <f t="shared" ref="I731:J731" si="745">SUM(C731,E731,G731)</f>
        <v>0</v>
      </c>
      <c r="J731" s="109">
        <f t="shared" si="745"/>
        <v>0</v>
      </c>
      <c r="K731" s="109">
        <f>SUMIFS(Ações!$J$66,Ações!$N$66,Patrimônio!B731,Ações!$E$66,"Provento")</f>
        <v>0</v>
      </c>
      <c r="L731" s="109">
        <f>SUMIFS(BDRs!$J$66,BDRs!$E$66,"Provento",BDRs!$N$66,Patrimônio!B731)</f>
        <v>0</v>
      </c>
      <c r="M731" s="109">
        <f>SUMIFS(FIIs!$J$66,FIIs!$E$66,"Provento",FIIs!$N$66,Patrimônio!B731)</f>
        <v>0</v>
      </c>
      <c r="N731" s="109">
        <f t="shared" si="2"/>
        <v>0</v>
      </c>
      <c r="O731" s="109"/>
      <c r="Q731" s="154"/>
      <c r="R731" s="155" t="s">
        <v>267</v>
      </c>
      <c r="S731" s="156">
        <v>0</v>
      </c>
    </row>
    <row r="732" spans="1:19" ht="17.25" customHeight="1">
      <c r="A732" s="108">
        <v>66811</v>
      </c>
      <c r="B732" s="108">
        <f t="shared" si="0"/>
        <v>66810</v>
      </c>
      <c r="C732" s="109"/>
      <c r="D732" s="109"/>
      <c r="E732" s="109"/>
      <c r="F732" s="109"/>
      <c r="G732" s="109"/>
      <c r="H732" s="109"/>
      <c r="I732" s="109">
        <f t="shared" ref="I732:J732" si="746">SUM(C732,E732,G732)</f>
        <v>0</v>
      </c>
      <c r="J732" s="109">
        <f t="shared" si="746"/>
        <v>0</v>
      </c>
      <c r="K732" s="109">
        <f>SUMIFS(Ações!$J$66,Ações!$N$66,Patrimônio!B732,Ações!$E$66,"Provento")</f>
        <v>0</v>
      </c>
      <c r="L732" s="109">
        <f>SUMIFS(BDRs!$J$66,BDRs!$E$66,"Provento",BDRs!$N$66,Patrimônio!B732)</f>
        <v>0</v>
      </c>
      <c r="M732" s="109">
        <f>SUMIFS(FIIs!$J$66,FIIs!$E$66,"Provento",FIIs!$N$66,Patrimônio!B732)</f>
        <v>0</v>
      </c>
      <c r="N732" s="109">
        <f t="shared" si="2"/>
        <v>0</v>
      </c>
      <c r="O732" s="109"/>
      <c r="Q732" s="154"/>
      <c r="R732" s="155" t="s">
        <v>268</v>
      </c>
      <c r="S732" s="156">
        <v>0</v>
      </c>
    </row>
    <row r="733" spans="1:19" ht="17.25" customHeight="1">
      <c r="A733" s="108">
        <v>66842</v>
      </c>
      <c r="B733" s="108">
        <f t="shared" si="0"/>
        <v>66841</v>
      </c>
      <c r="C733" s="109"/>
      <c r="D733" s="109"/>
      <c r="E733" s="109"/>
      <c r="F733" s="109"/>
      <c r="G733" s="109"/>
      <c r="H733" s="109"/>
      <c r="I733" s="109">
        <f t="shared" ref="I733:J733" si="747">SUM(C733,E733,G733)</f>
        <v>0</v>
      </c>
      <c r="J733" s="109">
        <f t="shared" si="747"/>
        <v>0</v>
      </c>
      <c r="K733" s="109">
        <f>SUMIFS(Ações!$J$66,Ações!$N$66,Patrimônio!B733,Ações!$E$66,"Provento")</f>
        <v>0</v>
      </c>
      <c r="L733" s="109">
        <f>SUMIFS(BDRs!$J$66,BDRs!$E$66,"Provento",BDRs!$N$66,Patrimônio!B733)</f>
        <v>0</v>
      </c>
      <c r="M733" s="109">
        <f>SUMIFS(FIIs!$J$66,FIIs!$E$66,"Provento",FIIs!$N$66,Patrimônio!B733)</f>
        <v>0</v>
      </c>
      <c r="N733" s="109">
        <f t="shared" si="2"/>
        <v>0</v>
      </c>
      <c r="O733" s="109"/>
      <c r="Q733" s="154"/>
      <c r="R733" s="155" t="s">
        <v>269</v>
      </c>
      <c r="S733" s="156">
        <v>0</v>
      </c>
    </row>
    <row r="734" spans="1:19" ht="17.25" customHeight="1">
      <c r="A734" s="108">
        <v>66873</v>
      </c>
      <c r="B734" s="108">
        <f t="shared" si="0"/>
        <v>66872</v>
      </c>
      <c r="C734" s="109"/>
      <c r="D734" s="109"/>
      <c r="E734" s="109"/>
      <c r="F734" s="109"/>
      <c r="G734" s="109"/>
      <c r="H734" s="109"/>
      <c r="I734" s="109">
        <f t="shared" ref="I734:J734" si="748">SUM(C734,E734,G734)</f>
        <v>0</v>
      </c>
      <c r="J734" s="109">
        <f t="shared" si="748"/>
        <v>0</v>
      </c>
      <c r="K734" s="109">
        <f>SUMIFS(Ações!$J$66,Ações!$N$66,Patrimônio!B734,Ações!$E$66,"Provento")</f>
        <v>0</v>
      </c>
      <c r="L734" s="109">
        <f>SUMIFS(BDRs!$J$66,BDRs!$E$66,"Provento",BDRs!$N$66,Patrimônio!B734)</f>
        <v>0</v>
      </c>
      <c r="M734" s="109">
        <f>SUMIFS(FIIs!$J$66,FIIs!$E$66,"Provento",FIIs!$N$66,Patrimônio!B734)</f>
        <v>0</v>
      </c>
      <c r="N734" s="109">
        <f t="shared" si="2"/>
        <v>0</v>
      </c>
      <c r="O734" s="109"/>
      <c r="Q734" s="154"/>
      <c r="R734" s="155" t="s">
        <v>270</v>
      </c>
      <c r="S734" s="156">
        <v>0</v>
      </c>
    </row>
    <row r="735" spans="1:19" ht="17.25" customHeight="1">
      <c r="A735" s="108">
        <v>66901</v>
      </c>
      <c r="B735" s="108">
        <f t="shared" si="0"/>
        <v>66900</v>
      </c>
      <c r="C735" s="109"/>
      <c r="D735" s="109"/>
      <c r="E735" s="109"/>
      <c r="F735" s="109"/>
      <c r="G735" s="109"/>
      <c r="H735" s="109"/>
      <c r="I735" s="109">
        <f t="shared" ref="I735:J735" si="749">SUM(C735,E735,G735)</f>
        <v>0</v>
      </c>
      <c r="J735" s="109">
        <f t="shared" si="749"/>
        <v>0</v>
      </c>
      <c r="K735" s="109">
        <f>SUMIFS(Ações!$J$66,Ações!$N$66,Patrimônio!B735,Ações!$E$66,"Provento")</f>
        <v>0</v>
      </c>
      <c r="L735" s="109">
        <f>SUMIFS(BDRs!$J$66,BDRs!$E$66,"Provento",BDRs!$N$66,Patrimônio!B735)</f>
        <v>0</v>
      </c>
      <c r="M735" s="109">
        <f>SUMIFS(FIIs!$J$66,FIIs!$E$66,"Provento",FIIs!$N$66,Patrimônio!B735)</f>
        <v>0</v>
      </c>
      <c r="N735" s="109">
        <f t="shared" si="2"/>
        <v>0</v>
      </c>
      <c r="O735" s="109"/>
      <c r="Q735" s="154"/>
      <c r="R735" s="155" t="s">
        <v>271</v>
      </c>
      <c r="S735" s="156">
        <v>0</v>
      </c>
    </row>
    <row r="736" spans="1:19" ht="17.25" customHeight="1">
      <c r="A736" s="108">
        <v>66932</v>
      </c>
      <c r="B736" s="108">
        <f t="shared" si="0"/>
        <v>66931</v>
      </c>
      <c r="C736" s="109"/>
      <c r="D736" s="109"/>
      <c r="E736" s="109"/>
      <c r="F736" s="109"/>
      <c r="G736" s="109"/>
      <c r="H736" s="109"/>
      <c r="I736" s="109">
        <f t="shared" ref="I736:J736" si="750">SUM(C736,E736,G736)</f>
        <v>0</v>
      </c>
      <c r="J736" s="109">
        <f t="shared" si="750"/>
        <v>0</v>
      </c>
      <c r="K736" s="109">
        <f>SUMIFS(Ações!$J$66,Ações!$N$66,Patrimônio!B736,Ações!$E$66,"Provento")</f>
        <v>0</v>
      </c>
      <c r="L736" s="109">
        <f>SUMIFS(BDRs!$J$66,BDRs!$E$66,"Provento",BDRs!$N$66,Patrimônio!B736)</f>
        <v>0</v>
      </c>
      <c r="M736" s="109">
        <f>SUMIFS(FIIs!$J$66,FIIs!$E$66,"Provento",FIIs!$N$66,Patrimônio!B736)</f>
        <v>0</v>
      </c>
      <c r="N736" s="109">
        <f t="shared" si="2"/>
        <v>0</v>
      </c>
      <c r="O736" s="109"/>
      <c r="Q736" s="154"/>
      <c r="R736" s="155" t="s">
        <v>272</v>
      </c>
      <c r="S736" s="156">
        <v>0</v>
      </c>
    </row>
    <row r="737" spans="1:19" ht="17.25" customHeight="1">
      <c r="A737" s="108">
        <v>66962</v>
      </c>
      <c r="B737" s="108">
        <f t="shared" si="0"/>
        <v>66961</v>
      </c>
      <c r="C737" s="109"/>
      <c r="D737" s="109"/>
      <c r="E737" s="109"/>
      <c r="F737" s="109"/>
      <c r="G737" s="109"/>
      <c r="H737" s="109"/>
      <c r="I737" s="109">
        <f t="shared" ref="I737:J737" si="751">SUM(C737,E737,G737)</f>
        <v>0</v>
      </c>
      <c r="J737" s="109">
        <f t="shared" si="751"/>
        <v>0</v>
      </c>
      <c r="K737" s="109">
        <f>SUMIFS(Ações!$J$66,Ações!$N$66,Patrimônio!B737,Ações!$E$66,"Provento")</f>
        <v>0</v>
      </c>
      <c r="L737" s="109">
        <f>SUMIFS(BDRs!$J$66,BDRs!$E$66,"Provento",BDRs!$N$66,Patrimônio!B737)</f>
        <v>0</v>
      </c>
      <c r="M737" s="109">
        <f>SUMIFS(FIIs!$J$66,FIIs!$E$66,"Provento",FIIs!$N$66,Patrimônio!B737)</f>
        <v>0</v>
      </c>
      <c r="N737" s="109">
        <f t="shared" si="2"/>
        <v>0</v>
      </c>
      <c r="O737" s="109"/>
      <c r="Q737" s="151" t="s">
        <v>200</v>
      </c>
      <c r="R737" s="157"/>
      <c r="S737" s="153">
        <v>0</v>
      </c>
    </row>
    <row r="738" spans="1:19" ht="17.25" customHeight="1">
      <c r="A738" s="108">
        <v>66993</v>
      </c>
      <c r="B738" s="108">
        <f t="shared" si="0"/>
        <v>66992</v>
      </c>
      <c r="C738" s="109"/>
      <c r="D738" s="109"/>
      <c r="E738" s="109"/>
      <c r="F738" s="109"/>
      <c r="G738" s="109"/>
      <c r="H738" s="109"/>
      <c r="I738" s="109">
        <f t="shared" ref="I738:J738" si="752">SUM(C738,E738,G738)</f>
        <v>0</v>
      </c>
      <c r="J738" s="109">
        <f t="shared" si="752"/>
        <v>0</v>
      </c>
      <c r="K738" s="109">
        <f>SUMIFS(Ações!$J$66,Ações!$N$66,Patrimônio!B738,Ações!$E$66,"Provento")</f>
        <v>0</v>
      </c>
      <c r="L738" s="109">
        <f>SUMIFS(BDRs!$J$66,BDRs!$E$66,"Provento",BDRs!$N$66,Patrimônio!B738)</f>
        <v>0</v>
      </c>
      <c r="M738" s="109">
        <f>SUMIFS(FIIs!$J$66,FIIs!$E$66,"Provento",FIIs!$N$66,Patrimônio!B738)</f>
        <v>0</v>
      </c>
      <c r="N738" s="109">
        <f t="shared" si="2"/>
        <v>0</v>
      </c>
      <c r="O738" s="109"/>
      <c r="Q738" s="151" t="s">
        <v>201</v>
      </c>
      <c r="R738" s="152" t="s">
        <v>261</v>
      </c>
      <c r="S738" s="153">
        <v>0</v>
      </c>
    </row>
    <row r="739" spans="1:19" ht="17.25" customHeight="1">
      <c r="A739" s="108">
        <v>67023</v>
      </c>
      <c r="B739" s="108">
        <f t="shared" si="0"/>
        <v>67022</v>
      </c>
      <c r="C739" s="109"/>
      <c r="D739" s="109"/>
      <c r="E739" s="109"/>
      <c r="F739" s="109"/>
      <c r="G739" s="109"/>
      <c r="H739" s="109"/>
      <c r="I739" s="109">
        <f t="shared" ref="I739:J739" si="753">SUM(C739,E739,G739)</f>
        <v>0</v>
      </c>
      <c r="J739" s="109">
        <f t="shared" si="753"/>
        <v>0</v>
      </c>
      <c r="K739" s="109">
        <f>SUMIFS(Ações!$J$66,Ações!$N$66,Patrimônio!B739,Ações!$E$66,"Provento")</f>
        <v>0</v>
      </c>
      <c r="L739" s="109">
        <f>SUMIFS(BDRs!$J$66,BDRs!$E$66,"Provento",BDRs!$N$66,Patrimônio!B739)</f>
        <v>0</v>
      </c>
      <c r="M739" s="109">
        <f>SUMIFS(FIIs!$J$66,FIIs!$E$66,"Provento",FIIs!$N$66,Patrimônio!B739)</f>
        <v>0</v>
      </c>
      <c r="N739" s="109">
        <f t="shared" si="2"/>
        <v>0</v>
      </c>
      <c r="O739" s="109"/>
      <c r="Q739" s="154"/>
      <c r="R739" s="155" t="s">
        <v>262</v>
      </c>
      <c r="S739" s="156">
        <v>0</v>
      </c>
    </row>
    <row r="740" spans="1:19" ht="17.25" customHeight="1">
      <c r="A740" s="108">
        <v>67054</v>
      </c>
      <c r="B740" s="108">
        <f t="shared" si="0"/>
        <v>67053</v>
      </c>
      <c r="C740" s="109"/>
      <c r="D740" s="109"/>
      <c r="E740" s="109"/>
      <c r="F740" s="109"/>
      <c r="G740" s="109"/>
      <c r="H740" s="109"/>
      <c r="I740" s="109">
        <f t="shared" ref="I740:J740" si="754">SUM(C740,E740,G740)</f>
        <v>0</v>
      </c>
      <c r="J740" s="109">
        <f t="shared" si="754"/>
        <v>0</v>
      </c>
      <c r="K740" s="109">
        <f>SUMIFS(Ações!$J$66,Ações!$N$66,Patrimônio!B740,Ações!$E$66,"Provento")</f>
        <v>0</v>
      </c>
      <c r="L740" s="109">
        <f>SUMIFS(BDRs!$J$66,BDRs!$E$66,"Provento",BDRs!$N$66,Patrimônio!B740)</f>
        <v>0</v>
      </c>
      <c r="M740" s="109">
        <f>SUMIFS(FIIs!$J$66,FIIs!$E$66,"Provento",FIIs!$N$66,Patrimônio!B740)</f>
        <v>0</v>
      </c>
      <c r="N740" s="109">
        <f t="shared" si="2"/>
        <v>0</v>
      </c>
      <c r="O740" s="109"/>
      <c r="Q740" s="154"/>
      <c r="R740" s="155" t="s">
        <v>263</v>
      </c>
      <c r="S740" s="156">
        <v>0</v>
      </c>
    </row>
    <row r="741" spans="1:19" ht="17.25" customHeight="1">
      <c r="A741" s="108">
        <v>67085</v>
      </c>
      <c r="B741" s="108">
        <f t="shared" si="0"/>
        <v>67084</v>
      </c>
      <c r="C741" s="109"/>
      <c r="D741" s="109"/>
      <c r="E741" s="109"/>
      <c r="F741" s="109"/>
      <c r="G741" s="109"/>
      <c r="H741" s="109"/>
      <c r="I741" s="109">
        <f t="shared" ref="I741:J741" si="755">SUM(C741,E741,G741)</f>
        <v>0</v>
      </c>
      <c r="J741" s="109">
        <f t="shared" si="755"/>
        <v>0</v>
      </c>
      <c r="K741" s="109">
        <f>SUMIFS(Ações!$J$66,Ações!$N$66,Patrimônio!B741,Ações!$E$66,"Provento")</f>
        <v>0</v>
      </c>
      <c r="L741" s="109">
        <f>SUMIFS(BDRs!$J$66,BDRs!$E$66,"Provento",BDRs!$N$66,Patrimônio!B741)</f>
        <v>0</v>
      </c>
      <c r="M741" s="109">
        <f>SUMIFS(FIIs!$J$66,FIIs!$E$66,"Provento",FIIs!$N$66,Patrimônio!B741)</f>
        <v>0</v>
      </c>
      <c r="N741" s="109">
        <f t="shared" si="2"/>
        <v>0</v>
      </c>
      <c r="O741" s="109"/>
      <c r="Q741" s="154"/>
      <c r="R741" s="155" t="s">
        <v>264</v>
      </c>
      <c r="S741" s="156">
        <v>0</v>
      </c>
    </row>
    <row r="742" spans="1:19" ht="17.25" customHeight="1">
      <c r="A742" s="108">
        <v>67115</v>
      </c>
      <c r="B742" s="108">
        <f t="shared" si="0"/>
        <v>67114</v>
      </c>
      <c r="C742" s="109"/>
      <c r="D742" s="109"/>
      <c r="E742" s="109"/>
      <c r="F742" s="109"/>
      <c r="G742" s="109"/>
      <c r="H742" s="109"/>
      <c r="I742" s="109">
        <f t="shared" ref="I742:J742" si="756">SUM(C742,E742,G742)</f>
        <v>0</v>
      </c>
      <c r="J742" s="109">
        <f t="shared" si="756"/>
        <v>0</v>
      </c>
      <c r="K742" s="109">
        <f>SUMIFS(Ações!$J$66,Ações!$N$66,Patrimônio!B742,Ações!$E$66,"Provento")</f>
        <v>0</v>
      </c>
      <c r="L742" s="109">
        <f>SUMIFS(BDRs!$J$66,BDRs!$E$66,"Provento",BDRs!$N$66,Patrimônio!B742)</f>
        <v>0</v>
      </c>
      <c r="M742" s="109">
        <f>SUMIFS(FIIs!$J$66,FIIs!$E$66,"Provento",FIIs!$N$66,Patrimônio!B742)</f>
        <v>0</v>
      </c>
      <c r="N742" s="109">
        <f t="shared" si="2"/>
        <v>0</v>
      </c>
      <c r="O742" s="109"/>
      <c r="Q742" s="154"/>
      <c r="R742" s="155" t="s">
        <v>265</v>
      </c>
      <c r="S742" s="156">
        <v>0</v>
      </c>
    </row>
    <row r="743" spans="1:19" ht="17.25" customHeight="1">
      <c r="A743" s="108">
        <v>67146</v>
      </c>
      <c r="B743" s="108">
        <f t="shared" si="0"/>
        <v>67145</v>
      </c>
      <c r="C743" s="109"/>
      <c r="D743" s="109"/>
      <c r="E743" s="109"/>
      <c r="F743" s="109"/>
      <c r="G743" s="109"/>
      <c r="H743" s="109"/>
      <c r="I743" s="109">
        <f t="shared" ref="I743:J743" si="757">SUM(C743,E743,G743)</f>
        <v>0</v>
      </c>
      <c r="J743" s="109">
        <f t="shared" si="757"/>
        <v>0</v>
      </c>
      <c r="K743" s="109">
        <f>SUMIFS(Ações!$J$66,Ações!$N$66,Patrimônio!B743,Ações!$E$66,"Provento")</f>
        <v>0</v>
      </c>
      <c r="L743" s="109">
        <f>SUMIFS(BDRs!$J$66,BDRs!$E$66,"Provento",BDRs!$N$66,Patrimônio!B743)</f>
        <v>0</v>
      </c>
      <c r="M743" s="109">
        <f>SUMIFS(FIIs!$J$66,FIIs!$E$66,"Provento",FIIs!$N$66,Patrimônio!B743)</f>
        <v>0</v>
      </c>
      <c r="N743" s="109">
        <f t="shared" si="2"/>
        <v>0</v>
      </c>
      <c r="O743" s="109"/>
      <c r="Q743" s="154"/>
      <c r="R743" s="155" t="s">
        <v>266</v>
      </c>
      <c r="S743" s="156">
        <v>0</v>
      </c>
    </row>
    <row r="744" spans="1:19" ht="17.25" customHeight="1">
      <c r="A744" s="108">
        <v>67176</v>
      </c>
      <c r="B744" s="108">
        <f t="shared" si="0"/>
        <v>67175</v>
      </c>
      <c r="C744" s="109"/>
      <c r="D744" s="109"/>
      <c r="E744" s="109"/>
      <c r="F744" s="109"/>
      <c r="G744" s="109"/>
      <c r="H744" s="109"/>
      <c r="I744" s="109">
        <f t="shared" ref="I744:J744" si="758">SUM(C744,E744,G744)</f>
        <v>0</v>
      </c>
      <c r="J744" s="109">
        <f t="shared" si="758"/>
        <v>0</v>
      </c>
      <c r="K744" s="109">
        <f>SUMIFS(Ações!$J$66,Ações!$N$66,Patrimônio!B744,Ações!$E$66,"Provento")</f>
        <v>0</v>
      </c>
      <c r="L744" s="109">
        <f>SUMIFS(BDRs!$J$66,BDRs!$E$66,"Provento",BDRs!$N$66,Patrimônio!B744)</f>
        <v>0</v>
      </c>
      <c r="M744" s="109">
        <f>SUMIFS(FIIs!$J$66,FIIs!$E$66,"Provento",FIIs!$N$66,Patrimônio!B744)</f>
        <v>0</v>
      </c>
      <c r="N744" s="109">
        <f t="shared" si="2"/>
        <v>0</v>
      </c>
      <c r="O744" s="109"/>
      <c r="Q744" s="154"/>
      <c r="R744" s="155" t="s">
        <v>267</v>
      </c>
      <c r="S744" s="156">
        <v>0</v>
      </c>
    </row>
    <row r="745" spans="1:19" ht="17.25" customHeight="1">
      <c r="A745" s="108">
        <v>67207</v>
      </c>
      <c r="B745" s="108">
        <f t="shared" si="0"/>
        <v>67206</v>
      </c>
      <c r="C745" s="109"/>
      <c r="D745" s="109"/>
      <c r="E745" s="109"/>
      <c r="F745" s="109"/>
      <c r="G745" s="109"/>
      <c r="H745" s="109"/>
      <c r="I745" s="109">
        <f t="shared" ref="I745:J745" si="759">SUM(C745,E745,G745)</f>
        <v>0</v>
      </c>
      <c r="J745" s="109">
        <f t="shared" si="759"/>
        <v>0</v>
      </c>
      <c r="K745" s="109">
        <f>SUMIFS(Ações!$J$66,Ações!$N$66,Patrimônio!B745,Ações!$E$66,"Provento")</f>
        <v>0</v>
      </c>
      <c r="L745" s="109">
        <f>SUMIFS(BDRs!$J$66,BDRs!$E$66,"Provento",BDRs!$N$66,Patrimônio!B745)</f>
        <v>0</v>
      </c>
      <c r="M745" s="109">
        <f>SUMIFS(FIIs!$J$66,FIIs!$E$66,"Provento",FIIs!$N$66,Patrimônio!B745)</f>
        <v>0</v>
      </c>
      <c r="N745" s="109">
        <f t="shared" si="2"/>
        <v>0</v>
      </c>
      <c r="O745" s="109"/>
      <c r="Q745" s="154"/>
      <c r="R745" s="155" t="s">
        <v>268</v>
      </c>
      <c r="S745" s="156">
        <v>0</v>
      </c>
    </row>
    <row r="746" spans="1:19" ht="17.25" customHeight="1">
      <c r="A746" s="108">
        <v>67238</v>
      </c>
      <c r="B746" s="108">
        <f t="shared" si="0"/>
        <v>67237</v>
      </c>
      <c r="C746" s="109"/>
      <c r="D746" s="109"/>
      <c r="E746" s="109"/>
      <c r="F746" s="109"/>
      <c r="G746" s="109"/>
      <c r="H746" s="109"/>
      <c r="I746" s="109">
        <f t="shared" ref="I746:J746" si="760">SUM(C746,E746,G746)</f>
        <v>0</v>
      </c>
      <c r="J746" s="109">
        <f t="shared" si="760"/>
        <v>0</v>
      </c>
      <c r="K746" s="109">
        <f>SUMIFS(Ações!$J$66,Ações!$N$66,Patrimônio!B746,Ações!$E$66,"Provento")</f>
        <v>0</v>
      </c>
      <c r="L746" s="109">
        <f>SUMIFS(BDRs!$J$66,BDRs!$E$66,"Provento",BDRs!$N$66,Patrimônio!B746)</f>
        <v>0</v>
      </c>
      <c r="M746" s="109">
        <f>SUMIFS(FIIs!$J$66,FIIs!$E$66,"Provento",FIIs!$N$66,Patrimônio!B746)</f>
        <v>0</v>
      </c>
      <c r="N746" s="109">
        <f t="shared" si="2"/>
        <v>0</v>
      </c>
      <c r="O746" s="109"/>
      <c r="Q746" s="154"/>
      <c r="R746" s="155" t="s">
        <v>269</v>
      </c>
      <c r="S746" s="156">
        <v>0</v>
      </c>
    </row>
    <row r="747" spans="1:19" ht="17.25" customHeight="1">
      <c r="A747" s="108">
        <v>67267</v>
      </c>
      <c r="B747" s="108">
        <f t="shared" si="0"/>
        <v>67266</v>
      </c>
      <c r="C747" s="109"/>
      <c r="D747" s="109"/>
      <c r="E747" s="109"/>
      <c r="F747" s="109"/>
      <c r="G747" s="109"/>
      <c r="H747" s="109"/>
      <c r="I747" s="109">
        <f t="shared" ref="I747:J747" si="761">SUM(C747,E747,G747)</f>
        <v>0</v>
      </c>
      <c r="J747" s="109">
        <f t="shared" si="761"/>
        <v>0</v>
      </c>
      <c r="K747" s="109">
        <f>SUMIFS(Ações!$J$66,Ações!$N$66,Patrimônio!B747,Ações!$E$66,"Provento")</f>
        <v>0</v>
      </c>
      <c r="L747" s="109">
        <f>SUMIFS(BDRs!$J$66,BDRs!$E$66,"Provento",BDRs!$N$66,Patrimônio!B747)</f>
        <v>0</v>
      </c>
      <c r="M747" s="109">
        <f>SUMIFS(FIIs!$J$66,FIIs!$E$66,"Provento",FIIs!$N$66,Patrimônio!B747)</f>
        <v>0</v>
      </c>
      <c r="N747" s="109">
        <f t="shared" si="2"/>
        <v>0</v>
      </c>
      <c r="O747" s="109"/>
      <c r="Q747" s="154"/>
      <c r="R747" s="155" t="s">
        <v>270</v>
      </c>
      <c r="S747" s="156">
        <v>0</v>
      </c>
    </row>
    <row r="748" spans="1:19" ht="17.25" customHeight="1">
      <c r="A748" s="108">
        <v>67298</v>
      </c>
      <c r="B748" s="108">
        <f t="shared" si="0"/>
        <v>67297</v>
      </c>
      <c r="C748" s="109"/>
      <c r="D748" s="109"/>
      <c r="E748" s="109"/>
      <c r="F748" s="109"/>
      <c r="G748" s="109"/>
      <c r="H748" s="109"/>
      <c r="I748" s="109">
        <f t="shared" ref="I748:J748" si="762">SUM(C748,E748,G748)</f>
        <v>0</v>
      </c>
      <c r="J748" s="109">
        <f t="shared" si="762"/>
        <v>0</v>
      </c>
      <c r="K748" s="109">
        <f>SUMIFS(Ações!$J$66,Ações!$N$66,Patrimônio!B748,Ações!$E$66,"Provento")</f>
        <v>0</v>
      </c>
      <c r="L748" s="109">
        <f>SUMIFS(BDRs!$J$66,BDRs!$E$66,"Provento",BDRs!$N$66,Patrimônio!B748)</f>
        <v>0</v>
      </c>
      <c r="M748" s="109">
        <f>SUMIFS(FIIs!$J$66,FIIs!$E$66,"Provento",FIIs!$N$66,Patrimônio!B748)</f>
        <v>0</v>
      </c>
      <c r="N748" s="109">
        <f t="shared" si="2"/>
        <v>0</v>
      </c>
      <c r="O748" s="109"/>
      <c r="Q748" s="154"/>
      <c r="R748" s="155" t="s">
        <v>271</v>
      </c>
      <c r="S748" s="156">
        <v>0</v>
      </c>
    </row>
    <row r="749" spans="1:19" ht="17.25" customHeight="1">
      <c r="A749" s="108">
        <v>67328</v>
      </c>
      <c r="B749" s="108">
        <f t="shared" si="0"/>
        <v>67327</v>
      </c>
      <c r="C749" s="109"/>
      <c r="D749" s="109"/>
      <c r="E749" s="109"/>
      <c r="F749" s="109"/>
      <c r="G749" s="109"/>
      <c r="H749" s="109"/>
      <c r="I749" s="109">
        <f t="shared" ref="I749:J749" si="763">SUM(C749,E749,G749)</f>
        <v>0</v>
      </c>
      <c r="J749" s="109">
        <f t="shared" si="763"/>
        <v>0</v>
      </c>
      <c r="K749" s="109">
        <f>SUMIFS(Ações!$J$66,Ações!$N$66,Patrimônio!B749,Ações!$E$66,"Provento")</f>
        <v>0</v>
      </c>
      <c r="L749" s="109">
        <f>SUMIFS(BDRs!$J$66,BDRs!$E$66,"Provento",BDRs!$N$66,Patrimônio!B749)</f>
        <v>0</v>
      </c>
      <c r="M749" s="109">
        <f>SUMIFS(FIIs!$J$66,FIIs!$E$66,"Provento",FIIs!$N$66,Patrimônio!B749)</f>
        <v>0</v>
      </c>
      <c r="N749" s="109">
        <f t="shared" si="2"/>
        <v>0</v>
      </c>
      <c r="O749" s="109"/>
      <c r="Q749" s="154"/>
      <c r="R749" s="155" t="s">
        <v>272</v>
      </c>
      <c r="S749" s="156">
        <v>0</v>
      </c>
    </row>
    <row r="750" spans="1:19" ht="17.25" customHeight="1">
      <c r="A750" s="108">
        <v>67359</v>
      </c>
      <c r="B750" s="108">
        <f t="shared" si="0"/>
        <v>67358</v>
      </c>
      <c r="C750" s="109"/>
      <c r="D750" s="109"/>
      <c r="E750" s="109"/>
      <c r="F750" s="109"/>
      <c r="G750" s="109"/>
      <c r="H750" s="109"/>
      <c r="I750" s="109">
        <f t="shared" ref="I750:J750" si="764">SUM(C750,E750,G750)</f>
        <v>0</v>
      </c>
      <c r="J750" s="109">
        <f t="shared" si="764"/>
        <v>0</v>
      </c>
      <c r="K750" s="109">
        <f>SUMIFS(Ações!$J$66,Ações!$N$66,Patrimônio!B750,Ações!$E$66,"Provento")</f>
        <v>0</v>
      </c>
      <c r="L750" s="109">
        <f>SUMIFS(BDRs!$J$66,BDRs!$E$66,"Provento",BDRs!$N$66,Patrimônio!B750)</f>
        <v>0</v>
      </c>
      <c r="M750" s="109">
        <f>SUMIFS(FIIs!$J$66,FIIs!$E$66,"Provento",FIIs!$N$66,Patrimônio!B750)</f>
        <v>0</v>
      </c>
      <c r="N750" s="109">
        <f t="shared" si="2"/>
        <v>0</v>
      </c>
      <c r="O750" s="109"/>
      <c r="Q750" s="151" t="s">
        <v>202</v>
      </c>
      <c r="R750" s="157"/>
      <c r="S750" s="153">
        <v>0</v>
      </c>
    </row>
    <row r="751" spans="1:19" ht="17.25" customHeight="1">
      <c r="A751" s="108">
        <v>67389</v>
      </c>
      <c r="B751" s="108">
        <f t="shared" si="0"/>
        <v>67388</v>
      </c>
      <c r="C751" s="109"/>
      <c r="D751" s="109"/>
      <c r="E751" s="109"/>
      <c r="F751" s="109"/>
      <c r="G751" s="109"/>
      <c r="H751" s="109"/>
      <c r="I751" s="109">
        <f t="shared" ref="I751:J751" si="765">SUM(C751,E751,G751)</f>
        <v>0</v>
      </c>
      <c r="J751" s="109">
        <f t="shared" si="765"/>
        <v>0</v>
      </c>
      <c r="K751" s="109">
        <f>SUMIFS(Ações!$J$66,Ações!$N$66,Patrimônio!B751,Ações!$E$66,"Provento")</f>
        <v>0</v>
      </c>
      <c r="L751" s="109">
        <f>SUMIFS(BDRs!$J$66,BDRs!$E$66,"Provento",BDRs!$N$66,Patrimônio!B751)</f>
        <v>0</v>
      </c>
      <c r="M751" s="109">
        <f>SUMIFS(FIIs!$J$66,FIIs!$E$66,"Provento",FIIs!$N$66,Patrimônio!B751)</f>
        <v>0</v>
      </c>
      <c r="N751" s="109">
        <f t="shared" si="2"/>
        <v>0</v>
      </c>
      <c r="O751" s="109"/>
      <c r="Q751" s="151" t="s">
        <v>203</v>
      </c>
      <c r="R751" s="152" t="s">
        <v>261</v>
      </c>
      <c r="S751" s="153">
        <v>0</v>
      </c>
    </row>
    <row r="752" spans="1:19" ht="17.25" customHeight="1">
      <c r="A752" s="108">
        <v>67420</v>
      </c>
      <c r="B752" s="108">
        <f t="shared" si="0"/>
        <v>67419</v>
      </c>
      <c r="C752" s="109"/>
      <c r="D752" s="109"/>
      <c r="E752" s="109"/>
      <c r="F752" s="109"/>
      <c r="G752" s="109"/>
      <c r="H752" s="109"/>
      <c r="I752" s="109">
        <f t="shared" ref="I752:J752" si="766">SUM(C752,E752,G752)</f>
        <v>0</v>
      </c>
      <c r="J752" s="109">
        <f t="shared" si="766"/>
        <v>0</v>
      </c>
      <c r="K752" s="109">
        <f>SUMIFS(Ações!$J$66,Ações!$N$66,Patrimônio!B752,Ações!$E$66,"Provento")</f>
        <v>0</v>
      </c>
      <c r="L752" s="109">
        <f>SUMIFS(BDRs!$J$66,BDRs!$E$66,"Provento",BDRs!$N$66,Patrimônio!B752)</f>
        <v>0</v>
      </c>
      <c r="M752" s="109">
        <f>SUMIFS(FIIs!$J$66,FIIs!$E$66,"Provento",FIIs!$N$66,Patrimônio!B752)</f>
        <v>0</v>
      </c>
      <c r="N752" s="109">
        <f t="shared" si="2"/>
        <v>0</v>
      </c>
      <c r="O752" s="109"/>
      <c r="Q752" s="154"/>
      <c r="R752" s="155" t="s">
        <v>262</v>
      </c>
      <c r="S752" s="156">
        <v>0</v>
      </c>
    </row>
    <row r="753" spans="1:19" ht="17.25" customHeight="1">
      <c r="A753" s="108">
        <v>67451</v>
      </c>
      <c r="B753" s="108">
        <f t="shared" si="0"/>
        <v>67450</v>
      </c>
      <c r="C753" s="109"/>
      <c r="D753" s="109"/>
      <c r="E753" s="109"/>
      <c r="F753" s="109"/>
      <c r="G753" s="109"/>
      <c r="H753" s="109"/>
      <c r="I753" s="109">
        <f t="shared" ref="I753:J753" si="767">SUM(C753,E753,G753)</f>
        <v>0</v>
      </c>
      <c r="J753" s="109">
        <f t="shared" si="767"/>
        <v>0</v>
      </c>
      <c r="K753" s="109">
        <f>SUMIFS(Ações!$J$66,Ações!$N$66,Patrimônio!B753,Ações!$E$66,"Provento")</f>
        <v>0</v>
      </c>
      <c r="L753" s="109">
        <f>SUMIFS(BDRs!$J$66,BDRs!$E$66,"Provento",BDRs!$N$66,Patrimônio!B753)</f>
        <v>0</v>
      </c>
      <c r="M753" s="109">
        <f>SUMIFS(FIIs!$J$66,FIIs!$E$66,"Provento",FIIs!$N$66,Patrimônio!B753)</f>
        <v>0</v>
      </c>
      <c r="N753" s="109">
        <f t="shared" si="2"/>
        <v>0</v>
      </c>
      <c r="O753" s="109"/>
      <c r="Q753" s="154"/>
      <c r="R753" s="155" t="s">
        <v>263</v>
      </c>
      <c r="S753" s="156">
        <v>0</v>
      </c>
    </row>
    <row r="754" spans="1:19" ht="17.25" customHeight="1">
      <c r="A754" s="108">
        <v>67481</v>
      </c>
      <c r="B754" s="108">
        <f t="shared" si="0"/>
        <v>67480</v>
      </c>
      <c r="C754" s="109"/>
      <c r="D754" s="109"/>
      <c r="E754" s="109"/>
      <c r="F754" s="109"/>
      <c r="G754" s="109"/>
      <c r="H754" s="109"/>
      <c r="I754" s="109">
        <f t="shared" ref="I754:J754" si="768">SUM(C754,E754,G754)</f>
        <v>0</v>
      </c>
      <c r="J754" s="109">
        <f t="shared" si="768"/>
        <v>0</v>
      </c>
      <c r="K754" s="109">
        <f>SUMIFS(Ações!$J$66,Ações!$N$66,Patrimônio!B754,Ações!$E$66,"Provento")</f>
        <v>0</v>
      </c>
      <c r="L754" s="109">
        <f>SUMIFS(BDRs!$J$66,BDRs!$E$66,"Provento",BDRs!$N$66,Patrimônio!B754)</f>
        <v>0</v>
      </c>
      <c r="M754" s="109">
        <f>SUMIFS(FIIs!$J$66,FIIs!$E$66,"Provento",FIIs!$N$66,Patrimônio!B754)</f>
        <v>0</v>
      </c>
      <c r="N754" s="109">
        <f t="shared" si="2"/>
        <v>0</v>
      </c>
      <c r="O754" s="109"/>
      <c r="Q754" s="154"/>
      <c r="R754" s="155" t="s">
        <v>264</v>
      </c>
      <c r="S754" s="156">
        <v>0</v>
      </c>
    </row>
    <row r="755" spans="1:19" ht="17.25" customHeight="1">
      <c r="A755" s="108">
        <v>67512</v>
      </c>
      <c r="B755" s="108">
        <f t="shared" si="0"/>
        <v>67511</v>
      </c>
      <c r="C755" s="109"/>
      <c r="D755" s="109"/>
      <c r="E755" s="109"/>
      <c r="F755" s="109"/>
      <c r="G755" s="109"/>
      <c r="H755" s="109"/>
      <c r="I755" s="109">
        <f t="shared" ref="I755:J755" si="769">SUM(C755,E755,G755)</f>
        <v>0</v>
      </c>
      <c r="J755" s="109">
        <f t="shared" si="769"/>
        <v>0</v>
      </c>
      <c r="K755" s="109">
        <f>SUMIFS(Ações!$J$66,Ações!$N$66,Patrimônio!B755,Ações!$E$66,"Provento")</f>
        <v>0</v>
      </c>
      <c r="L755" s="109">
        <f>SUMIFS(BDRs!$J$66,BDRs!$E$66,"Provento",BDRs!$N$66,Patrimônio!B755)</f>
        <v>0</v>
      </c>
      <c r="M755" s="109">
        <f>SUMIFS(FIIs!$J$66,FIIs!$E$66,"Provento",FIIs!$N$66,Patrimônio!B755)</f>
        <v>0</v>
      </c>
      <c r="N755" s="109">
        <f t="shared" si="2"/>
        <v>0</v>
      </c>
      <c r="O755" s="109"/>
      <c r="Q755" s="154"/>
      <c r="R755" s="155" t="s">
        <v>265</v>
      </c>
      <c r="S755" s="156">
        <v>0</v>
      </c>
    </row>
    <row r="756" spans="1:19" ht="17.25" customHeight="1">
      <c r="A756" s="108">
        <v>67542</v>
      </c>
      <c r="B756" s="108">
        <f t="shared" si="0"/>
        <v>67541</v>
      </c>
      <c r="C756" s="109"/>
      <c r="D756" s="109"/>
      <c r="E756" s="109"/>
      <c r="F756" s="109"/>
      <c r="G756" s="109"/>
      <c r="H756" s="109"/>
      <c r="I756" s="109">
        <f t="shared" ref="I756:J756" si="770">SUM(C756,E756,G756)</f>
        <v>0</v>
      </c>
      <c r="J756" s="109">
        <f t="shared" si="770"/>
        <v>0</v>
      </c>
      <c r="K756" s="109">
        <f>SUMIFS(Ações!$J$66,Ações!$N$66,Patrimônio!B756,Ações!$E$66,"Provento")</f>
        <v>0</v>
      </c>
      <c r="L756" s="109">
        <f>SUMIFS(BDRs!$J$66,BDRs!$E$66,"Provento",BDRs!$N$66,Patrimônio!B756)</f>
        <v>0</v>
      </c>
      <c r="M756" s="109">
        <f>SUMIFS(FIIs!$J$66,FIIs!$E$66,"Provento",FIIs!$N$66,Patrimônio!B756)</f>
        <v>0</v>
      </c>
      <c r="N756" s="109">
        <f t="shared" si="2"/>
        <v>0</v>
      </c>
      <c r="O756" s="109"/>
      <c r="Q756" s="154"/>
      <c r="R756" s="155" t="s">
        <v>266</v>
      </c>
      <c r="S756" s="156">
        <v>0</v>
      </c>
    </row>
    <row r="757" spans="1:19" ht="17.25" customHeight="1">
      <c r="A757" s="108">
        <v>67573</v>
      </c>
      <c r="B757" s="108">
        <f t="shared" si="0"/>
        <v>67572</v>
      </c>
      <c r="C757" s="109"/>
      <c r="D757" s="109"/>
      <c r="E757" s="109"/>
      <c r="F757" s="109"/>
      <c r="G757" s="109"/>
      <c r="H757" s="109"/>
      <c r="I757" s="109">
        <f t="shared" ref="I757:J757" si="771">SUM(C757,E757,G757)</f>
        <v>0</v>
      </c>
      <c r="J757" s="109">
        <f t="shared" si="771"/>
        <v>0</v>
      </c>
      <c r="K757" s="109">
        <f>SUMIFS(Ações!$J$66,Ações!$N$66,Patrimônio!B757,Ações!$E$66,"Provento")</f>
        <v>0</v>
      </c>
      <c r="L757" s="109">
        <f>SUMIFS(BDRs!$J$66,BDRs!$E$66,"Provento",BDRs!$N$66,Patrimônio!B757)</f>
        <v>0</v>
      </c>
      <c r="M757" s="109">
        <f>SUMIFS(FIIs!$J$66,FIIs!$E$66,"Provento",FIIs!$N$66,Patrimônio!B757)</f>
        <v>0</v>
      </c>
      <c r="N757" s="109">
        <f t="shared" si="2"/>
        <v>0</v>
      </c>
      <c r="O757" s="109"/>
      <c r="Q757" s="154"/>
      <c r="R757" s="155" t="s">
        <v>267</v>
      </c>
      <c r="S757" s="156">
        <v>0</v>
      </c>
    </row>
    <row r="758" spans="1:19" ht="17.25" customHeight="1">
      <c r="A758" s="108">
        <v>67604</v>
      </c>
      <c r="B758" s="108">
        <f t="shared" si="0"/>
        <v>67603</v>
      </c>
      <c r="C758" s="109"/>
      <c r="D758" s="109"/>
      <c r="E758" s="109"/>
      <c r="F758" s="109"/>
      <c r="G758" s="109"/>
      <c r="H758" s="109"/>
      <c r="I758" s="109">
        <f t="shared" ref="I758:J758" si="772">SUM(C758,E758,G758)</f>
        <v>0</v>
      </c>
      <c r="J758" s="109">
        <f t="shared" si="772"/>
        <v>0</v>
      </c>
      <c r="K758" s="109">
        <f>SUMIFS(Ações!$J$66,Ações!$N$66,Patrimônio!B758,Ações!$E$66,"Provento")</f>
        <v>0</v>
      </c>
      <c r="L758" s="109">
        <f>SUMIFS(BDRs!$J$66,BDRs!$E$66,"Provento",BDRs!$N$66,Patrimônio!B758)</f>
        <v>0</v>
      </c>
      <c r="M758" s="109">
        <f>SUMIFS(FIIs!$J$66,FIIs!$E$66,"Provento",FIIs!$N$66,Patrimônio!B758)</f>
        <v>0</v>
      </c>
      <c r="N758" s="109">
        <f t="shared" si="2"/>
        <v>0</v>
      </c>
      <c r="O758" s="109"/>
      <c r="Q758" s="154"/>
      <c r="R758" s="155" t="s">
        <v>268</v>
      </c>
      <c r="S758" s="156">
        <v>0</v>
      </c>
    </row>
    <row r="759" spans="1:19" ht="17.25" customHeight="1">
      <c r="A759" s="108">
        <v>67632</v>
      </c>
      <c r="B759" s="108">
        <f t="shared" si="0"/>
        <v>67631</v>
      </c>
      <c r="C759" s="109"/>
      <c r="D759" s="109"/>
      <c r="E759" s="109"/>
      <c r="F759" s="109"/>
      <c r="G759" s="109"/>
      <c r="H759" s="109"/>
      <c r="I759" s="109">
        <f t="shared" ref="I759:J759" si="773">SUM(C759,E759,G759)</f>
        <v>0</v>
      </c>
      <c r="J759" s="109">
        <f t="shared" si="773"/>
        <v>0</v>
      </c>
      <c r="K759" s="109">
        <f>SUMIFS(Ações!$J$66,Ações!$N$66,Patrimônio!B759,Ações!$E$66,"Provento")</f>
        <v>0</v>
      </c>
      <c r="L759" s="109">
        <f>SUMIFS(BDRs!$J$66,BDRs!$E$66,"Provento",BDRs!$N$66,Patrimônio!B759)</f>
        <v>0</v>
      </c>
      <c r="M759" s="109">
        <f>SUMIFS(FIIs!$J$66,FIIs!$E$66,"Provento",FIIs!$N$66,Patrimônio!B759)</f>
        <v>0</v>
      </c>
      <c r="N759" s="109">
        <f t="shared" si="2"/>
        <v>0</v>
      </c>
      <c r="O759" s="109"/>
      <c r="Q759" s="154"/>
      <c r="R759" s="155" t="s">
        <v>269</v>
      </c>
      <c r="S759" s="156">
        <v>0</v>
      </c>
    </row>
    <row r="760" spans="1:19" ht="17.25" customHeight="1">
      <c r="A760" s="108">
        <v>67663</v>
      </c>
      <c r="B760" s="108">
        <f t="shared" si="0"/>
        <v>67662</v>
      </c>
      <c r="C760" s="109"/>
      <c r="D760" s="109"/>
      <c r="E760" s="109"/>
      <c r="F760" s="109"/>
      <c r="G760" s="109"/>
      <c r="H760" s="109"/>
      <c r="I760" s="109">
        <f t="shared" ref="I760:J760" si="774">SUM(C760,E760,G760)</f>
        <v>0</v>
      </c>
      <c r="J760" s="109">
        <f t="shared" si="774"/>
        <v>0</v>
      </c>
      <c r="K760" s="109">
        <f>SUMIFS(Ações!$J$66,Ações!$N$66,Patrimônio!B760,Ações!$E$66,"Provento")</f>
        <v>0</v>
      </c>
      <c r="L760" s="109">
        <f>SUMIFS(BDRs!$J$66,BDRs!$E$66,"Provento",BDRs!$N$66,Patrimônio!B760)</f>
        <v>0</v>
      </c>
      <c r="M760" s="109">
        <f>SUMIFS(FIIs!$J$66,FIIs!$E$66,"Provento",FIIs!$N$66,Patrimônio!B760)</f>
        <v>0</v>
      </c>
      <c r="N760" s="109">
        <f t="shared" si="2"/>
        <v>0</v>
      </c>
      <c r="O760" s="109"/>
      <c r="Q760" s="154"/>
      <c r="R760" s="155" t="s">
        <v>270</v>
      </c>
      <c r="S760" s="156">
        <v>0</v>
      </c>
    </row>
    <row r="761" spans="1:19" ht="17.25" customHeight="1">
      <c r="A761" s="108">
        <v>67693</v>
      </c>
      <c r="B761" s="108">
        <f t="shared" si="0"/>
        <v>67692</v>
      </c>
      <c r="C761" s="109"/>
      <c r="D761" s="109"/>
      <c r="E761" s="109"/>
      <c r="F761" s="109"/>
      <c r="G761" s="109"/>
      <c r="H761" s="109"/>
      <c r="I761" s="109">
        <f t="shared" ref="I761:J761" si="775">SUM(C761,E761,G761)</f>
        <v>0</v>
      </c>
      <c r="J761" s="109">
        <f t="shared" si="775"/>
        <v>0</v>
      </c>
      <c r="K761" s="109">
        <f>SUMIFS(Ações!$J$66,Ações!$N$66,Patrimônio!B761,Ações!$E$66,"Provento")</f>
        <v>0</v>
      </c>
      <c r="L761" s="109">
        <f>SUMIFS(BDRs!$J$66,BDRs!$E$66,"Provento",BDRs!$N$66,Patrimônio!B761)</f>
        <v>0</v>
      </c>
      <c r="M761" s="109">
        <f>SUMIFS(FIIs!$J$66,FIIs!$E$66,"Provento",FIIs!$N$66,Patrimônio!B761)</f>
        <v>0</v>
      </c>
      <c r="N761" s="109">
        <f t="shared" si="2"/>
        <v>0</v>
      </c>
      <c r="O761" s="109"/>
      <c r="Q761" s="154"/>
      <c r="R761" s="155" t="s">
        <v>271</v>
      </c>
      <c r="S761" s="156">
        <v>0</v>
      </c>
    </row>
    <row r="762" spans="1:19" ht="17.25" customHeight="1">
      <c r="A762" s="108">
        <v>67724</v>
      </c>
      <c r="B762" s="108">
        <f t="shared" si="0"/>
        <v>67723</v>
      </c>
      <c r="C762" s="109"/>
      <c r="D762" s="109"/>
      <c r="E762" s="109"/>
      <c r="F762" s="109"/>
      <c r="G762" s="109"/>
      <c r="H762" s="109"/>
      <c r="I762" s="109">
        <f t="shared" ref="I762:J762" si="776">SUM(C762,E762,G762)</f>
        <v>0</v>
      </c>
      <c r="J762" s="109">
        <f t="shared" si="776"/>
        <v>0</v>
      </c>
      <c r="K762" s="109">
        <f>SUMIFS(Ações!$J$66,Ações!$N$66,Patrimônio!B762,Ações!$E$66,"Provento")</f>
        <v>0</v>
      </c>
      <c r="L762" s="109">
        <f>SUMIFS(BDRs!$J$66,BDRs!$E$66,"Provento",BDRs!$N$66,Patrimônio!B762)</f>
        <v>0</v>
      </c>
      <c r="M762" s="109">
        <f>SUMIFS(FIIs!$J$66,FIIs!$E$66,"Provento",FIIs!$N$66,Patrimônio!B762)</f>
        <v>0</v>
      </c>
      <c r="N762" s="109">
        <f t="shared" si="2"/>
        <v>0</v>
      </c>
      <c r="O762" s="109"/>
      <c r="Q762" s="154"/>
      <c r="R762" s="155" t="s">
        <v>272</v>
      </c>
      <c r="S762" s="156">
        <v>0</v>
      </c>
    </row>
    <row r="763" spans="1:19" ht="17.25" customHeight="1">
      <c r="A763" s="108">
        <v>67754</v>
      </c>
      <c r="B763" s="108">
        <f t="shared" si="0"/>
        <v>67753</v>
      </c>
      <c r="C763" s="109"/>
      <c r="D763" s="109"/>
      <c r="E763" s="109"/>
      <c r="F763" s="109"/>
      <c r="G763" s="109"/>
      <c r="H763" s="109"/>
      <c r="I763" s="109">
        <f t="shared" ref="I763:J763" si="777">SUM(C763,E763,G763)</f>
        <v>0</v>
      </c>
      <c r="J763" s="109">
        <f t="shared" si="777"/>
        <v>0</v>
      </c>
      <c r="K763" s="109">
        <f>SUMIFS(Ações!$J$66,Ações!$N$66,Patrimônio!B763,Ações!$E$66,"Provento")</f>
        <v>0</v>
      </c>
      <c r="L763" s="109">
        <f>SUMIFS(BDRs!$J$66,BDRs!$E$66,"Provento",BDRs!$N$66,Patrimônio!B763)</f>
        <v>0</v>
      </c>
      <c r="M763" s="109">
        <f>SUMIFS(FIIs!$J$66,FIIs!$E$66,"Provento",FIIs!$N$66,Patrimônio!B763)</f>
        <v>0</v>
      </c>
      <c r="N763" s="109">
        <f t="shared" si="2"/>
        <v>0</v>
      </c>
      <c r="O763" s="109"/>
      <c r="Q763" s="151" t="s">
        <v>204</v>
      </c>
      <c r="R763" s="157"/>
      <c r="S763" s="153">
        <v>0</v>
      </c>
    </row>
    <row r="764" spans="1:19" ht="17.25" customHeight="1">
      <c r="A764" s="108">
        <v>67785</v>
      </c>
      <c r="B764" s="108">
        <f t="shared" si="0"/>
        <v>67784</v>
      </c>
      <c r="C764" s="109"/>
      <c r="D764" s="109"/>
      <c r="E764" s="109"/>
      <c r="F764" s="109"/>
      <c r="G764" s="109"/>
      <c r="H764" s="109"/>
      <c r="I764" s="109">
        <f t="shared" ref="I764:J764" si="778">SUM(C764,E764,G764)</f>
        <v>0</v>
      </c>
      <c r="J764" s="109">
        <f t="shared" si="778"/>
        <v>0</v>
      </c>
      <c r="K764" s="109">
        <f>SUMIFS(Ações!$J$66,Ações!$N$66,Patrimônio!B764,Ações!$E$66,"Provento")</f>
        <v>0</v>
      </c>
      <c r="L764" s="109">
        <f>SUMIFS(BDRs!$J$66,BDRs!$E$66,"Provento",BDRs!$N$66,Patrimônio!B764)</f>
        <v>0</v>
      </c>
      <c r="M764" s="109">
        <f>SUMIFS(FIIs!$J$66,FIIs!$E$66,"Provento",FIIs!$N$66,Patrimônio!B764)</f>
        <v>0</v>
      </c>
      <c r="N764" s="109">
        <f t="shared" si="2"/>
        <v>0</v>
      </c>
      <c r="O764" s="109"/>
      <c r="Q764" s="151" t="s">
        <v>205</v>
      </c>
      <c r="R764" s="152" t="s">
        <v>261</v>
      </c>
      <c r="S764" s="153">
        <v>0</v>
      </c>
    </row>
    <row r="765" spans="1:19" ht="17.25" customHeight="1">
      <c r="A765" s="108">
        <v>67816</v>
      </c>
      <c r="B765" s="108">
        <f t="shared" si="0"/>
        <v>67815</v>
      </c>
      <c r="C765" s="109"/>
      <c r="D765" s="109"/>
      <c r="E765" s="109"/>
      <c r="F765" s="109"/>
      <c r="G765" s="109"/>
      <c r="H765" s="109"/>
      <c r="I765" s="109">
        <f t="shared" ref="I765:J765" si="779">SUM(C765,E765,G765)</f>
        <v>0</v>
      </c>
      <c r="J765" s="109">
        <f t="shared" si="779"/>
        <v>0</v>
      </c>
      <c r="K765" s="109">
        <f>SUMIFS(Ações!$J$66,Ações!$N$66,Patrimônio!B765,Ações!$E$66,"Provento")</f>
        <v>0</v>
      </c>
      <c r="L765" s="109">
        <f>SUMIFS(BDRs!$J$66,BDRs!$E$66,"Provento",BDRs!$N$66,Patrimônio!B765)</f>
        <v>0</v>
      </c>
      <c r="M765" s="109">
        <f>SUMIFS(FIIs!$J$66,FIIs!$E$66,"Provento",FIIs!$N$66,Patrimônio!B765)</f>
        <v>0</v>
      </c>
      <c r="N765" s="109">
        <f t="shared" si="2"/>
        <v>0</v>
      </c>
      <c r="O765" s="109"/>
      <c r="Q765" s="154"/>
      <c r="R765" s="155" t="s">
        <v>262</v>
      </c>
      <c r="S765" s="156">
        <v>0</v>
      </c>
    </row>
    <row r="766" spans="1:19" ht="17.25" customHeight="1">
      <c r="A766" s="108">
        <v>67846</v>
      </c>
      <c r="B766" s="108">
        <f t="shared" si="0"/>
        <v>67845</v>
      </c>
      <c r="C766" s="109"/>
      <c r="D766" s="109"/>
      <c r="E766" s="109"/>
      <c r="F766" s="109"/>
      <c r="G766" s="109"/>
      <c r="H766" s="109"/>
      <c r="I766" s="109">
        <f t="shared" ref="I766:J766" si="780">SUM(C766,E766,G766)</f>
        <v>0</v>
      </c>
      <c r="J766" s="109">
        <f t="shared" si="780"/>
        <v>0</v>
      </c>
      <c r="K766" s="109">
        <f>SUMIFS(Ações!$J$66,Ações!$N$66,Patrimônio!B766,Ações!$E$66,"Provento")</f>
        <v>0</v>
      </c>
      <c r="L766" s="109">
        <f>SUMIFS(BDRs!$J$66,BDRs!$E$66,"Provento",BDRs!$N$66,Patrimônio!B766)</f>
        <v>0</v>
      </c>
      <c r="M766" s="109">
        <f>SUMIFS(FIIs!$J$66,FIIs!$E$66,"Provento",FIIs!$N$66,Patrimônio!B766)</f>
        <v>0</v>
      </c>
      <c r="N766" s="109">
        <f t="shared" si="2"/>
        <v>0</v>
      </c>
      <c r="O766" s="109"/>
      <c r="Q766" s="154"/>
      <c r="R766" s="155" t="s">
        <v>263</v>
      </c>
      <c r="S766" s="156">
        <v>0</v>
      </c>
    </row>
    <row r="767" spans="1:19" ht="17.25" customHeight="1">
      <c r="A767" s="108">
        <v>67877</v>
      </c>
      <c r="B767" s="108">
        <f t="shared" si="0"/>
        <v>67876</v>
      </c>
      <c r="C767" s="109"/>
      <c r="D767" s="109"/>
      <c r="E767" s="109"/>
      <c r="F767" s="109"/>
      <c r="G767" s="109"/>
      <c r="H767" s="109"/>
      <c r="I767" s="109">
        <f t="shared" ref="I767:J767" si="781">SUM(C767,E767,G767)</f>
        <v>0</v>
      </c>
      <c r="J767" s="109">
        <f t="shared" si="781"/>
        <v>0</v>
      </c>
      <c r="K767" s="109">
        <f>SUMIFS(Ações!$J$66,Ações!$N$66,Patrimônio!B767,Ações!$E$66,"Provento")</f>
        <v>0</v>
      </c>
      <c r="L767" s="109">
        <f>SUMIFS(BDRs!$J$66,BDRs!$E$66,"Provento",BDRs!$N$66,Patrimônio!B767)</f>
        <v>0</v>
      </c>
      <c r="M767" s="109">
        <f>SUMIFS(FIIs!$J$66,FIIs!$E$66,"Provento",FIIs!$N$66,Patrimônio!B767)</f>
        <v>0</v>
      </c>
      <c r="N767" s="109">
        <f t="shared" si="2"/>
        <v>0</v>
      </c>
      <c r="O767" s="109"/>
      <c r="Q767" s="154"/>
      <c r="R767" s="155" t="s">
        <v>264</v>
      </c>
      <c r="S767" s="156">
        <v>0</v>
      </c>
    </row>
    <row r="768" spans="1:19" ht="17.25" customHeight="1">
      <c r="A768" s="108">
        <v>67907</v>
      </c>
      <c r="B768" s="108">
        <f t="shared" si="0"/>
        <v>67906</v>
      </c>
      <c r="C768" s="109"/>
      <c r="D768" s="109"/>
      <c r="E768" s="109"/>
      <c r="F768" s="109"/>
      <c r="G768" s="109"/>
      <c r="H768" s="109"/>
      <c r="I768" s="109">
        <f t="shared" ref="I768:J768" si="782">SUM(C768,E768,G768)</f>
        <v>0</v>
      </c>
      <c r="J768" s="109">
        <f t="shared" si="782"/>
        <v>0</v>
      </c>
      <c r="K768" s="109">
        <f>SUMIFS(Ações!$J$66,Ações!$N$66,Patrimônio!B768,Ações!$E$66,"Provento")</f>
        <v>0</v>
      </c>
      <c r="L768" s="109">
        <f>SUMIFS(BDRs!$J$66,BDRs!$E$66,"Provento",BDRs!$N$66,Patrimônio!B768)</f>
        <v>0</v>
      </c>
      <c r="M768" s="109">
        <f>SUMIFS(FIIs!$J$66,FIIs!$E$66,"Provento",FIIs!$N$66,Patrimônio!B768)</f>
        <v>0</v>
      </c>
      <c r="N768" s="109">
        <f t="shared" si="2"/>
        <v>0</v>
      </c>
      <c r="O768" s="109"/>
      <c r="Q768" s="154"/>
      <c r="R768" s="155" t="s">
        <v>265</v>
      </c>
      <c r="S768" s="156">
        <v>0</v>
      </c>
    </row>
    <row r="769" spans="1:19" ht="17.25" customHeight="1">
      <c r="A769" s="108">
        <v>67938</v>
      </c>
      <c r="B769" s="108">
        <f t="shared" si="0"/>
        <v>67937</v>
      </c>
      <c r="C769" s="109"/>
      <c r="D769" s="109"/>
      <c r="E769" s="109"/>
      <c r="F769" s="109"/>
      <c r="G769" s="109"/>
      <c r="H769" s="109"/>
      <c r="I769" s="109">
        <f t="shared" ref="I769:J769" si="783">SUM(C769,E769,G769)</f>
        <v>0</v>
      </c>
      <c r="J769" s="109">
        <f t="shared" si="783"/>
        <v>0</v>
      </c>
      <c r="K769" s="109">
        <f>SUMIFS(Ações!$J$66,Ações!$N$66,Patrimônio!B769,Ações!$E$66,"Provento")</f>
        <v>0</v>
      </c>
      <c r="L769" s="109">
        <f>SUMIFS(BDRs!$J$66,BDRs!$E$66,"Provento",BDRs!$N$66,Patrimônio!B769)</f>
        <v>0</v>
      </c>
      <c r="M769" s="109">
        <f>SUMIFS(FIIs!$J$66,FIIs!$E$66,"Provento",FIIs!$N$66,Patrimônio!B769)</f>
        <v>0</v>
      </c>
      <c r="N769" s="109">
        <f t="shared" si="2"/>
        <v>0</v>
      </c>
      <c r="O769" s="109"/>
      <c r="Q769" s="154"/>
      <c r="R769" s="155" t="s">
        <v>266</v>
      </c>
      <c r="S769" s="156">
        <v>0</v>
      </c>
    </row>
    <row r="770" spans="1:19" ht="17.25" customHeight="1">
      <c r="A770" s="108">
        <v>67969</v>
      </c>
      <c r="B770" s="108">
        <f t="shared" si="0"/>
        <v>67968</v>
      </c>
      <c r="C770" s="109"/>
      <c r="D770" s="109"/>
      <c r="E770" s="109"/>
      <c r="F770" s="109"/>
      <c r="G770" s="109"/>
      <c r="H770" s="109"/>
      <c r="I770" s="109">
        <f t="shared" ref="I770:J770" si="784">SUM(C770,E770,G770)</f>
        <v>0</v>
      </c>
      <c r="J770" s="109">
        <f t="shared" si="784"/>
        <v>0</v>
      </c>
      <c r="K770" s="109">
        <f>SUMIFS(Ações!$J$66,Ações!$N$66,Patrimônio!B770,Ações!$E$66,"Provento")</f>
        <v>0</v>
      </c>
      <c r="L770" s="109">
        <f>SUMIFS(BDRs!$J$66,BDRs!$E$66,"Provento",BDRs!$N$66,Patrimônio!B770)</f>
        <v>0</v>
      </c>
      <c r="M770" s="109">
        <f>SUMIFS(FIIs!$J$66,FIIs!$E$66,"Provento",FIIs!$N$66,Patrimônio!B770)</f>
        <v>0</v>
      </c>
      <c r="N770" s="109">
        <f t="shared" si="2"/>
        <v>0</v>
      </c>
      <c r="O770" s="109"/>
      <c r="Q770" s="154"/>
      <c r="R770" s="155" t="s">
        <v>267</v>
      </c>
      <c r="S770" s="156">
        <v>0</v>
      </c>
    </row>
    <row r="771" spans="1:19" ht="17.25" customHeight="1">
      <c r="A771" s="108">
        <v>67997</v>
      </c>
      <c r="B771" s="108">
        <f t="shared" si="0"/>
        <v>67996</v>
      </c>
      <c r="C771" s="109"/>
      <c r="D771" s="109"/>
      <c r="E771" s="109"/>
      <c r="F771" s="109"/>
      <c r="G771" s="109"/>
      <c r="H771" s="109"/>
      <c r="I771" s="109">
        <f t="shared" ref="I771:J771" si="785">SUM(C771,E771,G771)</f>
        <v>0</v>
      </c>
      <c r="J771" s="109">
        <f t="shared" si="785"/>
        <v>0</v>
      </c>
      <c r="K771" s="109">
        <f>SUMIFS(Ações!$J$66,Ações!$N$66,Patrimônio!B771,Ações!$E$66,"Provento")</f>
        <v>0</v>
      </c>
      <c r="L771" s="109">
        <f>SUMIFS(BDRs!$J$66,BDRs!$E$66,"Provento",BDRs!$N$66,Patrimônio!B771)</f>
        <v>0</v>
      </c>
      <c r="M771" s="109">
        <f>SUMIFS(FIIs!$J$66,FIIs!$E$66,"Provento",FIIs!$N$66,Patrimônio!B771)</f>
        <v>0</v>
      </c>
      <c r="N771" s="109">
        <f t="shared" si="2"/>
        <v>0</v>
      </c>
      <c r="O771" s="109"/>
      <c r="Q771" s="154"/>
      <c r="R771" s="155" t="s">
        <v>268</v>
      </c>
      <c r="S771" s="156">
        <v>0</v>
      </c>
    </row>
    <row r="772" spans="1:19" ht="17.25" customHeight="1">
      <c r="A772" s="108">
        <v>68028</v>
      </c>
      <c r="B772" s="108">
        <f t="shared" si="0"/>
        <v>68027</v>
      </c>
      <c r="C772" s="109"/>
      <c r="D772" s="109"/>
      <c r="E772" s="109"/>
      <c r="F772" s="109"/>
      <c r="G772" s="109"/>
      <c r="H772" s="109"/>
      <c r="I772" s="109">
        <f t="shared" ref="I772:J772" si="786">SUM(C772,E772,G772)</f>
        <v>0</v>
      </c>
      <c r="J772" s="109">
        <f t="shared" si="786"/>
        <v>0</v>
      </c>
      <c r="K772" s="109">
        <f>SUMIFS(Ações!$J$66,Ações!$N$66,Patrimônio!B772,Ações!$E$66,"Provento")</f>
        <v>0</v>
      </c>
      <c r="L772" s="109">
        <f>SUMIFS(BDRs!$J$66,BDRs!$E$66,"Provento",BDRs!$N$66,Patrimônio!B772)</f>
        <v>0</v>
      </c>
      <c r="M772" s="109">
        <f>SUMIFS(FIIs!$J$66,FIIs!$E$66,"Provento",FIIs!$N$66,Patrimônio!B772)</f>
        <v>0</v>
      </c>
      <c r="N772" s="109">
        <f t="shared" si="2"/>
        <v>0</v>
      </c>
      <c r="O772" s="109"/>
      <c r="Q772" s="154"/>
      <c r="R772" s="155" t="s">
        <v>269</v>
      </c>
      <c r="S772" s="156">
        <v>0</v>
      </c>
    </row>
    <row r="773" spans="1:19" ht="17.25" customHeight="1">
      <c r="A773" s="108">
        <v>68058</v>
      </c>
      <c r="B773" s="108">
        <f t="shared" si="0"/>
        <v>68057</v>
      </c>
      <c r="C773" s="109"/>
      <c r="D773" s="109"/>
      <c r="E773" s="109"/>
      <c r="F773" s="109"/>
      <c r="G773" s="109"/>
      <c r="H773" s="109"/>
      <c r="I773" s="109">
        <f t="shared" ref="I773:J773" si="787">SUM(C773,E773,G773)</f>
        <v>0</v>
      </c>
      <c r="J773" s="109">
        <f t="shared" si="787"/>
        <v>0</v>
      </c>
      <c r="K773" s="109">
        <f>SUMIFS(Ações!$J$66,Ações!$N$66,Patrimônio!B773,Ações!$E$66,"Provento")</f>
        <v>0</v>
      </c>
      <c r="L773" s="109">
        <f>SUMIFS(BDRs!$J$66,BDRs!$E$66,"Provento",BDRs!$N$66,Patrimônio!B773)</f>
        <v>0</v>
      </c>
      <c r="M773" s="109">
        <f>SUMIFS(FIIs!$J$66,FIIs!$E$66,"Provento",FIIs!$N$66,Patrimônio!B773)</f>
        <v>0</v>
      </c>
      <c r="N773" s="109">
        <f t="shared" si="2"/>
        <v>0</v>
      </c>
      <c r="O773" s="109"/>
      <c r="Q773" s="154"/>
      <c r="R773" s="155" t="s">
        <v>270</v>
      </c>
      <c r="S773" s="156">
        <v>0</v>
      </c>
    </row>
    <row r="774" spans="1:19" ht="17.25" customHeight="1">
      <c r="A774" s="108">
        <v>68089</v>
      </c>
      <c r="B774" s="108">
        <f t="shared" si="0"/>
        <v>68088</v>
      </c>
      <c r="C774" s="109"/>
      <c r="D774" s="109"/>
      <c r="E774" s="109"/>
      <c r="F774" s="109"/>
      <c r="G774" s="109"/>
      <c r="H774" s="109"/>
      <c r="I774" s="109">
        <f t="shared" ref="I774:J774" si="788">SUM(C774,E774,G774)</f>
        <v>0</v>
      </c>
      <c r="J774" s="109">
        <f t="shared" si="788"/>
        <v>0</v>
      </c>
      <c r="K774" s="109">
        <f>SUMIFS(Ações!$J$66,Ações!$N$66,Patrimônio!B774,Ações!$E$66,"Provento")</f>
        <v>0</v>
      </c>
      <c r="L774" s="109">
        <f>SUMIFS(BDRs!$J$66,BDRs!$E$66,"Provento",BDRs!$N$66,Patrimônio!B774)</f>
        <v>0</v>
      </c>
      <c r="M774" s="109">
        <f>SUMIFS(FIIs!$J$66,FIIs!$E$66,"Provento",FIIs!$N$66,Patrimônio!B774)</f>
        <v>0</v>
      </c>
      <c r="N774" s="109">
        <f t="shared" si="2"/>
        <v>0</v>
      </c>
      <c r="O774" s="109"/>
      <c r="Q774" s="154"/>
      <c r="R774" s="155" t="s">
        <v>271</v>
      </c>
      <c r="S774" s="156">
        <v>0</v>
      </c>
    </row>
    <row r="775" spans="1:19" ht="17.25" customHeight="1">
      <c r="A775" s="108">
        <v>68119</v>
      </c>
      <c r="B775" s="108">
        <f t="shared" si="0"/>
        <v>68118</v>
      </c>
      <c r="C775" s="109"/>
      <c r="D775" s="109"/>
      <c r="E775" s="109"/>
      <c r="F775" s="109"/>
      <c r="G775" s="109"/>
      <c r="H775" s="109"/>
      <c r="I775" s="109">
        <f t="shared" ref="I775:J775" si="789">SUM(C775,E775,G775)</f>
        <v>0</v>
      </c>
      <c r="J775" s="109">
        <f t="shared" si="789"/>
        <v>0</v>
      </c>
      <c r="K775" s="109">
        <f>SUMIFS(Ações!$J$66,Ações!$N$66,Patrimônio!B775,Ações!$E$66,"Provento")</f>
        <v>0</v>
      </c>
      <c r="L775" s="109">
        <f>SUMIFS(BDRs!$J$66,BDRs!$E$66,"Provento",BDRs!$N$66,Patrimônio!B775)</f>
        <v>0</v>
      </c>
      <c r="M775" s="109">
        <f>SUMIFS(FIIs!$J$66,FIIs!$E$66,"Provento",FIIs!$N$66,Patrimônio!B775)</f>
        <v>0</v>
      </c>
      <c r="N775" s="109">
        <f t="shared" si="2"/>
        <v>0</v>
      </c>
      <c r="O775" s="109"/>
      <c r="Q775" s="154"/>
      <c r="R775" s="155" t="s">
        <v>272</v>
      </c>
      <c r="S775" s="156">
        <v>0</v>
      </c>
    </row>
    <row r="776" spans="1:19" ht="17.25" customHeight="1">
      <c r="A776" s="108">
        <v>68150</v>
      </c>
      <c r="B776" s="108">
        <f t="shared" si="0"/>
        <v>68149</v>
      </c>
      <c r="C776" s="109"/>
      <c r="D776" s="109"/>
      <c r="E776" s="109"/>
      <c r="F776" s="109"/>
      <c r="G776" s="109"/>
      <c r="H776" s="109"/>
      <c r="I776" s="109">
        <f t="shared" ref="I776:J776" si="790">SUM(C776,E776,G776)</f>
        <v>0</v>
      </c>
      <c r="J776" s="109">
        <f t="shared" si="790"/>
        <v>0</v>
      </c>
      <c r="K776" s="109">
        <f>SUMIFS(Ações!$J$66,Ações!$N$66,Patrimônio!B776,Ações!$E$66,"Provento")</f>
        <v>0</v>
      </c>
      <c r="L776" s="109">
        <f>SUMIFS(BDRs!$J$66,BDRs!$E$66,"Provento",BDRs!$N$66,Patrimônio!B776)</f>
        <v>0</v>
      </c>
      <c r="M776" s="109">
        <f>SUMIFS(FIIs!$J$66,FIIs!$E$66,"Provento",FIIs!$N$66,Patrimônio!B776)</f>
        <v>0</v>
      </c>
      <c r="N776" s="109">
        <f t="shared" si="2"/>
        <v>0</v>
      </c>
      <c r="O776" s="109"/>
      <c r="Q776" s="151" t="s">
        <v>206</v>
      </c>
      <c r="R776" s="157"/>
      <c r="S776" s="153">
        <v>0</v>
      </c>
    </row>
    <row r="777" spans="1:19" ht="17.25" customHeight="1">
      <c r="A777" s="108">
        <v>68181</v>
      </c>
      <c r="B777" s="108">
        <f t="shared" si="0"/>
        <v>68180</v>
      </c>
      <c r="C777" s="109"/>
      <c r="D777" s="109"/>
      <c r="E777" s="109"/>
      <c r="F777" s="109"/>
      <c r="G777" s="109"/>
      <c r="H777" s="109"/>
      <c r="I777" s="109">
        <f t="shared" ref="I777:J777" si="791">SUM(C777,E777,G777)</f>
        <v>0</v>
      </c>
      <c r="J777" s="109">
        <f t="shared" si="791"/>
        <v>0</v>
      </c>
      <c r="K777" s="109">
        <f>SUMIFS(Ações!$J$66,Ações!$N$66,Patrimônio!B777,Ações!$E$66,"Provento")</f>
        <v>0</v>
      </c>
      <c r="L777" s="109">
        <f>SUMIFS(BDRs!$J$66,BDRs!$E$66,"Provento",BDRs!$N$66,Patrimônio!B777)</f>
        <v>0</v>
      </c>
      <c r="M777" s="109">
        <f>SUMIFS(FIIs!$J$66,FIIs!$E$66,"Provento",FIIs!$N$66,Patrimônio!B777)</f>
        <v>0</v>
      </c>
      <c r="N777" s="109">
        <f t="shared" si="2"/>
        <v>0</v>
      </c>
      <c r="O777" s="109"/>
      <c r="Q777" s="151" t="s">
        <v>207</v>
      </c>
      <c r="R777" s="152" t="s">
        <v>261</v>
      </c>
      <c r="S777" s="153">
        <v>0</v>
      </c>
    </row>
    <row r="778" spans="1:19" ht="17.25" customHeight="1">
      <c r="A778" s="108">
        <v>68211</v>
      </c>
      <c r="B778" s="108">
        <f t="shared" si="0"/>
        <v>68210</v>
      </c>
      <c r="C778" s="109"/>
      <c r="D778" s="109"/>
      <c r="E778" s="109"/>
      <c r="F778" s="109"/>
      <c r="G778" s="109"/>
      <c r="H778" s="109"/>
      <c r="I778" s="109">
        <f t="shared" ref="I778:J778" si="792">SUM(C778,E778,G778)</f>
        <v>0</v>
      </c>
      <c r="J778" s="109">
        <f t="shared" si="792"/>
        <v>0</v>
      </c>
      <c r="K778" s="109">
        <f>SUMIFS(Ações!$J$66,Ações!$N$66,Patrimônio!B778,Ações!$E$66,"Provento")</f>
        <v>0</v>
      </c>
      <c r="L778" s="109">
        <f>SUMIFS(BDRs!$J$66,BDRs!$E$66,"Provento",BDRs!$N$66,Patrimônio!B778)</f>
        <v>0</v>
      </c>
      <c r="M778" s="109">
        <f>SUMIFS(FIIs!$J$66,FIIs!$E$66,"Provento",FIIs!$N$66,Patrimônio!B778)</f>
        <v>0</v>
      </c>
      <c r="N778" s="109">
        <f t="shared" si="2"/>
        <v>0</v>
      </c>
      <c r="O778" s="109"/>
      <c r="Q778" s="154"/>
      <c r="R778" s="155" t="s">
        <v>262</v>
      </c>
      <c r="S778" s="156">
        <v>0</v>
      </c>
    </row>
    <row r="779" spans="1:19" ht="17.25" customHeight="1">
      <c r="A779" s="108">
        <v>68242</v>
      </c>
      <c r="B779" s="108">
        <f t="shared" si="0"/>
        <v>68241</v>
      </c>
      <c r="C779" s="109"/>
      <c r="D779" s="109"/>
      <c r="E779" s="109"/>
      <c r="F779" s="109"/>
      <c r="G779" s="109"/>
      <c r="H779" s="109"/>
      <c r="I779" s="109">
        <f t="shared" ref="I779:J779" si="793">SUM(C779,E779,G779)</f>
        <v>0</v>
      </c>
      <c r="J779" s="109">
        <f t="shared" si="793"/>
        <v>0</v>
      </c>
      <c r="K779" s="109">
        <f>SUMIFS(Ações!$J$66,Ações!$N$66,Patrimônio!B779,Ações!$E$66,"Provento")</f>
        <v>0</v>
      </c>
      <c r="L779" s="109">
        <f>SUMIFS(BDRs!$J$66,BDRs!$E$66,"Provento",BDRs!$N$66,Patrimônio!B779)</f>
        <v>0</v>
      </c>
      <c r="M779" s="109">
        <f>SUMIFS(FIIs!$J$66,FIIs!$E$66,"Provento",FIIs!$N$66,Patrimônio!B779)</f>
        <v>0</v>
      </c>
      <c r="N779" s="109">
        <f t="shared" si="2"/>
        <v>0</v>
      </c>
      <c r="O779" s="109"/>
      <c r="Q779" s="154"/>
      <c r="R779" s="155" t="s">
        <v>263</v>
      </c>
      <c r="S779" s="156">
        <v>0</v>
      </c>
    </row>
    <row r="780" spans="1:19" ht="17.25" customHeight="1">
      <c r="A780" s="108">
        <v>68272</v>
      </c>
      <c r="B780" s="108">
        <f t="shared" si="0"/>
        <v>68271</v>
      </c>
      <c r="C780" s="109"/>
      <c r="D780" s="109"/>
      <c r="E780" s="109"/>
      <c r="F780" s="109"/>
      <c r="G780" s="109"/>
      <c r="H780" s="109"/>
      <c r="I780" s="109">
        <f t="shared" ref="I780:J780" si="794">SUM(C780,E780,G780)</f>
        <v>0</v>
      </c>
      <c r="J780" s="109">
        <f t="shared" si="794"/>
        <v>0</v>
      </c>
      <c r="K780" s="109">
        <f>SUMIFS(Ações!$J$66,Ações!$N$66,Patrimônio!B780,Ações!$E$66,"Provento")</f>
        <v>0</v>
      </c>
      <c r="L780" s="109">
        <f>SUMIFS(BDRs!$J$66,BDRs!$E$66,"Provento",BDRs!$N$66,Patrimônio!B780)</f>
        <v>0</v>
      </c>
      <c r="M780" s="109">
        <f>SUMIFS(FIIs!$J$66,FIIs!$E$66,"Provento",FIIs!$N$66,Patrimônio!B780)</f>
        <v>0</v>
      </c>
      <c r="N780" s="109">
        <f t="shared" si="2"/>
        <v>0</v>
      </c>
      <c r="O780" s="109"/>
      <c r="Q780" s="154"/>
      <c r="R780" s="155" t="s">
        <v>264</v>
      </c>
      <c r="S780" s="156">
        <v>0</v>
      </c>
    </row>
    <row r="781" spans="1:19" ht="17.25" customHeight="1">
      <c r="A781" s="108">
        <v>68303</v>
      </c>
      <c r="B781" s="108">
        <f t="shared" si="0"/>
        <v>68302</v>
      </c>
      <c r="C781" s="109"/>
      <c r="D781" s="109"/>
      <c r="E781" s="109"/>
      <c r="F781" s="109"/>
      <c r="G781" s="109"/>
      <c r="H781" s="109"/>
      <c r="I781" s="109">
        <f t="shared" ref="I781:J781" si="795">SUM(C781,E781,G781)</f>
        <v>0</v>
      </c>
      <c r="J781" s="109">
        <f t="shared" si="795"/>
        <v>0</v>
      </c>
      <c r="K781" s="109">
        <f>SUMIFS(Ações!$J$66,Ações!$N$66,Patrimônio!B781,Ações!$E$66,"Provento")</f>
        <v>0</v>
      </c>
      <c r="L781" s="109">
        <f>SUMIFS(BDRs!$J$66,BDRs!$E$66,"Provento",BDRs!$N$66,Patrimônio!B781)</f>
        <v>0</v>
      </c>
      <c r="M781" s="109">
        <f>SUMIFS(FIIs!$J$66,FIIs!$E$66,"Provento",FIIs!$N$66,Patrimônio!B781)</f>
        <v>0</v>
      </c>
      <c r="N781" s="109">
        <f t="shared" si="2"/>
        <v>0</v>
      </c>
      <c r="O781" s="109"/>
      <c r="Q781" s="154"/>
      <c r="R781" s="155" t="s">
        <v>265</v>
      </c>
      <c r="S781" s="156">
        <v>0</v>
      </c>
    </row>
    <row r="782" spans="1:19" ht="17.25" customHeight="1">
      <c r="A782" s="108">
        <v>68334</v>
      </c>
      <c r="B782" s="108">
        <f t="shared" si="0"/>
        <v>68333</v>
      </c>
      <c r="C782" s="109"/>
      <c r="D782" s="109"/>
      <c r="E782" s="109"/>
      <c r="F782" s="109"/>
      <c r="G782" s="109"/>
      <c r="H782" s="109"/>
      <c r="I782" s="109">
        <f t="shared" ref="I782:J782" si="796">SUM(C782,E782,G782)</f>
        <v>0</v>
      </c>
      <c r="J782" s="109">
        <f t="shared" si="796"/>
        <v>0</v>
      </c>
      <c r="K782" s="109">
        <f>SUMIFS(Ações!$J$66,Ações!$N$66,Patrimônio!B782,Ações!$E$66,"Provento")</f>
        <v>0</v>
      </c>
      <c r="L782" s="109">
        <f>SUMIFS(BDRs!$J$66,BDRs!$E$66,"Provento",BDRs!$N$66,Patrimônio!B782)</f>
        <v>0</v>
      </c>
      <c r="M782" s="109">
        <f>SUMIFS(FIIs!$J$66,FIIs!$E$66,"Provento",FIIs!$N$66,Patrimônio!B782)</f>
        <v>0</v>
      </c>
      <c r="N782" s="109">
        <f t="shared" si="2"/>
        <v>0</v>
      </c>
      <c r="O782" s="109"/>
      <c r="Q782" s="154"/>
      <c r="R782" s="155" t="s">
        <v>266</v>
      </c>
      <c r="S782" s="156">
        <v>0</v>
      </c>
    </row>
    <row r="783" spans="1:19" ht="17.25" customHeight="1">
      <c r="A783" s="108">
        <v>68362</v>
      </c>
      <c r="B783" s="108">
        <f t="shared" si="0"/>
        <v>68361</v>
      </c>
      <c r="C783" s="109"/>
      <c r="D783" s="109"/>
      <c r="E783" s="109"/>
      <c r="F783" s="109"/>
      <c r="G783" s="109"/>
      <c r="H783" s="109"/>
      <c r="I783" s="109">
        <f t="shared" ref="I783:J783" si="797">SUM(C783,E783,G783)</f>
        <v>0</v>
      </c>
      <c r="J783" s="109">
        <f t="shared" si="797"/>
        <v>0</v>
      </c>
      <c r="K783" s="109">
        <f>SUMIFS(Ações!$J$66,Ações!$N$66,Patrimônio!B783,Ações!$E$66,"Provento")</f>
        <v>0</v>
      </c>
      <c r="L783" s="109">
        <f>SUMIFS(BDRs!$J$66,BDRs!$E$66,"Provento",BDRs!$N$66,Patrimônio!B783)</f>
        <v>0</v>
      </c>
      <c r="M783" s="109">
        <f>SUMIFS(FIIs!$J$66,FIIs!$E$66,"Provento",FIIs!$N$66,Patrimônio!B783)</f>
        <v>0</v>
      </c>
      <c r="N783" s="109">
        <f t="shared" si="2"/>
        <v>0</v>
      </c>
      <c r="O783" s="109"/>
      <c r="Q783" s="154"/>
      <c r="R783" s="155" t="s">
        <v>267</v>
      </c>
      <c r="S783" s="156">
        <v>0</v>
      </c>
    </row>
    <row r="784" spans="1:19" ht="17.25" customHeight="1">
      <c r="A784" s="108">
        <v>68393</v>
      </c>
      <c r="B784" s="108">
        <f t="shared" si="0"/>
        <v>68392</v>
      </c>
      <c r="C784" s="109"/>
      <c r="D784" s="109"/>
      <c r="E784" s="109"/>
      <c r="F784" s="109"/>
      <c r="G784" s="109"/>
      <c r="H784" s="109"/>
      <c r="I784" s="109">
        <f t="shared" ref="I784:J784" si="798">SUM(C784,E784,G784)</f>
        <v>0</v>
      </c>
      <c r="J784" s="109">
        <f t="shared" si="798"/>
        <v>0</v>
      </c>
      <c r="K784" s="109">
        <f>SUMIFS(Ações!$J$66,Ações!$N$66,Patrimônio!B784,Ações!$E$66,"Provento")</f>
        <v>0</v>
      </c>
      <c r="L784" s="109">
        <f>SUMIFS(BDRs!$J$66,BDRs!$E$66,"Provento",BDRs!$N$66,Patrimônio!B784)</f>
        <v>0</v>
      </c>
      <c r="M784" s="109">
        <f>SUMIFS(FIIs!$J$66,FIIs!$E$66,"Provento",FIIs!$N$66,Patrimônio!B784)</f>
        <v>0</v>
      </c>
      <c r="N784" s="109">
        <f t="shared" si="2"/>
        <v>0</v>
      </c>
      <c r="O784" s="109"/>
      <c r="Q784" s="154"/>
      <c r="R784" s="155" t="s">
        <v>268</v>
      </c>
      <c r="S784" s="156">
        <v>0</v>
      </c>
    </row>
    <row r="785" spans="1:19" ht="17.25" customHeight="1">
      <c r="A785" s="108">
        <v>68423</v>
      </c>
      <c r="B785" s="108">
        <f t="shared" si="0"/>
        <v>68422</v>
      </c>
      <c r="C785" s="109"/>
      <c r="D785" s="109"/>
      <c r="E785" s="109"/>
      <c r="F785" s="109"/>
      <c r="G785" s="109"/>
      <c r="H785" s="109"/>
      <c r="I785" s="109">
        <f t="shared" ref="I785:J785" si="799">SUM(C785,E785,G785)</f>
        <v>0</v>
      </c>
      <c r="J785" s="109">
        <f t="shared" si="799"/>
        <v>0</v>
      </c>
      <c r="K785" s="109">
        <f>SUMIFS(Ações!$J$66,Ações!$N$66,Patrimônio!B785,Ações!$E$66,"Provento")</f>
        <v>0</v>
      </c>
      <c r="L785" s="109">
        <f>SUMIFS(BDRs!$J$66,BDRs!$E$66,"Provento",BDRs!$N$66,Patrimônio!B785)</f>
        <v>0</v>
      </c>
      <c r="M785" s="109">
        <f>SUMIFS(FIIs!$J$66,FIIs!$E$66,"Provento",FIIs!$N$66,Patrimônio!B785)</f>
        <v>0</v>
      </c>
      <c r="N785" s="109">
        <f t="shared" si="2"/>
        <v>0</v>
      </c>
      <c r="O785" s="109"/>
      <c r="Q785" s="154"/>
      <c r="R785" s="155" t="s">
        <v>269</v>
      </c>
      <c r="S785" s="156">
        <v>0</v>
      </c>
    </row>
    <row r="786" spans="1:19" ht="17.25" customHeight="1">
      <c r="A786" s="108">
        <v>68454</v>
      </c>
      <c r="B786" s="108">
        <f t="shared" si="0"/>
        <v>68453</v>
      </c>
      <c r="C786" s="109"/>
      <c r="D786" s="109"/>
      <c r="E786" s="109"/>
      <c r="F786" s="109"/>
      <c r="G786" s="109"/>
      <c r="H786" s="109"/>
      <c r="I786" s="109">
        <f t="shared" ref="I786:J786" si="800">SUM(C786,E786,G786)</f>
        <v>0</v>
      </c>
      <c r="J786" s="109">
        <f t="shared" si="800"/>
        <v>0</v>
      </c>
      <c r="K786" s="109">
        <f>SUMIFS(Ações!$J$66,Ações!$N$66,Patrimônio!B786,Ações!$E$66,"Provento")</f>
        <v>0</v>
      </c>
      <c r="L786" s="109">
        <f>SUMIFS(BDRs!$J$66,BDRs!$E$66,"Provento",BDRs!$N$66,Patrimônio!B786)</f>
        <v>0</v>
      </c>
      <c r="M786" s="109">
        <f>SUMIFS(FIIs!$J$66,FIIs!$E$66,"Provento",FIIs!$N$66,Patrimônio!B786)</f>
        <v>0</v>
      </c>
      <c r="N786" s="109">
        <f t="shared" si="2"/>
        <v>0</v>
      </c>
      <c r="O786" s="109"/>
      <c r="Q786" s="154"/>
      <c r="R786" s="155" t="s">
        <v>270</v>
      </c>
      <c r="S786" s="156">
        <v>0</v>
      </c>
    </row>
    <row r="787" spans="1:19" ht="17.25" customHeight="1">
      <c r="A787" s="108">
        <v>68484</v>
      </c>
      <c r="B787" s="108">
        <f t="shared" si="0"/>
        <v>68483</v>
      </c>
      <c r="C787" s="109"/>
      <c r="D787" s="109"/>
      <c r="E787" s="109"/>
      <c r="F787" s="109"/>
      <c r="G787" s="109"/>
      <c r="H787" s="109"/>
      <c r="I787" s="109">
        <f t="shared" ref="I787:J787" si="801">SUM(C787,E787,G787)</f>
        <v>0</v>
      </c>
      <c r="J787" s="109">
        <f t="shared" si="801"/>
        <v>0</v>
      </c>
      <c r="K787" s="109">
        <f>SUMIFS(Ações!$J$66,Ações!$N$66,Patrimônio!B787,Ações!$E$66,"Provento")</f>
        <v>0</v>
      </c>
      <c r="L787" s="109">
        <f>SUMIFS(BDRs!$J$66,BDRs!$E$66,"Provento",BDRs!$N$66,Patrimônio!B787)</f>
        <v>0</v>
      </c>
      <c r="M787" s="109">
        <f>SUMIFS(FIIs!$J$66,FIIs!$E$66,"Provento",FIIs!$N$66,Patrimônio!B787)</f>
        <v>0</v>
      </c>
      <c r="N787" s="109">
        <f t="shared" si="2"/>
        <v>0</v>
      </c>
      <c r="O787" s="109"/>
      <c r="Q787" s="154"/>
      <c r="R787" s="155" t="s">
        <v>271</v>
      </c>
      <c r="S787" s="156">
        <v>0</v>
      </c>
    </row>
    <row r="788" spans="1:19" ht="17.25" customHeight="1">
      <c r="A788" s="108">
        <v>68515</v>
      </c>
      <c r="B788" s="108">
        <f t="shared" si="0"/>
        <v>68514</v>
      </c>
      <c r="C788" s="109"/>
      <c r="D788" s="109"/>
      <c r="E788" s="109"/>
      <c r="F788" s="109"/>
      <c r="G788" s="109"/>
      <c r="H788" s="109"/>
      <c r="I788" s="109">
        <f t="shared" ref="I788:J788" si="802">SUM(C788,E788,G788)</f>
        <v>0</v>
      </c>
      <c r="J788" s="109">
        <f t="shared" si="802"/>
        <v>0</v>
      </c>
      <c r="K788" s="109">
        <f>SUMIFS(Ações!$J$66,Ações!$N$66,Patrimônio!B788,Ações!$E$66,"Provento")</f>
        <v>0</v>
      </c>
      <c r="L788" s="109">
        <f>SUMIFS(BDRs!$J$66,BDRs!$E$66,"Provento",BDRs!$N$66,Patrimônio!B788)</f>
        <v>0</v>
      </c>
      <c r="M788" s="109">
        <f>SUMIFS(FIIs!$J$66,FIIs!$E$66,"Provento",FIIs!$N$66,Patrimônio!B788)</f>
        <v>0</v>
      </c>
      <c r="N788" s="109">
        <f t="shared" si="2"/>
        <v>0</v>
      </c>
      <c r="O788" s="109"/>
      <c r="Q788" s="154"/>
      <c r="R788" s="155" t="s">
        <v>272</v>
      </c>
      <c r="S788" s="156">
        <v>0</v>
      </c>
    </row>
    <row r="789" spans="1:19" ht="17.25" customHeight="1">
      <c r="A789" s="108">
        <v>68546</v>
      </c>
      <c r="B789" s="108">
        <f t="shared" si="0"/>
        <v>68545</v>
      </c>
      <c r="C789" s="109"/>
      <c r="D789" s="109"/>
      <c r="E789" s="109"/>
      <c r="F789" s="109"/>
      <c r="G789" s="109"/>
      <c r="H789" s="109"/>
      <c r="I789" s="109">
        <f t="shared" ref="I789:J789" si="803">SUM(C789,E789,G789)</f>
        <v>0</v>
      </c>
      <c r="J789" s="109">
        <f t="shared" si="803"/>
        <v>0</v>
      </c>
      <c r="K789" s="109">
        <f>SUMIFS(Ações!$J$66,Ações!$N$66,Patrimônio!B789,Ações!$E$66,"Provento")</f>
        <v>0</v>
      </c>
      <c r="L789" s="109">
        <f>SUMIFS(BDRs!$J$66,BDRs!$E$66,"Provento",BDRs!$N$66,Patrimônio!B789)</f>
        <v>0</v>
      </c>
      <c r="M789" s="109">
        <f>SUMIFS(FIIs!$J$66,FIIs!$E$66,"Provento",FIIs!$N$66,Patrimônio!B789)</f>
        <v>0</v>
      </c>
      <c r="N789" s="109">
        <f t="shared" si="2"/>
        <v>0</v>
      </c>
      <c r="O789" s="109"/>
      <c r="Q789" s="151" t="s">
        <v>208</v>
      </c>
      <c r="R789" s="157"/>
      <c r="S789" s="153">
        <v>0</v>
      </c>
    </row>
    <row r="790" spans="1:19" ht="17.25" customHeight="1">
      <c r="A790" s="108">
        <v>68576</v>
      </c>
      <c r="B790" s="108">
        <f t="shared" si="0"/>
        <v>68575</v>
      </c>
      <c r="C790" s="109"/>
      <c r="D790" s="109"/>
      <c r="E790" s="109"/>
      <c r="F790" s="109"/>
      <c r="G790" s="109"/>
      <c r="H790" s="109"/>
      <c r="I790" s="109">
        <f t="shared" ref="I790:J790" si="804">SUM(C790,E790,G790)</f>
        <v>0</v>
      </c>
      <c r="J790" s="109">
        <f t="shared" si="804"/>
        <v>0</v>
      </c>
      <c r="K790" s="109">
        <f>SUMIFS(Ações!$J$66,Ações!$N$66,Patrimônio!B790,Ações!$E$66,"Provento")</f>
        <v>0</v>
      </c>
      <c r="L790" s="109">
        <f>SUMIFS(BDRs!$J$66,BDRs!$E$66,"Provento",BDRs!$N$66,Patrimônio!B790)</f>
        <v>0</v>
      </c>
      <c r="M790" s="109">
        <f>SUMIFS(FIIs!$J$66,FIIs!$E$66,"Provento",FIIs!$N$66,Patrimônio!B790)</f>
        <v>0</v>
      </c>
      <c r="N790" s="109">
        <f t="shared" si="2"/>
        <v>0</v>
      </c>
      <c r="O790" s="109"/>
      <c r="Q790" s="151" t="s">
        <v>209</v>
      </c>
      <c r="R790" s="152" t="s">
        <v>261</v>
      </c>
      <c r="S790" s="153">
        <v>0</v>
      </c>
    </row>
    <row r="791" spans="1:19" ht="17.25" customHeight="1">
      <c r="A791" s="108">
        <v>68607</v>
      </c>
      <c r="B791" s="108">
        <f t="shared" si="0"/>
        <v>68606</v>
      </c>
      <c r="C791" s="109"/>
      <c r="D791" s="109"/>
      <c r="E791" s="109"/>
      <c r="F791" s="109"/>
      <c r="G791" s="109"/>
      <c r="H791" s="109"/>
      <c r="I791" s="109">
        <f t="shared" ref="I791:J791" si="805">SUM(C791,E791,G791)</f>
        <v>0</v>
      </c>
      <c r="J791" s="109">
        <f t="shared" si="805"/>
        <v>0</v>
      </c>
      <c r="K791" s="109">
        <f>SUMIFS(Ações!$J$66,Ações!$N$66,Patrimônio!B791,Ações!$E$66,"Provento")</f>
        <v>0</v>
      </c>
      <c r="L791" s="109">
        <f>SUMIFS(BDRs!$J$66,BDRs!$E$66,"Provento",BDRs!$N$66,Patrimônio!B791)</f>
        <v>0</v>
      </c>
      <c r="M791" s="109">
        <f>SUMIFS(FIIs!$J$66,FIIs!$E$66,"Provento",FIIs!$N$66,Patrimônio!B791)</f>
        <v>0</v>
      </c>
      <c r="N791" s="109">
        <f t="shared" si="2"/>
        <v>0</v>
      </c>
      <c r="O791" s="109"/>
      <c r="Q791" s="154"/>
      <c r="R791" s="155" t="s">
        <v>262</v>
      </c>
      <c r="S791" s="156">
        <v>0</v>
      </c>
    </row>
    <row r="792" spans="1:19" ht="17.25" customHeight="1">
      <c r="A792" s="108">
        <v>68637</v>
      </c>
      <c r="B792" s="108">
        <f t="shared" si="0"/>
        <v>68636</v>
      </c>
      <c r="C792" s="109"/>
      <c r="D792" s="109"/>
      <c r="E792" s="109"/>
      <c r="F792" s="109"/>
      <c r="G792" s="109"/>
      <c r="H792" s="109"/>
      <c r="I792" s="109">
        <f t="shared" ref="I792:J792" si="806">SUM(C792,E792,G792)</f>
        <v>0</v>
      </c>
      <c r="J792" s="109">
        <f t="shared" si="806"/>
        <v>0</v>
      </c>
      <c r="K792" s="109">
        <f>SUMIFS(Ações!$J$66,Ações!$N$66,Patrimônio!B792,Ações!$E$66,"Provento")</f>
        <v>0</v>
      </c>
      <c r="L792" s="109">
        <f>SUMIFS(BDRs!$J$66,BDRs!$E$66,"Provento",BDRs!$N$66,Patrimônio!B792)</f>
        <v>0</v>
      </c>
      <c r="M792" s="109">
        <f>SUMIFS(FIIs!$J$66,FIIs!$E$66,"Provento",FIIs!$N$66,Patrimônio!B792)</f>
        <v>0</v>
      </c>
      <c r="N792" s="109">
        <f t="shared" si="2"/>
        <v>0</v>
      </c>
      <c r="O792" s="109"/>
      <c r="Q792" s="154"/>
      <c r="R792" s="155" t="s">
        <v>263</v>
      </c>
      <c r="S792" s="156">
        <v>0</v>
      </c>
    </row>
    <row r="793" spans="1:19" ht="17.25" customHeight="1">
      <c r="A793" s="108">
        <v>68668</v>
      </c>
      <c r="B793" s="108">
        <f t="shared" si="0"/>
        <v>68667</v>
      </c>
      <c r="C793" s="109"/>
      <c r="D793" s="109"/>
      <c r="E793" s="109"/>
      <c r="F793" s="109"/>
      <c r="G793" s="109"/>
      <c r="H793" s="109"/>
      <c r="I793" s="109">
        <f t="shared" ref="I793:J793" si="807">SUM(C793,E793,G793)</f>
        <v>0</v>
      </c>
      <c r="J793" s="109">
        <f t="shared" si="807"/>
        <v>0</v>
      </c>
      <c r="K793" s="109">
        <f>SUMIFS(Ações!$J$66,Ações!$N$66,Patrimônio!B793,Ações!$E$66,"Provento")</f>
        <v>0</v>
      </c>
      <c r="L793" s="109">
        <f>SUMIFS(BDRs!$J$66,BDRs!$E$66,"Provento",BDRs!$N$66,Patrimônio!B793)</f>
        <v>0</v>
      </c>
      <c r="M793" s="109">
        <f>SUMIFS(FIIs!$J$66,FIIs!$E$66,"Provento",FIIs!$N$66,Patrimônio!B793)</f>
        <v>0</v>
      </c>
      <c r="N793" s="109">
        <f t="shared" si="2"/>
        <v>0</v>
      </c>
      <c r="O793" s="109"/>
      <c r="Q793" s="154"/>
      <c r="R793" s="155" t="s">
        <v>264</v>
      </c>
      <c r="S793" s="156">
        <v>0</v>
      </c>
    </row>
    <row r="794" spans="1:19" ht="17.25" customHeight="1">
      <c r="A794" s="108">
        <v>68699</v>
      </c>
      <c r="B794" s="108">
        <f t="shared" si="0"/>
        <v>68698</v>
      </c>
      <c r="C794" s="109"/>
      <c r="D794" s="109"/>
      <c r="E794" s="109"/>
      <c r="F794" s="109"/>
      <c r="G794" s="109"/>
      <c r="H794" s="109"/>
      <c r="I794" s="109">
        <f t="shared" ref="I794:J794" si="808">SUM(C794,E794,G794)</f>
        <v>0</v>
      </c>
      <c r="J794" s="109">
        <f t="shared" si="808"/>
        <v>0</v>
      </c>
      <c r="K794" s="109">
        <f>SUMIFS(Ações!$J$66,Ações!$N$66,Patrimônio!B794,Ações!$E$66,"Provento")</f>
        <v>0</v>
      </c>
      <c r="L794" s="109">
        <f>SUMIFS(BDRs!$J$66,BDRs!$E$66,"Provento",BDRs!$N$66,Patrimônio!B794)</f>
        <v>0</v>
      </c>
      <c r="M794" s="109">
        <f>SUMIFS(FIIs!$J$66,FIIs!$E$66,"Provento",FIIs!$N$66,Patrimônio!B794)</f>
        <v>0</v>
      </c>
      <c r="N794" s="109">
        <f t="shared" si="2"/>
        <v>0</v>
      </c>
      <c r="O794" s="109"/>
      <c r="Q794" s="154"/>
      <c r="R794" s="155" t="s">
        <v>265</v>
      </c>
      <c r="S794" s="156">
        <v>0</v>
      </c>
    </row>
    <row r="795" spans="1:19" ht="17.25" customHeight="1">
      <c r="A795" s="108">
        <v>68728</v>
      </c>
      <c r="B795" s="108">
        <f t="shared" si="0"/>
        <v>68727</v>
      </c>
      <c r="C795" s="109"/>
      <c r="D795" s="109"/>
      <c r="E795" s="109"/>
      <c r="F795" s="109"/>
      <c r="G795" s="109"/>
      <c r="H795" s="109"/>
      <c r="I795" s="109">
        <f t="shared" ref="I795:J795" si="809">SUM(C795,E795,G795)</f>
        <v>0</v>
      </c>
      <c r="J795" s="109">
        <f t="shared" si="809"/>
        <v>0</v>
      </c>
      <c r="K795" s="109">
        <f>SUMIFS(Ações!$J$66,Ações!$N$66,Patrimônio!B795,Ações!$E$66,"Provento")</f>
        <v>0</v>
      </c>
      <c r="L795" s="109">
        <f>SUMIFS(BDRs!$J$66,BDRs!$E$66,"Provento",BDRs!$N$66,Patrimônio!B795)</f>
        <v>0</v>
      </c>
      <c r="M795" s="109">
        <f>SUMIFS(FIIs!$J$66,FIIs!$E$66,"Provento",FIIs!$N$66,Patrimônio!B795)</f>
        <v>0</v>
      </c>
      <c r="N795" s="109">
        <f t="shared" si="2"/>
        <v>0</v>
      </c>
      <c r="O795" s="109"/>
      <c r="Q795" s="154"/>
      <c r="R795" s="155" t="s">
        <v>266</v>
      </c>
      <c r="S795" s="156">
        <v>0</v>
      </c>
    </row>
    <row r="796" spans="1:19" ht="17.25" customHeight="1">
      <c r="A796" s="108">
        <v>68759</v>
      </c>
      <c r="B796" s="108">
        <f t="shared" si="0"/>
        <v>68758</v>
      </c>
      <c r="C796" s="109"/>
      <c r="D796" s="109"/>
      <c r="E796" s="109"/>
      <c r="F796" s="109"/>
      <c r="G796" s="109"/>
      <c r="H796" s="109"/>
      <c r="I796" s="109">
        <f t="shared" ref="I796:J796" si="810">SUM(C796,E796,G796)</f>
        <v>0</v>
      </c>
      <c r="J796" s="109">
        <f t="shared" si="810"/>
        <v>0</v>
      </c>
      <c r="K796" s="109">
        <f>SUMIFS(Ações!$J$66,Ações!$N$66,Patrimônio!B796,Ações!$E$66,"Provento")</f>
        <v>0</v>
      </c>
      <c r="L796" s="109">
        <f>SUMIFS(BDRs!$J$66,BDRs!$E$66,"Provento",BDRs!$N$66,Patrimônio!B796)</f>
        <v>0</v>
      </c>
      <c r="M796" s="109">
        <f>SUMIFS(FIIs!$J$66,FIIs!$E$66,"Provento",FIIs!$N$66,Patrimônio!B796)</f>
        <v>0</v>
      </c>
      <c r="N796" s="109">
        <f t="shared" si="2"/>
        <v>0</v>
      </c>
      <c r="O796" s="109"/>
      <c r="Q796" s="154"/>
      <c r="R796" s="155" t="s">
        <v>267</v>
      </c>
      <c r="S796" s="156">
        <v>0</v>
      </c>
    </row>
    <row r="797" spans="1:19" ht="17.25" customHeight="1">
      <c r="A797" s="108">
        <v>68789</v>
      </c>
      <c r="B797" s="108">
        <f t="shared" si="0"/>
        <v>68788</v>
      </c>
      <c r="C797" s="109"/>
      <c r="D797" s="109"/>
      <c r="E797" s="109"/>
      <c r="F797" s="109"/>
      <c r="G797" s="109"/>
      <c r="H797" s="109"/>
      <c r="I797" s="109">
        <f t="shared" ref="I797:J797" si="811">SUM(C797,E797,G797)</f>
        <v>0</v>
      </c>
      <c r="J797" s="109">
        <f t="shared" si="811"/>
        <v>0</v>
      </c>
      <c r="K797" s="109">
        <f>SUMIFS(Ações!$J$66,Ações!$N$66,Patrimônio!B797,Ações!$E$66,"Provento")</f>
        <v>0</v>
      </c>
      <c r="L797" s="109">
        <f>SUMIFS(BDRs!$J$66,BDRs!$E$66,"Provento",BDRs!$N$66,Patrimônio!B797)</f>
        <v>0</v>
      </c>
      <c r="M797" s="109">
        <f>SUMIFS(FIIs!$J$66,FIIs!$E$66,"Provento",FIIs!$N$66,Patrimônio!B797)</f>
        <v>0</v>
      </c>
      <c r="N797" s="109">
        <f t="shared" si="2"/>
        <v>0</v>
      </c>
      <c r="O797" s="109"/>
      <c r="Q797" s="154"/>
      <c r="R797" s="155" t="s">
        <v>268</v>
      </c>
      <c r="S797" s="156">
        <v>0</v>
      </c>
    </row>
    <row r="798" spans="1:19" ht="17.25" customHeight="1">
      <c r="A798" s="108">
        <v>68820</v>
      </c>
      <c r="B798" s="108">
        <f t="shared" si="0"/>
        <v>68819</v>
      </c>
      <c r="C798" s="109"/>
      <c r="D798" s="109"/>
      <c r="E798" s="109"/>
      <c r="F798" s="109"/>
      <c r="G798" s="109"/>
      <c r="H798" s="109"/>
      <c r="I798" s="109">
        <f t="shared" ref="I798:J798" si="812">SUM(C798,E798,G798)</f>
        <v>0</v>
      </c>
      <c r="J798" s="109">
        <f t="shared" si="812"/>
        <v>0</v>
      </c>
      <c r="K798" s="109">
        <f>SUMIFS(Ações!$J$66,Ações!$N$66,Patrimônio!B798,Ações!$E$66,"Provento")</f>
        <v>0</v>
      </c>
      <c r="L798" s="109">
        <f>SUMIFS(BDRs!$J$66,BDRs!$E$66,"Provento",BDRs!$N$66,Patrimônio!B798)</f>
        <v>0</v>
      </c>
      <c r="M798" s="109">
        <f>SUMIFS(FIIs!$J$66,FIIs!$E$66,"Provento",FIIs!$N$66,Patrimônio!B798)</f>
        <v>0</v>
      </c>
      <c r="N798" s="109">
        <f t="shared" si="2"/>
        <v>0</v>
      </c>
      <c r="O798" s="109"/>
      <c r="Q798" s="154"/>
      <c r="R798" s="155" t="s">
        <v>269</v>
      </c>
      <c r="S798" s="156">
        <v>0</v>
      </c>
    </row>
    <row r="799" spans="1:19" ht="17.25" customHeight="1">
      <c r="A799" s="108">
        <v>68850</v>
      </c>
      <c r="B799" s="108">
        <f t="shared" si="0"/>
        <v>68849</v>
      </c>
      <c r="C799" s="109"/>
      <c r="D799" s="109"/>
      <c r="E799" s="109"/>
      <c r="F799" s="109"/>
      <c r="G799" s="109"/>
      <c r="H799" s="109"/>
      <c r="I799" s="109">
        <f t="shared" ref="I799:J799" si="813">SUM(C799,E799,G799)</f>
        <v>0</v>
      </c>
      <c r="J799" s="109">
        <f t="shared" si="813"/>
        <v>0</v>
      </c>
      <c r="K799" s="109">
        <f>SUMIFS(Ações!$J$66,Ações!$N$66,Patrimônio!B799,Ações!$E$66,"Provento")</f>
        <v>0</v>
      </c>
      <c r="L799" s="109">
        <f>SUMIFS(BDRs!$J$66,BDRs!$E$66,"Provento",BDRs!$N$66,Patrimônio!B799)</f>
        <v>0</v>
      </c>
      <c r="M799" s="109">
        <f>SUMIFS(FIIs!$J$66,FIIs!$E$66,"Provento",FIIs!$N$66,Patrimônio!B799)</f>
        <v>0</v>
      </c>
      <c r="N799" s="109">
        <f t="shared" si="2"/>
        <v>0</v>
      </c>
      <c r="O799" s="109"/>
      <c r="Q799" s="154"/>
      <c r="R799" s="155" t="s">
        <v>270</v>
      </c>
      <c r="S799" s="156">
        <v>0</v>
      </c>
    </row>
    <row r="800" spans="1:19" ht="17.25" customHeight="1">
      <c r="A800" s="108">
        <v>68881</v>
      </c>
      <c r="B800" s="108">
        <f t="shared" si="0"/>
        <v>68880</v>
      </c>
      <c r="C800" s="109"/>
      <c r="D800" s="109"/>
      <c r="E800" s="109"/>
      <c r="F800" s="109"/>
      <c r="G800" s="109"/>
      <c r="H800" s="109"/>
      <c r="I800" s="109">
        <f t="shared" ref="I800:J800" si="814">SUM(C800,E800,G800)</f>
        <v>0</v>
      </c>
      <c r="J800" s="109">
        <f t="shared" si="814"/>
        <v>0</v>
      </c>
      <c r="K800" s="109">
        <f>SUMIFS(Ações!$J$66,Ações!$N$66,Patrimônio!B800,Ações!$E$66,"Provento")</f>
        <v>0</v>
      </c>
      <c r="L800" s="109">
        <f>SUMIFS(BDRs!$J$66,BDRs!$E$66,"Provento",BDRs!$N$66,Patrimônio!B800)</f>
        <v>0</v>
      </c>
      <c r="M800" s="109">
        <f>SUMIFS(FIIs!$J$66,FIIs!$E$66,"Provento",FIIs!$N$66,Patrimônio!B800)</f>
        <v>0</v>
      </c>
      <c r="N800" s="109">
        <f t="shared" si="2"/>
        <v>0</v>
      </c>
      <c r="O800" s="109"/>
      <c r="Q800" s="154"/>
      <c r="R800" s="155" t="s">
        <v>271</v>
      </c>
      <c r="S800" s="156">
        <v>0</v>
      </c>
    </row>
    <row r="801" spans="1:19" ht="17.25" customHeight="1">
      <c r="A801" s="108">
        <v>68912</v>
      </c>
      <c r="B801" s="108">
        <f t="shared" si="0"/>
        <v>68911</v>
      </c>
      <c r="C801" s="109"/>
      <c r="D801" s="109"/>
      <c r="E801" s="109"/>
      <c r="F801" s="109"/>
      <c r="G801" s="109"/>
      <c r="H801" s="109"/>
      <c r="I801" s="109">
        <f t="shared" ref="I801:J801" si="815">SUM(C801,E801,G801)</f>
        <v>0</v>
      </c>
      <c r="J801" s="109">
        <f t="shared" si="815"/>
        <v>0</v>
      </c>
      <c r="K801" s="109">
        <f>SUMIFS(Ações!$J$66,Ações!$N$66,Patrimônio!B801,Ações!$E$66,"Provento")</f>
        <v>0</v>
      </c>
      <c r="L801" s="109">
        <f>SUMIFS(BDRs!$J$66,BDRs!$E$66,"Provento",BDRs!$N$66,Patrimônio!B801)</f>
        <v>0</v>
      </c>
      <c r="M801" s="109">
        <f>SUMIFS(FIIs!$J$66,FIIs!$E$66,"Provento",FIIs!$N$66,Patrimônio!B801)</f>
        <v>0</v>
      </c>
      <c r="N801" s="109">
        <f t="shared" si="2"/>
        <v>0</v>
      </c>
      <c r="O801" s="109"/>
      <c r="Q801" s="154"/>
      <c r="R801" s="155" t="s">
        <v>272</v>
      </c>
      <c r="S801" s="156">
        <v>0</v>
      </c>
    </row>
    <row r="802" spans="1:19" ht="17.25" customHeight="1">
      <c r="A802" s="108">
        <v>68942</v>
      </c>
      <c r="B802" s="108">
        <f t="shared" si="0"/>
        <v>68941</v>
      </c>
      <c r="C802" s="109"/>
      <c r="D802" s="109"/>
      <c r="E802" s="109"/>
      <c r="F802" s="109"/>
      <c r="G802" s="109"/>
      <c r="H802" s="109"/>
      <c r="I802" s="109">
        <f t="shared" ref="I802:J802" si="816">SUM(C802,E802,G802)</f>
        <v>0</v>
      </c>
      <c r="J802" s="109">
        <f t="shared" si="816"/>
        <v>0</v>
      </c>
      <c r="K802" s="109">
        <f>SUMIFS(Ações!$J$66,Ações!$N$66,Patrimônio!B802,Ações!$E$66,"Provento")</f>
        <v>0</v>
      </c>
      <c r="L802" s="109">
        <f>SUMIFS(BDRs!$J$66,BDRs!$E$66,"Provento",BDRs!$N$66,Patrimônio!B802)</f>
        <v>0</v>
      </c>
      <c r="M802" s="109">
        <f>SUMIFS(FIIs!$J$66,FIIs!$E$66,"Provento",FIIs!$N$66,Patrimônio!B802)</f>
        <v>0</v>
      </c>
      <c r="N802" s="109">
        <f t="shared" si="2"/>
        <v>0</v>
      </c>
      <c r="O802" s="109"/>
      <c r="Q802" s="151" t="s">
        <v>210</v>
      </c>
      <c r="R802" s="157"/>
      <c r="S802" s="153">
        <v>0</v>
      </c>
    </row>
    <row r="803" spans="1:19" ht="17.25" customHeight="1">
      <c r="A803" s="108">
        <v>68973</v>
      </c>
      <c r="B803" s="108">
        <f t="shared" si="0"/>
        <v>68972</v>
      </c>
      <c r="C803" s="109"/>
      <c r="D803" s="109"/>
      <c r="E803" s="109"/>
      <c r="F803" s="109"/>
      <c r="G803" s="109"/>
      <c r="H803" s="109"/>
      <c r="I803" s="109">
        <f t="shared" ref="I803:J803" si="817">SUM(C803,E803,G803)</f>
        <v>0</v>
      </c>
      <c r="J803" s="109">
        <f t="shared" si="817"/>
        <v>0</v>
      </c>
      <c r="K803" s="109">
        <f>SUMIFS(Ações!$J$66,Ações!$N$66,Patrimônio!B803,Ações!$E$66,"Provento")</f>
        <v>0</v>
      </c>
      <c r="L803" s="109">
        <f>SUMIFS(BDRs!$J$66,BDRs!$E$66,"Provento",BDRs!$N$66,Patrimônio!B803)</f>
        <v>0</v>
      </c>
      <c r="M803" s="109">
        <f>SUMIFS(FIIs!$J$66,FIIs!$E$66,"Provento",FIIs!$N$66,Patrimônio!B803)</f>
        <v>0</v>
      </c>
      <c r="N803" s="109">
        <f t="shared" si="2"/>
        <v>0</v>
      </c>
      <c r="O803" s="109"/>
      <c r="Q803" s="151" t="s">
        <v>211</v>
      </c>
      <c r="R803" s="152" t="s">
        <v>261</v>
      </c>
      <c r="S803" s="153">
        <v>0</v>
      </c>
    </row>
    <row r="804" spans="1:19" ht="17.25" customHeight="1">
      <c r="A804" s="108">
        <v>69003</v>
      </c>
      <c r="B804" s="108">
        <f t="shared" si="0"/>
        <v>69002</v>
      </c>
      <c r="C804" s="109"/>
      <c r="D804" s="109"/>
      <c r="E804" s="109"/>
      <c r="F804" s="109"/>
      <c r="G804" s="109"/>
      <c r="H804" s="109"/>
      <c r="I804" s="109">
        <f t="shared" ref="I804:J804" si="818">SUM(C804,E804,G804)</f>
        <v>0</v>
      </c>
      <c r="J804" s="109">
        <f t="shared" si="818"/>
        <v>0</v>
      </c>
      <c r="K804" s="109">
        <f>SUMIFS(Ações!$J$66,Ações!$N$66,Patrimônio!B804,Ações!$E$66,"Provento")</f>
        <v>0</v>
      </c>
      <c r="L804" s="109">
        <f>SUMIFS(BDRs!$J$66,BDRs!$E$66,"Provento",BDRs!$N$66,Patrimônio!B804)</f>
        <v>0</v>
      </c>
      <c r="M804" s="109">
        <f>SUMIFS(FIIs!$J$66,FIIs!$E$66,"Provento",FIIs!$N$66,Patrimônio!B804)</f>
        <v>0</v>
      </c>
      <c r="N804" s="109">
        <f t="shared" si="2"/>
        <v>0</v>
      </c>
      <c r="O804" s="109"/>
      <c r="Q804" s="154"/>
      <c r="R804" s="155" t="s">
        <v>262</v>
      </c>
      <c r="S804" s="156">
        <v>0</v>
      </c>
    </row>
    <row r="805" spans="1:19" ht="17.25" customHeight="1">
      <c r="A805" s="108">
        <v>69034</v>
      </c>
      <c r="B805" s="108">
        <f t="shared" si="0"/>
        <v>69033</v>
      </c>
      <c r="C805" s="109"/>
      <c r="D805" s="109"/>
      <c r="E805" s="109"/>
      <c r="F805" s="109"/>
      <c r="G805" s="109"/>
      <c r="H805" s="109"/>
      <c r="I805" s="109">
        <f t="shared" ref="I805:J805" si="819">SUM(C805,E805,G805)</f>
        <v>0</v>
      </c>
      <c r="J805" s="109">
        <f t="shared" si="819"/>
        <v>0</v>
      </c>
      <c r="K805" s="109">
        <f>SUMIFS(Ações!$J$66,Ações!$N$66,Patrimônio!B805,Ações!$E$66,"Provento")</f>
        <v>0</v>
      </c>
      <c r="L805" s="109">
        <f>SUMIFS(BDRs!$J$66,BDRs!$E$66,"Provento",BDRs!$N$66,Patrimônio!B805)</f>
        <v>0</v>
      </c>
      <c r="M805" s="109">
        <f>SUMIFS(FIIs!$J$66,FIIs!$E$66,"Provento",FIIs!$N$66,Patrimônio!B805)</f>
        <v>0</v>
      </c>
      <c r="N805" s="109">
        <f t="shared" si="2"/>
        <v>0</v>
      </c>
      <c r="O805" s="109"/>
      <c r="Q805" s="154"/>
      <c r="R805" s="155" t="s">
        <v>263</v>
      </c>
      <c r="S805" s="156">
        <v>0</v>
      </c>
    </row>
    <row r="806" spans="1:19" ht="17.25" customHeight="1">
      <c r="A806" s="108">
        <v>69065</v>
      </c>
      <c r="B806" s="108">
        <f t="shared" si="0"/>
        <v>69064</v>
      </c>
      <c r="C806" s="109"/>
      <c r="D806" s="109"/>
      <c r="E806" s="109"/>
      <c r="F806" s="109"/>
      <c r="G806" s="109"/>
      <c r="H806" s="109"/>
      <c r="I806" s="109">
        <f t="shared" ref="I806:J806" si="820">SUM(C806,E806,G806)</f>
        <v>0</v>
      </c>
      <c r="J806" s="109">
        <f t="shared" si="820"/>
        <v>0</v>
      </c>
      <c r="K806" s="109">
        <f>SUMIFS(Ações!$J$66,Ações!$N$66,Patrimônio!B806,Ações!$E$66,"Provento")</f>
        <v>0</v>
      </c>
      <c r="L806" s="109">
        <f>SUMIFS(BDRs!$J$66,BDRs!$E$66,"Provento",BDRs!$N$66,Patrimônio!B806)</f>
        <v>0</v>
      </c>
      <c r="M806" s="109">
        <f>SUMIFS(FIIs!$J$66,FIIs!$E$66,"Provento",FIIs!$N$66,Patrimônio!B806)</f>
        <v>0</v>
      </c>
      <c r="N806" s="109">
        <f t="shared" si="2"/>
        <v>0</v>
      </c>
      <c r="O806" s="109"/>
      <c r="Q806" s="154"/>
      <c r="R806" s="155" t="s">
        <v>264</v>
      </c>
      <c r="S806" s="156">
        <v>0</v>
      </c>
    </row>
    <row r="807" spans="1:19" ht="17.25" customHeight="1">
      <c r="A807" s="108">
        <v>69093</v>
      </c>
      <c r="B807" s="108">
        <f t="shared" si="0"/>
        <v>69092</v>
      </c>
      <c r="C807" s="109"/>
      <c r="D807" s="109"/>
      <c r="E807" s="109"/>
      <c r="F807" s="109"/>
      <c r="G807" s="109"/>
      <c r="H807" s="109"/>
      <c r="I807" s="109">
        <f t="shared" ref="I807:J807" si="821">SUM(C807,E807,G807)</f>
        <v>0</v>
      </c>
      <c r="J807" s="109">
        <f t="shared" si="821"/>
        <v>0</v>
      </c>
      <c r="K807" s="109">
        <f>SUMIFS(Ações!$J$66,Ações!$N$66,Patrimônio!B807,Ações!$E$66,"Provento")</f>
        <v>0</v>
      </c>
      <c r="L807" s="109">
        <f>SUMIFS(BDRs!$J$66,BDRs!$E$66,"Provento",BDRs!$N$66,Patrimônio!B807)</f>
        <v>0</v>
      </c>
      <c r="M807" s="109">
        <f>SUMIFS(FIIs!$J$66,FIIs!$E$66,"Provento",FIIs!$N$66,Patrimônio!B807)</f>
        <v>0</v>
      </c>
      <c r="N807" s="109">
        <f t="shared" si="2"/>
        <v>0</v>
      </c>
      <c r="O807" s="109"/>
      <c r="Q807" s="154"/>
      <c r="R807" s="155" t="s">
        <v>265</v>
      </c>
      <c r="S807" s="156">
        <v>0</v>
      </c>
    </row>
    <row r="808" spans="1:19" ht="17.25" customHeight="1">
      <c r="A808" s="108">
        <v>69124</v>
      </c>
      <c r="B808" s="108">
        <f t="shared" si="0"/>
        <v>69123</v>
      </c>
      <c r="C808" s="109"/>
      <c r="D808" s="109"/>
      <c r="E808" s="109"/>
      <c r="F808" s="109"/>
      <c r="G808" s="109"/>
      <c r="H808" s="109"/>
      <c r="I808" s="109">
        <f t="shared" ref="I808:J808" si="822">SUM(C808,E808,G808)</f>
        <v>0</v>
      </c>
      <c r="J808" s="109">
        <f t="shared" si="822"/>
        <v>0</v>
      </c>
      <c r="K808" s="109">
        <f>SUMIFS(Ações!$J$66,Ações!$N$66,Patrimônio!B808,Ações!$E$66,"Provento")</f>
        <v>0</v>
      </c>
      <c r="L808" s="109">
        <f>SUMIFS(BDRs!$J$66,BDRs!$E$66,"Provento",BDRs!$N$66,Patrimônio!B808)</f>
        <v>0</v>
      </c>
      <c r="M808" s="109">
        <f>SUMIFS(FIIs!$J$66,FIIs!$E$66,"Provento",FIIs!$N$66,Patrimônio!B808)</f>
        <v>0</v>
      </c>
      <c r="N808" s="109">
        <f t="shared" si="2"/>
        <v>0</v>
      </c>
      <c r="O808" s="109"/>
      <c r="Q808" s="154"/>
      <c r="R808" s="155" t="s">
        <v>266</v>
      </c>
      <c r="S808" s="156">
        <v>0</v>
      </c>
    </row>
    <row r="809" spans="1:19" ht="17.25" customHeight="1">
      <c r="A809" s="108">
        <v>69154</v>
      </c>
      <c r="B809" s="108">
        <f t="shared" si="0"/>
        <v>69153</v>
      </c>
      <c r="C809" s="109"/>
      <c r="D809" s="109"/>
      <c r="E809" s="109"/>
      <c r="F809" s="109"/>
      <c r="G809" s="109"/>
      <c r="H809" s="109"/>
      <c r="I809" s="109">
        <f t="shared" ref="I809:J809" si="823">SUM(C809,E809,G809)</f>
        <v>0</v>
      </c>
      <c r="J809" s="109">
        <f t="shared" si="823"/>
        <v>0</v>
      </c>
      <c r="K809" s="109">
        <f>SUMIFS(Ações!$J$66,Ações!$N$66,Patrimônio!B809,Ações!$E$66,"Provento")</f>
        <v>0</v>
      </c>
      <c r="L809" s="109">
        <f>SUMIFS(BDRs!$J$66,BDRs!$E$66,"Provento",BDRs!$N$66,Patrimônio!B809)</f>
        <v>0</v>
      </c>
      <c r="M809" s="109">
        <f>SUMIFS(FIIs!$J$66,FIIs!$E$66,"Provento",FIIs!$N$66,Patrimônio!B809)</f>
        <v>0</v>
      </c>
      <c r="N809" s="109">
        <f t="shared" si="2"/>
        <v>0</v>
      </c>
      <c r="O809" s="109"/>
      <c r="Q809" s="154"/>
      <c r="R809" s="155" t="s">
        <v>267</v>
      </c>
      <c r="S809" s="156">
        <v>0</v>
      </c>
    </row>
    <row r="810" spans="1:19" ht="17.25" customHeight="1">
      <c r="A810" s="108">
        <v>69185</v>
      </c>
      <c r="B810" s="108">
        <f t="shared" si="0"/>
        <v>69184</v>
      </c>
      <c r="C810" s="109"/>
      <c r="D810" s="109"/>
      <c r="E810" s="109"/>
      <c r="F810" s="109"/>
      <c r="G810" s="109"/>
      <c r="H810" s="109"/>
      <c r="I810" s="109">
        <f t="shared" ref="I810:J810" si="824">SUM(C810,E810,G810)</f>
        <v>0</v>
      </c>
      <c r="J810" s="109">
        <f t="shared" si="824"/>
        <v>0</v>
      </c>
      <c r="K810" s="109">
        <f>SUMIFS(Ações!$J$66,Ações!$N$66,Patrimônio!B810,Ações!$E$66,"Provento")</f>
        <v>0</v>
      </c>
      <c r="L810" s="109">
        <f>SUMIFS(BDRs!$J$66,BDRs!$E$66,"Provento",BDRs!$N$66,Patrimônio!B810)</f>
        <v>0</v>
      </c>
      <c r="M810" s="109">
        <f>SUMIFS(FIIs!$J$66,FIIs!$E$66,"Provento",FIIs!$N$66,Patrimônio!B810)</f>
        <v>0</v>
      </c>
      <c r="N810" s="109">
        <f t="shared" si="2"/>
        <v>0</v>
      </c>
      <c r="O810" s="109"/>
      <c r="Q810" s="154"/>
      <c r="R810" s="155" t="s">
        <v>268</v>
      </c>
      <c r="S810" s="156">
        <v>0</v>
      </c>
    </row>
    <row r="811" spans="1:19" ht="17.25" customHeight="1">
      <c r="A811" s="108">
        <v>69215</v>
      </c>
      <c r="B811" s="108">
        <f t="shared" si="0"/>
        <v>69214</v>
      </c>
      <c r="C811" s="109"/>
      <c r="D811" s="109"/>
      <c r="E811" s="109"/>
      <c r="F811" s="109"/>
      <c r="G811" s="109"/>
      <c r="H811" s="109"/>
      <c r="I811" s="109">
        <f t="shared" ref="I811:J811" si="825">SUM(C811,E811,G811)</f>
        <v>0</v>
      </c>
      <c r="J811" s="109">
        <f t="shared" si="825"/>
        <v>0</v>
      </c>
      <c r="K811" s="109">
        <f>SUMIFS(Ações!$J$66,Ações!$N$66,Patrimônio!B811,Ações!$E$66,"Provento")</f>
        <v>0</v>
      </c>
      <c r="L811" s="109">
        <f>SUMIFS(BDRs!$J$66,BDRs!$E$66,"Provento",BDRs!$N$66,Patrimônio!B811)</f>
        <v>0</v>
      </c>
      <c r="M811" s="109">
        <f>SUMIFS(FIIs!$J$66,FIIs!$E$66,"Provento",FIIs!$N$66,Patrimônio!B811)</f>
        <v>0</v>
      </c>
      <c r="N811" s="109">
        <f t="shared" si="2"/>
        <v>0</v>
      </c>
      <c r="O811" s="109"/>
      <c r="Q811" s="154"/>
      <c r="R811" s="155" t="s">
        <v>269</v>
      </c>
      <c r="S811" s="156">
        <v>0</v>
      </c>
    </row>
    <row r="812" spans="1:19" ht="17.25" customHeight="1">
      <c r="A812" s="108">
        <v>69246</v>
      </c>
      <c r="B812" s="108">
        <f t="shared" si="0"/>
        <v>69245</v>
      </c>
      <c r="C812" s="109"/>
      <c r="D812" s="109"/>
      <c r="E812" s="109"/>
      <c r="F812" s="109"/>
      <c r="G812" s="109"/>
      <c r="H812" s="109"/>
      <c r="I812" s="109">
        <f t="shared" ref="I812:J812" si="826">SUM(C812,E812,G812)</f>
        <v>0</v>
      </c>
      <c r="J812" s="109">
        <f t="shared" si="826"/>
        <v>0</v>
      </c>
      <c r="K812" s="109">
        <f>SUMIFS(Ações!$J$66,Ações!$N$66,Patrimônio!B812,Ações!$E$66,"Provento")</f>
        <v>0</v>
      </c>
      <c r="L812" s="109">
        <f>SUMIFS(BDRs!$J$66,BDRs!$E$66,"Provento",BDRs!$N$66,Patrimônio!B812)</f>
        <v>0</v>
      </c>
      <c r="M812" s="109">
        <f>SUMIFS(FIIs!$J$66,FIIs!$E$66,"Provento",FIIs!$N$66,Patrimônio!B812)</f>
        <v>0</v>
      </c>
      <c r="N812" s="109">
        <f t="shared" si="2"/>
        <v>0</v>
      </c>
      <c r="O812" s="109"/>
      <c r="Q812" s="154"/>
      <c r="R812" s="155" t="s">
        <v>270</v>
      </c>
      <c r="S812" s="156">
        <v>0</v>
      </c>
    </row>
    <row r="813" spans="1:19" ht="17.25" customHeight="1">
      <c r="A813" s="108">
        <v>69277</v>
      </c>
      <c r="B813" s="108">
        <f t="shared" si="0"/>
        <v>69276</v>
      </c>
      <c r="C813" s="109"/>
      <c r="D813" s="109"/>
      <c r="E813" s="109"/>
      <c r="F813" s="109"/>
      <c r="G813" s="109"/>
      <c r="H813" s="109"/>
      <c r="I813" s="109">
        <f t="shared" ref="I813:J813" si="827">SUM(C813,E813,G813)</f>
        <v>0</v>
      </c>
      <c r="J813" s="109">
        <f t="shared" si="827"/>
        <v>0</v>
      </c>
      <c r="K813" s="109">
        <f>SUMIFS(Ações!$J$66,Ações!$N$66,Patrimônio!B813,Ações!$E$66,"Provento")</f>
        <v>0</v>
      </c>
      <c r="L813" s="109">
        <f>SUMIFS(BDRs!$J$66,BDRs!$E$66,"Provento",BDRs!$N$66,Patrimônio!B813)</f>
        <v>0</v>
      </c>
      <c r="M813" s="109">
        <f>SUMIFS(FIIs!$J$66,FIIs!$E$66,"Provento",FIIs!$N$66,Patrimônio!B813)</f>
        <v>0</v>
      </c>
      <c r="N813" s="109">
        <f t="shared" si="2"/>
        <v>0</v>
      </c>
      <c r="O813" s="109"/>
      <c r="Q813" s="154"/>
      <c r="R813" s="155" t="s">
        <v>271</v>
      </c>
      <c r="S813" s="156">
        <v>0</v>
      </c>
    </row>
    <row r="814" spans="1:19" ht="17.25" customHeight="1">
      <c r="A814" s="108">
        <v>69307</v>
      </c>
      <c r="B814" s="108">
        <f t="shared" si="0"/>
        <v>69306</v>
      </c>
      <c r="C814" s="109"/>
      <c r="D814" s="109"/>
      <c r="E814" s="109"/>
      <c r="F814" s="109"/>
      <c r="G814" s="109"/>
      <c r="H814" s="109"/>
      <c r="I814" s="109">
        <f t="shared" ref="I814:J814" si="828">SUM(C814,E814,G814)</f>
        <v>0</v>
      </c>
      <c r="J814" s="109">
        <f t="shared" si="828"/>
        <v>0</v>
      </c>
      <c r="K814" s="109">
        <f>SUMIFS(Ações!$J$66,Ações!$N$66,Patrimônio!B814,Ações!$E$66,"Provento")</f>
        <v>0</v>
      </c>
      <c r="L814" s="109">
        <f>SUMIFS(BDRs!$J$66,BDRs!$E$66,"Provento",BDRs!$N$66,Patrimônio!B814)</f>
        <v>0</v>
      </c>
      <c r="M814" s="109">
        <f>SUMIFS(FIIs!$J$66,FIIs!$E$66,"Provento",FIIs!$N$66,Patrimônio!B814)</f>
        <v>0</v>
      </c>
      <c r="N814" s="109">
        <f t="shared" si="2"/>
        <v>0</v>
      </c>
      <c r="O814" s="109"/>
      <c r="Q814" s="154"/>
      <c r="R814" s="155" t="s">
        <v>272</v>
      </c>
      <c r="S814" s="156">
        <v>0</v>
      </c>
    </row>
    <row r="815" spans="1:19" ht="17.25" customHeight="1">
      <c r="A815" s="108">
        <v>69338</v>
      </c>
      <c r="B815" s="108">
        <f t="shared" si="0"/>
        <v>69337</v>
      </c>
      <c r="C815" s="109"/>
      <c r="D815" s="109"/>
      <c r="E815" s="109"/>
      <c r="F815" s="109"/>
      <c r="G815" s="109"/>
      <c r="H815" s="109"/>
      <c r="I815" s="109">
        <f t="shared" ref="I815:J815" si="829">SUM(C815,E815,G815)</f>
        <v>0</v>
      </c>
      <c r="J815" s="109">
        <f t="shared" si="829"/>
        <v>0</v>
      </c>
      <c r="K815" s="109">
        <f>SUMIFS(Ações!$J$66,Ações!$N$66,Patrimônio!B815,Ações!$E$66,"Provento")</f>
        <v>0</v>
      </c>
      <c r="L815" s="109">
        <f>SUMIFS(BDRs!$J$66,BDRs!$E$66,"Provento",BDRs!$N$66,Patrimônio!B815)</f>
        <v>0</v>
      </c>
      <c r="M815" s="109">
        <f>SUMIFS(FIIs!$J$66,FIIs!$E$66,"Provento",FIIs!$N$66,Patrimônio!B815)</f>
        <v>0</v>
      </c>
      <c r="N815" s="109">
        <f t="shared" si="2"/>
        <v>0</v>
      </c>
      <c r="O815" s="109"/>
      <c r="Q815" s="151" t="s">
        <v>212</v>
      </c>
      <c r="R815" s="157"/>
      <c r="S815" s="153">
        <v>0</v>
      </c>
    </row>
    <row r="816" spans="1:19" ht="17.25" customHeight="1">
      <c r="A816" s="108">
        <v>69368</v>
      </c>
      <c r="B816" s="108">
        <f t="shared" si="0"/>
        <v>69367</v>
      </c>
      <c r="C816" s="109"/>
      <c r="D816" s="109"/>
      <c r="E816" s="109"/>
      <c r="F816" s="109"/>
      <c r="G816" s="109"/>
      <c r="H816" s="109"/>
      <c r="I816" s="109">
        <f t="shared" ref="I816:J816" si="830">SUM(C816,E816,G816)</f>
        <v>0</v>
      </c>
      <c r="J816" s="109">
        <f t="shared" si="830"/>
        <v>0</v>
      </c>
      <c r="K816" s="109">
        <f>SUMIFS(Ações!$J$66,Ações!$N$66,Patrimônio!B816,Ações!$E$66,"Provento")</f>
        <v>0</v>
      </c>
      <c r="L816" s="109">
        <f>SUMIFS(BDRs!$J$66,BDRs!$E$66,"Provento",BDRs!$N$66,Patrimônio!B816)</f>
        <v>0</v>
      </c>
      <c r="M816" s="109">
        <f>SUMIFS(FIIs!$J$66,FIIs!$E$66,"Provento",FIIs!$N$66,Patrimônio!B816)</f>
        <v>0</v>
      </c>
      <c r="N816" s="109">
        <f t="shared" si="2"/>
        <v>0</v>
      </c>
      <c r="O816" s="109"/>
      <c r="Q816" s="151" t="s">
        <v>213</v>
      </c>
      <c r="R816" s="152" t="s">
        <v>261</v>
      </c>
      <c r="S816" s="153">
        <v>0</v>
      </c>
    </row>
    <row r="817" spans="1:19" ht="17.25" customHeight="1">
      <c r="A817" s="108">
        <v>69399</v>
      </c>
      <c r="B817" s="108">
        <f t="shared" si="0"/>
        <v>69398</v>
      </c>
      <c r="C817" s="109"/>
      <c r="D817" s="109"/>
      <c r="E817" s="109"/>
      <c r="F817" s="109"/>
      <c r="G817" s="109"/>
      <c r="H817" s="109"/>
      <c r="I817" s="109">
        <f t="shared" ref="I817:J817" si="831">SUM(C817,E817,G817)</f>
        <v>0</v>
      </c>
      <c r="J817" s="109">
        <f t="shared" si="831"/>
        <v>0</v>
      </c>
      <c r="K817" s="109">
        <f>SUMIFS(Ações!$J$66,Ações!$N$66,Patrimônio!B817,Ações!$E$66,"Provento")</f>
        <v>0</v>
      </c>
      <c r="L817" s="109">
        <f>SUMIFS(BDRs!$J$66,BDRs!$E$66,"Provento",BDRs!$N$66,Patrimônio!B817)</f>
        <v>0</v>
      </c>
      <c r="M817" s="109">
        <f>SUMIFS(FIIs!$J$66,FIIs!$E$66,"Provento",FIIs!$N$66,Patrimônio!B817)</f>
        <v>0</v>
      </c>
      <c r="N817" s="109">
        <f t="shared" si="2"/>
        <v>0</v>
      </c>
      <c r="O817" s="109"/>
      <c r="Q817" s="154"/>
      <c r="R817" s="155" t="s">
        <v>262</v>
      </c>
      <c r="S817" s="156">
        <v>0</v>
      </c>
    </row>
    <row r="818" spans="1:19" ht="17.25" customHeight="1">
      <c r="A818" s="108">
        <v>69430</v>
      </c>
      <c r="B818" s="108">
        <f t="shared" si="0"/>
        <v>69429</v>
      </c>
      <c r="C818" s="109"/>
      <c r="D818" s="109"/>
      <c r="E818" s="109"/>
      <c r="F818" s="109"/>
      <c r="G818" s="109"/>
      <c r="H818" s="109"/>
      <c r="I818" s="109">
        <f t="shared" ref="I818:J818" si="832">SUM(C818,E818,G818)</f>
        <v>0</v>
      </c>
      <c r="J818" s="109">
        <f t="shared" si="832"/>
        <v>0</v>
      </c>
      <c r="K818" s="109">
        <f>SUMIFS(Ações!$J$66,Ações!$N$66,Patrimônio!B818,Ações!$E$66,"Provento")</f>
        <v>0</v>
      </c>
      <c r="L818" s="109">
        <f>SUMIFS(BDRs!$J$66,BDRs!$E$66,"Provento",BDRs!$N$66,Patrimônio!B818)</f>
        <v>0</v>
      </c>
      <c r="M818" s="109">
        <f>SUMIFS(FIIs!$J$66,FIIs!$E$66,"Provento",FIIs!$N$66,Patrimônio!B818)</f>
        <v>0</v>
      </c>
      <c r="N818" s="109">
        <f t="shared" si="2"/>
        <v>0</v>
      </c>
      <c r="O818" s="109"/>
      <c r="Q818" s="154"/>
      <c r="R818" s="155" t="s">
        <v>263</v>
      </c>
      <c r="S818" s="156">
        <v>0</v>
      </c>
    </row>
    <row r="819" spans="1:19" ht="17.25" customHeight="1">
      <c r="A819" s="108">
        <v>69458</v>
      </c>
      <c r="B819" s="108">
        <f t="shared" si="0"/>
        <v>69457</v>
      </c>
      <c r="C819" s="109"/>
      <c r="D819" s="109"/>
      <c r="E819" s="109"/>
      <c r="F819" s="109"/>
      <c r="G819" s="109"/>
      <c r="H819" s="109"/>
      <c r="I819" s="109">
        <f t="shared" ref="I819:J819" si="833">SUM(C819,E819,G819)</f>
        <v>0</v>
      </c>
      <c r="J819" s="109">
        <f t="shared" si="833"/>
        <v>0</v>
      </c>
      <c r="K819" s="109">
        <f>SUMIFS(Ações!$J$66,Ações!$N$66,Patrimônio!B819,Ações!$E$66,"Provento")</f>
        <v>0</v>
      </c>
      <c r="L819" s="109">
        <f>SUMIFS(BDRs!$J$66,BDRs!$E$66,"Provento",BDRs!$N$66,Patrimônio!B819)</f>
        <v>0</v>
      </c>
      <c r="M819" s="109">
        <f>SUMIFS(FIIs!$J$66,FIIs!$E$66,"Provento",FIIs!$N$66,Patrimônio!B819)</f>
        <v>0</v>
      </c>
      <c r="N819" s="109">
        <f t="shared" si="2"/>
        <v>0</v>
      </c>
      <c r="O819" s="109"/>
      <c r="Q819" s="154"/>
      <c r="R819" s="155" t="s">
        <v>264</v>
      </c>
      <c r="S819" s="156">
        <v>0</v>
      </c>
    </row>
    <row r="820" spans="1:19" ht="17.25" customHeight="1">
      <c r="A820" s="108">
        <v>69489</v>
      </c>
      <c r="B820" s="108">
        <f t="shared" si="0"/>
        <v>69488</v>
      </c>
      <c r="C820" s="109"/>
      <c r="D820" s="109"/>
      <c r="E820" s="109"/>
      <c r="F820" s="109"/>
      <c r="G820" s="109"/>
      <c r="H820" s="109"/>
      <c r="I820" s="109">
        <f t="shared" ref="I820:J820" si="834">SUM(C820,E820,G820)</f>
        <v>0</v>
      </c>
      <c r="J820" s="109">
        <f t="shared" si="834"/>
        <v>0</v>
      </c>
      <c r="K820" s="109">
        <f>SUMIFS(Ações!$J$66,Ações!$N$66,Patrimônio!B820,Ações!$E$66,"Provento")</f>
        <v>0</v>
      </c>
      <c r="L820" s="109">
        <f>SUMIFS(BDRs!$J$66,BDRs!$E$66,"Provento",BDRs!$N$66,Patrimônio!B820)</f>
        <v>0</v>
      </c>
      <c r="M820" s="109">
        <f>SUMIFS(FIIs!$J$66,FIIs!$E$66,"Provento",FIIs!$N$66,Patrimônio!B820)</f>
        <v>0</v>
      </c>
      <c r="N820" s="109">
        <f t="shared" si="2"/>
        <v>0</v>
      </c>
      <c r="O820" s="109"/>
      <c r="Q820" s="154"/>
      <c r="R820" s="155" t="s">
        <v>265</v>
      </c>
      <c r="S820" s="156">
        <v>0</v>
      </c>
    </row>
    <row r="821" spans="1:19" ht="17.25" customHeight="1">
      <c r="A821" s="108">
        <v>69519</v>
      </c>
      <c r="B821" s="108">
        <f t="shared" si="0"/>
        <v>69518</v>
      </c>
      <c r="C821" s="109"/>
      <c r="D821" s="109"/>
      <c r="E821" s="109"/>
      <c r="F821" s="109"/>
      <c r="G821" s="109"/>
      <c r="H821" s="109"/>
      <c r="I821" s="109">
        <f t="shared" ref="I821:J821" si="835">SUM(C821,E821,G821)</f>
        <v>0</v>
      </c>
      <c r="J821" s="109">
        <f t="shared" si="835"/>
        <v>0</v>
      </c>
      <c r="K821" s="109">
        <f>SUMIFS(Ações!$J$66,Ações!$N$66,Patrimônio!B821,Ações!$E$66,"Provento")</f>
        <v>0</v>
      </c>
      <c r="L821" s="109">
        <f>SUMIFS(BDRs!$J$66,BDRs!$E$66,"Provento",BDRs!$N$66,Patrimônio!B821)</f>
        <v>0</v>
      </c>
      <c r="M821" s="109">
        <f>SUMIFS(FIIs!$J$66,FIIs!$E$66,"Provento",FIIs!$N$66,Patrimônio!B821)</f>
        <v>0</v>
      </c>
      <c r="N821" s="109">
        <f t="shared" si="2"/>
        <v>0</v>
      </c>
      <c r="O821" s="109"/>
      <c r="Q821" s="154"/>
      <c r="R821" s="155" t="s">
        <v>266</v>
      </c>
      <c r="S821" s="156">
        <v>0</v>
      </c>
    </row>
    <row r="822" spans="1:19" ht="17.25" customHeight="1">
      <c r="A822" s="108">
        <v>69550</v>
      </c>
      <c r="B822" s="108">
        <f t="shared" si="0"/>
        <v>69549</v>
      </c>
      <c r="C822" s="109"/>
      <c r="D822" s="109"/>
      <c r="E822" s="109"/>
      <c r="F822" s="109"/>
      <c r="G822" s="109"/>
      <c r="H822" s="109"/>
      <c r="I822" s="109">
        <f t="shared" ref="I822:J822" si="836">SUM(C822,E822,G822)</f>
        <v>0</v>
      </c>
      <c r="J822" s="109">
        <f t="shared" si="836"/>
        <v>0</v>
      </c>
      <c r="K822" s="109">
        <f>SUMIFS(Ações!$J$66,Ações!$N$66,Patrimônio!B822,Ações!$E$66,"Provento")</f>
        <v>0</v>
      </c>
      <c r="L822" s="109">
        <f>SUMIFS(BDRs!$J$66,BDRs!$E$66,"Provento",BDRs!$N$66,Patrimônio!B822)</f>
        <v>0</v>
      </c>
      <c r="M822" s="109">
        <f>SUMIFS(FIIs!$J$66,FIIs!$E$66,"Provento",FIIs!$N$66,Patrimônio!B822)</f>
        <v>0</v>
      </c>
      <c r="N822" s="109">
        <f t="shared" si="2"/>
        <v>0</v>
      </c>
      <c r="O822" s="109"/>
      <c r="Q822" s="154"/>
      <c r="R822" s="155" t="s">
        <v>267</v>
      </c>
      <c r="S822" s="156">
        <v>0</v>
      </c>
    </row>
    <row r="823" spans="1:19" ht="17.25" customHeight="1">
      <c r="A823" s="108">
        <v>69580</v>
      </c>
      <c r="B823" s="108">
        <f t="shared" si="0"/>
        <v>69579</v>
      </c>
      <c r="C823" s="109"/>
      <c r="D823" s="109"/>
      <c r="E823" s="109"/>
      <c r="F823" s="109"/>
      <c r="G823" s="109"/>
      <c r="H823" s="109"/>
      <c r="I823" s="109">
        <f t="shared" ref="I823:J823" si="837">SUM(C823,E823,G823)</f>
        <v>0</v>
      </c>
      <c r="J823" s="109">
        <f t="shared" si="837"/>
        <v>0</v>
      </c>
      <c r="K823" s="109">
        <f>SUMIFS(Ações!$J$66,Ações!$N$66,Patrimônio!B823,Ações!$E$66,"Provento")</f>
        <v>0</v>
      </c>
      <c r="L823" s="109">
        <f>SUMIFS(BDRs!$J$66,BDRs!$E$66,"Provento",BDRs!$N$66,Patrimônio!B823)</f>
        <v>0</v>
      </c>
      <c r="M823" s="109">
        <f>SUMIFS(FIIs!$J$66,FIIs!$E$66,"Provento",FIIs!$N$66,Patrimônio!B823)</f>
        <v>0</v>
      </c>
      <c r="N823" s="109">
        <f t="shared" si="2"/>
        <v>0</v>
      </c>
      <c r="O823" s="109"/>
      <c r="Q823" s="154"/>
      <c r="R823" s="155" t="s">
        <v>268</v>
      </c>
      <c r="S823" s="156">
        <v>0</v>
      </c>
    </row>
    <row r="824" spans="1:19" ht="17.25" customHeight="1">
      <c r="A824" s="108">
        <v>69611</v>
      </c>
      <c r="B824" s="108">
        <f t="shared" si="0"/>
        <v>69610</v>
      </c>
      <c r="C824" s="109"/>
      <c r="D824" s="109"/>
      <c r="E824" s="109"/>
      <c r="F824" s="109"/>
      <c r="G824" s="109"/>
      <c r="H824" s="109"/>
      <c r="I824" s="109">
        <f t="shared" ref="I824:J824" si="838">SUM(C824,E824,G824)</f>
        <v>0</v>
      </c>
      <c r="J824" s="109">
        <f t="shared" si="838"/>
        <v>0</v>
      </c>
      <c r="K824" s="109">
        <f>SUMIFS(Ações!$J$66,Ações!$N$66,Patrimônio!B824,Ações!$E$66,"Provento")</f>
        <v>0</v>
      </c>
      <c r="L824" s="109">
        <f>SUMIFS(BDRs!$J$66,BDRs!$E$66,"Provento",BDRs!$N$66,Patrimônio!B824)</f>
        <v>0</v>
      </c>
      <c r="M824" s="109">
        <f>SUMIFS(FIIs!$J$66,FIIs!$E$66,"Provento",FIIs!$N$66,Patrimônio!B824)</f>
        <v>0</v>
      </c>
      <c r="N824" s="109">
        <f t="shared" si="2"/>
        <v>0</v>
      </c>
      <c r="O824" s="109"/>
      <c r="Q824" s="154"/>
      <c r="R824" s="155" t="s">
        <v>269</v>
      </c>
      <c r="S824" s="156">
        <v>0</v>
      </c>
    </row>
    <row r="825" spans="1:19" ht="17.25" customHeight="1">
      <c r="A825" s="108">
        <v>69642</v>
      </c>
      <c r="B825" s="108">
        <f t="shared" si="0"/>
        <v>69641</v>
      </c>
      <c r="C825" s="109"/>
      <c r="D825" s="109"/>
      <c r="E825" s="109"/>
      <c r="F825" s="109"/>
      <c r="G825" s="109"/>
      <c r="H825" s="109"/>
      <c r="I825" s="109">
        <f t="shared" ref="I825:J825" si="839">SUM(C825,E825,G825)</f>
        <v>0</v>
      </c>
      <c r="J825" s="109">
        <f t="shared" si="839"/>
        <v>0</v>
      </c>
      <c r="K825" s="109">
        <f>SUMIFS(Ações!$J$66,Ações!$N$66,Patrimônio!B825,Ações!$E$66,"Provento")</f>
        <v>0</v>
      </c>
      <c r="L825" s="109">
        <f>SUMIFS(BDRs!$J$66,BDRs!$E$66,"Provento",BDRs!$N$66,Patrimônio!B825)</f>
        <v>0</v>
      </c>
      <c r="M825" s="109">
        <f>SUMIFS(FIIs!$J$66,FIIs!$E$66,"Provento",FIIs!$N$66,Patrimônio!B825)</f>
        <v>0</v>
      </c>
      <c r="N825" s="109">
        <f t="shared" si="2"/>
        <v>0</v>
      </c>
      <c r="O825" s="109"/>
      <c r="Q825" s="154"/>
      <c r="R825" s="155" t="s">
        <v>270</v>
      </c>
      <c r="S825" s="156">
        <v>0</v>
      </c>
    </row>
    <row r="826" spans="1:19" ht="17.25" customHeight="1">
      <c r="A826" s="108">
        <v>69672</v>
      </c>
      <c r="B826" s="108">
        <f t="shared" si="0"/>
        <v>69671</v>
      </c>
      <c r="C826" s="109"/>
      <c r="D826" s="109"/>
      <c r="E826" s="109"/>
      <c r="F826" s="109"/>
      <c r="G826" s="109"/>
      <c r="H826" s="109"/>
      <c r="I826" s="109">
        <f t="shared" ref="I826:J826" si="840">SUM(C826,E826,G826)</f>
        <v>0</v>
      </c>
      <c r="J826" s="109">
        <f t="shared" si="840"/>
        <v>0</v>
      </c>
      <c r="K826" s="109">
        <f>SUMIFS(Ações!$J$66,Ações!$N$66,Patrimônio!B826,Ações!$E$66,"Provento")</f>
        <v>0</v>
      </c>
      <c r="L826" s="109">
        <f>SUMIFS(BDRs!$J$66,BDRs!$E$66,"Provento",BDRs!$N$66,Patrimônio!B826)</f>
        <v>0</v>
      </c>
      <c r="M826" s="109">
        <f>SUMIFS(FIIs!$J$66,FIIs!$E$66,"Provento",FIIs!$N$66,Patrimônio!B826)</f>
        <v>0</v>
      </c>
      <c r="N826" s="109">
        <f t="shared" si="2"/>
        <v>0</v>
      </c>
      <c r="O826" s="109"/>
      <c r="Q826" s="154"/>
      <c r="R826" s="155" t="s">
        <v>271</v>
      </c>
      <c r="S826" s="156">
        <v>0</v>
      </c>
    </row>
    <row r="827" spans="1:19" ht="17.25" customHeight="1">
      <c r="A827" s="108">
        <v>69703</v>
      </c>
      <c r="B827" s="108">
        <f t="shared" si="0"/>
        <v>69702</v>
      </c>
      <c r="C827" s="109"/>
      <c r="D827" s="109"/>
      <c r="E827" s="109"/>
      <c r="F827" s="109"/>
      <c r="G827" s="109"/>
      <c r="H827" s="109"/>
      <c r="I827" s="109">
        <f t="shared" ref="I827:J827" si="841">SUM(C827,E827,G827)</f>
        <v>0</v>
      </c>
      <c r="J827" s="109">
        <f t="shared" si="841"/>
        <v>0</v>
      </c>
      <c r="K827" s="109">
        <f>SUMIFS(Ações!$J$66,Ações!$N$66,Patrimônio!B827,Ações!$E$66,"Provento")</f>
        <v>0</v>
      </c>
      <c r="L827" s="109">
        <f>SUMIFS(BDRs!$J$66,BDRs!$E$66,"Provento",BDRs!$N$66,Patrimônio!B827)</f>
        <v>0</v>
      </c>
      <c r="M827" s="109">
        <f>SUMIFS(FIIs!$J$66,FIIs!$E$66,"Provento",FIIs!$N$66,Patrimônio!B827)</f>
        <v>0</v>
      </c>
      <c r="N827" s="109">
        <f t="shared" si="2"/>
        <v>0</v>
      </c>
      <c r="O827" s="109"/>
      <c r="Q827" s="154"/>
      <c r="R827" s="155" t="s">
        <v>272</v>
      </c>
      <c r="S827" s="156">
        <v>0</v>
      </c>
    </row>
    <row r="828" spans="1:19" ht="17.25" customHeight="1">
      <c r="A828" s="108">
        <v>69733</v>
      </c>
      <c r="B828" s="108">
        <f t="shared" si="0"/>
        <v>69732</v>
      </c>
      <c r="C828" s="109"/>
      <c r="D828" s="109"/>
      <c r="E828" s="109"/>
      <c r="F828" s="109"/>
      <c r="G828" s="109"/>
      <c r="H828" s="109"/>
      <c r="I828" s="109">
        <f t="shared" ref="I828:J828" si="842">SUM(C828,E828,G828)</f>
        <v>0</v>
      </c>
      <c r="J828" s="109">
        <f t="shared" si="842"/>
        <v>0</v>
      </c>
      <c r="K828" s="109">
        <f>SUMIFS(Ações!$J$66,Ações!$N$66,Patrimônio!B828,Ações!$E$66,"Provento")</f>
        <v>0</v>
      </c>
      <c r="L828" s="109">
        <f>SUMIFS(BDRs!$J$66,BDRs!$E$66,"Provento",BDRs!$N$66,Patrimônio!B828)</f>
        <v>0</v>
      </c>
      <c r="M828" s="109">
        <f>SUMIFS(FIIs!$J$66,FIIs!$E$66,"Provento",FIIs!$N$66,Patrimônio!B828)</f>
        <v>0</v>
      </c>
      <c r="N828" s="109">
        <f t="shared" si="2"/>
        <v>0</v>
      </c>
      <c r="O828" s="109"/>
      <c r="Q828" s="151" t="s">
        <v>214</v>
      </c>
      <c r="R828" s="157"/>
      <c r="S828" s="153">
        <v>0</v>
      </c>
    </row>
    <row r="829" spans="1:19" ht="17.25" customHeight="1">
      <c r="A829" s="108">
        <v>69764</v>
      </c>
      <c r="B829" s="108">
        <f t="shared" si="0"/>
        <v>69763</v>
      </c>
      <c r="C829" s="109"/>
      <c r="D829" s="109"/>
      <c r="E829" s="109"/>
      <c r="F829" s="109"/>
      <c r="G829" s="109"/>
      <c r="H829" s="109"/>
      <c r="I829" s="109">
        <f t="shared" ref="I829:J829" si="843">SUM(C829,E829,G829)</f>
        <v>0</v>
      </c>
      <c r="J829" s="109">
        <f t="shared" si="843"/>
        <v>0</v>
      </c>
      <c r="K829" s="109">
        <f>SUMIFS(Ações!$J$66,Ações!$N$66,Patrimônio!B829,Ações!$E$66,"Provento")</f>
        <v>0</v>
      </c>
      <c r="L829" s="109">
        <f>SUMIFS(BDRs!$J$66,BDRs!$E$66,"Provento",BDRs!$N$66,Patrimônio!B829)</f>
        <v>0</v>
      </c>
      <c r="M829" s="109">
        <f>SUMIFS(FIIs!$J$66,FIIs!$E$66,"Provento",FIIs!$N$66,Patrimônio!B829)</f>
        <v>0</v>
      </c>
      <c r="N829" s="109">
        <f t="shared" si="2"/>
        <v>0</v>
      </c>
      <c r="O829" s="109"/>
      <c r="Q829" s="151" t="s">
        <v>215</v>
      </c>
      <c r="R829" s="152" t="s">
        <v>261</v>
      </c>
      <c r="S829" s="153">
        <v>0</v>
      </c>
    </row>
    <row r="830" spans="1:19" ht="17.25" customHeight="1">
      <c r="A830" s="108">
        <v>69795</v>
      </c>
      <c r="B830" s="108">
        <f t="shared" si="0"/>
        <v>69794</v>
      </c>
      <c r="C830" s="109"/>
      <c r="D830" s="109"/>
      <c r="E830" s="109"/>
      <c r="F830" s="109"/>
      <c r="G830" s="109"/>
      <c r="H830" s="109"/>
      <c r="I830" s="109">
        <f t="shared" ref="I830:J830" si="844">SUM(C830,E830,G830)</f>
        <v>0</v>
      </c>
      <c r="J830" s="109">
        <f t="shared" si="844"/>
        <v>0</v>
      </c>
      <c r="K830" s="109">
        <f>SUMIFS(Ações!$J$66,Ações!$N$66,Patrimônio!B830,Ações!$E$66,"Provento")</f>
        <v>0</v>
      </c>
      <c r="L830" s="109">
        <f>SUMIFS(BDRs!$J$66,BDRs!$E$66,"Provento",BDRs!$N$66,Patrimônio!B830)</f>
        <v>0</v>
      </c>
      <c r="M830" s="109">
        <f>SUMIFS(FIIs!$J$66,FIIs!$E$66,"Provento",FIIs!$N$66,Patrimônio!B830)</f>
        <v>0</v>
      </c>
      <c r="N830" s="109">
        <f t="shared" si="2"/>
        <v>0</v>
      </c>
      <c r="O830" s="109"/>
      <c r="Q830" s="154"/>
      <c r="R830" s="155" t="s">
        <v>262</v>
      </c>
      <c r="S830" s="156">
        <v>0</v>
      </c>
    </row>
    <row r="831" spans="1:19" ht="17.25" customHeight="1">
      <c r="A831" s="108">
        <v>69823</v>
      </c>
      <c r="B831" s="108">
        <f t="shared" si="0"/>
        <v>69822</v>
      </c>
      <c r="C831" s="109"/>
      <c r="D831" s="109"/>
      <c r="E831" s="109"/>
      <c r="F831" s="109"/>
      <c r="G831" s="109"/>
      <c r="H831" s="109"/>
      <c r="I831" s="109">
        <f t="shared" ref="I831:J831" si="845">SUM(C831,E831,G831)</f>
        <v>0</v>
      </c>
      <c r="J831" s="109">
        <f t="shared" si="845"/>
        <v>0</v>
      </c>
      <c r="K831" s="109">
        <f>SUMIFS(Ações!$J$66,Ações!$N$66,Patrimônio!B831,Ações!$E$66,"Provento")</f>
        <v>0</v>
      </c>
      <c r="L831" s="109">
        <f>SUMIFS(BDRs!$J$66,BDRs!$E$66,"Provento",BDRs!$N$66,Patrimônio!B831)</f>
        <v>0</v>
      </c>
      <c r="M831" s="109">
        <f>SUMIFS(FIIs!$J$66,FIIs!$E$66,"Provento",FIIs!$N$66,Patrimônio!B831)</f>
        <v>0</v>
      </c>
      <c r="N831" s="109">
        <f t="shared" si="2"/>
        <v>0</v>
      </c>
      <c r="O831" s="109"/>
      <c r="Q831" s="154"/>
      <c r="R831" s="155" t="s">
        <v>263</v>
      </c>
      <c r="S831" s="156">
        <v>0</v>
      </c>
    </row>
    <row r="832" spans="1:19" ht="17.25" customHeight="1">
      <c r="A832" s="108">
        <v>69854</v>
      </c>
      <c r="B832" s="108">
        <f t="shared" si="0"/>
        <v>69853</v>
      </c>
      <c r="C832" s="109"/>
      <c r="D832" s="109"/>
      <c r="E832" s="109"/>
      <c r="F832" s="109"/>
      <c r="G832" s="109"/>
      <c r="H832" s="109"/>
      <c r="I832" s="109">
        <f t="shared" ref="I832:J832" si="846">SUM(C832,E832,G832)</f>
        <v>0</v>
      </c>
      <c r="J832" s="109">
        <f t="shared" si="846"/>
        <v>0</v>
      </c>
      <c r="K832" s="109">
        <f>SUMIFS(Ações!$J$66,Ações!$N$66,Patrimônio!B832,Ações!$E$66,"Provento")</f>
        <v>0</v>
      </c>
      <c r="L832" s="109">
        <f>SUMIFS(BDRs!$J$66,BDRs!$E$66,"Provento",BDRs!$N$66,Patrimônio!B832)</f>
        <v>0</v>
      </c>
      <c r="M832" s="109">
        <f>SUMIFS(FIIs!$J$66,FIIs!$E$66,"Provento",FIIs!$N$66,Patrimônio!B832)</f>
        <v>0</v>
      </c>
      <c r="N832" s="109">
        <f t="shared" si="2"/>
        <v>0</v>
      </c>
      <c r="O832" s="109"/>
      <c r="Q832" s="154"/>
      <c r="R832" s="155" t="s">
        <v>264</v>
      </c>
      <c r="S832" s="156">
        <v>0</v>
      </c>
    </row>
    <row r="833" spans="1:19" ht="17.25" customHeight="1">
      <c r="A833" s="108">
        <v>69884</v>
      </c>
      <c r="B833" s="108">
        <f t="shared" si="0"/>
        <v>69883</v>
      </c>
      <c r="C833" s="109"/>
      <c r="D833" s="109"/>
      <c r="E833" s="109"/>
      <c r="F833" s="109"/>
      <c r="G833" s="109"/>
      <c r="H833" s="109"/>
      <c r="I833" s="109">
        <f t="shared" ref="I833:J833" si="847">SUM(C833,E833,G833)</f>
        <v>0</v>
      </c>
      <c r="J833" s="109">
        <f t="shared" si="847"/>
        <v>0</v>
      </c>
      <c r="K833" s="109">
        <f>SUMIFS(Ações!$J$66,Ações!$N$66,Patrimônio!B833,Ações!$E$66,"Provento")</f>
        <v>0</v>
      </c>
      <c r="L833" s="109">
        <f>SUMIFS(BDRs!$J$66,BDRs!$E$66,"Provento",BDRs!$N$66,Patrimônio!B833)</f>
        <v>0</v>
      </c>
      <c r="M833" s="109">
        <f>SUMIFS(FIIs!$J$66,FIIs!$E$66,"Provento",FIIs!$N$66,Patrimônio!B833)</f>
        <v>0</v>
      </c>
      <c r="N833" s="109">
        <f t="shared" si="2"/>
        <v>0</v>
      </c>
      <c r="O833" s="109"/>
      <c r="Q833" s="154"/>
      <c r="R833" s="155" t="s">
        <v>265</v>
      </c>
      <c r="S833" s="156">
        <v>0</v>
      </c>
    </row>
    <row r="834" spans="1:19" ht="17.25" customHeight="1">
      <c r="A834" s="108">
        <v>69915</v>
      </c>
      <c r="B834" s="108">
        <f t="shared" si="0"/>
        <v>69914</v>
      </c>
      <c r="C834" s="109"/>
      <c r="D834" s="109"/>
      <c r="E834" s="109"/>
      <c r="F834" s="109"/>
      <c r="G834" s="109"/>
      <c r="H834" s="109"/>
      <c r="I834" s="109">
        <f t="shared" ref="I834:J834" si="848">SUM(C834,E834,G834)</f>
        <v>0</v>
      </c>
      <c r="J834" s="109">
        <f t="shared" si="848"/>
        <v>0</v>
      </c>
      <c r="K834" s="109">
        <f>SUMIFS(Ações!$J$66,Ações!$N$66,Patrimônio!B834,Ações!$E$66,"Provento")</f>
        <v>0</v>
      </c>
      <c r="L834" s="109">
        <f>SUMIFS(BDRs!$J$66,BDRs!$E$66,"Provento",BDRs!$N$66,Patrimônio!B834)</f>
        <v>0</v>
      </c>
      <c r="M834" s="109">
        <f>SUMIFS(FIIs!$J$66,FIIs!$E$66,"Provento",FIIs!$N$66,Patrimônio!B834)</f>
        <v>0</v>
      </c>
      <c r="N834" s="109">
        <f t="shared" si="2"/>
        <v>0</v>
      </c>
      <c r="O834" s="109"/>
      <c r="Q834" s="154"/>
      <c r="R834" s="155" t="s">
        <v>266</v>
      </c>
      <c r="S834" s="156">
        <v>0</v>
      </c>
    </row>
    <row r="835" spans="1:19" ht="17.25" customHeight="1">
      <c r="A835" s="108">
        <v>69945</v>
      </c>
      <c r="B835" s="108">
        <f t="shared" si="0"/>
        <v>69944</v>
      </c>
      <c r="C835" s="109"/>
      <c r="D835" s="109"/>
      <c r="E835" s="109"/>
      <c r="F835" s="109"/>
      <c r="G835" s="109"/>
      <c r="H835" s="109"/>
      <c r="I835" s="109">
        <f t="shared" ref="I835:J835" si="849">SUM(C835,E835,G835)</f>
        <v>0</v>
      </c>
      <c r="J835" s="109">
        <f t="shared" si="849"/>
        <v>0</v>
      </c>
      <c r="K835" s="109">
        <f>SUMIFS(Ações!$J$66,Ações!$N$66,Patrimônio!B835,Ações!$E$66,"Provento")</f>
        <v>0</v>
      </c>
      <c r="L835" s="109">
        <f>SUMIFS(BDRs!$J$66,BDRs!$E$66,"Provento",BDRs!$N$66,Patrimônio!B835)</f>
        <v>0</v>
      </c>
      <c r="M835" s="109">
        <f>SUMIFS(FIIs!$J$66,FIIs!$E$66,"Provento",FIIs!$N$66,Patrimônio!B835)</f>
        <v>0</v>
      </c>
      <c r="N835" s="109">
        <f t="shared" si="2"/>
        <v>0</v>
      </c>
      <c r="O835" s="109"/>
      <c r="Q835" s="154"/>
      <c r="R835" s="155" t="s">
        <v>267</v>
      </c>
      <c r="S835" s="156">
        <v>0</v>
      </c>
    </row>
    <row r="836" spans="1:19" ht="17.25" customHeight="1">
      <c r="A836" s="108">
        <v>69976</v>
      </c>
      <c r="B836" s="108">
        <f t="shared" si="0"/>
        <v>69975</v>
      </c>
      <c r="C836" s="109"/>
      <c r="D836" s="109"/>
      <c r="E836" s="109"/>
      <c r="F836" s="109"/>
      <c r="G836" s="109"/>
      <c r="H836" s="109"/>
      <c r="I836" s="109">
        <f t="shared" ref="I836:J836" si="850">SUM(C836,E836,G836)</f>
        <v>0</v>
      </c>
      <c r="J836" s="109">
        <f t="shared" si="850"/>
        <v>0</v>
      </c>
      <c r="K836" s="109">
        <f>SUMIFS(Ações!$J$66,Ações!$N$66,Patrimônio!B836,Ações!$E$66,"Provento")</f>
        <v>0</v>
      </c>
      <c r="L836" s="109">
        <f>SUMIFS(BDRs!$J$66,BDRs!$E$66,"Provento",BDRs!$N$66,Patrimônio!B836)</f>
        <v>0</v>
      </c>
      <c r="M836" s="109">
        <f>SUMIFS(FIIs!$J$66,FIIs!$E$66,"Provento",FIIs!$N$66,Patrimônio!B836)</f>
        <v>0</v>
      </c>
      <c r="N836" s="109">
        <f t="shared" si="2"/>
        <v>0</v>
      </c>
      <c r="O836" s="109"/>
      <c r="Q836" s="154"/>
      <c r="R836" s="155" t="s">
        <v>268</v>
      </c>
      <c r="S836" s="156">
        <v>0</v>
      </c>
    </row>
    <row r="837" spans="1:19" ht="17.25" customHeight="1">
      <c r="A837" s="108">
        <v>70007</v>
      </c>
      <c r="B837" s="108">
        <f t="shared" si="0"/>
        <v>70006</v>
      </c>
      <c r="C837" s="109"/>
      <c r="D837" s="109"/>
      <c r="E837" s="109"/>
      <c r="F837" s="109"/>
      <c r="G837" s="109"/>
      <c r="H837" s="109"/>
      <c r="I837" s="109">
        <f t="shared" ref="I837:J837" si="851">SUM(C837,E837,G837)</f>
        <v>0</v>
      </c>
      <c r="J837" s="109">
        <f t="shared" si="851"/>
        <v>0</v>
      </c>
      <c r="K837" s="109">
        <f>SUMIFS(Ações!$J$66,Ações!$N$66,Patrimônio!B837,Ações!$E$66,"Provento")</f>
        <v>0</v>
      </c>
      <c r="L837" s="109">
        <f>SUMIFS(BDRs!$J$66,BDRs!$E$66,"Provento",BDRs!$N$66,Patrimônio!B837)</f>
        <v>0</v>
      </c>
      <c r="M837" s="109">
        <f>SUMIFS(FIIs!$J$66,FIIs!$E$66,"Provento",FIIs!$N$66,Patrimônio!B837)</f>
        <v>0</v>
      </c>
      <c r="N837" s="109">
        <f t="shared" si="2"/>
        <v>0</v>
      </c>
      <c r="O837" s="109"/>
      <c r="Q837" s="154"/>
      <c r="R837" s="155" t="s">
        <v>269</v>
      </c>
      <c r="S837" s="156">
        <v>0</v>
      </c>
    </row>
    <row r="838" spans="1:19" ht="17.25" customHeight="1">
      <c r="A838" s="108">
        <v>70037</v>
      </c>
      <c r="B838" s="108">
        <f t="shared" si="0"/>
        <v>70036</v>
      </c>
      <c r="C838" s="109"/>
      <c r="D838" s="109"/>
      <c r="E838" s="109"/>
      <c r="F838" s="109"/>
      <c r="G838" s="109"/>
      <c r="H838" s="109"/>
      <c r="I838" s="109">
        <f t="shared" ref="I838:J838" si="852">SUM(C838,E838,G838)</f>
        <v>0</v>
      </c>
      <c r="J838" s="109">
        <f t="shared" si="852"/>
        <v>0</v>
      </c>
      <c r="K838" s="109">
        <f>SUMIFS(Ações!$J$66,Ações!$N$66,Patrimônio!B838,Ações!$E$66,"Provento")</f>
        <v>0</v>
      </c>
      <c r="L838" s="109">
        <f>SUMIFS(BDRs!$J$66,BDRs!$E$66,"Provento",BDRs!$N$66,Patrimônio!B838)</f>
        <v>0</v>
      </c>
      <c r="M838" s="109">
        <f>SUMIFS(FIIs!$J$66,FIIs!$E$66,"Provento",FIIs!$N$66,Patrimônio!B838)</f>
        <v>0</v>
      </c>
      <c r="N838" s="109">
        <f t="shared" si="2"/>
        <v>0</v>
      </c>
      <c r="O838" s="109"/>
      <c r="Q838" s="154"/>
      <c r="R838" s="155" t="s">
        <v>270</v>
      </c>
      <c r="S838" s="156">
        <v>0</v>
      </c>
    </row>
    <row r="839" spans="1:19" ht="17.25" customHeight="1">
      <c r="A839" s="108">
        <v>70068</v>
      </c>
      <c r="B839" s="108">
        <f t="shared" si="0"/>
        <v>70067</v>
      </c>
      <c r="C839" s="109"/>
      <c r="D839" s="109"/>
      <c r="E839" s="109"/>
      <c r="F839" s="109"/>
      <c r="G839" s="109"/>
      <c r="H839" s="109"/>
      <c r="I839" s="109">
        <f t="shared" ref="I839:J839" si="853">SUM(C839,E839,G839)</f>
        <v>0</v>
      </c>
      <c r="J839" s="109">
        <f t="shared" si="853"/>
        <v>0</v>
      </c>
      <c r="K839" s="109">
        <f>SUMIFS(Ações!$J$66,Ações!$N$66,Patrimônio!B839,Ações!$E$66,"Provento")</f>
        <v>0</v>
      </c>
      <c r="L839" s="109">
        <f>SUMIFS(BDRs!$J$66,BDRs!$E$66,"Provento",BDRs!$N$66,Patrimônio!B839)</f>
        <v>0</v>
      </c>
      <c r="M839" s="109">
        <f>SUMIFS(FIIs!$J$66,FIIs!$E$66,"Provento",FIIs!$N$66,Patrimônio!B839)</f>
        <v>0</v>
      </c>
      <c r="N839" s="109">
        <f t="shared" si="2"/>
        <v>0</v>
      </c>
      <c r="O839" s="109"/>
      <c r="Q839" s="154"/>
      <c r="R839" s="155" t="s">
        <v>271</v>
      </c>
      <c r="S839" s="156">
        <v>0</v>
      </c>
    </row>
    <row r="840" spans="1:19" ht="17.25" customHeight="1">
      <c r="A840" s="108">
        <v>70098</v>
      </c>
      <c r="B840" s="108">
        <f t="shared" si="0"/>
        <v>70097</v>
      </c>
      <c r="C840" s="109"/>
      <c r="D840" s="109"/>
      <c r="E840" s="109"/>
      <c r="F840" s="109"/>
      <c r="G840" s="109"/>
      <c r="H840" s="109"/>
      <c r="I840" s="109">
        <f t="shared" ref="I840:J840" si="854">SUM(C840,E840,G840)</f>
        <v>0</v>
      </c>
      <c r="J840" s="109">
        <f t="shared" si="854"/>
        <v>0</v>
      </c>
      <c r="K840" s="109">
        <f>SUMIFS(Ações!$J$66,Ações!$N$66,Patrimônio!B840,Ações!$E$66,"Provento")</f>
        <v>0</v>
      </c>
      <c r="L840" s="109">
        <f>SUMIFS(BDRs!$J$66,BDRs!$E$66,"Provento",BDRs!$N$66,Patrimônio!B840)</f>
        <v>0</v>
      </c>
      <c r="M840" s="109">
        <f>SUMIFS(FIIs!$J$66,FIIs!$E$66,"Provento",FIIs!$N$66,Patrimônio!B840)</f>
        <v>0</v>
      </c>
      <c r="N840" s="109">
        <f t="shared" si="2"/>
        <v>0</v>
      </c>
      <c r="O840" s="109"/>
      <c r="Q840" s="154"/>
      <c r="R840" s="155" t="s">
        <v>272</v>
      </c>
      <c r="S840" s="156">
        <v>0</v>
      </c>
    </row>
    <row r="841" spans="1:19" ht="17.25" customHeight="1">
      <c r="A841" s="108">
        <v>70129</v>
      </c>
      <c r="B841" s="108">
        <f t="shared" si="0"/>
        <v>70128</v>
      </c>
      <c r="C841" s="109"/>
      <c r="D841" s="109"/>
      <c r="E841" s="109"/>
      <c r="F841" s="109"/>
      <c r="G841" s="109"/>
      <c r="H841" s="109"/>
      <c r="I841" s="109">
        <f t="shared" ref="I841:J841" si="855">SUM(C841,E841,G841)</f>
        <v>0</v>
      </c>
      <c r="J841" s="109">
        <f t="shared" si="855"/>
        <v>0</v>
      </c>
      <c r="K841" s="109">
        <f>SUMIFS(Ações!$J$66,Ações!$N$66,Patrimônio!B841,Ações!$E$66,"Provento")</f>
        <v>0</v>
      </c>
      <c r="L841" s="109">
        <f>SUMIFS(BDRs!$J$66,BDRs!$E$66,"Provento",BDRs!$N$66,Patrimônio!B841)</f>
        <v>0</v>
      </c>
      <c r="M841" s="109">
        <f>SUMIFS(FIIs!$J$66,FIIs!$E$66,"Provento",FIIs!$N$66,Patrimônio!B841)</f>
        <v>0</v>
      </c>
      <c r="N841" s="109">
        <f t="shared" si="2"/>
        <v>0</v>
      </c>
      <c r="O841" s="109"/>
      <c r="Q841" s="151" t="s">
        <v>216</v>
      </c>
      <c r="R841" s="157"/>
      <c r="S841" s="153">
        <v>0</v>
      </c>
    </row>
    <row r="842" spans="1:19" ht="17.25" customHeight="1">
      <c r="A842" s="108">
        <v>70160</v>
      </c>
      <c r="B842" s="108">
        <f t="shared" si="0"/>
        <v>70159</v>
      </c>
      <c r="C842" s="109"/>
      <c r="D842" s="109"/>
      <c r="E842" s="109"/>
      <c r="F842" s="109"/>
      <c r="G842" s="109"/>
      <c r="H842" s="109"/>
      <c r="I842" s="109">
        <f t="shared" ref="I842:J842" si="856">SUM(C842,E842,G842)</f>
        <v>0</v>
      </c>
      <c r="J842" s="109">
        <f t="shared" si="856"/>
        <v>0</v>
      </c>
      <c r="K842" s="109">
        <f>SUMIFS(Ações!$J$66,Ações!$N$66,Patrimônio!B842,Ações!$E$66,"Provento")</f>
        <v>0</v>
      </c>
      <c r="L842" s="109">
        <f>SUMIFS(BDRs!$J$66,BDRs!$E$66,"Provento",BDRs!$N$66,Patrimônio!B842)</f>
        <v>0</v>
      </c>
      <c r="M842" s="109">
        <f>SUMIFS(FIIs!$J$66,FIIs!$E$66,"Provento",FIIs!$N$66,Patrimônio!B842)</f>
        <v>0</v>
      </c>
      <c r="N842" s="109">
        <f t="shared" si="2"/>
        <v>0</v>
      </c>
      <c r="O842" s="109"/>
      <c r="Q842" s="151" t="s">
        <v>217</v>
      </c>
      <c r="R842" s="152" t="s">
        <v>261</v>
      </c>
      <c r="S842" s="153">
        <v>0</v>
      </c>
    </row>
    <row r="843" spans="1:19" ht="17.25" customHeight="1">
      <c r="A843" s="108">
        <v>70189</v>
      </c>
      <c r="B843" s="108">
        <f t="shared" si="0"/>
        <v>70188</v>
      </c>
      <c r="C843" s="109"/>
      <c r="D843" s="109"/>
      <c r="E843" s="109"/>
      <c r="F843" s="109"/>
      <c r="G843" s="109"/>
      <c r="H843" s="109"/>
      <c r="I843" s="109">
        <f t="shared" ref="I843:J843" si="857">SUM(C843,E843,G843)</f>
        <v>0</v>
      </c>
      <c r="J843" s="109">
        <f t="shared" si="857"/>
        <v>0</v>
      </c>
      <c r="K843" s="109">
        <f>SUMIFS(Ações!$J$66,Ações!$N$66,Patrimônio!B843,Ações!$E$66,"Provento")</f>
        <v>0</v>
      </c>
      <c r="L843" s="109">
        <f>SUMIFS(BDRs!$J$66,BDRs!$E$66,"Provento",BDRs!$N$66,Patrimônio!B843)</f>
        <v>0</v>
      </c>
      <c r="M843" s="109">
        <f>SUMIFS(FIIs!$J$66,FIIs!$E$66,"Provento",FIIs!$N$66,Patrimônio!B843)</f>
        <v>0</v>
      </c>
      <c r="N843" s="109">
        <f t="shared" si="2"/>
        <v>0</v>
      </c>
      <c r="O843" s="109"/>
      <c r="Q843" s="154"/>
      <c r="R843" s="155" t="s">
        <v>262</v>
      </c>
      <c r="S843" s="156">
        <v>0</v>
      </c>
    </row>
    <row r="844" spans="1:19" ht="17.25" customHeight="1">
      <c r="A844" s="108">
        <v>70220</v>
      </c>
      <c r="B844" s="108">
        <f t="shared" si="0"/>
        <v>70219</v>
      </c>
      <c r="C844" s="109"/>
      <c r="D844" s="109"/>
      <c r="E844" s="109"/>
      <c r="F844" s="109"/>
      <c r="G844" s="109"/>
      <c r="H844" s="109"/>
      <c r="I844" s="109">
        <f t="shared" ref="I844:J844" si="858">SUM(C844,E844,G844)</f>
        <v>0</v>
      </c>
      <c r="J844" s="109">
        <f t="shared" si="858"/>
        <v>0</v>
      </c>
      <c r="K844" s="109">
        <f>SUMIFS(Ações!$J$66,Ações!$N$66,Patrimônio!B844,Ações!$E$66,"Provento")</f>
        <v>0</v>
      </c>
      <c r="L844" s="109">
        <f>SUMIFS(BDRs!$J$66,BDRs!$E$66,"Provento",BDRs!$N$66,Patrimônio!B844)</f>
        <v>0</v>
      </c>
      <c r="M844" s="109">
        <f>SUMIFS(FIIs!$J$66,FIIs!$E$66,"Provento",FIIs!$N$66,Patrimônio!B844)</f>
        <v>0</v>
      </c>
      <c r="N844" s="109">
        <f t="shared" si="2"/>
        <v>0</v>
      </c>
      <c r="O844" s="109"/>
      <c r="Q844" s="154"/>
      <c r="R844" s="155" t="s">
        <v>263</v>
      </c>
      <c r="S844" s="156">
        <v>0</v>
      </c>
    </row>
    <row r="845" spans="1:19" ht="17.25" customHeight="1">
      <c r="A845" s="108">
        <v>70250</v>
      </c>
      <c r="B845" s="108">
        <f t="shared" si="0"/>
        <v>70249</v>
      </c>
      <c r="C845" s="109"/>
      <c r="D845" s="109"/>
      <c r="E845" s="109"/>
      <c r="F845" s="109"/>
      <c r="G845" s="109"/>
      <c r="H845" s="109"/>
      <c r="I845" s="109">
        <f t="shared" ref="I845:J845" si="859">SUM(C845,E845,G845)</f>
        <v>0</v>
      </c>
      <c r="J845" s="109">
        <f t="shared" si="859"/>
        <v>0</v>
      </c>
      <c r="K845" s="109">
        <f>SUMIFS(Ações!$J$66,Ações!$N$66,Patrimônio!B845,Ações!$E$66,"Provento")</f>
        <v>0</v>
      </c>
      <c r="L845" s="109">
        <f>SUMIFS(BDRs!$J$66,BDRs!$E$66,"Provento",BDRs!$N$66,Patrimônio!B845)</f>
        <v>0</v>
      </c>
      <c r="M845" s="109">
        <f>SUMIFS(FIIs!$J$66,FIIs!$E$66,"Provento",FIIs!$N$66,Patrimônio!B845)</f>
        <v>0</v>
      </c>
      <c r="N845" s="109">
        <f t="shared" si="2"/>
        <v>0</v>
      </c>
      <c r="O845" s="109"/>
      <c r="Q845" s="154"/>
      <c r="R845" s="155" t="s">
        <v>264</v>
      </c>
      <c r="S845" s="156">
        <v>0</v>
      </c>
    </row>
    <row r="846" spans="1:19" ht="17.25" customHeight="1">
      <c r="A846" s="108">
        <v>70281</v>
      </c>
      <c r="B846" s="108">
        <f t="shared" si="0"/>
        <v>70280</v>
      </c>
      <c r="C846" s="109"/>
      <c r="D846" s="109"/>
      <c r="E846" s="109"/>
      <c r="F846" s="109"/>
      <c r="G846" s="109"/>
      <c r="H846" s="109"/>
      <c r="I846" s="109">
        <f t="shared" ref="I846:J846" si="860">SUM(C846,E846,G846)</f>
        <v>0</v>
      </c>
      <c r="J846" s="109">
        <f t="shared" si="860"/>
        <v>0</v>
      </c>
      <c r="K846" s="109">
        <f>SUMIFS(Ações!$J$66,Ações!$N$66,Patrimônio!B846,Ações!$E$66,"Provento")</f>
        <v>0</v>
      </c>
      <c r="L846" s="109">
        <f>SUMIFS(BDRs!$J$66,BDRs!$E$66,"Provento",BDRs!$N$66,Patrimônio!B846)</f>
        <v>0</v>
      </c>
      <c r="M846" s="109">
        <f>SUMIFS(FIIs!$J$66,FIIs!$E$66,"Provento",FIIs!$N$66,Patrimônio!B846)</f>
        <v>0</v>
      </c>
      <c r="N846" s="109">
        <f t="shared" si="2"/>
        <v>0</v>
      </c>
      <c r="O846" s="109"/>
      <c r="Q846" s="154"/>
      <c r="R846" s="155" t="s">
        <v>265</v>
      </c>
      <c r="S846" s="156">
        <v>0</v>
      </c>
    </row>
    <row r="847" spans="1:19" ht="17.25" customHeight="1">
      <c r="A847" s="108">
        <v>70311</v>
      </c>
      <c r="B847" s="108">
        <f t="shared" si="0"/>
        <v>70310</v>
      </c>
      <c r="C847" s="109"/>
      <c r="D847" s="109"/>
      <c r="E847" s="109"/>
      <c r="F847" s="109"/>
      <c r="G847" s="109"/>
      <c r="H847" s="109"/>
      <c r="I847" s="109">
        <f t="shared" ref="I847:J847" si="861">SUM(C847,E847,G847)</f>
        <v>0</v>
      </c>
      <c r="J847" s="109">
        <f t="shared" si="861"/>
        <v>0</v>
      </c>
      <c r="K847" s="109">
        <f>SUMIFS(Ações!$J$66,Ações!$N$66,Patrimônio!B847,Ações!$E$66,"Provento")</f>
        <v>0</v>
      </c>
      <c r="L847" s="109">
        <f>SUMIFS(BDRs!$J$66,BDRs!$E$66,"Provento",BDRs!$N$66,Patrimônio!B847)</f>
        <v>0</v>
      </c>
      <c r="M847" s="109">
        <f>SUMIFS(FIIs!$J$66,FIIs!$E$66,"Provento",FIIs!$N$66,Patrimônio!B847)</f>
        <v>0</v>
      </c>
      <c r="N847" s="109">
        <f t="shared" si="2"/>
        <v>0</v>
      </c>
      <c r="O847" s="109"/>
      <c r="Q847" s="154"/>
      <c r="R847" s="155" t="s">
        <v>266</v>
      </c>
      <c r="S847" s="156">
        <v>0</v>
      </c>
    </row>
    <row r="848" spans="1:19" ht="17.25" customHeight="1">
      <c r="A848" s="108">
        <v>70342</v>
      </c>
      <c r="B848" s="108">
        <f t="shared" si="0"/>
        <v>70341</v>
      </c>
      <c r="C848" s="109"/>
      <c r="D848" s="109"/>
      <c r="E848" s="109"/>
      <c r="F848" s="109"/>
      <c r="G848" s="109"/>
      <c r="H848" s="109"/>
      <c r="I848" s="109">
        <f t="shared" ref="I848:J848" si="862">SUM(C848,E848,G848)</f>
        <v>0</v>
      </c>
      <c r="J848" s="109">
        <f t="shared" si="862"/>
        <v>0</v>
      </c>
      <c r="K848" s="109">
        <f>SUMIFS(Ações!$J$66,Ações!$N$66,Patrimônio!B848,Ações!$E$66,"Provento")</f>
        <v>0</v>
      </c>
      <c r="L848" s="109">
        <f>SUMIFS(BDRs!$J$66,BDRs!$E$66,"Provento",BDRs!$N$66,Patrimônio!B848)</f>
        <v>0</v>
      </c>
      <c r="M848" s="109">
        <f>SUMIFS(FIIs!$J$66,FIIs!$E$66,"Provento",FIIs!$N$66,Patrimônio!B848)</f>
        <v>0</v>
      </c>
      <c r="N848" s="109">
        <f t="shared" si="2"/>
        <v>0</v>
      </c>
      <c r="O848" s="109"/>
      <c r="Q848" s="154"/>
      <c r="R848" s="155" t="s">
        <v>267</v>
      </c>
      <c r="S848" s="156">
        <v>0</v>
      </c>
    </row>
    <row r="849" spans="1:19" ht="17.25" customHeight="1">
      <c r="A849" s="108">
        <v>70373</v>
      </c>
      <c r="B849" s="108">
        <f t="shared" si="0"/>
        <v>70372</v>
      </c>
      <c r="C849" s="109"/>
      <c r="D849" s="109"/>
      <c r="E849" s="109"/>
      <c r="F849" s="109"/>
      <c r="G849" s="109"/>
      <c r="H849" s="109"/>
      <c r="I849" s="109">
        <f t="shared" ref="I849:J849" si="863">SUM(C849,E849,G849)</f>
        <v>0</v>
      </c>
      <c r="J849" s="109">
        <f t="shared" si="863"/>
        <v>0</v>
      </c>
      <c r="K849" s="109">
        <f>SUMIFS(Ações!$J$66,Ações!$N$66,Patrimônio!B849,Ações!$E$66,"Provento")</f>
        <v>0</v>
      </c>
      <c r="L849" s="109">
        <f>SUMIFS(BDRs!$J$66,BDRs!$E$66,"Provento",BDRs!$N$66,Patrimônio!B849)</f>
        <v>0</v>
      </c>
      <c r="M849" s="109">
        <f>SUMIFS(FIIs!$J$66,FIIs!$E$66,"Provento",FIIs!$N$66,Patrimônio!B849)</f>
        <v>0</v>
      </c>
      <c r="N849" s="109">
        <f t="shared" si="2"/>
        <v>0</v>
      </c>
      <c r="O849" s="109"/>
      <c r="Q849" s="154"/>
      <c r="R849" s="155" t="s">
        <v>268</v>
      </c>
      <c r="S849" s="156">
        <v>0</v>
      </c>
    </row>
    <row r="850" spans="1:19" ht="17.25" customHeight="1">
      <c r="A850" s="108">
        <v>70403</v>
      </c>
      <c r="B850" s="108">
        <f t="shared" si="0"/>
        <v>70402</v>
      </c>
      <c r="C850" s="109"/>
      <c r="D850" s="109"/>
      <c r="E850" s="109"/>
      <c r="F850" s="109"/>
      <c r="G850" s="109"/>
      <c r="H850" s="109"/>
      <c r="I850" s="109">
        <f t="shared" ref="I850:J850" si="864">SUM(C850,E850,G850)</f>
        <v>0</v>
      </c>
      <c r="J850" s="109">
        <f t="shared" si="864"/>
        <v>0</v>
      </c>
      <c r="K850" s="109">
        <f>SUMIFS(Ações!$J$66,Ações!$N$66,Patrimônio!B850,Ações!$E$66,"Provento")</f>
        <v>0</v>
      </c>
      <c r="L850" s="109">
        <f>SUMIFS(BDRs!$J$66,BDRs!$E$66,"Provento",BDRs!$N$66,Patrimônio!B850)</f>
        <v>0</v>
      </c>
      <c r="M850" s="109">
        <f>SUMIFS(FIIs!$J$66,FIIs!$E$66,"Provento",FIIs!$N$66,Patrimônio!B850)</f>
        <v>0</v>
      </c>
      <c r="N850" s="109">
        <f t="shared" si="2"/>
        <v>0</v>
      </c>
      <c r="O850" s="109"/>
      <c r="Q850" s="154"/>
      <c r="R850" s="155" t="s">
        <v>269</v>
      </c>
      <c r="S850" s="156">
        <v>0</v>
      </c>
    </row>
    <row r="851" spans="1:19" ht="17.25" customHeight="1">
      <c r="A851" s="108">
        <v>70434</v>
      </c>
      <c r="B851" s="108">
        <f t="shared" si="0"/>
        <v>70433</v>
      </c>
      <c r="C851" s="109"/>
      <c r="D851" s="109"/>
      <c r="E851" s="109"/>
      <c r="F851" s="109"/>
      <c r="G851" s="109"/>
      <c r="H851" s="109"/>
      <c r="I851" s="109">
        <f t="shared" ref="I851:J851" si="865">SUM(C851,E851,G851)</f>
        <v>0</v>
      </c>
      <c r="J851" s="109">
        <f t="shared" si="865"/>
        <v>0</v>
      </c>
      <c r="K851" s="109">
        <f>SUMIFS(Ações!$J$66,Ações!$N$66,Patrimônio!B851,Ações!$E$66,"Provento")</f>
        <v>0</v>
      </c>
      <c r="L851" s="109">
        <f>SUMIFS(BDRs!$J$66,BDRs!$E$66,"Provento",BDRs!$N$66,Patrimônio!B851)</f>
        <v>0</v>
      </c>
      <c r="M851" s="109">
        <f>SUMIFS(FIIs!$J$66,FIIs!$E$66,"Provento",FIIs!$N$66,Patrimônio!B851)</f>
        <v>0</v>
      </c>
      <c r="N851" s="109">
        <f t="shared" si="2"/>
        <v>0</v>
      </c>
      <c r="O851" s="109"/>
      <c r="Q851" s="154"/>
      <c r="R851" s="155" t="s">
        <v>270</v>
      </c>
      <c r="S851" s="156">
        <v>0</v>
      </c>
    </row>
    <row r="852" spans="1:19" ht="17.25" customHeight="1">
      <c r="A852" s="108">
        <v>70464</v>
      </c>
      <c r="B852" s="108">
        <f t="shared" si="0"/>
        <v>70463</v>
      </c>
      <c r="C852" s="109"/>
      <c r="D852" s="109"/>
      <c r="E852" s="109"/>
      <c r="F852" s="109"/>
      <c r="G852" s="109"/>
      <c r="H852" s="109"/>
      <c r="I852" s="109">
        <f t="shared" ref="I852:J852" si="866">SUM(C852,E852,G852)</f>
        <v>0</v>
      </c>
      <c r="J852" s="109">
        <f t="shared" si="866"/>
        <v>0</v>
      </c>
      <c r="K852" s="109">
        <f>SUMIFS(Ações!$J$66,Ações!$N$66,Patrimônio!B852,Ações!$E$66,"Provento")</f>
        <v>0</v>
      </c>
      <c r="L852" s="109">
        <f>SUMIFS(BDRs!$J$66,BDRs!$E$66,"Provento",BDRs!$N$66,Patrimônio!B852)</f>
        <v>0</v>
      </c>
      <c r="M852" s="109">
        <f>SUMIFS(FIIs!$J$66,FIIs!$E$66,"Provento",FIIs!$N$66,Patrimônio!B852)</f>
        <v>0</v>
      </c>
      <c r="N852" s="109">
        <f t="shared" si="2"/>
        <v>0</v>
      </c>
      <c r="O852" s="109"/>
      <c r="Q852" s="154"/>
      <c r="R852" s="155" t="s">
        <v>271</v>
      </c>
      <c r="S852" s="156">
        <v>0</v>
      </c>
    </row>
    <row r="853" spans="1:19" ht="17.25" customHeight="1">
      <c r="A853" s="108">
        <v>70495</v>
      </c>
      <c r="B853" s="108">
        <f t="shared" si="0"/>
        <v>70494</v>
      </c>
      <c r="C853" s="109"/>
      <c r="D853" s="109"/>
      <c r="E853" s="109"/>
      <c r="F853" s="109"/>
      <c r="G853" s="109"/>
      <c r="H853" s="109"/>
      <c r="I853" s="109">
        <f t="shared" ref="I853:J853" si="867">SUM(C853,E853,G853)</f>
        <v>0</v>
      </c>
      <c r="J853" s="109">
        <f t="shared" si="867"/>
        <v>0</v>
      </c>
      <c r="K853" s="109">
        <f>SUMIFS(Ações!$J$66,Ações!$N$66,Patrimônio!B853,Ações!$E$66,"Provento")</f>
        <v>0</v>
      </c>
      <c r="L853" s="109">
        <f>SUMIFS(BDRs!$J$66,BDRs!$E$66,"Provento",BDRs!$N$66,Patrimônio!B853)</f>
        <v>0</v>
      </c>
      <c r="M853" s="109">
        <f>SUMIFS(FIIs!$J$66,FIIs!$E$66,"Provento",FIIs!$N$66,Patrimônio!B853)</f>
        <v>0</v>
      </c>
      <c r="N853" s="109">
        <f t="shared" si="2"/>
        <v>0</v>
      </c>
      <c r="O853" s="109"/>
      <c r="Q853" s="154"/>
      <c r="R853" s="155" t="s">
        <v>272</v>
      </c>
      <c r="S853" s="156">
        <v>0</v>
      </c>
    </row>
    <row r="854" spans="1:19" ht="17.25" customHeight="1">
      <c r="A854" s="108">
        <v>70526</v>
      </c>
      <c r="B854" s="108">
        <f t="shared" si="0"/>
        <v>70525</v>
      </c>
      <c r="C854" s="109"/>
      <c r="D854" s="109"/>
      <c r="E854" s="109"/>
      <c r="F854" s="109"/>
      <c r="G854" s="109"/>
      <c r="H854" s="109"/>
      <c r="I854" s="109">
        <f t="shared" ref="I854:J854" si="868">SUM(C854,E854,G854)</f>
        <v>0</v>
      </c>
      <c r="J854" s="109">
        <f t="shared" si="868"/>
        <v>0</v>
      </c>
      <c r="K854" s="109">
        <f>SUMIFS(Ações!$J$66,Ações!$N$66,Patrimônio!B854,Ações!$E$66,"Provento")</f>
        <v>0</v>
      </c>
      <c r="L854" s="109">
        <f>SUMIFS(BDRs!$J$66,BDRs!$E$66,"Provento",BDRs!$N$66,Patrimônio!B854)</f>
        <v>0</v>
      </c>
      <c r="M854" s="109">
        <f>SUMIFS(FIIs!$J$66,FIIs!$E$66,"Provento",FIIs!$N$66,Patrimônio!B854)</f>
        <v>0</v>
      </c>
      <c r="N854" s="109">
        <f t="shared" si="2"/>
        <v>0</v>
      </c>
      <c r="O854" s="109"/>
      <c r="Q854" s="151" t="s">
        <v>218</v>
      </c>
      <c r="R854" s="157"/>
      <c r="S854" s="153">
        <v>0</v>
      </c>
    </row>
    <row r="855" spans="1:19" ht="17.25" customHeight="1">
      <c r="A855" s="108">
        <v>70554</v>
      </c>
      <c r="B855" s="108">
        <f t="shared" si="0"/>
        <v>70553</v>
      </c>
      <c r="C855" s="109"/>
      <c r="D855" s="109"/>
      <c r="E855" s="109"/>
      <c r="F855" s="109"/>
      <c r="G855" s="109"/>
      <c r="H855" s="109"/>
      <c r="I855" s="109">
        <f t="shared" ref="I855:J855" si="869">SUM(C855,E855,G855)</f>
        <v>0</v>
      </c>
      <c r="J855" s="109">
        <f t="shared" si="869"/>
        <v>0</v>
      </c>
      <c r="K855" s="109">
        <f>SUMIFS(Ações!$J$66,Ações!$N$66,Patrimônio!B855,Ações!$E$66,"Provento")</f>
        <v>0</v>
      </c>
      <c r="L855" s="109">
        <f>SUMIFS(BDRs!$J$66,BDRs!$E$66,"Provento",BDRs!$N$66,Patrimônio!B855)</f>
        <v>0</v>
      </c>
      <c r="M855" s="109">
        <f>SUMIFS(FIIs!$J$66,FIIs!$E$66,"Provento",FIIs!$N$66,Patrimônio!B855)</f>
        <v>0</v>
      </c>
      <c r="N855" s="109">
        <f t="shared" si="2"/>
        <v>0</v>
      </c>
      <c r="O855" s="109"/>
      <c r="Q855" s="151" t="s">
        <v>219</v>
      </c>
      <c r="R855" s="152" t="s">
        <v>261</v>
      </c>
      <c r="S855" s="153">
        <v>0</v>
      </c>
    </row>
    <row r="856" spans="1:19" ht="17.25" customHeight="1">
      <c r="A856" s="108">
        <v>70585</v>
      </c>
      <c r="B856" s="108">
        <f t="shared" si="0"/>
        <v>70584</v>
      </c>
      <c r="C856" s="109"/>
      <c r="D856" s="109"/>
      <c r="E856" s="109"/>
      <c r="F856" s="109"/>
      <c r="G856" s="109"/>
      <c r="H856" s="109"/>
      <c r="I856" s="109">
        <f t="shared" ref="I856:J856" si="870">SUM(C856,E856,G856)</f>
        <v>0</v>
      </c>
      <c r="J856" s="109">
        <f t="shared" si="870"/>
        <v>0</v>
      </c>
      <c r="K856" s="109">
        <f>SUMIFS(Ações!$J$66,Ações!$N$66,Patrimônio!B856,Ações!$E$66,"Provento")</f>
        <v>0</v>
      </c>
      <c r="L856" s="109">
        <f>SUMIFS(BDRs!$J$66,BDRs!$E$66,"Provento",BDRs!$N$66,Patrimônio!B856)</f>
        <v>0</v>
      </c>
      <c r="M856" s="109">
        <f>SUMIFS(FIIs!$J$66,FIIs!$E$66,"Provento",FIIs!$N$66,Patrimônio!B856)</f>
        <v>0</v>
      </c>
      <c r="N856" s="109">
        <f t="shared" si="2"/>
        <v>0</v>
      </c>
      <c r="O856" s="109"/>
      <c r="Q856" s="154"/>
      <c r="R856" s="155" t="s">
        <v>262</v>
      </c>
      <c r="S856" s="156">
        <v>0</v>
      </c>
    </row>
    <row r="857" spans="1:19" ht="17.25" customHeight="1">
      <c r="A857" s="108">
        <v>70615</v>
      </c>
      <c r="B857" s="108">
        <f t="shared" si="0"/>
        <v>70614</v>
      </c>
      <c r="C857" s="109"/>
      <c r="D857" s="109"/>
      <c r="E857" s="109"/>
      <c r="F857" s="109"/>
      <c r="G857" s="109"/>
      <c r="H857" s="109"/>
      <c r="I857" s="109">
        <f t="shared" ref="I857:J857" si="871">SUM(C857,E857,G857)</f>
        <v>0</v>
      </c>
      <c r="J857" s="109">
        <f t="shared" si="871"/>
        <v>0</v>
      </c>
      <c r="K857" s="109">
        <f>SUMIFS(Ações!$J$66,Ações!$N$66,Patrimônio!B857,Ações!$E$66,"Provento")</f>
        <v>0</v>
      </c>
      <c r="L857" s="109">
        <f>SUMIFS(BDRs!$J$66,BDRs!$E$66,"Provento",BDRs!$N$66,Patrimônio!B857)</f>
        <v>0</v>
      </c>
      <c r="M857" s="109">
        <f>SUMIFS(FIIs!$J$66,FIIs!$E$66,"Provento",FIIs!$N$66,Patrimônio!B857)</f>
        <v>0</v>
      </c>
      <c r="N857" s="109">
        <f t="shared" si="2"/>
        <v>0</v>
      </c>
      <c r="O857" s="109"/>
      <c r="Q857" s="154"/>
      <c r="R857" s="155" t="s">
        <v>263</v>
      </c>
      <c r="S857" s="156">
        <v>0</v>
      </c>
    </row>
    <row r="858" spans="1:19" ht="17.25" customHeight="1">
      <c r="A858" s="108">
        <v>70646</v>
      </c>
      <c r="B858" s="108">
        <f t="shared" si="0"/>
        <v>70645</v>
      </c>
      <c r="C858" s="109"/>
      <c r="D858" s="109"/>
      <c r="E858" s="109"/>
      <c r="F858" s="109"/>
      <c r="G858" s="109"/>
      <c r="H858" s="109"/>
      <c r="I858" s="109">
        <f t="shared" ref="I858:J858" si="872">SUM(C858,E858,G858)</f>
        <v>0</v>
      </c>
      <c r="J858" s="109">
        <f t="shared" si="872"/>
        <v>0</v>
      </c>
      <c r="K858" s="109">
        <f>SUMIFS(Ações!$J$66,Ações!$N$66,Patrimônio!B858,Ações!$E$66,"Provento")</f>
        <v>0</v>
      </c>
      <c r="L858" s="109">
        <f>SUMIFS(BDRs!$J$66,BDRs!$E$66,"Provento",BDRs!$N$66,Patrimônio!B858)</f>
        <v>0</v>
      </c>
      <c r="M858" s="109">
        <f>SUMIFS(FIIs!$J$66,FIIs!$E$66,"Provento",FIIs!$N$66,Patrimônio!B858)</f>
        <v>0</v>
      </c>
      <c r="N858" s="109">
        <f t="shared" si="2"/>
        <v>0</v>
      </c>
      <c r="O858" s="109"/>
      <c r="Q858" s="154"/>
      <c r="R858" s="155" t="s">
        <v>264</v>
      </c>
      <c r="S858" s="156">
        <v>0</v>
      </c>
    </row>
    <row r="859" spans="1:19" ht="17.25" customHeight="1">
      <c r="A859" s="108">
        <v>70676</v>
      </c>
      <c r="B859" s="108">
        <f t="shared" si="0"/>
        <v>70675</v>
      </c>
      <c r="C859" s="109"/>
      <c r="D859" s="109"/>
      <c r="E859" s="109"/>
      <c r="F859" s="109"/>
      <c r="G859" s="109"/>
      <c r="H859" s="109"/>
      <c r="I859" s="109">
        <f t="shared" ref="I859:J859" si="873">SUM(C859,E859,G859)</f>
        <v>0</v>
      </c>
      <c r="J859" s="109">
        <f t="shared" si="873"/>
        <v>0</v>
      </c>
      <c r="K859" s="109">
        <f>SUMIFS(Ações!$J$66,Ações!$N$66,Patrimônio!B859,Ações!$E$66,"Provento")</f>
        <v>0</v>
      </c>
      <c r="L859" s="109">
        <f>SUMIFS(BDRs!$J$66,BDRs!$E$66,"Provento",BDRs!$N$66,Patrimônio!B859)</f>
        <v>0</v>
      </c>
      <c r="M859" s="109">
        <f>SUMIFS(FIIs!$J$66,FIIs!$E$66,"Provento",FIIs!$N$66,Patrimônio!B859)</f>
        <v>0</v>
      </c>
      <c r="N859" s="109">
        <f t="shared" si="2"/>
        <v>0</v>
      </c>
      <c r="O859" s="109"/>
      <c r="Q859" s="154"/>
      <c r="R859" s="155" t="s">
        <v>265</v>
      </c>
      <c r="S859" s="156">
        <v>0</v>
      </c>
    </row>
    <row r="860" spans="1:19" ht="17.25" customHeight="1">
      <c r="A860" s="108">
        <v>70707</v>
      </c>
      <c r="B860" s="108">
        <f t="shared" si="0"/>
        <v>70706</v>
      </c>
      <c r="C860" s="109"/>
      <c r="D860" s="109"/>
      <c r="E860" s="109"/>
      <c r="F860" s="109"/>
      <c r="G860" s="109"/>
      <c r="H860" s="109"/>
      <c r="I860" s="109">
        <f t="shared" ref="I860:J860" si="874">SUM(C860,E860,G860)</f>
        <v>0</v>
      </c>
      <c r="J860" s="109">
        <f t="shared" si="874"/>
        <v>0</v>
      </c>
      <c r="K860" s="109">
        <f>SUMIFS(Ações!$J$66,Ações!$N$66,Patrimônio!B860,Ações!$E$66,"Provento")</f>
        <v>0</v>
      </c>
      <c r="L860" s="109">
        <f>SUMIFS(BDRs!$J$66,BDRs!$E$66,"Provento",BDRs!$N$66,Patrimônio!B860)</f>
        <v>0</v>
      </c>
      <c r="M860" s="109">
        <f>SUMIFS(FIIs!$J$66,FIIs!$E$66,"Provento",FIIs!$N$66,Patrimônio!B860)</f>
        <v>0</v>
      </c>
      <c r="N860" s="109">
        <f t="shared" si="2"/>
        <v>0</v>
      </c>
      <c r="O860" s="109"/>
      <c r="Q860" s="154"/>
      <c r="R860" s="155" t="s">
        <v>266</v>
      </c>
      <c r="S860" s="156">
        <v>0</v>
      </c>
    </row>
    <row r="861" spans="1:19" ht="17.25" customHeight="1">
      <c r="A861" s="108">
        <v>70738</v>
      </c>
      <c r="B861" s="108">
        <f t="shared" si="0"/>
        <v>70737</v>
      </c>
      <c r="C861" s="109"/>
      <c r="D861" s="109"/>
      <c r="E861" s="109"/>
      <c r="F861" s="109"/>
      <c r="G861" s="109"/>
      <c r="H861" s="109"/>
      <c r="I861" s="109">
        <f t="shared" ref="I861:J861" si="875">SUM(C861,E861,G861)</f>
        <v>0</v>
      </c>
      <c r="J861" s="109">
        <f t="shared" si="875"/>
        <v>0</v>
      </c>
      <c r="K861" s="109">
        <f>SUMIFS(Ações!$J$66,Ações!$N$66,Patrimônio!B861,Ações!$E$66,"Provento")</f>
        <v>0</v>
      </c>
      <c r="L861" s="109">
        <f>SUMIFS(BDRs!$J$66,BDRs!$E$66,"Provento",BDRs!$N$66,Patrimônio!B861)</f>
        <v>0</v>
      </c>
      <c r="M861" s="109">
        <f>SUMIFS(FIIs!$J$66,FIIs!$E$66,"Provento",FIIs!$N$66,Patrimônio!B861)</f>
        <v>0</v>
      </c>
      <c r="N861" s="109">
        <f t="shared" si="2"/>
        <v>0</v>
      </c>
      <c r="O861" s="109"/>
      <c r="Q861" s="154"/>
      <c r="R861" s="155" t="s">
        <v>267</v>
      </c>
      <c r="S861" s="156">
        <v>0</v>
      </c>
    </row>
    <row r="862" spans="1:19" ht="17.25" customHeight="1">
      <c r="A862" s="108">
        <v>70768</v>
      </c>
      <c r="B862" s="108">
        <f t="shared" si="0"/>
        <v>70767</v>
      </c>
      <c r="C862" s="109"/>
      <c r="D862" s="109"/>
      <c r="E862" s="109"/>
      <c r="F862" s="109"/>
      <c r="G862" s="109"/>
      <c r="H862" s="109"/>
      <c r="I862" s="109">
        <f t="shared" ref="I862:J862" si="876">SUM(C862,E862,G862)</f>
        <v>0</v>
      </c>
      <c r="J862" s="109">
        <f t="shared" si="876"/>
        <v>0</v>
      </c>
      <c r="K862" s="109">
        <f>SUMIFS(Ações!$J$66,Ações!$N$66,Patrimônio!B862,Ações!$E$66,"Provento")</f>
        <v>0</v>
      </c>
      <c r="L862" s="109">
        <f>SUMIFS(BDRs!$J$66,BDRs!$E$66,"Provento",BDRs!$N$66,Patrimônio!B862)</f>
        <v>0</v>
      </c>
      <c r="M862" s="109">
        <f>SUMIFS(FIIs!$J$66,FIIs!$E$66,"Provento",FIIs!$N$66,Patrimônio!B862)</f>
        <v>0</v>
      </c>
      <c r="N862" s="109">
        <f t="shared" si="2"/>
        <v>0</v>
      </c>
      <c r="O862" s="109"/>
      <c r="Q862" s="154"/>
      <c r="R862" s="155" t="s">
        <v>268</v>
      </c>
      <c r="S862" s="156">
        <v>0</v>
      </c>
    </row>
    <row r="863" spans="1:19" ht="17.25" customHeight="1">
      <c r="A863" s="108">
        <v>70799</v>
      </c>
      <c r="B863" s="108">
        <f t="shared" si="0"/>
        <v>70798</v>
      </c>
      <c r="C863" s="109"/>
      <c r="D863" s="109"/>
      <c r="E863" s="109"/>
      <c r="F863" s="109"/>
      <c r="G863" s="109"/>
      <c r="H863" s="109"/>
      <c r="I863" s="109">
        <f t="shared" ref="I863:J863" si="877">SUM(C863,E863,G863)</f>
        <v>0</v>
      </c>
      <c r="J863" s="109">
        <f t="shared" si="877"/>
        <v>0</v>
      </c>
      <c r="K863" s="109">
        <f>SUMIFS(Ações!$J$66,Ações!$N$66,Patrimônio!B863,Ações!$E$66,"Provento")</f>
        <v>0</v>
      </c>
      <c r="L863" s="109">
        <f>SUMIFS(BDRs!$J$66,BDRs!$E$66,"Provento",BDRs!$N$66,Patrimônio!B863)</f>
        <v>0</v>
      </c>
      <c r="M863" s="109">
        <f>SUMIFS(FIIs!$J$66,FIIs!$E$66,"Provento",FIIs!$N$66,Patrimônio!B863)</f>
        <v>0</v>
      </c>
      <c r="N863" s="109">
        <f t="shared" si="2"/>
        <v>0</v>
      </c>
      <c r="O863" s="109"/>
      <c r="Q863" s="154"/>
      <c r="R863" s="155" t="s">
        <v>269</v>
      </c>
      <c r="S863" s="156">
        <v>0</v>
      </c>
    </row>
    <row r="864" spans="1:19" ht="17.25" customHeight="1">
      <c r="A864" s="108">
        <v>70829</v>
      </c>
      <c r="B864" s="108">
        <f t="shared" si="0"/>
        <v>70828</v>
      </c>
      <c r="C864" s="109"/>
      <c r="D864" s="109"/>
      <c r="E864" s="109"/>
      <c r="F864" s="109"/>
      <c r="G864" s="109"/>
      <c r="H864" s="109"/>
      <c r="I864" s="109">
        <f t="shared" ref="I864:J864" si="878">SUM(C864,E864,G864)</f>
        <v>0</v>
      </c>
      <c r="J864" s="109">
        <f t="shared" si="878"/>
        <v>0</v>
      </c>
      <c r="K864" s="109">
        <f>SUMIFS(Ações!$J$66,Ações!$N$66,Patrimônio!B864,Ações!$E$66,"Provento")</f>
        <v>0</v>
      </c>
      <c r="L864" s="109">
        <f>SUMIFS(BDRs!$J$66,BDRs!$E$66,"Provento",BDRs!$N$66,Patrimônio!B864)</f>
        <v>0</v>
      </c>
      <c r="M864" s="109">
        <f>SUMIFS(FIIs!$J$66,FIIs!$E$66,"Provento",FIIs!$N$66,Patrimônio!B864)</f>
        <v>0</v>
      </c>
      <c r="N864" s="109">
        <f t="shared" si="2"/>
        <v>0</v>
      </c>
      <c r="O864" s="109"/>
      <c r="Q864" s="154"/>
      <c r="R864" s="155" t="s">
        <v>270</v>
      </c>
      <c r="S864" s="156">
        <v>0</v>
      </c>
    </row>
    <row r="865" spans="1:19" ht="17.25" customHeight="1">
      <c r="A865" s="108">
        <v>70860</v>
      </c>
      <c r="B865" s="108">
        <f t="shared" si="0"/>
        <v>70859</v>
      </c>
      <c r="C865" s="109"/>
      <c r="D865" s="109"/>
      <c r="E865" s="109"/>
      <c r="F865" s="109"/>
      <c r="G865" s="109"/>
      <c r="H865" s="109"/>
      <c r="I865" s="109">
        <f t="shared" ref="I865:J865" si="879">SUM(C865,E865,G865)</f>
        <v>0</v>
      </c>
      <c r="J865" s="109">
        <f t="shared" si="879"/>
        <v>0</v>
      </c>
      <c r="K865" s="109">
        <f>SUMIFS(Ações!$J$66,Ações!$N$66,Patrimônio!B865,Ações!$E$66,"Provento")</f>
        <v>0</v>
      </c>
      <c r="L865" s="109">
        <f>SUMIFS(BDRs!$J$66,BDRs!$E$66,"Provento",BDRs!$N$66,Patrimônio!B865)</f>
        <v>0</v>
      </c>
      <c r="M865" s="109">
        <f>SUMIFS(FIIs!$J$66,FIIs!$E$66,"Provento",FIIs!$N$66,Patrimônio!B865)</f>
        <v>0</v>
      </c>
      <c r="N865" s="109">
        <f t="shared" si="2"/>
        <v>0</v>
      </c>
      <c r="O865" s="109"/>
      <c r="Q865" s="154"/>
      <c r="R865" s="155" t="s">
        <v>271</v>
      </c>
      <c r="S865" s="156">
        <v>0</v>
      </c>
    </row>
    <row r="866" spans="1:19" ht="17.25" customHeight="1">
      <c r="A866" s="108">
        <v>70891</v>
      </c>
      <c r="B866" s="108">
        <f t="shared" si="0"/>
        <v>70890</v>
      </c>
      <c r="C866" s="109"/>
      <c r="D866" s="109"/>
      <c r="E866" s="109"/>
      <c r="F866" s="109"/>
      <c r="G866" s="109"/>
      <c r="H866" s="109"/>
      <c r="I866" s="109">
        <f t="shared" ref="I866:J866" si="880">SUM(C866,E866,G866)</f>
        <v>0</v>
      </c>
      <c r="J866" s="109">
        <f t="shared" si="880"/>
        <v>0</v>
      </c>
      <c r="K866" s="109">
        <f>SUMIFS(Ações!$J$66,Ações!$N$66,Patrimônio!B866,Ações!$E$66,"Provento")</f>
        <v>0</v>
      </c>
      <c r="L866" s="109">
        <f>SUMIFS(BDRs!$J$66,BDRs!$E$66,"Provento",BDRs!$N$66,Patrimônio!B866)</f>
        <v>0</v>
      </c>
      <c r="M866" s="109">
        <f>SUMIFS(FIIs!$J$66,FIIs!$E$66,"Provento",FIIs!$N$66,Patrimônio!B866)</f>
        <v>0</v>
      </c>
      <c r="N866" s="109">
        <f t="shared" si="2"/>
        <v>0</v>
      </c>
      <c r="O866" s="109"/>
      <c r="Q866" s="154"/>
      <c r="R866" s="155" t="s">
        <v>272</v>
      </c>
      <c r="S866" s="156">
        <v>0</v>
      </c>
    </row>
    <row r="867" spans="1:19" ht="17.25" customHeight="1">
      <c r="A867" s="108">
        <v>70919</v>
      </c>
      <c r="B867" s="108">
        <f t="shared" si="0"/>
        <v>70918</v>
      </c>
      <c r="C867" s="109"/>
      <c r="D867" s="109"/>
      <c r="E867" s="109"/>
      <c r="F867" s="109"/>
      <c r="G867" s="109"/>
      <c r="H867" s="109"/>
      <c r="I867" s="109">
        <f t="shared" ref="I867:J867" si="881">SUM(C867,E867,G867)</f>
        <v>0</v>
      </c>
      <c r="J867" s="109">
        <f t="shared" si="881"/>
        <v>0</v>
      </c>
      <c r="K867" s="109">
        <f>SUMIFS(Ações!$J$66,Ações!$N$66,Patrimônio!B867,Ações!$E$66,"Provento")</f>
        <v>0</v>
      </c>
      <c r="L867" s="109">
        <f>SUMIFS(BDRs!$J$66,BDRs!$E$66,"Provento",BDRs!$N$66,Patrimônio!B867)</f>
        <v>0</v>
      </c>
      <c r="M867" s="109">
        <f>SUMIFS(FIIs!$J$66,FIIs!$E$66,"Provento",FIIs!$N$66,Patrimônio!B867)</f>
        <v>0</v>
      </c>
      <c r="N867" s="109">
        <f t="shared" si="2"/>
        <v>0</v>
      </c>
      <c r="O867" s="109"/>
      <c r="Q867" s="151" t="s">
        <v>220</v>
      </c>
      <c r="R867" s="157"/>
      <c r="S867" s="153">
        <v>0</v>
      </c>
    </row>
    <row r="868" spans="1:19" ht="17.25" customHeight="1">
      <c r="A868" s="108">
        <v>70950</v>
      </c>
      <c r="B868" s="108">
        <f t="shared" si="0"/>
        <v>70949</v>
      </c>
      <c r="C868" s="109"/>
      <c r="D868" s="109"/>
      <c r="E868" s="109"/>
      <c r="F868" s="109"/>
      <c r="G868" s="109"/>
      <c r="H868" s="109"/>
      <c r="I868" s="109">
        <f t="shared" ref="I868:J868" si="882">SUM(C868,E868,G868)</f>
        <v>0</v>
      </c>
      <c r="J868" s="109">
        <f t="shared" si="882"/>
        <v>0</v>
      </c>
      <c r="K868" s="109">
        <f>SUMIFS(Ações!$J$66,Ações!$N$66,Patrimônio!B868,Ações!$E$66,"Provento")</f>
        <v>0</v>
      </c>
      <c r="L868" s="109">
        <f>SUMIFS(BDRs!$J$66,BDRs!$E$66,"Provento",BDRs!$N$66,Patrimônio!B868)</f>
        <v>0</v>
      </c>
      <c r="M868" s="109">
        <f>SUMIFS(FIIs!$J$66,FIIs!$E$66,"Provento",FIIs!$N$66,Patrimônio!B868)</f>
        <v>0</v>
      </c>
      <c r="N868" s="109">
        <f t="shared" si="2"/>
        <v>0</v>
      </c>
      <c r="O868" s="109"/>
      <c r="Q868" s="151" t="s">
        <v>221</v>
      </c>
      <c r="R868" s="152" t="s">
        <v>261</v>
      </c>
      <c r="S868" s="153">
        <v>0</v>
      </c>
    </row>
    <row r="869" spans="1:19" ht="17.25" customHeight="1">
      <c r="A869" s="108">
        <v>70980</v>
      </c>
      <c r="B869" s="108">
        <f t="shared" si="0"/>
        <v>70979</v>
      </c>
      <c r="C869" s="109"/>
      <c r="D869" s="109"/>
      <c r="E869" s="109"/>
      <c r="F869" s="109"/>
      <c r="G869" s="109"/>
      <c r="H869" s="109"/>
      <c r="I869" s="109">
        <f t="shared" ref="I869:J869" si="883">SUM(C869,E869,G869)</f>
        <v>0</v>
      </c>
      <c r="J869" s="109">
        <f t="shared" si="883"/>
        <v>0</v>
      </c>
      <c r="K869" s="109">
        <f>SUMIFS(Ações!$J$66,Ações!$N$66,Patrimônio!B869,Ações!$E$66,"Provento")</f>
        <v>0</v>
      </c>
      <c r="L869" s="109">
        <f>SUMIFS(BDRs!$J$66,BDRs!$E$66,"Provento",BDRs!$N$66,Patrimônio!B869)</f>
        <v>0</v>
      </c>
      <c r="M869" s="109">
        <f>SUMIFS(FIIs!$J$66,FIIs!$E$66,"Provento",FIIs!$N$66,Patrimônio!B869)</f>
        <v>0</v>
      </c>
      <c r="N869" s="109">
        <f t="shared" si="2"/>
        <v>0</v>
      </c>
      <c r="O869" s="109"/>
      <c r="Q869" s="154"/>
      <c r="R869" s="155" t="s">
        <v>262</v>
      </c>
      <c r="S869" s="156">
        <v>0</v>
      </c>
    </row>
    <row r="870" spans="1:19" ht="17.25" customHeight="1">
      <c r="A870" s="108">
        <v>71011</v>
      </c>
      <c r="B870" s="108">
        <f t="shared" si="0"/>
        <v>71010</v>
      </c>
      <c r="C870" s="109"/>
      <c r="D870" s="109"/>
      <c r="E870" s="109"/>
      <c r="F870" s="109"/>
      <c r="G870" s="109"/>
      <c r="H870" s="109"/>
      <c r="I870" s="109">
        <f t="shared" ref="I870:J870" si="884">SUM(C870,E870,G870)</f>
        <v>0</v>
      </c>
      <c r="J870" s="109">
        <f t="shared" si="884"/>
        <v>0</v>
      </c>
      <c r="K870" s="109">
        <f>SUMIFS(Ações!$J$66,Ações!$N$66,Patrimônio!B870,Ações!$E$66,"Provento")</f>
        <v>0</v>
      </c>
      <c r="L870" s="109">
        <f>SUMIFS(BDRs!$J$66,BDRs!$E$66,"Provento",BDRs!$N$66,Patrimônio!B870)</f>
        <v>0</v>
      </c>
      <c r="M870" s="109">
        <f>SUMIFS(FIIs!$J$66,FIIs!$E$66,"Provento",FIIs!$N$66,Patrimônio!B870)</f>
        <v>0</v>
      </c>
      <c r="N870" s="109">
        <f t="shared" si="2"/>
        <v>0</v>
      </c>
      <c r="O870" s="109"/>
      <c r="Q870" s="154"/>
      <c r="R870" s="155" t="s">
        <v>263</v>
      </c>
      <c r="S870" s="156">
        <v>0</v>
      </c>
    </row>
    <row r="871" spans="1:19" ht="17.25" customHeight="1">
      <c r="A871" s="108">
        <v>71041</v>
      </c>
      <c r="B871" s="108">
        <f t="shared" si="0"/>
        <v>71040</v>
      </c>
      <c r="C871" s="109"/>
      <c r="D871" s="109"/>
      <c r="E871" s="109"/>
      <c r="F871" s="109"/>
      <c r="G871" s="109"/>
      <c r="H871" s="109"/>
      <c r="I871" s="109">
        <f t="shared" ref="I871:J871" si="885">SUM(C871,E871,G871)</f>
        <v>0</v>
      </c>
      <c r="J871" s="109">
        <f t="shared" si="885"/>
        <v>0</v>
      </c>
      <c r="K871" s="109">
        <f>SUMIFS(Ações!$J$66,Ações!$N$66,Patrimônio!B871,Ações!$E$66,"Provento")</f>
        <v>0</v>
      </c>
      <c r="L871" s="109">
        <f>SUMIFS(BDRs!$J$66,BDRs!$E$66,"Provento",BDRs!$N$66,Patrimônio!B871)</f>
        <v>0</v>
      </c>
      <c r="M871" s="109">
        <f>SUMIFS(FIIs!$J$66,FIIs!$E$66,"Provento",FIIs!$N$66,Patrimônio!B871)</f>
        <v>0</v>
      </c>
      <c r="N871" s="109">
        <f t="shared" si="2"/>
        <v>0</v>
      </c>
      <c r="O871" s="109"/>
      <c r="Q871" s="154"/>
      <c r="R871" s="155" t="s">
        <v>264</v>
      </c>
      <c r="S871" s="156">
        <v>0</v>
      </c>
    </row>
    <row r="872" spans="1:19" ht="17.25" customHeight="1">
      <c r="A872" s="108">
        <v>71072</v>
      </c>
      <c r="B872" s="108">
        <f t="shared" si="0"/>
        <v>71071</v>
      </c>
      <c r="C872" s="109"/>
      <c r="D872" s="109"/>
      <c r="E872" s="109"/>
      <c r="F872" s="109"/>
      <c r="G872" s="109"/>
      <c r="H872" s="109"/>
      <c r="I872" s="109">
        <f t="shared" ref="I872:J872" si="886">SUM(C872,E872,G872)</f>
        <v>0</v>
      </c>
      <c r="J872" s="109">
        <f t="shared" si="886"/>
        <v>0</v>
      </c>
      <c r="K872" s="109">
        <f>SUMIFS(Ações!$J$66,Ações!$N$66,Patrimônio!B872,Ações!$E$66,"Provento")</f>
        <v>0</v>
      </c>
      <c r="L872" s="109">
        <f>SUMIFS(BDRs!$J$66,BDRs!$E$66,"Provento",BDRs!$N$66,Patrimônio!B872)</f>
        <v>0</v>
      </c>
      <c r="M872" s="109">
        <f>SUMIFS(FIIs!$J$66,FIIs!$E$66,"Provento",FIIs!$N$66,Patrimônio!B872)</f>
        <v>0</v>
      </c>
      <c r="N872" s="109">
        <f t="shared" si="2"/>
        <v>0</v>
      </c>
      <c r="O872" s="109"/>
      <c r="Q872" s="154"/>
      <c r="R872" s="155" t="s">
        <v>265</v>
      </c>
      <c r="S872" s="156">
        <v>0</v>
      </c>
    </row>
    <row r="873" spans="1:19" ht="17.25" customHeight="1">
      <c r="A873" s="108">
        <v>71103</v>
      </c>
      <c r="B873" s="108">
        <f t="shared" si="0"/>
        <v>71102</v>
      </c>
      <c r="C873" s="109"/>
      <c r="D873" s="109"/>
      <c r="E873" s="109"/>
      <c r="F873" s="109"/>
      <c r="G873" s="109"/>
      <c r="H873" s="109"/>
      <c r="I873" s="109">
        <f t="shared" ref="I873:J873" si="887">SUM(C873,E873,G873)</f>
        <v>0</v>
      </c>
      <c r="J873" s="109">
        <f t="shared" si="887"/>
        <v>0</v>
      </c>
      <c r="K873" s="109">
        <f>SUMIFS(Ações!$J$66,Ações!$N$66,Patrimônio!B873,Ações!$E$66,"Provento")</f>
        <v>0</v>
      </c>
      <c r="L873" s="109">
        <f>SUMIFS(BDRs!$J$66,BDRs!$E$66,"Provento",BDRs!$N$66,Patrimônio!B873)</f>
        <v>0</v>
      </c>
      <c r="M873" s="109">
        <f>SUMIFS(FIIs!$J$66,FIIs!$E$66,"Provento",FIIs!$N$66,Patrimônio!B873)</f>
        <v>0</v>
      </c>
      <c r="N873" s="109">
        <f t="shared" si="2"/>
        <v>0</v>
      </c>
      <c r="O873" s="109"/>
      <c r="Q873" s="154"/>
      <c r="R873" s="155" t="s">
        <v>266</v>
      </c>
      <c r="S873" s="156">
        <v>0</v>
      </c>
    </row>
    <row r="874" spans="1:19" ht="17.25" customHeight="1">
      <c r="A874" s="108">
        <v>71133</v>
      </c>
      <c r="B874" s="108">
        <f t="shared" si="0"/>
        <v>71132</v>
      </c>
      <c r="C874" s="109"/>
      <c r="D874" s="109"/>
      <c r="E874" s="109"/>
      <c r="F874" s="109"/>
      <c r="G874" s="109"/>
      <c r="H874" s="109"/>
      <c r="I874" s="109">
        <f t="shared" ref="I874:J874" si="888">SUM(C874,E874,G874)</f>
        <v>0</v>
      </c>
      <c r="J874" s="109">
        <f t="shared" si="888"/>
        <v>0</v>
      </c>
      <c r="K874" s="109">
        <f>SUMIFS(Ações!$J$66,Ações!$N$66,Patrimônio!B874,Ações!$E$66,"Provento")</f>
        <v>0</v>
      </c>
      <c r="L874" s="109">
        <f>SUMIFS(BDRs!$J$66,BDRs!$E$66,"Provento",BDRs!$N$66,Patrimônio!B874)</f>
        <v>0</v>
      </c>
      <c r="M874" s="109">
        <f>SUMIFS(FIIs!$J$66,FIIs!$E$66,"Provento",FIIs!$N$66,Patrimônio!B874)</f>
        <v>0</v>
      </c>
      <c r="N874" s="109">
        <f t="shared" si="2"/>
        <v>0</v>
      </c>
      <c r="O874" s="109"/>
      <c r="Q874" s="154"/>
      <c r="R874" s="155" t="s">
        <v>267</v>
      </c>
      <c r="S874" s="156">
        <v>0</v>
      </c>
    </row>
    <row r="875" spans="1:19" ht="17.25" customHeight="1">
      <c r="A875" s="108">
        <v>71164</v>
      </c>
      <c r="B875" s="108">
        <f t="shared" si="0"/>
        <v>71163</v>
      </c>
      <c r="C875" s="109"/>
      <c r="D875" s="109"/>
      <c r="E875" s="109"/>
      <c r="F875" s="109"/>
      <c r="G875" s="109"/>
      <c r="H875" s="109"/>
      <c r="I875" s="109">
        <f t="shared" ref="I875:J875" si="889">SUM(C875,E875,G875)</f>
        <v>0</v>
      </c>
      <c r="J875" s="109">
        <f t="shared" si="889"/>
        <v>0</v>
      </c>
      <c r="K875" s="109">
        <f>SUMIFS(Ações!$J$66,Ações!$N$66,Patrimônio!B875,Ações!$E$66,"Provento")</f>
        <v>0</v>
      </c>
      <c r="L875" s="109">
        <f>SUMIFS(BDRs!$J$66,BDRs!$E$66,"Provento",BDRs!$N$66,Patrimônio!B875)</f>
        <v>0</v>
      </c>
      <c r="M875" s="109">
        <f>SUMIFS(FIIs!$J$66,FIIs!$E$66,"Provento",FIIs!$N$66,Patrimônio!B875)</f>
        <v>0</v>
      </c>
      <c r="N875" s="109">
        <f t="shared" si="2"/>
        <v>0</v>
      </c>
      <c r="O875" s="109"/>
      <c r="Q875" s="154"/>
      <c r="R875" s="155" t="s">
        <v>268</v>
      </c>
      <c r="S875" s="156">
        <v>0</v>
      </c>
    </row>
    <row r="876" spans="1:19" ht="17.25" customHeight="1">
      <c r="A876" s="108">
        <v>71194</v>
      </c>
      <c r="B876" s="108">
        <f t="shared" si="0"/>
        <v>71193</v>
      </c>
      <c r="C876" s="109"/>
      <c r="D876" s="109"/>
      <c r="E876" s="109"/>
      <c r="F876" s="109"/>
      <c r="G876" s="109"/>
      <c r="H876" s="109"/>
      <c r="I876" s="109">
        <f t="shared" ref="I876:J876" si="890">SUM(C876,E876,G876)</f>
        <v>0</v>
      </c>
      <c r="J876" s="109">
        <f t="shared" si="890"/>
        <v>0</v>
      </c>
      <c r="K876" s="109">
        <f>SUMIFS(Ações!$J$66,Ações!$N$66,Patrimônio!B876,Ações!$E$66,"Provento")</f>
        <v>0</v>
      </c>
      <c r="L876" s="109">
        <f>SUMIFS(BDRs!$J$66,BDRs!$E$66,"Provento",BDRs!$N$66,Patrimônio!B876)</f>
        <v>0</v>
      </c>
      <c r="M876" s="109">
        <f>SUMIFS(FIIs!$J$66,FIIs!$E$66,"Provento",FIIs!$N$66,Patrimônio!B876)</f>
        <v>0</v>
      </c>
      <c r="N876" s="109">
        <f t="shared" si="2"/>
        <v>0</v>
      </c>
      <c r="O876" s="109"/>
      <c r="Q876" s="154"/>
      <c r="R876" s="155" t="s">
        <v>269</v>
      </c>
      <c r="S876" s="156">
        <v>0</v>
      </c>
    </row>
    <row r="877" spans="1:19" ht="17.25" customHeight="1">
      <c r="A877" s="108">
        <v>71225</v>
      </c>
      <c r="B877" s="108">
        <f t="shared" si="0"/>
        <v>71224</v>
      </c>
      <c r="C877" s="109"/>
      <c r="D877" s="109"/>
      <c r="E877" s="109"/>
      <c r="F877" s="109"/>
      <c r="G877" s="109"/>
      <c r="H877" s="109"/>
      <c r="I877" s="109">
        <f t="shared" ref="I877:J877" si="891">SUM(C877,E877,G877)</f>
        <v>0</v>
      </c>
      <c r="J877" s="109">
        <f t="shared" si="891"/>
        <v>0</v>
      </c>
      <c r="K877" s="109">
        <f>SUMIFS(Ações!$J$66,Ações!$N$66,Patrimônio!B877,Ações!$E$66,"Provento")</f>
        <v>0</v>
      </c>
      <c r="L877" s="109">
        <f>SUMIFS(BDRs!$J$66,BDRs!$E$66,"Provento",BDRs!$N$66,Patrimônio!B877)</f>
        <v>0</v>
      </c>
      <c r="M877" s="109">
        <f>SUMIFS(FIIs!$J$66,FIIs!$E$66,"Provento",FIIs!$N$66,Patrimônio!B877)</f>
        <v>0</v>
      </c>
      <c r="N877" s="109">
        <f t="shared" si="2"/>
        <v>0</v>
      </c>
      <c r="O877" s="109"/>
      <c r="Q877" s="154"/>
      <c r="R877" s="155" t="s">
        <v>270</v>
      </c>
      <c r="S877" s="156">
        <v>0</v>
      </c>
    </row>
    <row r="878" spans="1:19" ht="17.25" customHeight="1">
      <c r="A878" s="108">
        <v>71256</v>
      </c>
      <c r="B878" s="108">
        <f t="shared" si="0"/>
        <v>71255</v>
      </c>
      <c r="C878" s="109"/>
      <c r="D878" s="109"/>
      <c r="E878" s="109"/>
      <c r="F878" s="109"/>
      <c r="G878" s="109"/>
      <c r="H878" s="109"/>
      <c r="I878" s="109">
        <f t="shared" ref="I878:J878" si="892">SUM(C878,E878,G878)</f>
        <v>0</v>
      </c>
      <c r="J878" s="109">
        <f t="shared" si="892"/>
        <v>0</v>
      </c>
      <c r="K878" s="109">
        <f>SUMIFS(Ações!$J$66,Ações!$N$66,Patrimônio!B878,Ações!$E$66,"Provento")</f>
        <v>0</v>
      </c>
      <c r="L878" s="109">
        <f>SUMIFS(BDRs!$J$66,BDRs!$E$66,"Provento",BDRs!$N$66,Patrimônio!B878)</f>
        <v>0</v>
      </c>
      <c r="M878" s="109">
        <f>SUMIFS(FIIs!$J$66,FIIs!$E$66,"Provento",FIIs!$N$66,Patrimônio!B878)</f>
        <v>0</v>
      </c>
      <c r="N878" s="109">
        <f t="shared" si="2"/>
        <v>0</v>
      </c>
      <c r="O878" s="109"/>
      <c r="Q878" s="154"/>
      <c r="R878" s="155" t="s">
        <v>271</v>
      </c>
      <c r="S878" s="156">
        <v>0</v>
      </c>
    </row>
    <row r="879" spans="1:19" ht="17.25" customHeight="1">
      <c r="A879" s="108">
        <v>71284</v>
      </c>
      <c r="B879" s="108">
        <f t="shared" si="0"/>
        <v>71283</v>
      </c>
      <c r="C879" s="109"/>
      <c r="D879" s="109"/>
      <c r="E879" s="109"/>
      <c r="F879" s="109"/>
      <c r="G879" s="109"/>
      <c r="H879" s="109"/>
      <c r="I879" s="109">
        <f t="shared" ref="I879:J879" si="893">SUM(C879,E879,G879)</f>
        <v>0</v>
      </c>
      <c r="J879" s="109">
        <f t="shared" si="893"/>
        <v>0</v>
      </c>
      <c r="K879" s="109">
        <f>SUMIFS(Ações!$J$66,Ações!$N$66,Patrimônio!B879,Ações!$E$66,"Provento")</f>
        <v>0</v>
      </c>
      <c r="L879" s="109">
        <f>SUMIFS(BDRs!$J$66,BDRs!$E$66,"Provento",BDRs!$N$66,Patrimônio!B879)</f>
        <v>0</v>
      </c>
      <c r="M879" s="109">
        <f>SUMIFS(FIIs!$J$66,FIIs!$E$66,"Provento",FIIs!$N$66,Patrimônio!B879)</f>
        <v>0</v>
      </c>
      <c r="N879" s="109">
        <f t="shared" si="2"/>
        <v>0</v>
      </c>
      <c r="O879" s="109"/>
      <c r="Q879" s="154"/>
      <c r="R879" s="155" t="s">
        <v>272</v>
      </c>
      <c r="S879" s="156">
        <v>0</v>
      </c>
    </row>
    <row r="880" spans="1:19" ht="17.25" customHeight="1">
      <c r="A880" s="108">
        <v>71315</v>
      </c>
      <c r="B880" s="108">
        <f t="shared" si="0"/>
        <v>71314</v>
      </c>
      <c r="C880" s="109"/>
      <c r="D880" s="109"/>
      <c r="E880" s="109"/>
      <c r="F880" s="109"/>
      <c r="G880" s="109"/>
      <c r="H880" s="109"/>
      <c r="I880" s="109">
        <f t="shared" ref="I880:J880" si="894">SUM(C880,E880,G880)</f>
        <v>0</v>
      </c>
      <c r="J880" s="109">
        <f t="shared" si="894"/>
        <v>0</v>
      </c>
      <c r="K880" s="109">
        <f>SUMIFS(Ações!$J$66,Ações!$N$66,Patrimônio!B880,Ações!$E$66,"Provento")</f>
        <v>0</v>
      </c>
      <c r="L880" s="109">
        <f>SUMIFS(BDRs!$J$66,BDRs!$E$66,"Provento",BDRs!$N$66,Patrimônio!B880)</f>
        <v>0</v>
      </c>
      <c r="M880" s="109">
        <f>SUMIFS(FIIs!$J$66,FIIs!$E$66,"Provento",FIIs!$N$66,Patrimônio!B880)</f>
        <v>0</v>
      </c>
      <c r="N880" s="109">
        <f t="shared" si="2"/>
        <v>0</v>
      </c>
      <c r="O880" s="109"/>
      <c r="Q880" s="151" t="s">
        <v>222</v>
      </c>
      <c r="R880" s="157"/>
      <c r="S880" s="153">
        <v>0</v>
      </c>
    </row>
    <row r="881" spans="1:19" ht="17.25" customHeight="1">
      <c r="A881" s="108">
        <v>71345</v>
      </c>
      <c r="B881" s="108">
        <f t="shared" si="0"/>
        <v>71344</v>
      </c>
      <c r="C881" s="109"/>
      <c r="D881" s="109"/>
      <c r="E881" s="109"/>
      <c r="F881" s="109"/>
      <c r="G881" s="109"/>
      <c r="H881" s="109"/>
      <c r="I881" s="109">
        <f t="shared" ref="I881:J881" si="895">SUM(C881,E881,G881)</f>
        <v>0</v>
      </c>
      <c r="J881" s="109">
        <f t="shared" si="895"/>
        <v>0</v>
      </c>
      <c r="K881" s="109">
        <f>SUMIFS(Ações!$J$66,Ações!$N$66,Patrimônio!B881,Ações!$E$66,"Provento")</f>
        <v>0</v>
      </c>
      <c r="L881" s="109">
        <f>SUMIFS(BDRs!$J$66,BDRs!$E$66,"Provento",BDRs!$N$66,Patrimônio!B881)</f>
        <v>0</v>
      </c>
      <c r="M881" s="109">
        <f>SUMIFS(FIIs!$J$66,FIIs!$E$66,"Provento",FIIs!$N$66,Patrimônio!B881)</f>
        <v>0</v>
      </c>
      <c r="N881" s="109">
        <f t="shared" si="2"/>
        <v>0</v>
      </c>
      <c r="O881" s="109"/>
      <c r="Q881" s="151" t="s">
        <v>223</v>
      </c>
      <c r="R881" s="152" t="s">
        <v>261</v>
      </c>
      <c r="S881" s="153">
        <v>0</v>
      </c>
    </row>
    <row r="882" spans="1:19" ht="17.25" customHeight="1">
      <c r="A882" s="108">
        <v>71376</v>
      </c>
      <c r="B882" s="108">
        <f t="shared" si="0"/>
        <v>71375</v>
      </c>
      <c r="C882" s="109"/>
      <c r="D882" s="109"/>
      <c r="E882" s="109"/>
      <c r="F882" s="109"/>
      <c r="G882" s="109"/>
      <c r="H882" s="109"/>
      <c r="I882" s="109">
        <f t="shared" ref="I882:J882" si="896">SUM(C882,E882,G882)</f>
        <v>0</v>
      </c>
      <c r="J882" s="109">
        <f t="shared" si="896"/>
        <v>0</v>
      </c>
      <c r="K882" s="109">
        <f>SUMIFS(Ações!$J$66,Ações!$N$66,Patrimônio!B882,Ações!$E$66,"Provento")</f>
        <v>0</v>
      </c>
      <c r="L882" s="109">
        <f>SUMIFS(BDRs!$J$66,BDRs!$E$66,"Provento",BDRs!$N$66,Patrimônio!B882)</f>
        <v>0</v>
      </c>
      <c r="M882" s="109">
        <f>SUMIFS(FIIs!$J$66,FIIs!$E$66,"Provento",FIIs!$N$66,Patrimônio!B882)</f>
        <v>0</v>
      </c>
      <c r="N882" s="109">
        <f t="shared" si="2"/>
        <v>0</v>
      </c>
      <c r="O882" s="109"/>
      <c r="Q882" s="154"/>
      <c r="R882" s="155" t="s">
        <v>262</v>
      </c>
      <c r="S882" s="156">
        <v>0</v>
      </c>
    </row>
    <row r="883" spans="1:19" ht="17.25" customHeight="1">
      <c r="A883" s="108">
        <v>71406</v>
      </c>
      <c r="B883" s="108">
        <f t="shared" si="0"/>
        <v>71405</v>
      </c>
      <c r="C883" s="109"/>
      <c r="D883" s="109"/>
      <c r="E883" s="109"/>
      <c r="F883" s="109"/>
      <c r="G883" s="109"/>
      <c r="H883" s="109"/>
      <c r="I883" s="109">
        <f t="shared" ref="I883:J883" si="897">SUM(C883,E883,G883)</f>
        <v>0</v>
      </c>
      <c r="J883" s="109">
        <f t="shared" si="897"/>
        <v>0</v>
      </c>
      <c r="K883" s="109">
        <f>SUMIFS(Ações!$J$66,Ações!$N$66,Patrimônio!B883,Ações!$E$66,"Provento")</f>
        <v>0</v>
      </c>
      <c r="L883" s="109">
        <f>SUMIFS(BDRs!$J$66,BDRs!$E$66,"Provento",BDRs!$N$66,Patrimônio!B883)</f>
        <v>0</v>
      </c>
      <c r="M883" s="109">
        <f>SUMIFS(FIIs!$J$66,FIIs!$E$66,"Provento",FIIs!$N$66,Patrimônio!B883)</f>
        <v>0</v>
      </c>
      <c r="N883" s="109">
        <f t="shared" si="2"/>
        <v>0</v>
      </c>
      <c r="O883" s="109"/>
      <c r="Q883" s="154"/>
      <c r="R883" s="155" t="s">
        <v>263</v>
      </c>
      <c r="S883" s="156">
        <v>0</v>
      </c>
    </row>
    <row r="884" spans="1:19" ht="17.25" customHeight="1">
      <c r="A884" s="108">
        <v>71437</v>
      </c>
      <c r="B884" s="108">
        <f t="shared" si="0"/>
        <v>71436</v>
      </c>
      <c r="C884" s="109"/>
      <c r="D884" s="109"/>
      <c r="E884" s="109"/>
      <c r="F884" s="109"/>
      <c r="G884" s="109"/>
      <c r="H884" s="109"/>
      <c r="I884" s="109">
        <f t="shared" ref="I884:J884" si="898">SUM(C884,E884,G884)</f>
        <v>0</v>
      </c>
      <c r="J884" s="109">
        <f t="shared" si="898"/>
        <v>0</v>
      </c>
      <c r="K884" s="109">
        <f>SUMIFS(Ações!$J$66,Ações!$N$66,Patrimônio!B884,Ações!$E$66,"Provento")</f>
        <v>0</v>
      </c>
      <c r="L884" s="109">
        <f>SUMIFS(BDRs!$J$66,BDRs!$E$66,"Provento",BDRs!$N$66,Patrimônio!B884)</f>
        <v>0</v>
      </c>
      <c r="M884" s="109">
        <f>SUMIFS(FIIs!$J$66,FIIs!$E$66,"Provento",FIIs!$N$66,Patrimônio!B884)</f>
        <v>0</v>
      </c>
      <c r="N884" s="109">
        <f t="shared" si="2"/>
        <v>0</v>
      </c>
      <c r="O884" s="109"/>
      <c r="Q884" s="154"/>
      <c r="R884" s="155" t="s">
        <v>264</v>
      </c>
      <c r="S884" s="156">
        <v>0</v>
      </c>
    </row>
    <row r="885" spans="1:19" ht="17.25" customHeight="1">
      <c r="A885" s="108">
        <v>71468</v>
      </c>
      <c r="B885" s="108">
        <f t="shared" si="0"/>
        <v>71467</v>
      </c>
      <c r="C885" s="109"/>
      <c r="D885" s="109"/>
      <c r="E885" s="109"/>
      <c r="F885" s="109"/>
      <c r="G885" s="109"/>
      <c r="H885" s="109"/>
      <c r="I885" s="109">
        <f t="shared" ref="I885:J885" si="899">SUM(C885,E885,G885)</f>
        <v>0</v>
      </c>
      <c r="J885" s="109">
        <f t="shared" si="899"/>
        <v>0</v>
      </c>
      <c r="K885" s="109">
        <f>SUMIFS(Ações!$J$66,Ações!$N$66,Patrimônio!B885,Ações!$E$66,"Provento")</f>
        <v>0</v>
      </c>
      <c r="L885" s="109">
        <f>SUMIFS(BDRs!$J$66,BDRs!$E$66,"Provento",BDRs!$N$66,Patrimônio!B885)</f>
        <v>0</v>
      </c>
      <c r="M885" s="109">
        <f>SUMIFS(FIIs!$J$66,FIIs!$E$66,"Provento",FIIs!$N$66,Patrimônio!B885)</f>
        <v>0</v>
      </c>
      <c r="N885" s="109">
        <f t="shared" si="2"/>
        <v>0</v>
      </c>
      <c r="O885" s="109"/>
      <c r="Q885" s="154"/>
      <c r="R885" s="155" t="s">
        <v>265</v>
      </c>
      <c r="S885" s="156">
        <v>0</v>
      </c>
    </row>
    <row r="886" spans="1:19" ht="17.25" customHeight="1">
      <c r="A886" s="108">
        <v>71498</v>
      </c>
      <c r="B886" s="108">
        <f t="shared" si="0"/>
        <v>71497</v>
      </c>
      <c r="C886" s="109"/>
      <c r="D886" s="109"/>
      <c r="E886" s="109"/>
      <c r="F886" s="109"/>
      <c r="G886" s="109"/>
      <c r="H886" s="109"/>
      <c r="I886" s="109">
        <f t="shared" ref="I886:J886" si="900">SUM(C886,E886,G886)</f>
        <v>0</v>
      </c>
      <c r="J886" s="109">
        <f t="shared" si="900"/>
        <v>0</v>
      </c>
      <c r="K886" s="109">
        <f>SUMIFS(Ações!$J$66,Ações!$N$66,Patrimônio!B886,Ações!$E$66,"Provento")</f>
        <v>0</v>
      </c>
      <c r="L886" s="109">
        <f>SUMIFS(BDRs!$J$66,BDRs!$E$66,"Provento",BDRs!$N$66,Patrimônio!B886)</f>
        <v>0</v>
      </c>
      <c r="M886" s="109">
        <f>SUMIFS(FIIs!$J$66,FIIs!$E$66,"Provento",FIIs!$N$66,Patrimônio!B886)</f>
        <v>0</v>
      </c>
      <c r="N886" s="109">
        <f t="shared" si="2"/>
        <v>0</v>
      </c>
      <c r="O886" s="109"/>
      <c r="Q886" s="154"/>
      <c r="R886" s="155" t="s">
        <v>266</v>
      </c>
      <c r="S886" s="156">
        <v>0</v>
      </c>
    </row>
    <row r="887" spans="1:19" ht="17.25" customHeight="1">
      <c r="A887" s="108">
        <v>71529</v>
      </c>
      <c r="B887" s="108">
        <f t="shared" si="0"/>
        <v>71528</v>
      </c>
      <c r="C887" s="109"/>
      <c r="D887" s="109"/>
      <c r="E887" s="109"/>
      <c r="F887" s="109"/>
      <c r="G887" s="109"/>
      <c r="H887" s="109"/>
      <c r="I887" s="109">
        <f t="shared" ref="I887:J887" si="901">SUM(C887,E887,G887)</f>
        <v>0</v>
      </c>
      <c r="J887" s="109">
        <f t="shared" si="901"/>
        <v>0</v>
      </c>
      <c r="K887" s="109">
        <f>SUMIFS(Ações!$J$66,Ações!$N$66,Patrimônio!B887,Ações!$E$66,"Provento")</f>
        <v>0</v>
      </c>
      <c r="L887" s="109">
        <f>SUMIFS(BDRs!$J$66,BDRs!$E$66,"Provento",BDRs!$N$66,Patrimônio!B887)</f>
        <v>0</v>
      </c>
      <c r="M887" s="109">
        <f>SUMIFS(FIIs!$J$66,FIIs!$E$66,"Provento",FIIs!$N$66,Patrimônio!B887)</f>
        <v>0</v>
      </c>
      <c r="N887" s="109">
        <f t="shared" si="2"/>
        <v>0</v>
      </c>
      <c r="O887" s="109"/>
      <c r="Q887" s="154"/>
      <c r="R887" s="155" t="s">
        <v>267</v>
      </c>
      <c r="S887" s="156">
        <v>0</v>
      </c>
    </row>
    <row r="888" spans="1:19" ht="17.25" customHeight="1">
      <c r="A888" s="108">
        <v>71559</v>
      </c>
      <c r="B888" s="108">
        <f t="shared" si="0"/>
        <v>71558</v>
      </c>
      <c r="C888" s="109"/>
      <c r="D888" s="109"/>
      <c r="E888" s="109"/>
      <c r="F888" s="109"/>
      <c r="G888" s="109"/>
      <c r="H888" s="109"/>
      <c r="I888" s="109">
        <f t="shared" ref="I888:J888" si="902">SUM(C888,E888,G888)</f>
        <v>0</v>
      </c>
      <c r="J888" s="109">
        <f t="shared" si="902"/>
        <v>0</v>
      </c>
      <c r="K888" s="109">
        <f>SUMIFS(Ações!$J$66,Ações!$N$66,Patrimônio!B888,Ações!$E$66,"Provento")</f>
        <v>0</v>
      </c>
      <c r="L888" s="109">
        <f>SUMIFS(BDRs!$J$66,BDRs!$E$66,"Provento",BDRs!$N$66,Patrimônio!B888)</f>
        <v>0</v>
      </c>
      <c r="M888" s="109">
        <f>SUMIFS(FIIs!$J$66,FIIs!$E$66,"Provento",FIIs!$N$66,Patrimônio!B888)</f>
        <v>0</v>
      </c>
      <c r="N888" s="109">
        <f t="shared" si="2"/>
        <v>0</v>
      </c>
      <c r="O888" s="109"/>
      <c r="Q888" s="154"/>
      <c r="R888" s="155" t="s">
        <v>268</v>
      </c>
      <c r="S888" s="156">
        <v>0</v>
      </c>
    </row>
    <row r="889" spans="1:19" ht="17.25" customHeight="1">
      <c r="A889" s="108">
        <v>71590</v>
      </c>
      <c r="B889" s="108">
        <f t="shared" si="0"/>
        <v>71589</v>
      </c>
      <c r="C889" s="109"/>
      <c r="D889" s="109"/>
      <c r="E889" s="109"/>
      <c r="F889" s="109"/>
      <c r="G889" s="109"/>
      <c r="H889" s="109"/>
      <c r="I889" s="109">
        <f t="shared" ref="I889:J889" si="903">SUM(C889,E889,G889)</f>
        <v>0</v>
      </c>
      <c r="J889" s="109">
        <f t="shared" si="903"/>
        <v>0</v>
      </c>
      <c r="K889" s="109">
        <f>SUMIFS(Ações!$J$66,Ações!$N$66,Patrimônio!B889,Ações!$E$66,"Provento")</f>
        <v>0</v>
      </c>
      <c r="L889" s="109">
        <f>SUMIFS(BDRs!$J$66,BDRs!$E$66,"Provento",BDRs!$N$66,Patrimônio!B889)</f>
        <v>0</v>
      </c>
      <c r="M889" s="109">
        <f>SUMIFS(FIIs!$J$66,FIIs!$E$66,"Provento",FIIs!$N$66,Patrimônio!B889)</f>
        <v>0</v>
      </c>
      <c r="N889" s="109">
        <f t="shared" si="2"/>
        <v>0</v>
      </c>
      <c r="O889" s="109"/>
      <c r="Q889" s="154"/>
      <c r="R889" s="155" t="s">
        <v>269</v>
      </c>
      <c r="S889" s="156">
        <v>0</v>
      </c>
    </row>
    <row r="890" spans="1:19" ht="17.25" customHeight="1">
      <c r="A890" s="108">
        <v>71621</v>
      </c>
      <c r="B890" s="108">
        <f t="shared" si="0"/>
        <v>71620</v>
      </c>
      <c r="C890" s="109"/>
      <c r="D890" s="109"/>
      <c r="E890" s="109"/>
      <c r="F890" s="109"/>
      <c r="G890" s="109"/>
      <c r="H890" s="109"/>
      <c r="I890" s="109">
        <f t="shared" ref="I890:J890" si="904">SUM(C890,E890,G890)</f>
        <v>0</v>
      </c>
      <c r="J890" s="109">
        <f t="shared" si="904"/>
        <v>0</v>
      </c>
      <c r="K890" s="109">
        <f>SUMIFS(Ações!$J$66,Ações!$N$66,Patrimônio!B890,Ações!$E$66,"Provento")</f>
        <v>0</v>
      </c>
      <c r="L890" s="109">
        <f>SUMIFS(BDRs!$J$66,BDRs!$E$66,"Provento",BDRs!$N$66,Patrimônio!B890)</f>
        <v>0</v>
      </c>
      <c r="M890" s="109">
        <f>SUMIFS(FIIs!$J$66,FIIs!$E$66,"Provento",FIIs!$N$66,Patrimônio!B890)</f>
        <v>0</v>
      </c>
      <c r="N890" s="109">
        <f t="shared" si="2"/>
        <v>0</v>
      </c>
      <c r="O890" s="109"/>
      <c r="Q890" s="154"/>
      <c r="R890" s="155" t="s">
        <v>270</v>
      </c>
      <c r="S890" s="156">
        <v>0</v>
      </c>
    </row>
    <row r="891" spans="1:19" ht="17.25" customHeight="1">
      <c r="A891" s="108">
        <v>71650</v>
      </c>
      <c r="B891" s="108">
        <f t="shared" si="0"/>
        <v>71649</v>
      </c>
      <c r="C891" s="109"/>
      <c r="D891" s="109"/>
      <c r="E891" s="109"/>
      <c r="F891" s="109"/>
      <c r="G891" s="109"/>
      <c r="H891" s="109"/>
      <c r="I891" s="109">
        <f t="shared" ref="I891:J891" si="905">SUM(C891,E891,G891)</f>
        <v>0</v>
      </c>
      <c r="J891" s="109">
        <f t="shared" si="905"/>
        <v>0</v>
      </c>
      <c r="K891" s="109">
        <f>SUMIFS(Ações!$J$66,Ações!$N$66,Patrimônio!B891,Ações!$E$66,"Provento")</f>
        <v>0</v>
      </c>
      <c r="L891" s="109">
        <f>SUMIFS(BDRs!$J$66,BDRs!$E$66,"Provento",BDRs!$N$66,Patrimônio!B891)</f>
        <v>0</v>
      </c>
      <c r="M891" s="109">
        <f>SUMIFS(FIIs!$J$66,FIIs!$E$66,"Provento",FIIs!$N$66,Patrimônio!B891)</f>
        <v>0</v>
      </c>
      <c r="N891" s="109">
        <f t="shared" si="2"/>
        <v>0</v>
      </c>
      <c r="O891" s="109"/>
      <c r="Q891" s="154"/>
      <c r="R891" s="155" t="s">
        <v>271</v>
      </c>
      <c r="S891" s="156">
        <v>0</v>
      </c>
    </row>
    <row r="892" spans="1:19" ht="17.25" customHeight="1">
      <c r="A892" s="108">
        <v>71681</v>
      </c>
      <c r="B892" s="108">
        <f t="shared" si="0"/>
        <v>71680</v>
      </c>
      <c r="C892" s="109"/>
      <c r="D892" s="109"/>
      <c r="E892" s="109"/>
      <c r="F892" s="109"/>
      <c r="G892" s="109"/>
      <c r="H892" s="109"/>
      <c r="I892" s="109">
        <f t="shared" ref="I892:J892" si="906">SUM(C892,E892,G892)</f>
        <v>0</v>
      </c>
      <c r="J892" s="109">
        <f t="shared" si="906"/>
        <v>0</v>
      </c>
      <c r="K892" s="109">
        <f>SUMIFS(Ações!$J$66,Ações!$N$66,Patrimônio!B892,Ações!$E$66,"Provento")</f>
        <v>0</v>
      </c>
      <c r="L892" s="109">
        <f>SUMIFS(BDRs!$J$66,BDRs!$E$66,"Provento",BDRs!$N$66,Patrimônio!B892)</f>
        <v>0</v>
      </c>
      <c r="M892" s="109">
        <f>SUMIFS(FIIs!$J$66,FIIs!$E$66,"Provento",FIIs!$N$66,Patrimônio!B892)</f>
        <v>0</v>
      </c>
      <c r="N892" s="109">
        <f t="shared" si="2"/>
        <v>0</v>
      </c>
      <c r="O892" s="109"/>
      <c r="Q892" s="154"/>
      <c r="R892" s="155" t="s">
        <v>272</v>
      </c>
      <c r="S892" s="156">
        <v>0</v>
      </c>
    </row>
    <row r="893" spans="1:19" ht="17.25" customHeight="1">
      <c r="A893" s="108">
        <v>71711</v>
      </c>
      <c r="B893" s="108">
        <f t="shared" si="0"/>
        <v>71710</v>
      </c>
      <c r="C893" s="109"/>
      <c r="D893" s="109"/>
      <c r="E893" s="109"/>
      <c r="F893" s="109"/>
      <c r="G893" s="109"/>
      <c r="H893" s="109"/>
      <c r="I893" s="109">
        <f t="shared" ref="I893:J893" si="907">SUM(C893,E893,G893)</f>
        <v>0</v>
      </c>
      <c r="J893" s="109">
        <f t="shared" si="907"/>
        <v>0</v>
      </c>
      <c r="K893" s="109">
        <f>SUMIFS(Ações!$J$66,Ações!$N$66,Patrimônio!B893,Ações!$E$66,"Provento")</f>
        <v>0</v>
      </c>
      <c r="L893" s="109">
        <f>SUMIFS(BDRs!$J$66,BDRs!$E$66,"Provento",BDRs!$N$66,Patrimônio!B893)</f>
        <v>0</v>
      </c>
      <c r="M893" s="109">
        <f>SUMIFS(FIIs!$J$66,FIIs!$E$66,"Provento",FIIs!$N$66,Patrimônio!B893)</f>
        <v>0</v>
      </c>
      <c r="N893" s="109">
        <f t="shared" si="2"/>
        <v>0</v>
      </c>
      <c r="O893" s="109"/>
      <c r="Q893" s="151" t="s">
        <v>224</v>
      </c>
      <c r="R893" s="157"/>
      <c r="S893" s="153">
        <v>0</v>
      </c>
    </row>
    <row r="894" spans="1:19" ht="17.25" customHeight="1">
      <c r="A894" s="108">
        <v>71742</v>
      </c>
      <c r="B894" s="108">
        <f t="shared" si="0"/>
        <v>71741</v>
      </c>
      <c r="C894" s="109"/>
      <c r="D894" s="109"/>
      <c r="E894" s="109"/>
      <c r="F894" s="109"/>
      <c r="G894" s="109"/>
      <c r="H894" s="109"/>
      <c r="I894" s="109">
        <f t="shared" ref="I894:J894" si="908">SUM(C894,E894,G894)</f>
        <v>0</v>
      </c>
      <c r="J894" s="109">
        <f t="shared" si="908"/>
        <v>0</v>
      </c>
      <c r="K894" s="109">
        <f>SUMIFS(Ações!$J$66,Ações!$N$66,Patrimônio!B894,Ações!$E$66,"Provento")</f>
        <v>0</v>
      </c>
      <c r="L894" s="109">
        <f>SUMIFS(BDRs!$J$66,BDRs!$E$66,"Provento",BDRs!$N$66,Patrimônio!B894)</f>
        <v>0</v>
      </c>
      <c r="M894" s="109">
        <f>SUMIFS(FIIs!$J$66,FIIs!$E$66,"Provento",FIIs!$N$66,Patrimônio!B894)</f>
        <v>0</v>
      </c>
      <c r="N894" s="109">
        <f t="shared" si="2"/>
        <v>0</v>
      </c>
      <c r="O894" s="109"/>
      <c r="Q894" s="151" t="s">
        <v>225</v>
      </c>
      <c r="R894" s="152" t="s">
        <v>261</v>
      </c>
      <c r="S894" s="153">
        <v>0</v>
      </c>
    </row>
    <row r="895" spans="1:19" ht="17.25" customHeight="1">
      <c r="A895" s="108">
        <v>71772</v>
      </c>
      <c r="B895" s="108">
        <f t="shared" si="0"/>
        <v>71771</v>
      </c>
      <c r="C895" s="109"/>
      <c r="D895" s="109"/>
      <c r="E895" s="109"/>
      <c r="F895" s="109"/>
      <c r="G895" s="109"/>
      <c r="H895" s="109"/>
      <c r="I895" s="109">
        <f t="shared" ref="I895:J895" si="909">SUM(C895,E895,G895)</f>
        <v>0</v>
      </c>
      <c r="J895" s="109">
        <f t="shared" si="909"/>
        <v>0</v>
      </c>
      <c r="K895" s="109">
        <f>SUMIFS(Ações!$J$66,Ações!$N$66,Patrimônio!B895,Ações!$E$66,"Provento")</f>
        <v>0</v>
      </c>
      <c r="L895" s="109">
        <f>SUMIFS(BDRs!$J$66,BDRs!$E$66,"Provento",BDRs!$N$66,Patrimônio!B895)</f>
        <v>0</v>
      </c>
      <c r="M895" s="109">
        <f>SUMIFS(FIIs!$J$66,FIIs!$E$66,"Provento",FIIs!$N$66,Patrimônio!B895)</f>
        <v>0</v>
      </c>
      <c r="N895" s="109">
        <f t="shared" si="2"/>
        <v>0</v>
      </c>
      <c r="O895" s="109"/>
      <c r="Q895" s="154"/>
      <c r="R895" s="155" t="s">
        <v>262</v>
      </c>
      <c r="S895" s="156">
        <v>0</v>
      </c>
    </row>
    <row r="896" spans="1:19" ht="17.25" customHeight="1">
      <c r="A896" s="108">
        <v>71803</v>
      </c>
      <c r="B896" s="108">
        <f t="shared" si="0"/>
        <v>71802</v>
      </c>
      <c r="C896" s="109"/>
      <c r="D896" s="109"/>
      <c r="E896" s="109"/>
      <c r="F896" s="109"/>
      <c r="G896" s="109"/>
      <c r="H896" s="109"/>
      <c r="I896" s="109">
        <f t="shared" ref="I896:J896" si="910">SUM(C896,E896,G896)</f>
        <v>0</v>
      </c>
      <c r="J896" s="109">
        <f t="shared" si="910"/>
        <v>0</v>
      </c>
      <c r="K896" s="109">
        <f>SUMIFS(Ações!$J$66,Ações!$N$66,Patrimônio!B896,Ações!$E$66,"Provento")</f>
        <v>0</v>
      </c>
      <c r="L896" s="109">
        <f>SUMIFS(BDRs!$J$66,BDRs!$E$66,"Provento",BDRs!$N$66,Patrimônio!B896)</f>
        <v>0</v>
      </c>
      <c r="M896" s="109">
        <f>SUMIFS(FIIs!$J$66,FIIs!$E$66,"Provento",FIIs!$N$66,Patrimônio!B896)</f>
        <v>0</v>
      </c>
      <c r="N896" s="109">
        <f t="shared" si="2"/>
        <v>0</v>
      </c>
      <c r="O896" s="109"/>
      <c r="Q896" s="154"/>
      <c r="R896" s="155" t="s">
        <v>263</v>
      </c>
      <c r="S896" s="156">
        <v>0</v>
      </c>
    </row>
    <row r="897" spans="1:19" ht="17.25" customHeight="1">
      <c r="A897" s="108">
        <v>71834</v>
      </c>
      <c r="B897" s="108">
        <f t="shared" si="0"/>
        <v>71833</v>
      </c>
      <c r="C897" s="109"/>
      <c r="D897" s="109"/>
      <c r="E897" s="109"/>
      <c r="F897" s="109"/>
      <c r="G897" s="109"/>
      <c r="H897" s="109"/>
      <c r="I897" s="109">
        <f t="shared" ref="I897:J897" si="911">SUM(C897,E897,G897)</f>
        <v>0</v>
      </c>
      <c r="J897" s="109">
        <f t="shared" si="911"/>
        <v>0</v>
      </c>
      <c r="K897" s="109">
        <f>SUMIFS(Ações!$J$66,Ações!$N$66,Patrimônio!B897,Ações!$E$66,"Provento")</f>
        <v>0</v>
      </c>
      <c r="L897" s="109">
        <f>SUMIFS(BDRs!$J$66,BDRs!$E$66,"Provento",BDRs!$N$66,Patrimônio!B897)</f>
        <v>0</v>
      </c>
      <c r="M897" s="109">
        <f>SUMIFS(FIIs!$J$66,FIIs!$E$66,"Provento",FIIs!$N$66,Patrimônio!B897)</f>
        <v>0</v>
      </c>
      <c r="N897" s="109">
        <f t="shared" si="2"/>
        <v>0</v>
      </c>
      <c r="O897" s="109"/>
      <c r="Q897" s="154"/>
      <c r="R897" s="155" t="s">
        <v>264</v>
      </c>
      <c r="S897" s="156">
        <v>0</v>
      </c>
    </row>
    <row r="898" spans="1:19" ht="17.25" customHeight="1">
      <c r="A898" s="108">
        <v>71864</v>
      </c>
      <c r="B898" s="108">
        <f t="shared" si="0"/>
        <v>71863</v>
      </c>
      <c r="C898" s="109"/>
      <c r="D898" s="109"/>
      <c r="E898" s="109"/>
      <c r="F898" s="109"/>
      <c r="G898" s="109"/>
      <c r="H898" s="109"/>
      <c r="I898" s="109">
        <f t="shared" ref="I898:J898" si="912">SUM(C898,E898,G898)</f>
        <v>0</v>
      </c>
      <c r="J898" s="109">
        <f t="shared" si="912"/>
        <v>0</v>
      </c>
      <c r="K898" s="109">
        <f>SUMIFS(Ações!$J$66,Ações!$N$66,Patrimônio!B898,Ações!$E$66,"Provento")</f>
        <v>0</v>
      </c>
      <c r="L898" s="109">
        <f>SUMIFS(BDRs!$J$66,BDRs!$E$66,"Provento",BDRs!$N$66,Patrimônio!B898)</f>
        <v>0</v>
      </c>
      <c r="M898" s="109">
        <f>SUMIFS(FIIs!$J$66,FIIs!$E$66,"Provento",FIIs!$N$66,Patrimônio!B898)</f>
        <v>0</v>
      </c>
      <c r="N898" s="109">
        <f t="shared" si="2"/>
        <v>0</v>
      </c>
      <c r="O898" s="109"/>
      <c r="Q898" s="154"/>
      <c r="R898" s="155" t="s">
        <v>265</v>
      </c>
      <c r="S898" s="156">
        <v>0</v>
      </c>
    </row>
    <row r="899" spans="1:19" ht="17.25" customHeight="1">
      <c r="A899" s="108">
        <v>71895</v>
      </c>
      <c r="B899" s="108">
        <f t="shared" si="0"/>
        <v>71894</v>
      </c>
      <c r="C899" s="109"/>
      <c r="D899" s="109"/>
      <c r="E899" s="109"/>
      <c r="F899" s="109"/>
      <c r="G899" s="109"/>
      <c r="H899" s="109"/>
      <c r="I899" s="109">
        <f t="shared" ref="I899:J899" si="913">SUM(C899,E899,G899)</f>
        <v>0</v>
      </c>
      <c r="J899" s="109">
        <f t="shared" si="913"/>
        <v>0</v>
      </c>
      <c r="K899" s="109">
        <f>SUMIFS(Ações!$J$66,Ações!$N$66,Patrimônio!B899,Ações!$E$66,"Provento")</f>
        <v>0</v>
      </c>
      <c r="L899" s="109">
        <f>SUMIFS(BDRs!$J$66,BDRs!$E$66,"Provento",BDRs!$N$66,Patrimônio!B899)</f>
        <v>0</v>
      </c>
      <c r="M899" s="109">
        <f>SUMIFS(FIIs!$J$66,FIIs!$E$66,"Provento",FIIs!$N$66,Patrimônio!B899)</f>
        <v>0</v>
      </c>
      <c r="N899" s="109">
        <f t="shared" si="2"/>
        <v>0</v>
      </c>
      <c r="O899" s="109"/>
      <c r="Q899" s="154"/>
      <c r="R899" s="155" t="s">
        <v>266</v>
      </c>
      <c r="S899" s="156">
        <v>0</v>
      </c>
    </row>
    <row r="900" spans="1:19" ht="17.25" customHeight="1">
      <c r="A900" s="108">
        <v>71925</v>
      </c>
      <c r="B900" s="108">
        <f t="shared" si="0"/>
        <v>71924</v>
      </c>
      <c r="C900" s="109"/>
      <c r="D900" s="109"/>
      <c r="E900" s="109"/>
      <c r="F900" s="109"/>
      <c r="G900" s="109"/>
      <c r="H900" s="109"/>
      <c r="I900" s="109">
        <f t="shared" ref="I900:J900" si="914">SUM(C900,E900,G900)</f>
        <v>0</v>
      </c>
      <c r="J900" s="109">
        <f t="shared" si="914"/>
        <v>0</v>
      </c>
      <c r="K900" s="109">
        <f>SUMIFS(Ações!$J$66,Ações!$N$66,Patrimônio!B900,Ações!$E$66,"Provento")</f>
        <v>0</v>
      </c>
      <c r="L900" s="109">
        <f>SUMIFS(BDRs!$J$66,BDRs!$E$66,"Provento",BDRs!$N$66,Patrimônio!B900)</f>
        <v>0</v>
      </c>
      <c r="M900" s="109">
        <f>SUMIFS(FIIs!$J$66,FIIs!$E$66,"Provento",FIIs!$N$66,Patrimônio!B900)</f>
        <v>0</v>
      </c>
      <c r="N900" s="109">
        <f t="shared" si="2"/>
        <v>0</v>
      </c>
      <c r="O900" s="109"/>
      <c r="Q900" s="154"/>
      <c r="R900" s="155" t="s">
        <v>267</v>
      </c>
      <c r="S900" s="156">
        <v>0</v>
      </c>
    </row>
    <row r="901" spans="1:19" ht="17.25" customHeight="1">
      <c r="A901" s="108">
        <v>71956</v>
      </c>
      <c r="B901" s="108">
        <f t="shared" si="0"/>
        <v>71955</v>
      </c>
      <c r="C901" s="109"/>
      <c r="D901" s="109"/>
      <c r="E901" s="109"/>
      <c r="F901" s="109"/>
      <c r="G901" s="109"/>
      <c r="H901" s="109"/>
      <c r="I901" s="109">
        <f t="shared" ref="I901:J901" si="915">SUM(C901,E901,G901)</f>
        <v>0</v>
      </c>
      <c r="J901" s="109">
        <f t="shared" si="915"/>
        <v>0</v>
      </c>
      <c r="K901" s="109">
        <f>SUMIFS(Ações!$J$66,Ações!$N$66,Patrimônio!B901,Ações!$E$66,"Provento")</f>
        <v>0</v>
      </c>
      <c r="L901" s="109">
        <f>SUMIFS(BDRs!$J$66,BDRs!$E$66,"Provento",BDRs!$N$66,Patrimônio!B901)</f>
        <v>0</v>
      </c>
      <c r="M901" s="109">
        <f>SUMIFS(FIIs!$J$66,FIIs!$E$66,"Provento",FIIs!$N$66,Patrimônio!B901)</f>
        <v>0</v>
      </c>
      <c r="N901" s="109">
        <f t="shared" si="2"/>
        <v>0</v>
      </c>
      <c r="O901" s="109"/>
      <c r="Q901" s="154"/>
      <c r="R901" s="155" t="s">
        <v>268</v>
      </c>
      <c r="S901" s="156">
        <v>0</v>
      </c>
    </row>
    <row r="902" spans="1:19" ht="17.25" customHeight="1">
      <c r="A902" s="108">
        <v>71987</v>
      </c>
      <c r="B902" s="108">
        <f t="shared" si="0"/>
        <v>71986</v>
      </c>
      <c r="C902" s="109"/>
      <c r="D902" s="109"/>
      <c r="E902" s="109"/>
      <c r="F902" s="109"/>
      <c r="G902" s="109"/>
      <c r="H902" s="109"/>
      <c r="I902" s="109">
        <f t="shared" ref="I902:J902" si="916">SUM(C902,E902,G902)</f>
        <v>0</v>
      </c>
      <c r="J902" s="109">
        <f t="shared" si="916"/>
        <v>0</v>
      </c>
      <c r="K902" s="109">
        <f>SUMIFS(Ações!$J$66,Ações!$N$66,Patrimônio!B902,Ações!$E$66,"Provento")</f>
        <v>0</v>
      </c>
      <c r="L902" s="109">
        <f>SUMIFS(BDRs!$J$66,BDRs!$E$66,"Provento",BDRs!$N$66,Patrimônio!B902)</f>
        <v>0</v>
      </c>
      <c r="M902" s="109">
        <f>SUMIFS(FIIs!$J$66,FIIs!$E$66,"Provento",FIIs!$N$66,Patrimônio!B902)</f>
        <v>0</v>
      </c>
      <c r="N902" s="109">
        <f t="shared" si="2"/>
        <v>0</v>
      </c>
      <c r="O902" s="109"/>
      <c r="Q902" s="154"/>
      <c r="R902" s="155" t="s">
        <v>269</v>
      </c>
      <c r="S902" s="156">
        <v>0</v>
      </c>
    </row>
    <row r="903" spans="1:19" ht="17.25" customHeight="1">
      <c r="A903" s="108">
        <v>72015</v>
      </c>
      <c r="B903" s="108">
        <f t="shared" si="0"/>
        <v>72014</v>
      </c>
      <c r="C903" s="109"/>
      <c r="D903" s="109"/>
      <c r="E903" s="109"/>
      <c r="F903" s="109"/>
      <c r="G903" s="109"/>
      <c r="H903" s="109"/>
      <c r="I903" s="109">
        <f t="shared" ref="I903:J903" si="917">SUM(C903,E903,G903)</f>
        <v>0</v>
      </c>
      <c r="J903" s="109">
        <f t="shared" si="917"/>
        <v>0</v>
      </c>
      <c r="K903" s="109">
        <f>SUMIFS(Ações!$J$66,Ações!$N$66,Patrimônio!B903,Ações!$E$66,"Provento")</f>
        <v>0</v>
      </c>
      <c r="L903" s="109">
        <f>SUMIFS(BDRs!$J$66,BDRs!$E$66,"Provento",BDRs!$N$66,Patrimônio!B903)</f>
        <v>0</v>
      </c>
      <c r="M903" s="109">
        <f>SUMIFS(FIIs!$J$66,FIIs!$E$66,"Provento",FIIs!$N$66,Patrimônio!B903)</f>
        <v>0</v>
      </c>
      <c r="N903" s="109">
        <f t="shared" si="2"/>
        <v>0</v>
      </c>
      <c r="O903" s="109"/>
      <c r="Q903" s="154"/>
      <c r="R903" s="155" t="s">
        <v>270</v>
      </c>
      <c r="S903" s="156">
        <v>0</v>
      </c>
    </row>
    <row r="904" spans="1:19" ht="17.25" customHeight="1">
      <c r="A904" s="108">
        <v>72046</v>
      </c>
      <c r="B904" s="108">
        <f t="shared" si="0"/>
        <v>72045</v>
      </c>
      <c r="C904" s="109"/>
      <c r="D904" s="109"/>
      <c r="E904" s="109"/>
      <c r="F904" s="109"/>
      <c r="G904" s="109"/>
      <c r="H904" s="109"/>
      <c r="I904" s="109">
        <f t="shared" ref="I904:J904" si="918">SUM(C904,E904,G904)</f>
        <v>0</v>
      </c>
      <c r="J904" s="109">
        <f t="shared" si="918"/>
        <v>0</v>
      </c>
      <c r="K904" s="109">
        <f>SUMIFS(Ações!$J$66,Ações!$N$66,Patrimônio!B904,Ações!$E$66,"Provento")</f>
        <v>0</v>
      </c>
      <c r="L904" s="109">
        <f>SUMIFS(BDRs!$J$66,BDRs!$E$66,"Provento",BDRs!$N$66,Patrimônio!B904)</f>
        <v>0</v>
      </c>
      <c r="M904" s="109">
        <f>SUMIFS(FIIs!$J$66,FIIs!$E$66,"Provento",FIIs!$N$66,Patrimônio!B904)</f>
        <v>0</v>
      </c>
      <c r="N904" s="109">
        <f t="shared" si="2"/>
        <v>0</v>
      </c>
      <c r="O904" s="109"/>
      <c r="Q904" s="154"/>
      <c r="R904" s="155" t="s">
        <v>271</v>
      </c>
      <c r="S904" s="156">
        <v>0</v>
      </c>
    </row>
    <row r="905" spans="1:19" ht="17.25" customHeight="1">
      <c r="A905" s="108">
        <v>72076</v>
      </c>
      <c r="B905" s="108">
        <f t="shared" si="0"/>
        <v>72075</v>
      </c>
      <c r="C905" s="109"/>
      <c r="D905" s="109"/>
      <c r="E905" s="109"/>
      <c r="F905" s="109"/>
      <c r="G905" s="109"/>
      <c r="H905" s="109"/>
      <c r="I905" s="109">
        <f t="shared" ref="I905:J905" si="919">SUM(C905,E905,G905)</f>
        <v>0</v>
      </c>
      <c r="J905" s="109">
        <f t="shared" si="919"/>
        <v>0</v>
      </c>
      <c r="K905" s="109">
        <f>SUMIFS(Ações!$J$66,Ações!$N$66,Patrimônio!B905,Ações!$E$66,"Provento")</f>
        <v>0</v>
      </c>
      <c r="L905" s="109">
        <f>SUMIFS(BDRs!$J$66,BDRs!$E$66,"Provento",BDRs!$N$66,Patrimônio!B905)</f>
        <v>0</v>
      </c>
      <c r="M905" s="109">
        <f>SUMIFS(FIIs!$J$66,FIIs!$E$66,"Provento",FIIs!$N$66,Patrimônio!B905)</f>
        <v>0</v>
      </c>
      <c r="N905" s="109">
        <f t="shared" si="2"/>
        <v>0</v>
      </c>
      <c r="O905" s="109"/>
      <c r="Q905" s="154"/>
      <c r="R905" s="155" t="s">
        <v>272</v>
      </c>
      <c r="S905" s="156">
        <v>0</v>
      </c>
    </row>
    <row r="906" spans="1:19" ht="17.25" customHeight="1">
      <c r="A906" s="108">
        <v>72107</v>
      </c>
      <c r="B906" s="108">
        <f t="shared" si="0"/>
        <v>72106</v>
      </c>
      <c r="C906" s="109"/>
      <c r="D906" s="109"/>
      <c r="E906" s="109"/>
      <c r="F906" s="109"/>
      <c r="G906" s="109"/>
      <c r="H906" s="109"/>
      <c r="I906" s="109">
        <f t="shared" ref="I906:J906" si="920">SUM(C906,E906,G906)</f>
        <v>0</v>
      </c>
      <c r="J906" s="109">
        <f t="shared" si="920"/>
        <v>0</v>
      </c>
      <c r="K906" s="109">
        <f>SUMIFS(Ações!$J$66,Ações!$N$66,Patrimônio!B906,Ações!$E$66,"Provento")</f>
        <v>0</v>
      </c>
      <c r="L906" s="109">
        <f>SUMIFS(BDRs!$J$66,BDRs!$E$66,"Provento",BDRs!$N$66,Patrimônio!B906)</f>
        <v>0</v>
      </c>
      <c r="M906" s="109">
        <f>SUMIFS(FIIs!$J$66,FIIs!$E$66,"Provento",FIIs!$N$66,Patrimônio!B906)</f>
        <v>0</v>
      </c>
      <c r="N906" s="109">
        <f t="shared" si="2"/>
        <v>0</v>
      </c>
      <c r="O906" s="109"/>
      <c r="Q906" s="151" t="s">
        <v>226</v>
      </c>
      <c r="R906" s="157"/>
      <c r="S906" s="153">
        <v>0</v>
      </c>
    </row>
    <row r="907" spans="1:19" ht="17.25" customHeight="1">
      <c r="A907" s="108">
        <v>72137</v>
      </c>
      <c r="B907" s="108">
        <f t="shared" si="0"/>
        <v>72136</v>
      </c>
      <c r="C907" s="109"/>
      <c r="D907" s="109"/>
      <c r="E907" s="109"/>
      <c r="F907" s="109"/>
      <c r="G907" s="109"/>
      <c r="H907" s="109"/>
      <c r="I907" s="109">
        <f t="shared" ref="I907:J907" si="921">SUM(C907,E907,G907)</f>
        <v>0</v>
      </c>
      <c r="J907" s="109">
        <f t="shared" si="921"/>
        <v>0</v>
      </c>
      <c r="K907" s="109">
        <f>SUMIFS(Ações!$J$66,Ações!$N$66,Patrimônio!B907,Ações!$E$66,"Provento")</f>
        <v>0</v>
      </c>
      <c r="L907" s="109">
        <f>SUMIFS(BDRs!$J$66,BDRs!$E$66,"Provento",BDRs!$N$66,Patrimônio!B907)</f>
        <v>0</v>
      </c>
      <c r="M907" s="109">
        <f>SUMIFS(FIIs!$J$66,FIIs!$E$66,"Provento",FIIs!$N$66,Patrimônio!B907)</f>
        <v>0</v>
      </c>
      <c r="N907" s="109">
        <f t="shared" si="2"/>
        <v>0</v>
      </c>
      <c r="O907" s="109"/>
      <c r="Q907" s="151" t="s">
        <v>227</v>
      </c>
      <c r="R907" s="152" t="s">
        <v>261</v>
      </c>
      <c r="S907" s="153">
        <v>0</v>
      </c>
    </row>
    <row r="908" spans="1:19" ht="17.25" customHeight="1">
      <c r="A908" s="108">
        <v>72168</v>
      </c>
      <c r="B908" s="108">
        <f t="shared" si="0"/>
        <v>72167</v>
      </c>
      <c r="C908" s="109"/>
      <c r="D908" s="109"/>
      <c r="E908" s="109"/>
      <c r="F908" s="109"/>
      <c r="G908" s="109"/>
      <c r="H908" s="109"/>
      <c r="I908" s="109">
        <f t="shared" ref="I908:J908" si="922">SUM(C908,E908,G908)</f>
        <v>0</v>
      </c>
      <c r="J908" s="109">
        <f t="shared" si="922"/>
        <v>0</v>
      </c>
      <c r="K908" s="109">
        <f>SUMIFS(Ações!$J$66,Ações!$N$66,Patrimônio!B908,Ações!$E$66,"Provento")</f>
        <v>0</v>
      </c>
      <c r="L908" s="109">
        <f>SUMIFS(BDRs!$J$66,BDRs!$E$66,"Provento",BDRs!$N$66,Patrimônio!B908)</f>
        <v>0</v>
      </c>
      <c r="M908" s="109">
        <f>SUMIFS(FIIs!$J$66,FIIs!$E$66,"Provento",FIIs!$N$66,Patrimônio!B908)</f>
        <v>0</v>
      </c>
      <c r="N908" s="109">
        <f t="shared" si="2"/>
        <v>0</v>
      </c>
      <c r="O908" s="109"/>
      <c r="Q908" s="154"/>
      <c r="R908" s="155" t="s">
        <v>262</v>
      </c>
      <c r="S908" s="156">
        <v>0</v>
      </c>
    </row>
    <row r="909" spans="1:19" ht="17.25" customHeight="1">
      <c r="A909" s="108">
        <v>72199</v>
      </c>
      <c r="B909" s="108">
        <f t="shared" si="0"/>
        <v>72198</v>
      </c>
      <c r="C909" s="109"/>
      <c r="D909" s="109"/>
      <c r="E909" s="109"/>
      <c r="F909" s="109"/>
      <c r="G909" s="109"/>
      <c r="H909" s="109"/>
      <c r="I909" s="109">
        <f t="shared" ref="I909:J909" si="923">SUM(C909,E909,G909)</f>
        <v>0</v>
      </c>
      <c r="J909" s="109">
        <f t="shared" si="923"/>
        <v>0</v>
      </c>
      <c r="K909" s="109">
        <f>SUMIFS(Ações!$J$66,Ações!$N$66,Patrimônio!B909,Ações!$E$66,"Provento")</f>
        <v>0</v>
      </c>
      <c r="L909" s="109">
        <f>SUMIFS(BDRs!$J$66,BDRs!$E$66,"Provento",BDRs!$N$66,Patrimônio!B909)</f>
        <v>0</v>
      </c>
      <c r="M909" s="109">
        <f>SUMIFS(FIIs!$J$66,FIIs!$E$66,"Provento",FIIs!$N$66,Patrimônio!B909)</f>
        <v>0</v>
      </c>
      <c r="N909" s="109">
        <f t="shared" si="2"/>
        <v>0</v>
      </c>
      <c r="O909" s="109"/>
      <c r="Q909" s="154"/>
      <c r="R909" s="155" t="s">
        <v>263</v>
      </c>
      <c r="S909" s="156">
        <v>0</v>
      </c>
    </row>
    <row r="910" spans="1:19" ht="17.25" customHeight="1">
      <c r="A910" s="108">
        <v>72229</v>
      </c>
      <c r="B910" s="108">
        <f t="shared" si="0"/>
        <v>72228</v>
      </c>
      <c r="C910" s="109"/>
      <c r="D910" s="109"/>
      <c r="E910" s="109"/>
      <c r="F910" s="109"/>
      <c r="G910" s="109"/>
      <c r="H910" s="109"/>
      <c r="I910" s="109">
        <f t="shared" ref="I910:J910" si="924">SUM(C910,E910,G910)</f>
        <v>0</v>
      </c>
      <c r="J910" s="109">
        <f t="shared" si="924"/>
        <v>0</v>
      </c>
      <c r="K910" s="109">
        <f>SUMIFS(Ações!$J$66,Ações!$N$66,Patrimônio!B910,Ações!$E$66,"Provento")</f>
        <v>0</v>
      </c>
      <c r="L910" s="109">
        <f>SUMIFS(BDRs!$J$66,BDRs!$E$66,"Provento",BDRs!$N$66,Patrimônio!B910)</f>
        <v>0</v>
      </c>
      <c r="M910" s="109">
        <f>SUMIFS(FIIs!$J$66,FIIs!$E$66,"Provento",FIIs!$N$66,Patrimônio!B910)</f>
        <v>0</v>
      </c>
      <c r="N910" s="109">
        <f t="shared" si="2"/>
        <v>0</v>
      </c>
      <c r="O910" s="109"/>
      <c r="Q910" s="154"/>
      <c r="R910" s="155" t="s">
        <v>264</v>
      </c>
      <c r="S910" s="156">
        <v>0</v>
      </c>
    </row>
    <row r="911" spans="1:19" ht="17.25" customHeight="1">
      <c r="A911" s="108">
        <v>72260</v>
      </c>
      <c r="B911" s="108">
        <f t="shared" si="0"/>
        <v>72259</v>
      </c>
      <c r="C911" s="109"/>
      <c r="D911" s="109"/>
      <c r="E911" s="109"/>
      <c r="F911" s="109"/>
      <c r="G911" s="109"/>
      <c r="H911" s="109"/>
      <c r="I911" s="109">
        <f t="shared" ref="I911:J911" si="925">SUM(C911,E911,G911)</f>
        <v>0</v>
      </c>
      <c r="J911" s="109">
        <f t="shared" si="925"/>
        <v>0</v>
      </c>
      <c r="K911" s="109">
        <f>SUMIFS(Ações!$J$66,Ações!$N$66,Patrimônio!B911,Ações!$E$66,"Provento")</f>
        <v>0</v>
      </c>
      <c r="L911" s="109">
        <f>SUMIFS(BDRs!$J$66,BDRs!$E$66,"Provento",BDRs!$N$66,Patrimônio!B911)</f>
        <v>0</v>
      </c>
      <c r="M911" s="109">
        <f>SUMIFS(FIIs!$J$66,FIIs!$E$66,"Provento",FIIs!$N$66,Patrimônio!B911)</f>
        <v>0</v>
      </c>
      <c r="N911" s="109">
        <f t="shared" si="2"/>
        <v>0</v>
      </c>
      <c r="O911" s="109"/>
      <c r="Q911" s="154"/>
      <c r="R911" s="155" t="s">
        <v>265</v>
      </c>
      <c r="S911" s="156">
        <v>0</v>
      </c>
    </row>
    <row r="912" spans="1:19" ht="17.25" customHeight="1">
      <c r="A912" s="108">
        <v>72290</v>
      </c>
      <c r="B912" s="108">
        <f t="shared" si="0"/>
        <v>72289</v>
      </c>
      <c r="C912" s="109"/>
      <c r="D912" s="109"/>
      <c r="E912" s="109"/>
      <c r="F912" s="109"/>
      <c r="G912" s="109"/>
      <c r="H912" s="109"/>
      <c r="I912" s="109">
        <f t="shared" ref="I912:J912" si="926">SUM(C912,E912,G912)</f>
        <v>0</v>
      </c>
      <c r="J912" s="109">
        <f t="shared" si="926"/>
        <v>0</v>
      </c>
      <c r="K912" s="109">
        <f>SUMIFS(Ações!$J$66,Ações!$N$66,Patrimônio!B912,Ações!$E$66,"Provento")</f>
        <v>0</v>
      </c>
      <c r="L912" s="109">
        <f>SUMIFS(BDRs!$J$66,BDRs!$E$66,"Provento",BDRs!$N$66,Patrimônio!B912)</f>
        <v>0</v>
      </c>
      <c r="M912" s="109">
        <f>SUMIFS(FIIs!$J$66,FIIs!$E$66,"Provento",FIIs!$N$66,Patrimônio!B912)</f>
        <v>0</v>
      </c>
      <c r="N912" s="109">
        <f t="shared" si="2"/>
        <v>0</v>
      </c>
      <c r="O912" s="109"/>
      <c r="Q912" s="154"/>
      <c r="R912" s="155" t="s">
        <v>266</v>
      </c>
      <c r="S912" s="156">
        <v>0</v>
      </c>
    </row>
    <row r="913" spans="1:19" ht="17.25" customHeight="1">
      <c r="A913" s="108">
        <v>72321</v>
      </c>
      <c r="B913" s="108">
        <f t="shared" si="0"/>
        <v>72320</v>
      </c>
      <c r="C913" s="109"/>
      <c r="D913" s="109"/>
      <c r="E913" s="109"/>
      <c r="F913" s="109"/>
      <c r="G913" s="109"/>
      <c r="H913" s="109"/>
      <c r="I913" s="109">
        <f t="shared" ref="I913:J913" si="927">SUM(C913,E913,G913)</f>
        <v>0</v>
      </c>
      <c r="J913" s="109">
        <f t="shared" si="927"/>
        <v>0</v>
      </c>
      <c r="K913" s="109">
        <f>SUMIFS(Ações!$J$66,Ações!$N$66,Patrimônio!B913,Ações!$E$66,"Provento")</f>
        <v>0</v>
      </c>
      <c r="L913" s="109">
        <f>SUMIFS(BDRs!$J$66,BDRs!$E$66,"Provento",BDRs!$N$66,Patrimônio!B913)</f>
        <v>0</v>
      </c>
      <c r="M913" s="109">
        <f>SUMIFS(FIIs!$J$66,FIIs!$E$66,"Provento",FIIs!$N$66,Patrimônio!B913)</f>
        <v>0</v>
      </c>
      <c r="N913" s="109">
        <f t="shared" si="2"/>
        <v>0</v>
      </c>
      <c r="O913" s="109"/>
      <c r="Q913" s="154"/>
      <c r="R913" s="155" t="s">
        <v>267</v>
      </c>
      <c r="S913" s="156">
        <v>0</v>
      </c>
    </row>
    <row r="914" spans="1:19" ht="17.25" customHeight="1">
      <c r="A914" s="108">
        <v>72352</v>
      </c>
      <c r="B914" s="108">
        <f t="shared" si="0"/>
        <v>72351</v>
      </c>
      <c r="C914" s="109"/>
      <c r="D914" s="109"/>
      <c r="E914" s="109"/>
      <c r="F914" s="109"/>
      <c r="G914" s="109"/>
      <c r="H914" s="109"/>
      <c r="I914" s="109">
        <f t="shared" ref="I914:J914" si="928">SUM(C914,E914,G914)</f>
        <v>0</v>
      </c>
      <c r="J914" s="109">
        <f t="shared" si="928"/>
        <v>0</v>
      </c>
      <c r="K914" s="109">
        <f>SUMIFS(Ações!$J$66,Ações!$N$66,Patrimônio!B914,Ações!$E$66,"Provento")</f>
        <v>0</v>
      </c>
      <c r="L914" s="109">
        <f>SUMIFS(BDRs!$J$66,BDRs!$E$66,"Provento",BDRs!$N$66,Patrimônio!B914)</f>
        <v>0</v>
      </c>
      <c r="M914" s="109">
        <f>SUMIFS(FIIs!$J$66,FIIs!$E$66,"Provento",FIIs!$N$66,Patrimônio!B914)</f>
        <v>0</v>
      </c>
      <c r="N914" s="109">
        <f t="shared" si="2"/>
        <v>0</v>
      </c>
      <c r="O914" s="109"/>
      <c r="Q914" s="154"/>
      <c r="R914" s="155" t="s">
        <v>268</v>
      </c>
      <c r="S914" s="156">
        <v>0</v>
      </c>
    </row>
    <row r="915" spans="1:19" ht="17.25" customHeight="1">
      <c r="A915" s="108">
        <v>72380</v>
      </c>
      <c r="B915" s="108">
        <f t="shared" si="0"/>
        <v>72379</v>
      </c>
      <c r="C915" s="109"/>
      <c r="D915" s="109"/>
      <c r="E915" s="109"/>
      <c r="F915" s="109"/>
      <c r="G915" s="109"/>
      <c r="H915" s="109"/>
      <c r="I915" s="109">
        <f t="shared" ref="I915:J915" si="929">SUM(C915,E915,G915)</f>
        <v>0</v>
      </c>
      <c r="J915" s="109">
        <f t="shared" si="929"/>
        <v>0</v>
      </c>
      <c r="K915" s="109">
        <f>SUMIFS(Ações!$J$66,Ações!$N$66,Patrimônio!B915,Ações!$E$66,"Provento")</f>
        <v>0</v>
      </c>
      <c r="L915" s="109">
        <f>SUMIFS(BDRs!$J$66,BDRs!$E$66,"Provento",BDRs!$N$66,Patrimônio!B915)</f>
        <v>0</v>
      </c>
      <c r="M915" s="109">
        <f>SUMIFS(FIIs!$J$66,FIIs!$E$66,"Provento",FIIs!$N$66,Patrimônio!B915)</f>
        <v>0</v>
      </c>
      <c r="N915" s="109">
        <f t="shared" si="2"/>
        <v>0</v>
      </c>
      <c r="O915" s="109"/>
      <c r="Q915" s="154"/>
      <c r="R915" s="155" t="s">
        <v>269</v>
      </c>
      <c r="S915" s="156">
        <v>0</v>
      </c>
    </row>
    <row r="916" spans="1:19" ht="17.25" customHeight="1">
      <c r="A916" s="108">
        <v>72411</v>
      </c>
      <c r="B916" s="108">
        <f t="shared" si="0"/>
        <v>72410</v>
      </c>
      <c r="C916" s="109"/>
      <c r="D916" s="109"/>
      <c r="E916" s="109"/>
      <c r="F916" s="109"/>
      <c r="G916" s="109"/>
      <c r="H916" s="109"/>
      <c r="I916" s="109">
        <f t="shared" ref="I916:J916" si="930">SUM(C916,E916,G916)</f>
        <v>0</v>
      </c>
      <c r="J916" s="109">
        <f t="shared" si="930"/>
        <v>0</v>
      </c>
      <c r="K916" s="109">
        <f>SUMIFS(Ações!$J$66,Ações!$N$66,Patrimônio!B916,Ações!$E$66,"Provento")</f>
        <v>0</v>
      </c>
      <c r="L916" s="109">
        <f>SUMIFS(BDRs!$J$66,BDRs!$E$66,"Provento",BDRs!$N$66,Patrimônio!B916)</f>
        <v>0</v>
      </c>
      <c r="M916" s="109">
        <f>SUMIFS(FIIs!$J$66,FIIs!$E$66,"Provento",FIIs!$N$66,Patrimônio!B916)</f>
        <v>0</v>
      </c>
      <c r="N916" s="109">
        <f t="shared" si="2"/>
        <v>0</v>
      </c>
      <c r="O916" s="109"/>
      <c r="Q916" s="154"/>
      <c r="R916" s="155" t="s">
        <v>270</v>
      </c>
      <c r="S916" s="156">
        <v>0</v>
      </c>
    </row>
    <row r="917" spans="1:19" ht="17.25" customHeight="1">
      <c r="A917" s="108">
        <v>72441</v>
      </c>
      <c r="B917" s="108">
        <f t="shared" si="0"/>
        <v>72440</v>
      </c>
      <c r="C917" s="109"/>
      <c r="D917" s="109"/>
      <c r="E917" s="109"/>
      <c r="F917" s="109"/>
      <c r="G917" s="109"/>
      <c r="H917" s="109"/>
      <c r="I917" s="109">
        <f t="shared" ref="I917:J917" si="931">SUM(C917,E917,G917)</f>
        <v>0</v>
      </c>
      <c r="J917" s="109">
        <f t="shared" si="931"/>
        <v>0</v>
      </c>
      <c r="K917" s="109">
        <f>SUMIFS(Ações!$J$66,Ações!$N$66,Patrimônio!B917,Ações!$E$66,"Provento")</f>
        <v>0</v>
      </c>
      <c r="L917" s="109">
        <f>SUMIFS(BDRs!$J$66,BDRs!$E$66,"Provento",BDRs!$N$66,Patrimônio!B917)</f>
        <v>0</v>
      </c>
      <c r="M917" s="109">
        <f>SUMIFS(FIIs!$J$66,FIIs!$E$66,"Provento",FIIs!$N$66,Patrimônio!B917)</f>
        <v>0</v>
      </c>
      <c r="N917" s="109">
        <f t="shared" si="2"/>
        <v>0</v>
      </c>
      <c r="O917" s="109"/>
      <c r="Q917" s="154"/>
      <c r="R917" s="155" t="s">
        <v>271</v>
      </c>
      <c r="S917" s="156">
        <v>0</v>
      </c>
    </row>
    <row r="918" spans="1:19" ht="17.25" customHeight="1">
      <c r="A918" s="108">
        <v>72472</v>
      </c>
      <c r="B918" s="108">
        <f t="shared" si="0"/>
        <v>72471</v>
      </c>
      <c r="C918" s="109"/>
      <c r="D918" s="109"/>
      <c r="E918" s="109"/>
      <c r="F918" s="109"/>
      <c r="G918" s="109"/>
      <c r="H918" s="109"/>
      <c r="I918" s="109">
        <f t="shared" ref="I918:J918" si="932">SUM(C918,E918,G918)</f>
        <v>0</v>
      </c>
      <c r="J918" s="109">
        <f t="shared" si="932"/>
        <v>0</v>
      </c>
      <c r="K918" s="109">
        <f>SUMIFS(Ações!$J$66,Ações!$N$66,Patrimônio!B918,Ações!$E$66,"Provento")</f>
        <v>0</v>
      </c>
      <c r="L918" s="109">
        <f>SUMIFS(BDRs!$J$66,BDRs!$E$66,"Provento",BDRs!$N$66,Patrimônio!B918)</f>
        <v>0</v>
      </c>
      <c r="M918" s="109">
        <f>SUMIFS(FIIs!$J$66,FIIs!$E$66,"Provento",FIIs!$N$66,Patrimônio!B918)</f>
        <v>0</v>
      </c>
      <c r="N918" s="109">
        <f t="shared" si="2"/>
        <v>0</v>
      </c>
      <c r="O918" s="109"/>
      <c r="Q918" s="154"/>
      <c r="R918" s="155" t="s">
        <v>272</v>
      </c>
      <c r="S918" s="156">
        <v>0</v>
      </c>
    </row>
    <row r="919" spans="1:19" ht="17.25" customHeight="1">
      <c r="A919" s="108">
        <v>72502</v>
      </c>
      <c r="B919" s="108">
        <f t="shared" si="0"/>
        <v>72501</v>
      </c>
      <c r="C919" s="109"/>
      <c r="D919" s="109"/>
      <c r="E919" s="109"/>
      <c r="F919" s="109"/>
      <c r="G919" s="109"/>
      <c r="H919" s="109"/>
      <c r="I919" s="109">
        <f t="shared" ref="I919:J919" si="933">SUM(C919,E919,G919)</f>
        <v>0</v>
      </c>
      <c r="J919" s="109">
        <f t="shared" si="933"/>
        <v>0</v>
      </c>
      <c r="K919" s="109">
        <f>SUMIFS(Ações!$J$66,Ações!$N$66,Patrimônio!B919,Ações!$E$66,"Provento")</f>
        <v>0</v>
      </c>
      <c r="L919" s="109">
        <f>SUMIFS(BDRs!$J$66,BDRs!$E$66,"Provento",BDRs!$N$66,Patrimônio!B919)</f>
        <v>0</v>
      </c>
      <c r="M919" s="109">
        <f>SUMIFS(FIIs!$J$66,FIIs!$E$66,"Provento",FIIs!$N$66,Patrimônio!B919)</f>
        <v>0</v>
      </c>
      <c r="N919" s="109">
        <f t="shared" si="2"/>
        <v>0</v>
      </c>
      <c r="O919" s="109"/>
      <c r="Q919" s="151" t="s">
        <v>228</v>
      </c>
      <c r="R919" s="157"/>
      <c r="S919" s="153">
        <v>0</v>
      </c>
    </row>
    <row r="920" spans="1:19" ht="17.25" customHeight="1">
      <c r="A920" s="108">
        <v>72533</v>
      </c>
      <c r="B920" s="108">
        <f t="shared" si="0"/>
        <v>72532</v>
      </c>
      <c r="C920" s="109"/>
      <c r="D920" s="109"/>
      <c r="E920" s="109"/>
      <c r="F920" s="109"/>
      <c r="G920" s="109"/>
      <c r="H920" s="109"/>
      <c r="I920" s="109">
        <f t="shared" ref="I920:J920" si="934">SUM(C920,E920,G920)</f>
        <v>0</v>
      </c>
      <c r="J920" s="109">
        <f t="shared" si="934"/>
        <v>0</v>
      </c>
      <c r="K920" s="109">
        <f>SUMIFS(Ações!$J$66,Ações!$N$66,Patrimônio!B920,Ações!$E$66,"Provento")</f>
        <v>0</v>
      </c>
      <c r="L920" s="109">
        <f>SUMIFS(BDRs!$J$66,BDRs!$E$66,"Provento",BDRs!$N$66,Patrimônio!B920)</f>
        <v>0</v>
      </c>
      <c r="M920" s="109">
        <f>SUMIFS(FIIs!$J$66,FIIs!$E$66,"Provento",FIIs!$N$66,Patrimônio!B920)</f>
        <v>0</v>
      </c>
      <c r="N920" s="109">
        <f t="shared" si="2"/>
        <v>0</v>
      </c>
      <c r="O920" s="109"/>
      <c r="Q920" s="151" t="s">
        <v>229</v>
      </c>
      <c r="R920" s="152" t="s">
        <v>261</v>
      </c>
      <c r="S920" s="153">
        <v>0</v>
      </c>
    </row>
    <row r="921" spans="1:19" ht="17.25" customHeight="1">
      <c r="A921" s="108">
        <v>72564</v>
      </c>
      <c r="B921" s="108">
        <f t="shared" si="0"/>
        <v>72563</v>
      </c>
      <c r="C921" s="109"/>
      <c r="D921" s="109"/>
      <c r="E921" s="109"/>
      <c r="F921" s="109"/>
      <c r="G921" s="109"/>
      <c r="H921" s="109"/>
      <c r="I921" s="109">
        <f t="shared" ref="I921:J921" si="935">SUM(C921,E921,G921)</f>
        <v>0</v>
      </c>
      <c r="J921" s="109">
        <f t="shared" si="935"/>
        <v>0</v>
      </c>
      <c r="K921" s="109">
        <f>SUMIFS(Ações!$J$66,Ações!$N$66,Patrimônio!B921,Ações!$E$66,"Provento")</f>
        <v>0</v>
      </c>
      <c r="L921" s="109">
        <f>SUMIFS(BDRs!$J$66,BDRs!$E$66,"Provento",BDRs!$N$66,Patrimônio!B921)</f>
        <v>0</v>
      </c>
      <c r="M921" s="109">
        <f>SUMIFS(FIIs!$J$66,FIIs!$E$66,"Provento",FIIs!$N$66,Patrimônio!B921)</f>
        <v>0</v>
      </c>
      <c r="N921" s="109">
        <f t="shared" si="2"/>
        <v>0</v>
      </c>
      <c r="O921" s="109"/>
      <c r="Q921" s="154"/>
      <c r="R921" s="155" t="s">
        <v>262</v>
      </c>
      <c r="S921" s="156">
        <v>0</v>
      </c>
    </row>
    <row r="922" spans="1:19" ht="17.25" customHeight="1">
      <c r="A922" s="108">
        <v>72594</v>
      </c>
      <c r="B922" s="108">
        <f t="shared" si="0"/>
        <v>72593</v>
      </c>
      <c r="C922" s="109"/>
      <c r="D922" s="109"/>
      <c r="E922" s="109"/>
      <c r="F922" s="109"/>
      <c r="G922" s="109"/>
      <c r="H922" s="109"/>
      <c r="I922" s="109">
        <f t="shared" ref="I922:J922" si="936">SUM(C922,E922,G922)</f>
        <v>0</v>
      </c>
      <c r="J922" s="109">
        <f t="shared" si="936"/>
        <v>0</v>
      </c>
      <c r="K922" s="109">
        <f>SUMIFS(Ações!$J$66,Ações!$N$66,Patrimônio!B922,Ações!$E$66,"Provento")</f>
        <v>0</v>
      </c>
      <c r="L922" s="109">
        <f>SUMIFS(BDRs!$J$66,BDRs!$E$66,"Provento",BDRs!$N$66,Patrimônio!B922)</f>
        <v>0</v>
      </c>
      <c r="M922" s="109">
        <f>SUMIFS(FIIs!$J$66,FIIs!$E$66,"Provento",FIIs!$N$66,Patrimônio!B922)</f>
        <v>0</v>
      </c>
      <c r="N922" s="109">
        <f t="shared" si="2"/>
        <v>0</v>
      </c>
      <c r="O922" s="109"/>
      <c r="Q922" s="154"/>
      <c r="R922" s="155" t="s">
        <v>263</v>
      </c>
      <c r="S922" s="156">
        <v>0</v>
      </c>
    </row>
    <row r="923" spans="1:19" ht="17.25" customHeight="1">
      <c r="A923" s="108">
        <v>72625</v>
      </c>
      <c r="B923" s="108">
        <f t="shared" si="0"/>
        <v>72624</v>
      </c>
      <c r="C923" s="109"/>
      <c r="D923" s="109"/>
      <c r="E923" s="109"/>
      <c r="F923" s="109"/>
      <c r="G923" s="109"/>
      <c r="H923" s="109"/>
      <c r="I923" s="109">
        <f t="shared" ref="I923:J923" si="937">SUM(C923,E923,G923)</f>
        <v>0</v>
      </c>
      <c r="J923" s="109">
        <f t="shared" si="937"/>
        <v>0</v>
      </c>
      <c r="K923" s="109">
        <f>SUMIFS(Ações!$J$66,Ações!$N$66,Patrimônio!B923,Ações!$E$66,"Provento")</f>
        <v>0</v>
      </c>
      <c r="L923" s="109">
        <f>SUMIFS(BDRs!$J$66,BDRs!$E$66,"Provento",BDRs!$N$66,Patrimônio!B923)</f>
        <v>0</v>
      </c>
      <c r="M923" s="109">
        <f>SUMIFS(FIIs!$J$66,FIIs!$E$66,"Provento",FIIs!$N$66,Patrimônio!B923)</f>
        <v>0</v>
      </c>
      <c r="N923" s="109">
        <f t="shared" si="2"/>
        <v>0</v>
      </c>
      <c r="O923" s="109"/>
      <c r="Q923" s="154"/>
      <c r="R923" s="155" t="s">
        <v>264</v>
      </c>
      <c r="S923" s="156">
        <v>0</v>
      </c>
    </row>
    <row r="924" spans="1:19" ht="17.25" customHeight="1">
      <c r="A924" s="108">
        <v>72655</v>
      </c>
      <c r="B924" s="108">
        <f t="shared" si="0"/>
        <v>72654</v>
      </c>
      <c r="C924" s="109"/>
      <c r="D924" s="109"/>
      <c r="E924" s="109"/>
      <c r="F924" s="109"/>
      <c r="G924" s="109"/>
      <c r="H924" s="109"/>
      <c r="I924" s="109">
        <f t="shared" ref="I924:J924" si="938">SUM(C924,E924,G924)</f>
        <v>0</v>
      </c>
      <c r="J924" s="109">
        <f t="shared" si="938"/>
        <v>0</v>
      </c>
      <c r="K924" s="109">
        <f>SUMIFS(Ações!$J$66,Ações!$N$66,Patrimônio!B924,Ações!$E$66,"Provento")</f>
        <v>0</v>
      </c>
      <c r="L924" s="109">
        <f>SUMIFS(BDRs!$J$66,BDRs!$E$66,"Provento",BDRs!$N$66,Patrimônio!B924)</f>
        <v>0</v>
      </c>
      <c r="M924" s="109">
        <f>SUMIFS(FIIs!$J$66,FIIs!$E$66,"Provento",FIIs!$N$66,Patrimônio!B924)</f>
        <v>0</v>
      </c>
      <c r="N924" s="109">
        <f t="shared" si="2"/>
        <v>0</v>
      </c>
      <c r="O924" s="109"/>
      <c r="Q924" s="154"/>
      <c r="R924" s="155" t="s">
        <v>265</v>
      </c>
      <c r="S924" s="156">
        <v>0</v>
      </c>
    </row>
    <row r="925" spans="1:19" ht="17.25" customHeight="1">
      <c r="A925" s="108">
        <v>72686</v>
      </c>
      <c r="B925" s="108">
        <f t="shared" si="0"/>
        <v>72685</v>
      </c>
      <c r="C925" s="109"/>
      <c r="D925" s="109"/>
      <c r="E925" s="109"/>
      <c r="F925" s="109"/>
      <c r="G925" s="109"/>
      <c r="H925" s="109"/>
      <c r="I925" s="109">
        <f t="shared" ref="I925:J925" si="939">SUM(C925,E925,G925)</f>
        <v>0</v>
      </c>
      <c r="J925" s="109">
        <f t="shared" si="939"/>
        <v>0</v>
      </c>
      <c r="K925" s="109">
        <f>SUMIFS(Ações!$J$66,Ações!$N$66,Patrimônio!B925,Ações!$E$66,"Provento")</f>
        <v>0</v>
      </c>
      <c r="L925" s="109">
        <f>SUMIFS(BDRs!$J$66,BDRs!$E$66,"Provento",BDRs!$N$66,Patrimônio!B925)</f>
        <v>0</v>
      </c>
      <c r="M925" s="109">
        <f>SUMIFS(FIIs!$J$66,FIIs!$E$66,"Provento",FIIs!$N$66,Patrimônio!B925)</f>
        <v>0</v>
      </c>
      <c r="N925" s="109">
        <f t="shared" si="2"/>
        <v>0</v>
      </c>
      <c r="O925" s="109"/>
      <c r="Q925" s="154"/>
      <c r="R925" s="155" t="s">
        <v>266</v>
      </c>
      <c r="S925" s="156">
        <v>0</v>
      </c>
    </row>
    <row r="926" spans="1:19" ht="17.25" customHeight="1">
      <c r="A926" s="108">
        <v>72717</v>
      </c>
      <c r="B926" s="108">
        <f t="shared" si="0"/>
        <v>72716</v>
      </c>
      <c r="C926" s="109"/>
      <c r="D926" s="109"/>
      <c r="E926" s="109"/>
      <c r="F926" s="109"/>
      <c r="G926" s="109"/>
      <c r="H926" s="109"/>
      <c r="I926" s="109">
        <f t="shared" ref="I926:J926" si="940">SUM(C926,E926,G926)</f>
        <v>0</v>
      </c>
      <c r="J926" s="109">
        <f t="shared" si="940"/>
        <v>0</v>
      </c>
      <c r="K926" s="109">
        <f>SUMIFS(Ações!$J$66,Ações!$N$66,Patrimônio!B926,Ações!$E$66,"Provento")</f>
        <v>0</v>
      </c>
      <c r="L926" s="109">
        <f>SUMIFS(BDRs!$J$66,BDRs!$E$66,"Provento",BDRs!$N$66,Patrimônio!B926)</f>
        <v>0</v>
      </c>
      <c r="M926" s="109">
        <f>SUMIFS(FIIs!$J$66,FIIs!$E$66,"Provento",FIIs!$N$66,Patrimônio!B926)</f>
        <v>0</v>
      </c>
      <c r="N926" s="109">
        <f t="shared" si="2"/>
        <v>0</v>
      </c>
      <c r="O926" s="109"/>
      <c r="Q926" s="154"/>
      <c r="R926" s="155" t="s">
        <v>267</v>
      </c>
      <c r="S926" s="156">
        <v>0</v>
      </c>
    </row>
    <row r="927" spans="1:19" ht="17.25" customHeight="1">
      <c r="A927" s="108">
        <v>72745</v>
      </c>
      <c r="B927" s="108">
        <f t="shared" si="0"/>
        <v>72744</v>
      </c>
      <c r="C927" s="109"/>
      <c r="D927" s="109"/>
      <c r="E927" s="109"/>
      <c r="F927" s="109"/>
      <c r="G927" s="109"/>
      <c r="H927" s="109"/>
      <c r="I927" s="109">
        <f t="shared" ref="I927:J927" si="941">SUM(C927,E927,G927)</f>
        <v>0</v>
      </c>
      <c r="J927" s="109">
        <f t="shared" si="941"/>
        <v>0</v>
      </c>
      <c r="K927" s="109">
        <f>SUMIFS(Ações!$J$66,Ações!$N$66,Patrimônio!B927,Ações!$E$66,"Provento")</f>
        <v>0</v>
      </c>
      <c r="L927" s="109">
        <f>SUMIFS(BDRs!$J$66,BDRs!$E$66,"Provento",BDRs!$N$66,Patrimônio!B927)</f>
        <v>0</v>
      </c>
      <c r="M927" s="109">
        <f>SUMIFS(FIIs!$J$66,FIIs!$E$66,"Provento",FIIs!$N$66,Patrimônio!B927)</f>
        <v>0</v>
      </c>
      <c r="N927" s="109">
        <f t="shared" si="2"/>
        <v>0</v>
      </c>
      <c r="O927" s="109"/>
      <c r="Q927" s="154"/>
      <c r="R927" s="155" t="s">
        <v>268</v>
      </c>
      <c r="S927" s="156">
        <v>0</v>
      </c>
    </row>
    <row r="928" spans="1:19" ht="17.25" customHeight="1">
      <c r="A928" s="108">
        <v>72776</v>
      </c>
      <c r="B928" s="108">
        <f t="shared" si="0"/>
        <v>72775</v>
      </c>
      <c r="C928" s="109"/>
      <c r="D928" s="109"/>
      <c r="E928" s="109"/>
      <c r="F928" s="109"/>
      <c r="G928" s="109"/>
      <c r="H928" s="109"/>
      <c r="I928" s="109">
        <f t="shared" ref="I928:J928" si="942">SUM(C928,E928,G928)</f>
        <v>0</v>
      </c>
      <c r="J928" s="109">
        <f t="shared" si="942"/>
        <v>0</v>
      </c>
      <c r="K928" s="109">
        <f>SUMIFS(Ações!$J$66,Ações!$N$66,Patrimônio!B928,Ações!$E$66,"Provento")</f>
        <v>0</v>
      </c>
      <c r="L928" s="109">
        <f>SUMIFS(BDRs!$J$66,BDRs!$E$66,"Provento",BDRs!$N$66,Patrimônio!B928)</f>
        <v>0</v>
      </c>
      <c r="M928" s="109">
        <f>SUMIFS(FIIs!$J$66,FIIs!$E$66,"Provento",FIIs!$N$66,Patrimônio!B928)</f>
        <v>0</v>
      </c>
      <c r="N928" s="109">
        <f t="shared" si="2"/>
        <v>0</v>
      </c>
      <c r="O928" s="109"/>
      <c r="Q928" s="154"/>
      <c r="R928" s="155" t="s">
        <v>269</v>
      </c>
      <c r="S928" s="156">
        <v>0</v>
      </c>
    </row>
    <row r="929" spans="1:19" ht="17.25" customHeight="1">
      <c r="A929" s="108">
        <v>72806</v>
      </c>
      <c r="B929" s="108">
        <f t="shared" si="0"/>
        <v>72805</v>
      </c>
      <c r="C929" s="109"/>
      <c r="D929" s="109"/>
      <c r="E929" s="109"/>
      <c r="F929" s="109"/>
      <c r="G929" s="109"/>
      <c r="H929" s="109"/>
      <c r="I929" s="109">
        <f t="shared" ref="I929:J929" si="943">SUM(C929,E929,G929)</f>
        <v>0</v>
      </c>
      <c r="J929" s="109">
        <f t="shared" si="943"/>
        <v>0</v>
      </c>
      <c r="K929" s="109">
        <f>SUMIFS(Ações!$J$66,Ações!$N$66,Patrimônio!B929,Ações!$E$66,"Provento")</f>
        <v>0</v>
      </c>
      <c r="L929" s="109">
        <f>SUMIFS(BDRs!$J$66,BDRs!$E$66,"Provento",BDRs!$N$66,Patrimônio!B929)</f>
        <v>0</v>
      </c>
      <c r="M929" s="109">
        <f>SUMIFS(FIIs!$J$66,FIIs!$E$66,"Provento",FIIs!$N$66,Patrimônio!B929)</f>
        <v>0</v>
      </c>
      <c r="N929" s="109">
        <f t="shared" si="2"/>
        <v>0</v>
      </c>
      <c r="O929" s="109"/>
      <c r="Q929" s="154"/>
      <c r="R929" s="155" t="s">
        <v>270</v>
      </c>
      <c r="S929" s="156">
        <v>0</v>
      </c>
    </row>
    <row r="930" spans="1:19" ht="17.25" customHeight="1">
      <c r="A930" s="108">
        <v>72837</v>
      </c>
      <c r="B930" s="108">
        <f t="shared" si="0"/>
        <v>72836</v>
      </c>
      <c r="C930" s="109"/>
      <c r="D930" s="109"/>
      <c r="E930" s="109"/>
      <c r="F930" s="109"/>
      <c r="G930" s="109"/>
      <c r="H930" s="109"/>
      <c r="I930" s="109">
        <f t="shared" ref="I930:J930" si="944">SUM(C930,E930,G930)</f>
        <v>0</v>
      </c>
      <c r="J930" s="109">
        <f t="shared" si="944"/>
        <v>0</v>
      </c>
      <c r="K930" s="109">
        <f>SUMIFS(Ações!$J$66,Ações!$N$66,Patrimônio!B930,Ações!$E$66,"Provento")</f>
        <v>0</v>
      </c>
      <c r="L930" s="109">
        <f>SUMIFS(BDRs!$J$66,BDRs!$E$66,"Provento",BDRs!$N$66,Patrimônio!B930)</f>
        <v>0</v>
      </c>
      <c r="M930" s="109">
        <f>SUMIFS(FIIs!$J$66,FIIs!$E$66,"Provento",FIIs!$N$66,Patrimônio!B930)</f>
        <v>0</v>
      </c>
      <c r="N930" s="109">
        <f t="shared" si="2"/>
        <v>0</v>
      </c>
      <c r="O930" s="109"/>
      <c r="Q930" s="154"/>
      <c r="R930" s="155" t="s">
        <v>271</v>
      </c>
      <c r="S930" s="156">
        <v>0</v>
      </c>
    </row>
    <row r="931" spans="1:19" ht="17.25" customHeight="1">
      <c r="A931" s="108">
        <v>72867</v>
      </c>
      <c r="B931" s="108">
        <f t="shared" si="0"/>
        <v>72866</v>
      </c>
      <c r="C931" s="109"/>
      <c r="D931" s="109"/>
      <c r="E931" s="109"/>
      <c r="F931" s="109"/>
      <c r="G931" s="109"/>
      <c r="H931" s="109"/>
      <c r="I931" s="109">
        <f t="shared" ref="I931:J931" si="945">SUM(C931,E931,G931)</f>
        <v>0</v>
      </c>
      <c r="J931" s="109">
        <f t="shared" si="945"/>
        <v>0</v>
      </c>
      <c r="K931" s="109">
        <f>SUMIFS(Ações!$J$66,Ações!$N$66,Patrimônio!B931,Ações!$E$66,"Provento")</f>
        <v>0</v>
      </c>
      <c r="L931" s="109">
        <f>SUMIFS(BDRs!$J$66,BDRs!$E$66,"Provento",BDRs!$N$66,Patrimônio!B931)</f>
        <v>0</v>
      </c>
      <c r="M931" s="109">
        <f>SUMIFS(FIIs!$J$66,FIIs!$E$66,"Provento",FIIs!$N$66,Patrimônio!B931)</f>
        <v>0</v>
      </c>
      <c r="N931" s="109">
        <f t="shared" si="2"/>
        <v>0</v>
      </c>
      <c r="O931" s="109"/>
      <c r="Q931" s="154"/>
      <c r="R931" s="155" t="s">
        <v>272</v>
      </c>
      <c r="S931" s="156">
        <v>0</v>
      </c>
    </row>
    <row r="932" spans="1:19" ht="17.25" customHeight="1">
      <c r="A932" s="108">
        <v>72898</v>
      </c>
      <c r="B932" s="108">
        <f t="shared" si="0"/>
        <v>72897</v>
      </c>
      <c r="C932" s="109"/>
      <c r="D932" s="109"/>
      <c r="E932" s="109"/>
      <c r="F932" s="109"/>
      <c r="G932" s="109"/>
      <c r="H932" s="109"/>
      <c r="I932" s="109">
        <f t="shared" ref="I932:J932" si="946">SUM(C932,E932,G932)</f>
        <v>0</v>
      </c>
      <c r="J932" s="109">
        <f t="shared" si="946"/>
        <v>0</v>
      </c>
      <c r="K932" s="109">
        <f>SUMIFS(Ações!$J$66,Ações!$N$66,Patrimônio!B932,Ações!$E$66,"Provento")</f>
        <v>0</v>
      </c>
      <c r="L932" s="109">
        <f>SUMIFS(BDRs!$J$66,BDRs!$E$66,"Provento",BDRs!$N$66,Patrimônio!B932)</f>
        <v>0</v>
      </c>
      <c r="M932" s="109">
        <f>SUMIFS(FIIs!$J$66,FIIs!$E$66,"Provento",FIIs!$N$66,Patrimônio!B932)</f>
        <v>0</v>
      </c>
      <c r="N932" s="109">
        <f t="shared" si="2"/>
        <v>0</v>
      </c>
      <c r="O932" s="109"/>
      <c r="Q932" s="151" t="s">
        <v>230</v>
      </c>
      <c r="R932" s="157"/>
      <c r="S932" s="153">
        <v>0</v>
      </c>
    </row>
    <row r="933" spans="1:19" ht="17.25" customHeight="1">
      <c r="A933" s="108">
        <v>72929</v>
      </c>
      <c r="B933" s="108">
        <f t="shared" si="0"/>
        <v>72928</v>
      </c>
      <c r="C933" s="109"/>
      <c r="D933" s="109"/>
      <c r="E933" s="109"/>
      <c r="F933" s="109"/>
      <c r="G933" s="109"/>
      <c r="H933" s="109"/>
      <c r="I933" s="109">
        <f t="shared" ref="I933:J933" si="947">SUM(C933,E933,G933)</f>
        <v>0</v>
      </c>
      <c r="J933" s="109">
        <f t="shared" si="947"/>
        <v>0</v>
      </c>
      <c r="K933" s="109">
        <f>SUMIFS(Ações!$J$66,Ações!$N$66,Patrimônio!B933,Ações!$E$66,"Provento")</f>
        <v>0</v>
      </c>
      <c r="L933" s="109">
        <f>SUMIFS(BDRs!$J$66,BDRs!$E$66,"Provento",BDRs!$N$66,Patrimônio!B933)</f>
        <v>0</v>
      </c>
      <c r="M933" s="109">
        <f>SUMIFS(FIIs!$J$66,FIIs!$E$66,"Provento",FIIs!$N$66,Patrimônio!B933)</f>
        <v>0</v>
      </c>
      <c r="N933" s="109">
        <f t="shared" si="2"/>
        <v>0</v>
      </c>
      <c r="O933" s="109"/>
      <c r="Q933" s="151" t="s">
        <v>231</v>
      </c>
      <c r="R933" s="152" t="s">
        <v>261</v>
      </c>
      <c r="S933" s="153">
        <v>0</v>
      </c>
    </row>
    <row r="934" spans="1:19" ht="17.25" customHeight="1">
      <c r="A934" s="108">
        <v>72959</v>
      </c>
      <c r="B934" s="108">
        <f t="shared" si="0"/>
        <v>72958</v>
      </c>
      <c r="C934" s="109"/>
      <c r="D934" s="109"/>
      <c r="E934" s="109"/>
      <c r="F934" s="109"/>
      <c r="G934" s="109"/>
      <c r="H934" s="109"/>
      <c r="I934" s="109">
        <f t="shared" ref="I934:J934" si="948">SUM(C934,E934,G934)</f>
        <v>0</v>
      </c>
      <c r="J934" s="109">
        <f t="shared" si="948"/>
        <v>0</v>
      </c>
      <c r="K934" s="109">
        <f>SUMIFS(Ações!$J$66,Ações!$N$66,Patrimônio!B934,Ações!$E$66,"Provento")</f>
        <v>0</v>
      </c>
      <c r="L934" s="109">
        <f>SUMIFS(BDRs!$J$66,BDRs!$E$66,"Provento",BDRs!$N$66,Patrimônio!B934)</f>
        <v>0</v>
      </c>
      <c r="M934" s="109">
        <f>SUMIFS(FIIs!$J$66,FIIs!$E$66,"Provento",FIIs!$N$66,Patrimônio!B934)</f>
        <v>0</v>
      </c>
      <c r="N934" s="109">
        <f t="shared" si="2"/>
        <v>0</v>
      </c>
      <c r="O934" s="109"/>
      <c r="Q934" s="154"/>
      <c r="R934" s="155" t="s">
        <v>262</v>
      </c>
      <c r="S934" s="156">
        <v>0</v>
      </c>
    </row>
    <row r="935" spans="1:19" ht="17.25" customHeight="1">
      <c r="A935" s="108">
        <v>72990</v>
      </c>
      <c r="B935" s="108">
        <f t="shared" si="0"/>
        <v>72989</v>
      </c>
      <c r="C935" s="109"/>
      <c r="D935" s="109"/>
      <c r="E935" s="109"/>
      <c r="F935" s="109"/>
      <c r="G935" s="109"/>
      <c r="H935" s="109"/>
      <c r="I935" s="109">
        <f t="shared" ref="I935:J935" si="949">SUM(C935,E935,G935)</f>
        <v>0</v>
      </c>
      <c r="J935" s="109">
        <f t="shared" si="949"/>
        <v>0</v>
      </c>
      <c r="K935" s="109">
        <f>SUMIFS(Ações!$J$66,Ações!$N$66,Patrimônio!B935,Ações!$E$66,"Provento")</f>
        <v>0</v>
      </c>
      <c r="L935" s="109">
        <f>SUMIFS(BDRs!$J$66,BDRs!$E$66,"Provento",BDRs!$N$66,Patrimônio!B935)</f>
        <v>0</v>
      </c>
      <c r="M935" s="109">
        <f>SUMIFS(FIIs!$J$66,FIIs!$E$66,"Provento",FIIs!$N$66,Patrimônio!B935)</f>
        <v>0</v>
      </c>
      <c r="N935" s="109">
        <f t="shared" si="2"/>
        <v>0</v>
      </c>
      <c r="O935" s="109"/>
      <c r="Q935" s="154"/>
      <c r="R935" s="155" t="s">
        <v>263</v>
      </c>
      <c r="S935" s="156">
        <v>0</v>
      </c>
    </row>
    <row r="936" spans="1:19" ht="17.25" customHeight="1">
      <c r="A936" s="108">
        <v>73020</v>
      </c>
      <c r="B936" s="108">
        <f t="shared" si="0"/>
        <v>73019</v>
      </c>
      <c r="C936" s="109"/>
      <c r="D936" s="109"/>
      <c r="E936" s="109"/>
      <c r="F936" s="109"/>
      <c r="G936" s="109"/>
      <c r="H936" s="109"/>
      <c r="I936" s="109">
        <f t="shared" ref="I936:J936" si="950">SUM(C936,E936,G936)</f>
        <v>0</v>
      </c>
      <c r="J936" s="109">
        <f t="shared" si="950"/>
        <v>0</v>
      </c>
      <c r="K936" s="109">
        <f>SUMIFS(Ações!$J$66,Ações!$N$66,Patrimônio!B936,Ações!$E$66,"Provento")</f>
        <v>0</v>
      </c>
      <c r="L936" s="109">
        <f>SUMIFS(BDRs!$J$66,BDRs!$E$66,"Provento",BDRs!$N$66,Patrimônio!B936)</f>
        <v>0</v>
      </c>
      <c r="M936" s="109">
        <f>SUMIFS(FIIs!$J$66,FIIs!$E$66,"Provento",FIIs!$N$66,Patrimônio!B936)</f>
        <v>0</v>
      </c>
      <c r="N936" s="109">
        <f t="shared" si="2"/>
        <v>0</v>
      </c>
      <c r="O936" s="109"/>
      <c r="Q936" s="154"/>
      <c r="R936" s="155" t="s">
        <v>264</v>
      </c>
      <c r="S936" s="156">
        <v>0</v>
      </c>
    </row>
    <row r="937" spans="1:19" ht="17.25" customHeight="1">
      <c r="A937" s="108">
        <v>73051</v>
      </c>
      <c r="B937" s="108">
        <f t="shared" si="0"/>
        <v>73050</v>
      </c>
      <c r="C937" s="109"/>
      <c r="D937" s="109"/>
      <c r="E937" s="109"/>
      <c r="F937" s="109"/>
      <c r="G937" s="109"/>
      <c r="H937" s="109"/>
      <c r="I937" s="109">
        <f t="shared" ref="I937:J937" si="951">SUM(C937,E937,G937)</f>
        <v>0</v>
      </c>
      <c r="J937" s="109">
        <f t="shared" si="951"/>
        <v>0</v>
      </c>
      <c r="K937" s="109">
        <f>SUMIFS(Ações!$J$66,Ações!$N$66,Patrimônio!B937,Ações!$E$66,"Provento")</f>
        <v>0</v>
      </c>
      <c r="L937" s="109">
        <f>SUMIFS(BDRs!$J$66,BDRs!$E$66,"Provento",BDRs!$N$66,Patrimônio!B937)</f>
        <v>0</v>
      </c>
      <c r="M937" s="109">
        <f>SUMIFS(FIIs!$J$66,FIIs!$E$66,"Provento",FIIs!$N$66,Patrimônio!B937)</f>
        <v>0</v>
      </c>
      <c r="N937" s="109">
        <f t="shared" si="2"/>
        <v>0</v>
      </c>
      <c r="O937" s="109"/>
      <c r="Q937" s="154"/>
      <c r="R937" s="155" t="s">
        <v>265</v>
      </c>
      <c r="S937" s="156">
        <v>0</v>
      </c>
    </row>
    <row r="938" spans="1:19" ht="17.25" customHeight="1">
      <c r="A938" s="108">
        <v>73082</v>
      </c>
      <c r="B938" s="108">
        <f t="shared" si="0"/>
        <v>73081</v>
      </c>
      <c r="C938" s="109"/>
      <c r="D938" s="109"/>
      <c r="E938" s="109"/>
      <c r="F938" s="109"/>
      <c r="G938" s="109"/>
      <c r="H938" s="109"/>
      <c r="I938" s="109">
        <f t="shared" ref="I938:J938" si="952">SUM(C938,E938,G938)</f>
        <v>0</v>
      </c>
      <c r="J938" s="109">
        <f t="shared" si="952"/>
        <v>0</v>
      </c>
      <c r="K938" s="109">
        <f>SUMIFS(Ações!$J$66,Ações!$N$66,Patrimônio!B938,Ações!$E$66,"Provento")</f>
        <v>0</v>
      </c>
      <c r="L938" s="109">
        <f>SUMIFS(BDRs!$J$66,BDRs!$E$66,"Provento",BDRs!$N$66,Patrimônio!B938)</f>
        <v>0</v>
      </c>
      <c r="M938" s="109">
        <f>SUMIFS(FIIs!$J$66,FIIs!$E$66,"Provento",FIIs!$N$66,Patrimônio!B938)</f>
        <v>0</v>
      </c>
      <c r="N938" s="109">
        <f t="shared" si="2"/>
        <v>0</v>
      </c>
      <c r="O938" s="109"/>
      <c r="Q938" s="154"/>
      <c r="R938" s="155" t="s">
        <v>266</v>
      </c>
      <c r="S938" s="156">
        <v>0</v>
      </c>
    </row>
    <row r="939" spans="1:19" ht="17.25" customHeight="1">
      <c r="A939" s="108">
        <v>73110</v>
      </c>
      <c r="B939" s="108">
        <f t="shared" si="0"/>
        <v>73109</v>
      </c>
      <c r="C939" s="109"/>
      <c r="D939" s="109"/>
      <c r="E939" s="109"/>
      <c r="F939" s="109"/>
      <c r="G939" s="109"/>
      <c r="H939" s="109"/>
      <c r="I939" s="109">
        <f t="shared" ref="I939:J939" si="953">SUM(C939,E939,G939)</f>
        <v>0</v>
      </c>
      <c r="J939" s="109">
        <f t="shared" si="953"/>
        <v>0</v>
      </c>
      <c r="K939" s="109">
        <f>SUMIFS(Ações!$J$66,Ações!$N$66,Patrimônio!B939,Ações!$E$66,"Provento")</f>
        <v>0</v>
      </c>
      <c r="L939" s="109">
        <f>SUMIFS(BDRs!$J$66,BDRs!$E$66,"Provento",BDRs!$N$66,Patrimônio!B939)</f>
        <v>0</v>
      </c>
      <c r="M939" s="109">
        <f>SUMIFS(FIIs!$J$66,FIIs!$E$66,"Provento",FIIs!$N$66,Patrimônio!B939)</f>
        <v>0</v>
      </c>
      <c r="N939" s="109">
        <f t="shared" si="2"/>
        <v>0</v>
      </c>
      <c r="O939" s="109"/>
      <c r="Q939" s="154"/>
      <c r="R939" s="155" t="s">
        <v>267</v>
      </c>
      <c r="S939" s="156">
        <v>0</v>
      </c>
    </row>
    <row r="940" spans="1:19" ht="17.25" customHeight="1">
      <c r="A940" s="108">
        <v>73141</v>
      </c>
      <c r="B940" s="108">
        <f t="shared" si="0"/>
        <v>73140</v>
      </c>
      <c r="C940" s="109"/>
      <c r="D940" s="109"/>
      <c r="E940" s="109"/>
      <c r="F940" s="109"/>
      <c r="G940" s="109"/>
      <c r="H940" s="109"/>
      <c r="I940" s="109">
        <f t="shared" ref="I940:J940" si="954">SUM(C940,E940,G940)</f>
        <v>0</v>
      </c>
      <c r="J940" s="109">
        <f t="shared" si="954"/>
        <v>0</v>
      </c>
      <c r="K940" s="109">
        <f>SUMIFS(Ações!$J$66,Ações!$N$66,Patrimônio!B940,Ações!$E$66,"Provento")</f>
        <v>0</v>
      </c>
      <c r="L940" s="109">
        <f>SUMIFS(BDRs!$J$66,BDRs!$E$66,"Provento",BDRs!$N$66,Patrimônio!B940)</f>
        <v>0</v>
      </c>
      <c r="M940" s="109">
        <f>SUMIFS(FIIs!$J$66,FIIs!$E$66,"Provento",FIIs!$N$66,Patrimônio!B940)</f>
        <v>0</v>
      </c>
      <c r="N940" s="109">
        <f t="shared" si="2"/>
        <v>0</v>
      </c>
      <c r="O940" s="109"/>
      <c r="Q940" s="154"/>
      <c r="R940" s="155" t="s">
        <v>268</v>
      </c>
      <c r="S940" s="156">
        <v>0</v>
      </c>
    </row>
    <row r="941" spans="1:19" ht="17.25" customHeight="1">
      <c r="A941" s="108">
        <v>73171</v>
      </c>
      <c r="B941" s="108">
        <f t="shared" si="0"/>
        <v>73170</v>
      </c>
      <c r="C941" s="109"/>
      <c r="D941" s="109"/>
      <c r="E941" s="109"/>
      <c r="F941" s="109"/>
      <c r="G941" s="109"/>
      <c r="H941" s="109"/>
      <c r="I941" s="109">
        <f t="shared" ref="I941:J941" si="955">SUM(C941,E941,G941)</f>
        <v>0</v>
      </c>
      <c r="J941" s="109">
        <f t="shared" si="955"/>
        <v>0</v>
      </c>
      <c r="K941" s="109">
        <f>SUMIFS(Ações!$J$66,Ações!$N$66,Patrimônio!B941,Ações!$E$66,"Provento")</f>
        <v>0</v>
      </c>
      <c r="L941" s="109">
        <f>SUMIFS(BDRs!$J$66,BDRs!$E$66,"Provento",BDRs!$N$66,Patrimônio!B941)</f>
        <v>0</v>
      </c>
      <c r="M941" s="109">
        <f>SUMIFS(FIIs!$J$66,FIIs!$E$66,"Provento",FIIs!$N$66,Patrimônio!B941)</f>
        <v>0</v>
      </c>
      <c r="N941" s="109">
        <f t="shared" si="2"/>
        <v>0</v>
      </c>
      <c r="O941" s="109"/>
      <c r="Q941" s="154"/>
      <c r="R941" s="155" t="s">
        <v>269</v>
      </c>
      <c r="S941" s="156">
        <v>0</v>
      </c>
    </row>
    <row r="942" spans="1:19" ht="17.25" customHeight="1">
      <c r="A942" s="108">
        <v>73202</v>
      </c>
      <c r="B942" s="108">
        <f t="shared" si="0"/>
        <v>73201</v>
      </c>
      <c r="C942" s="109"/>
      <c r="D942" s="109"/>
      <c r="E942" s="109"/>
      <c r="F942" s="109"/>
      <c r="G942" s="109"/>
      <c r="H942" s="109"/>
      <c r="I942" s="109">
        <f t="shared" ref="I942:J942" si="956">SUM(C942,E942,G942)</f>
        <v>0</v>
      </c>
      <c r="J942" s="109">
        <f t="shared" si="956"/>
        <v>0</v>
      </c>
      <c r="K942" s="109">
        <f>SUMIFS(Ações!$J$66,Ações!$N$66,Patrimônio!B942,Ações!$E$66,"Provento")</f>
        <v>0</v>
      </c>
      <c r="L942" s="109">
        <f>SUMIFS(BDRs!$J$66,BDRs!$E$66,"Provento",BDRs!$N$66,Patrimônio!B942)</f>
        <v>0</v>
      </c>
      <c r="M942" s="109">
        <f>SUMIFS(FIIs!$J$66,FIIs!$E$66,"Provento",FIIs!$N$66,Patrimônio!B942)</f>
        <v>0</v>
      </c>
      <c r="N942" s="109">
        <f t="shared" si="2"/>
        <v>0</v>
      </c>
      <c r="O942" s="109"/>
      <c r="Q942" s="154"/>
      <c r="R942" s="155" t="s">
        <v>270</v>
      </c>
      <c r="S942" s="156">
        <v>0</v>
      </c>
    </row>
    <row r="943" spans="1:19" ht="17.25" customHeight="1">
      <c r="A943" s="108">
        <v>73232</v>
      </c>
      <c r="B943" s="108">
        <f t="shared" si="0"/>
        <v>73231</v>
      </c>
      <c r="C943" s="109"/>
      <c r="D943" s="109"/>
      <c r="E943" s="109"/>
      <c r="F943" s="109"/>
      <c r="G943" s="109"/>
      <c r="H943" s="109"/>
      <c r="I943" s="109">
        <f t="shared" ref="I943:J943" si="957">SUM(C943,E943,G943)</f>
        <v>0</v>
      </c>
      <c r="J943" s="109">
        <f t="shared" si="957"/>
        <v>0</v>
      </c>
      <c r="K943" s="109">
        <f>SUMIFS(Ações!$J$66,Ações!$N$66,Patrimônio!B943,Ações!$E$66,"Provento")</f>
        <v>0</v>
      </c>
      <c r="L943" s="109">
        <f>SUMIFS(BDRs!$J$66,BDRs!$E$66,"Provento",BDRs!$N$66,Patrimônio!B943)</f>
        <v>0</v>
      </c>
      <c r="M943" s="109">
        <f>SUMIFS(FIIs!$J$66,FIIs!$E$66,"Provento",FIIs!$N$66,Patrimônio!B943)</f>
        <v>0</v>
      </c>
      <c r="N943" s="109">
        <f t="shared" si="2"/>
        <v>0</v>
      </c>
      <c r="O943" s="109"/>
      <c r="Q943" s="154"/>
      <c r="R943" s="155" t="s">
        <v>271</v>
      </c>
      <c r="S943" s="156">
        <v>0</v>
      </c>
    </row>
    <row r="944" spans="1:19" ht="17.25" customHeight="1">
      <c r="A944" s="108">
        <v>73263</v>
      </c>
      <c r="B944" s="108">
        <f t="shared" si="0"/>
        <v>73262</v>
      </c>
      <c r="C944" s="109"/>
      <c r="D944" s="109"/>
      <c r="E944" s="109"/>
      <c r="F944" s="109"/>
      <c r="G944" s="109"/>
      <c r="H944" s="109"/>
      <c r="I944" s="109">
        <f t="shared" ref="I944:J944" si="958">SUM(C944,E944,G944)</f>
        <v>0</v>
      </c>
      <c r="J944" s="109">
        <f t="shared" si="958"/>
        <v>0</v>
      </c>
      <c r="K944" s="109">
        <f>SUMIFS(Ações!$J$66,Ações!$N$66,Patrimônio!B944,Ações!$E$66,"Provento")</f>
        <v>0</v>
      </c>
      <c r="L944" s="109">
        <f>SUMIFS(BDRs!$J$66,BDRs!$E$66,"Provento",BDRs!$N$66,Patrimônio!B944)</f>
        <v>0</v>
      </c>
      <c r="M944" s="109">
        <f>SUMIFS(FIIs!$J$66,FIIs!$E$66,"Provento",FIIs!$N$66,Patrimônio!B944)</f>
        <v>0</v>
      </c>
      <c r="N944" s="109">
        <f t="shared" si="2"/>
        <v>0</v>
      </c>
      <c r="O944" s="109"/>
      <c r="Q944" s="154"/>
      <c r="R944" s="155" t="s">
        <v>272</v>
      </c>
      <c r="S944" s="156">
        <v>0</v>
      </c>
    </row>
    <row r="945" spans="1:19" ht="17.25" customHeight="1">
      <c r="A945" s="108">
        <v>73294</v>
      </c>
      <c r="B945" s="108">
        <f t="shared" si="0"/>
        <v>73293</v>
      </c>
      <c r="C945" s="109"/>
      <c r="D945" s="109"/>
      <c r="E945" s="109"/>
      <c r="F945" s="109"/>
      <c r="G945" s="109"/>
      <c r="H945" s="109"/>
      <c r="I945" s="109">
        <f t="shared" ref="I945:J945" si="959">SUM(C945,E945,G945)</f>
        <v>0</v>
      </c>
      <c r="J945" s="109">
        <f t="shared" si="959"/>
        <v>0</v>
      </c>
      <c r="K945" s="109">
        <f>SUMIFS(Ações!$J$66,Ações!$N$66,Patrimônio!B945,Ações!$E$66,"Provento")</f>
        <v>0</v>
      </c>
      <c r="L945" s="109">
        <f>SUMIFS(BDRs!$J$66,BDRs!$E$66,"Provento",BDRs!$N$66,Patrimônio!B945)</f>
        <v>0</v>
      </c>
      <c r="M945" s="109">
        <f>SUMIFS(FIIs!$J$66,FIIs!$E$66,"Provento",FIIs!$N$66,Patrimônio!B945)</f>
        <v>0</v>
      </c>
      <c r="N945" s="109">
        <f t="shared" si="2"/>
        <v>0</v>
      </c>
      <c r="O945" s="109"/>
      <c r="Q945" s="151" t="s">
        <v>232</v>
      </c>
      <c r="R945" s="157"/>
      <c r="S945" s="153">
        <v>0</v>
      </c>
    </row>
    <row r="946" spans="1:19" ht="17.25" customHeight="1">
      <c r="A946" s="108">
        <v>73324</v>
      </c>
      <c r="B946" s="108">
        <f t="shared" si="0"/>
        <v>73323</v>
      </c>
      <c r="C946" s="109"/>
      <c r="D946" s="109"/>
      <c r="E946" s="109"/>
      <c r="F946" s="109"/>
      <c r="G946" s="109"/>
      <c r="H946" s="109"/>
      <c r="I946" s="109">
        <f t="shared" ref="I946:J946" si="960">SUM(C946,E946,G946)</f>
        <v>0</v>
      </c>
      <c r="J946" s="109">
        <f t="shared" si="960"/>
        <v>0</v>
      </c>
      <c r="K946" s="109">
        <f>SUMIFS(Ações!$J$66,Ações!$N$66,Patrimônio!B946,Ações!$E$66,"Provento")</f>
        <v>0</v>
      </c>
      <c r="L946" s="109">
        <f>SUMIFS(BDRs!$J$66,BDRs!$E$66,"Provento",BDRs!$N$66,Patrimônio!B946)</f>
        <v>0</v>
      </c>
      <c r="M946" s="109">
        <f>SUMIFS(FIIs!$J$66,FIIs!$E$66,"Provento",FIIs!$N$66,Patrimônio!B946)</f>
        <v>0</v>
      </c>
      <c r="N946" s="109">
        <f t="shared" si="2"/>
        <v>0</v>
      </c>
      <c r="O946" s="109"/>
      <c r="Q946" s="151" t="s">
        <v>233</v>
      </c>
      <c r="R946" s="152" t="s">
        <v>261</v>
      </c>
      <c r="S946" s="153">
        <v>0</v>
      </c>
    </row>
    <row r="947" spans="1:19" ht="17.25" customHeight="1">
      <c r="A947" s="108">
        <v>73355</v>
      </c>
      <c r="B947" s="108">
        <f t="shared" si="0"/>
        <v>73354</v>
      </c>
      <c r="C947" s="109"/>
      <c r="D947" s="109"/>
      <c r="E947" s="109"/>
      <c r="F947" s="109"/>
      <c r="G947" s="109"/>
      <c r="H947" s="109"/>
      <c r="I947" s="109">
        <f t="shared" ref="I947:J947" si="961">SUM(C947,E947,G947)</f>
        <v>0</v>
      </c>
      <c r="J947" s="109">
        <f t="shared" si="961"/>
        <v>0</v>
      </c>
      <c r="K947" s="109">
        <f>SUMIFS(Ações!$J$66,Ações!$N$66,Patrimônio!B947,Ações!$E$66,"Provento")</f>
        <v>0</v>
      </c>
      <c r="L947" s="109">
        <f>SUMIFS(BDRs!$J$66,BDRs!$E$66,"Provento",BDRs!$N$66,Patrimônio!B947)</f>
        <v>0</v>
      </c>
      <c r="M947" s="109">
        <f>SUMIFS(FIIs!$J$66,FIIs!$E$66,"Provento",FIIs!$N$66,Patrimônio!B947)</f>
        <v>0</v>
      </c>
      <c r="N947" s="109">
        <f t="shared" si="2"/>
        <v>0</v>
      </c>
      <c r="O947" s="109"/>
      <c r="Q947" s="154"/>
      <c r="R947" s="155" t="s">
        <v>262</v>
      </c>
      <c r="S947" s="156">
        <v>0</v>
      </c>
    </row>
    <row r="948" spans="1:19" ht="17.25" customHeight="1">
      <c r="A948" s="108">
        <v>73385</v>
      </c>
      <c r="B948" s="108">
        <f t="shared" si="0"/>
        <v>73384</v>
      </c>
      <c r="C948" s="109"/>
      <c r="D948" s="109"/>
      <c r="E948" s="109"/>
      <c r="F948" s="109"/>
      <c r="G948" s="109"/>
      <c r="H948" s="109"/>
      <c r="I948" s="109">
        <f t="shared" ref="I948:J948" si="962">SUM(C948,E948,G948)</f>
        <v>0</v>
      </c>
      <c r="J948" s="109">
        <f t="shared" si="962"/>
        <v>0</v>
      </c>
      <c r="K948" s="109">
        <f>SUMIFS(Ações!$J$66,Ações!$N$66,Patrimônio!B948,Ações!$E$66,"Provento")</f>
        <v>0</v>
      </c>
      <c r="L948" s="109">
        <f>SUMIFS(BDRs!$J$66,BDRs!$E$66,"Provento",BDRs!$N$66,Patrimônio!B948)</f>
        <v>0</v>
      </c>
      <c r="M948" s="109">
        <f>SUMIFS(FIIs!$J$66,FIIs!$E$66,"Provento",FIIs!$N$66,Patrimônio!B948)</f>
        <v>0</v>
      </c>
      <c r="N948" s="109">
        <f t="shared" si="2"/>
        <v>0</v>
      </c>
      <c r="O948" s="109"/>
      <c r="Q948" s="154"/>
      <c r="R948" s="155" t="s">
        <v>263</v>
      </c>
      <c r="S948" s="156">
        <v>0</v>
      </c>
    </row>
    <row r="949" spans="1:19" ht="17.25" customHeight="1">
      <c r="A949" s="108">
        <v>73416</v>
      </c>
      <c r="B949" s="108">
        <f t="shared" si="0"/>
        <v>73415</v>
      </c>
      <c r="C949" s="109"/>
      <c r="D949" s="109"/>
      <c r="E949" s="109"/>
      <c r="F949" s="109"/>
      <c r="G949" s="109"/>
      <c r="H949" s="109"/>
      <c r="I949" s="109">
        <f t="shared" ref="I949:J949" si="963">SUM(C949,E949,G949)</f>
        <v>0</v>
      </c>
      <c r="J949" s="109">
        <f t="shared" si="963"/>
        <v>0</v>
      </c>
      <c r="K949" s="109">
        <f>SUMIFS(Ações!$J$66,Ações!$N$66,Patrimônio!B949,Ações!$E$66,"Provento")</f>
        <v>0</v>
      </c>
      <c r="L949" s="109">
        <f>SUMIFS(BDRs!$J$66,BDRs!$E$66,"Provento",BDRs!$N$66,Patrimônio!B949)</f>
        <v>0</v>
      </c>
      <c r="M949" s="109">
        <f>SUMIFS(FIIs!$J$66,FIIs!$E$66,"Provento",FIIs!$N$66,Patrimônio!B949)</f>
        <v>0</v>
      </c>
      <c r="N949" s="109">
        <f t="shared" si="2"/>
        <v>0</v>
      </c>
      <c r="O949" s="109"/>
      <c r="Q949" s="154"/>
      <c r="R949" s="155" t="s">
        <v>264</v>
      </c>
      <c r="S949" s="156">
        <v>0</v>
      </c>
    </row>
    <row r="950" spans="1:19" ht="17.25" customHeight="1">
      <c r="A950" s="108">
        <v>73447</v>
      </c>
      <c r="B950" s="108">
        <f t="shared" si="0"/>
        <v>73446</v>
      </c>
      <c r="C950" s="109"/>
      <c r="D950" s="109"/>
      <c r="E950" s="109"/>
      <c r="F950" s="109"/>
      <c r="G950" s="109"/>
      <c r="H950" s="109"/>
      <c r="I950" s="109">
        <f t="shared" ref="I950:J950" si="964">SUM(C950,E950,G950)</f>
        <v>0</v>
      </c>
      <c r="J950" s="109">
        <f t="shared" si="964"/>
        <v>0</v>
      </c>
      <c r="K950" s="109">
        <f>SUMIFS(Ações!$J$66,Ações!$N$66,Patrimônio!B950,Ações!$E$66,"Provento")</f>
        <v>0</v>
      </c>
      <c r="L950" s="109">
        <f>SUMIFS(BDRs!$J$66,BDRs!$E$66,"Provento",BDRs!$N$66,Patrimônio!B950)</f>
        <v>0</v>
      </c>
      <c r="M950" s="109">
        <f>SUMIFS(FIIs!$J$66,FIIs!$E$66,"Provento",FIIs!$N$66,Patrimônio!B950)</f>
        <v>0</v>
      </c>
      <c r="N950" s="109">
        <f t="shared" si="2"/>
        <v>0</v>
      </c>
      <c r="O950" s="109"/>
      <c r="Q950" s="154"/>
      <c r="R950" s="155" t="s">
        <v>265</v>
      </c>
      <c r="S950" s="156">
        <v>0</v>
      </c>
    </row>
    <row r="951" spans="1:19" ht="17.25" customHeight="1">
      <c r="A951" s="108">
        <v>73475</v>
      </c>
      <c r="B951" s="108">
        <f t="shared" si="0"/>
        <v>73474</v>
      </c>
      <c r="C951" s="109"/>
      <c r="D951" s="109"/>
      <c r="E951" s="109"/>
      <c r="F951" s="109"/>
      <c r="G951" s="109"/>
      <c r="H951" s="109"/>
      <c r="I951" s="109">
        <f t="shared" ref="I951:J951" si="965">SUM(C951,E951,G951)</f>
        <v>0</v>
      </c>
      <c r="J951" s="109">
        <f t="shared" si="965"/>
        <v>0</v>
      </c>
      <c r="K951" s="109">
        <f>SUMIFS(Ações!$J$66,Ações!$N$66,Patrimônio!B951,Ações!$E$66,"Provento")</f>
        <v>0</v>
      </c>
      <c r="L951" s="109">
        <f>SUMIFS(BDRs!$J$66,BDRs!$E$66,"Provento",BDRs!$N$66,Patrimônio!B951)</f>
        <v>0</v>
      </c>
      <c r="M951" s="109">
        <f>SUMIFS(FIIs!$J$66,FIIs!$E$66,"Provento",FIIs!$N$66,Patrimônio!B951)</f>
        <v>0</v>
      </c>
      <c r="N951" s="109">
        <f t="shared" si="2"/>
        <v>0</v>
      </c>
      <c r="O951" s="109"/>
      <c r="Q951" s="154"/>
      <c r="R951" s="155" t="s">
        <v>266</v>
      </c>
      <c r="S951" s="156">
        <v>0</v>
      </c>
    </row>
    <row r="952" spans="1:19" ht="17.25" customHeight="1">
      <c r="A952" s="108">
        <v>73506</v>
      </c>
      <c r="B952" s="108">
        <f t="shared" si="0"/>
        <v>73505</v>
      </c>
      <c r="C952" s="109"/>
      <c r="D952" s="109"/>
      <c r="E952" s="109"/>
      <c r="F952" s="109"/>
      <c r="G952" s="109"/>
      <c r="H952" s="109"/>
      <c r="I952" s="109">
        <f t="shared" ref="I952:J952" si="966">SUM(C952,E952,G952)</f>
        <v>0</v>
      </c>
      <c r="J952" s="109">
        <f t="shared" si="966"/>
        <v>0</v>
      </c>
      <c r="K952" s="109">
        <f>SUMIFS(Ações!$J$66,Ações!$N$66,Patrimônio!B952,Ações!$E$66,"Provento")</f>
        <v>0</v>
      </c>
      <c r="L952" s="109">
        <f>SUMIFS(BDRs!$J$66,BDRs!$E$66,"Provento",BDRs!$N$66,Patrimônio!B952)</f>
        <v>0</v>
      </c>
      <c r="M952" s="109">
        <f>SUMIFS(FIIs!$J$66,FIIs!$E$66,"Provento",FIIs!$N$66,Patrimônio!B952)</f>
        <v>0</v>
      </c>
      <c r="N952" s="109">
        <f t="shared" si="2"/>
        <v>0</v>
      </c>
      <c r="O952" s="109"/>
      <c r="Q952" s="154"/>
      <c r="R952" s="155" t="s">
        <v>267</v>
      </c>
      <c r="S952" s="156">
        <v>0</v>
      </c>
    </row>
    <row r="953" spans="1:19" ht="17.25" customHeight="1">
      <c r="A953" s="108">
        <v>73536</v>
      </c>
      <c r="B953" s="108">
        <f t="shared" si="0"/>
        <v>73535</v>
      </c>
      <c r="C953" s="109"/>
      <c r="D953" s="109"/>
      <c r="E953" s="109"/>
      <c r="F953" s="109"/>
      <c r="G953" s="109"/>
      <c r="H953" s="109"/>
      <c r="I953" s="109">
        <f t="shared" ref="I953:J953" si="967">SUM(C953,E953,G953)</f>
        <v>0</v>
      </c>
      <c r="J953" s="109">
        <f t="shared" si="967"/>
        <v>0</v>
      </c>
      <c r="K953" s="109">
        <f>SUMIFS(Ações!$J$66,Ações!$N$66,Patrimônio!B953,Ações!$E$66,"Provento")</f>
        <v>0</v>
      </c>
      <c r="L953" s="109">
        <f>SUMIFS(BDRs!$J$66,BDRs!$E$66,"Provento",BDRs!$N$66,Patrimônio!B953)</f>
        <v>0</v>
      </c>
      <c r="M953" s="109">
        <f>SUMIFS(FIIs!$J$66,FIIs!$E$66,"Provento",FIIs!$N$66,Patrimônio!B953)</f>
        <v>0</v>
      </c>
      <c r="N953" s="109">
        <f t="shared" si="2"/>
        <v>0</v>
      </c>
      <c r="O953" s="109"/>
      <c r="Q953" s="154"/>
      <c r="R953" s="155" t="s">
        <v>268</v>
      </c>
      <c r="S953" s="156">
        <v>0</v>
      </c>
    </row>
    <row r="954" spans="1:19" ht="17.25" customHeight="1">
      <c r="A954" s="108">
        <v>73567</v>
      </c>
      <c r="B954" s="108">
        <f t="shared" si="0"/>
        <v>73566</v>
      </c>
      <c r="C954" s="109"/>
      <c r="D954" s="109"/>
      <c r="E954" s="109"/>
      <c r="F954" s="109"/>
      <c r="G954" s="109"/>
      <c r="H954" s="109"/>
      <c r="I954" s="109">
        <f t="shared" ref="I954:J954" si="968">SUM(C954,E954,G954)</f>
        <v>0</v>
      </c>
      <c r="J954" s="109">
        <f t="shared" si="968"/>
        <v>0</v>
      </c>
      <c r="K954" s="109">
        <f>SUMIFS(Ações!$J$66,Ações!$N$66,Patrimônio!B954,Ações!$E$66,"Provento")</f>
        <v>0</v>
      </c>
      <c r="L954" s="109">
        <f>SUMIFS(BDRs!$J$66,BDRs!$E$66,"Provento",BDRs!$N$66,Patrimônio!B954)</f>
        <v>0</v>
      </c>
      <c r="M954" s="109">
        <f>SUMIFS(FIIs!$J$66,FIIs!$E$66,"Provento",FIIs!$N$66,Patrimônio!B954)</f>
        <v>0</v>
      </c>
      <c r="N954" s="109">
        <f t="shared" si="2"/>
        <v>0</v>
      </c>
      <c r="O954" s="109"/>
      <c r="Q954" s="154"/>
      <c r="R954" s="155" t="s">
        <v>269</v>
      </c>
      <c r="S954" s="156">
        <v>0</v>
      </c>
    </row>
    <row r="955" spans="1:19" ht="17.25" customHeight="1">
      <c r="A955" s="108">
        <v>73597</v>
      </c>
      <c r="B955" s="108">
        <f t="shared" si="0"/>
        <v>73596</v>
      </c>
      <c r="C955" s="109"/>
      <c r="D955" s="109"/>
      <c r="E955" s="109"/>
      <c r="F955" s="109"/>
      <c r="G955" s="109"/>
      <c r="H955" s="109"/>
      <c r="I955" s="109">
        <f t="shared" ref="I955:J955" si="969">SUM(C955,E955,G955)</f>
        <v>0</v>
      </c>
      <c r="J955" s="109">
        <f t="shared" si="969"/>
        <v>0</v>
      </c>
      <c r="K955" s="109">
        <f>SUMIFS(Ações!$J$66,Ações!$N$66,Patrimônio!B955,Ações!$E$66,"Provento")</f>
        <v>0</v>
      </c>
      <c r="L955" s="109">
        <f>SUMIFS(BDRs!$J$66,BDRs!$E$66,"Provento",BDRs!$N$66,Patrimônio!B955)</f>
        <v>0</v>
      </c>
      <c r="M955" s="109">
        <f>SUMIFS(FIIs!$J$66,FIIs!$E$66,"Provento",FIIs!$N$66,Patrimônio!B955)</f>
        <v>0</v>
      </c>
      <c r="N955" s="109">
        <f t="shared" si="2"/>
        <v>0</v>
      </c>
      <c r="O955" s="109"/>
      <c r="Q955" s="154"/>
      <c r="R955" s="155" t="s">
        <v>270</v>
      </c>
      <c r="S955" s="156">
        <v>0</v>
      </c>
    </row>
    <row r="956" spans="1:19" ht="17.25" customHeight="1">
      <c r="A956" s="108">
        <v>73628</v>
      </c>
      <c r="B956" s="108">
        <f t="shared" si="0"/>
        <v>73627</v>
      </c>
      <c r="C956" s="109"/>
      <c r="D956" s="109"/>
      <c r="E956" s="109"/>
      <c r="F956" s="109"/>
      <c r="G956" s="109"/>
      <c r="H956" s="109"/>
      <c r="I956" s="109">
        <f t="shared" ref="I956:J956" si="970">SUM(C956,E956,G956)</f>
        <v>0</v>
      </c>
      <c r="J956" s="109">
        <f t="shared" si="970"/>
        <v>0</v>
      </c>
      <c r="K956" s="109">
        <f>SUMIFS(Ações!$J$66,Ações!$N$66,Patrimônio!B956,Ações!$E$66,"Provento")</f>
        <v>0</v>
      </c>
      <c r="L956" s="109">
        <f>SUMIFS(BDRs!$J$66,BDRs!$E$66,"Provento",BDRs!$N$66,Patrimônio!B956)</f>
        <v>0</v>
      </c>
      <c r="M956" s="109">
        <f>SUMIFS(FIIs!$J$66,FIIs!$E$66,"Provento",FIIs!$N$66,Patrimônio!B956)</f>
        <v>0</v>
      </c>
      <c r="N956" s="109">
        <f t="shared" si="2"/>
        <v>0</v>
      </c>
      <c r="O956" s="109"/>
      <c r="Q956" s="154"/>
      <c r="R956" s="155" t="s">
        <v>271</v>
      </c>
      <c r="S956" s="156">
        <v>0</v>
      </c>
    </row>
    <row r="957" spans="1:19" ht="17.25" customHeight="1">
      <c r="A957" s="108">
        <v>73659</v>
      </c>
      <c r="B957" s="108">
        <f t="shared" si="0"/>
        <v>73658</v>
      </c>
      <c r="C957" s="109"/>
      <c r="D957" s="109"/>
      <c r="E957" s="109"/>
      <c r="F957" s="109"/>
      <c r="G957" s="109"/>
      <c r="H957" s="109"/>
      <c r="I957" s="109">
        <f t="shared" ref="I957:J957" si="971">SUM(C957,E957,G957)</f>
        <v>0</v>
      </c>
      <c r="J957" s="109">
        <f t="shared" si="971"/>
        <v>0</v>
      </c>
      <c r="K957" s="109">
        <f>SUMIFS(Ações!$J$66,Ações!$N$66,Patrimônio!B957,Ações!$E$66,"Provento")</f>
        <v>0</v>
      </c>
      <c r="L957" s="109">
        <f>SUMIFS(BDRs!$J$66,BDRs!$E$66,"Provento",BDRs!$N$66,Patrimônio!B957)</f>
        <v>0</v>
      </c>
      <c r="M957" s="109">
        <f>SUMIFS(FIIs!$J$66,FIIs!$E$66,"Provento",FIIs!$N$66,Patrimônio!B957)</f>
        <v>0</v>
      </c>
      <c r="N957" s="109">
        <f t="shared" si="2"/>
        <v>0</v>
      </c>
      <c r="O957" s="109"/>
      <c r="Q957" s="154"/>
      <c r="R957" s="155" t="s">
        <v>272</v>
      </c>
      <c r="S957" s="156">
        <v>0</v>
      </c>
    </row>
    <row r="958" spans="1:19" ht="17.25" customHeight="1">
      <c r="A958" s="108">
        <v>73689</v>
      </c>
      <c r="B958" s="108">
        <f t="shared" si="0"/>
        <v>73688</v>
      </c>
      <c r="C958" s="109"/>
      <c r="D958" s="109"/>
      <c r="E958" s="109"/>
      <c r="F958" s="109"/>
      <c r="G958" s="109"/>
      <c r="H958" s="109"/>
      <c r="I958" s="109">
        <f t="shared" ref="I958:J958" si="972">SUM(C958,E958,G958)</f>
        <v>0</v>
      </c>
      <c r="J958" s="109">
        <f t="shared" si="972"/>
        <v>0</v>
      </c>
      <c r="K958" s="109">
        <f>SUMIFS(Ações!$J$66,Ações!$N$66,Patrimônio!B958,Ações!$E$66,"Provento")</f>
        <v>0</v>
      </c>
      <c r="L958" s="109">
        <f>SUMIFS(BDRs!$J$66,BDRs!$E$66,"Provento",BDRs!$N$66,Patrimônio!B958)</f>
        <v>0</v>
      </c>
      <c r="M958" s="109">
        <f>SUMIFS(FIIs!$J$66,FIIs!$E$66,"Provento",FIIs!$N$66,Patrimônio!B958)</f>
        <v>0</v>
      </c>
      <c r="N958" s="109">
        <f t="shared" si="2"/>
        <v>0</v>
      </c>
      <c r="O958" s="109"/>
      <c r="Q958" s="151" t="s">
        <v>234</v>
      </c>
      <c r="R958" s="157"/>
      <c r="S958" s="153">
        <v>0</v>
      </c>
    </row>
    <row r="959" spans="1:19" ht="17.25" customHeight="1">
      <c r="A959" s="108">
        <v>73720</v>
      </c>
      <c r="B959" s="108">
        <f t="shared" si="0"/>
        <v>73719</v>
      </c>
      <c r="C959" s="109"/>
      <c r="D959" s="109"/>
      <c r="E959" s="109"/>
      <c r="F959" s="109"/>
      <c r="G959" s="109"/>
      <c r="H959" s="109"/>
      <c r="I959" s="109">
        <f t="shared" ref="I959:J959" si="973">SUM(C959,E959,G959)</f>
        <v>0</v>
      </c>
      <c r="J959" s="109">
        <f t="shared" si="973"/>
        <v>0</v>
      </c>
      <c r="K959" s="109">
        <f>SUMIFS(Ações!$J$66,Ações!$N$66,Patrimônio!B959,Ações!$E$66,"Provento")</f>
        <v>0</v>
      </c>
      <c r="L959" s="109">
        <f>SUMIFS(BDRs!$J$66,BDRs!$E$66,"Provento",BDRs!$N$66,Patrimônio!B959)</f>
        <v>0</v>
      </c>
      <c r="M959" s="109">
        <f>SUMIFS(FIIs!$J$66,FIIs!$E$66,"Provento",FIIs!$N$66,Patrimônio!B959)</f>
        <v>0</v>
      </c>
      <c r="N959" s="109">
        <f t="shared" si="2"/>
        <v>0</v>
      </c>
      <c r="O959" s="109"/>
      <c r="Q959" s="151" t="s">
        <v>235</v>
      </c>
      <c r="R959" s="152" t="s">
        <v>261</v>
      </c>
      <c r="S959" s="153">
        <v>0</v>
      </c>
    </row>
    <row r="960" spans="1:19" ht="17.25" customHeight="1">
      <c r="A960" s="108">
        <v>73750</v>
      </c>
      <c r="B960" s="108">
        <f t="shared" si="0"/>
        <v>73749</v>
      </c>
      <c r="C960" s="109"/>
      <c r="D960" s="109"/>
      <c r="E960" s="109"/>
      <c r="F960" s="109"/>
      <c r="G960" s="109"/>
      <c r="H960" s="109"/>
      <c r="I960" s="109">
        <f t="shared" ref="I960:J960" si="974">SUM(C960,E960,G960)</f>
        <v>0</v>
      </c>
      <c r="J960" s="109">
        <f t="shared" si="974"/>
        <v>0</v>
      </c>
      <c r="K960" s="109">
        <f>SUMIFS(Ações!$J$66,Ações!$N$66,Patrimônio!B960,Ações!$E$66,"Provento")</f>
        <v>0</v>
      </c>
      <c r="L960" s="109">
        <f>SUMIFS(BDRs!$J$66,BDRs!$E$66,"Provento",BDRs!$N$66,Patrimônio!B960)</f>
        <v>0</v>
      </c>
      <c r="M960" s="109">
        <f>SUMIFS(FIIs!$J$66,FIIs!$E$66,"Provento",FIIs!$N$66,Patrimônio!B960)</f>
        <v>0</v>
      </c>
      <c r="N960" s="109">
        <f t="shared" si="2"/>
        <v>0</v>
      </c>
      <c r="O960" s="109"/>
      <c r="Q960" s="154"/>
      <c r="R960" s="155" t="s">
        <v>262</v>
      </c>
      <c r="S960" s="156">
        <v>0</v>
      </c>
    </row>
    <row r="961" spans="1:19" ht="17.25" customHeight="1">
      <c r="A961" s="108">
        <v>73781</v>
      </c>
      <c r="B961" s="108">
        <f t="shared" si="0"/>
        <v>73780</v>
      </c>
      <c r="C961" s="109"/>
      <c r="D961" s="109"/>
      <c r="E961" s="109"/>
      <c r="F961" s="109"/>
      <c r="G961" s="109"/>
      <c r="H961" s="109"/>
      <c r="I961" s="109">
        <f t="shared" ref="I961:J961" si="975">SUM(C961,E961,G961)</f>
        <v>0</v>
      </c>
      <c r="J961" s="109">
        <f t="shared" si="975"/>
        <v>0</v>
      </c>
      <c r="K961" s="109">
        <f>SUMIFS(Ações!$J$66,Ações!$N$66,Patrimônio!B961,Ações!$E$66,"Provento")</f>
        <v>0</v>
      </c>
      <c r="L961" s="109">
        <f>SUMIFS(BDRs!$J$66,BDRs!$E$66,"Provento",BDRs!$N$66,Patrimônio!B961)</f>
        <v>0</v>
      </c>
      <c r="M961" s="109">
        <f>SUMIFS(FIIs!$J$66,FIIs!$E$66,"Provento",FIIs!$N$66,Patrimônio!B961)</f>
        <v>0</v>
      </c>
      <c r="N961" s="109">
        <f t="shared" si="2"/>
        <v>0</v>
      </c>
      <c r="O961" s="109"/>
      <c r="Q961" s="154"/>
      <c r="R961" s="155" t="s">
        <v>263</v>
      </c>
      <c r="S961" s="156">
        <v>0</v>
      </c>
    </row>
    <row r="962" spans="1:19" ht="17.25" customHeight="1">
      <c r="A962" s="108">
        <v>73812</v>
      </c>
      <c r="B962" s="108">
        <f t="shared" si="0"/>
        <v>73811</v>
      </c>
      <c r="C962" s="109"/>
      <c r="D962" s="109"/>
      <c r="E962" s="109"/>
      <c r="F962" s="109"/>
      <c r="G962" s="109"/>
      <c r="H962" s="109"/>
      <c r="I962" s="109">
        <f t="shared" ref="I962:J962" si="976">SUM(C962,E962,G962)</f>
        <v>0</v>
      </c>
      <c r="J962" s="109">
        <f t="shared" si="976"/>
        <v>0</v>
      </c>
      <c r="K962" s="109">
        <f>SUMIFS(Ações!$J$66,Ações!$N$66,Patrimônio!B962,Ações!$E$66,"Provento")</f>
        <v>0</v>
      </c>
      <c r="L962" s="109">
        <f>SUMIFS(BDRs!$J$66,BDRs!$E$66,"Provento",BDRs!$N$66,Patrimônio!B962)</f>
        <v>0</v>
      </c>
      <c r="M962" s="109">
        <f>SUMIFS(FIIs!$J$66,FIIs!$E$66,"Provento",FIIs!$N$66,Patrimônio!B962)</f>
        <v>0</v>
      </c>
      <c r="N962" s="109">
        <f t="shared" si="2"/>
        <v>0</v>
      </c>
      <c r="O962" s="109"/>
      <c r="Q962" s="154"/>
      <c r="R962" s="155" t="s">
        <v>264</v>
      </c>
      <c r="S962" s="156">
        <v>0</v>
      </c>
    </row>
    <row r="963" spans="1:19" ht="17.25" customHeight="1">
      <c r="A963" s="108">
        <v>73840</v>
      </c>
      <c r="B963" s="108">
        <f t="shared" si="0"/>
        <v>73839</v>
      </c>
      <c r="C963" s="109"/>
      <c r="D963" s="109"/>
      <c r="E963" s="109"/>
      <c r="F963" s="109"/>
      <c r="G963" s="109"/>
      <c r="H963" s="109"/>
      <c r="I963" s="109">
        <f t="shared" ref="I963:J963" si="977">SUM(C963,E963,G963)</f>
        <v>0</v>
      </c>
      <c r="J963" s="109">
        <f t="shared" si="977"/>
        <v>0</v>
      </c>
      <c r="K963" s="109">
        <f>SUMIFS(Ações!$J$66,Ações!$N$66,Patrimônio!B963,Ações!$E$66,"Provento")</f>
        <v>0</v>
      </c>
      <c r="L963" s="109">
        <f>SUMIFS(BDRs!$J$66,BDRs!$E$66,"Provento",BDRs!$N$66,Patrimônio!B963)</f>
        <v>0</v>
      </c>
      <c r="M963" s="109">
        <f>SUMIFS(FIIs!$J$66,FIIs!$E$66,"Provento",FIIs!$N$66,Patrimônio!B963)</f>
        <v>0</v>
      </c>
      <c r="N963" s="109">
        <f t="shared" si="2"/>
        <v>0</v>
      </c>
      <c r="O963" s="109"/>
      <c r="Q963" s="154"/>
      <c r="R963" s="155" t="s">
        <v>265</v>
      </c>
      <c r="S963" s="156">
        <v>0</v>
      </c>
    </row>
    <row r="964" spans="1:19" ht="17.25" customHeight="1">
      <c r="A964" s="108">
        <v>73871</v>
      </c>
      <c r="B964" s="108">
        <f t="shared" si="0"/>
        <v>73870</v>
      </c>
      <c r="C964" s="109"/>
      <c r="D964" s="109"/>
      <c r="E964" s="109"/>
      <c r="F964" s="109"/>
      <c r="G964" s="109"/>
      <c r="H964" s="109"/>
      <c r="I964" s="109">
        <f t="shared" ref="I964:J964" si="978">SUM(C964,E964,G964)</f>
        <v>0</v>
      </c>
      <c r="J964" s="109">
        <f t="shared" si="978"/>
        <v>0</v>
      </c>
      <c r="K964" s="109">
        <f>SUMIFS(Ações!$J$66,Ações!$N$66,Patrimônio!B964,Ações!$E$66,"Provento")</f>
        <v>0</v>
      </c>
      <c r="L964" s="109">
        <f>SUMIFS(BDRs!$J$66,BDRs!$E$66,"Provento",BDRs!$N$66,Patrimônio!B964)</f>
        <v>0</v>
      </c>
      <c r="M964" s="109">
        <f>SUMIFS(FIIs!$J$66,FIIs!$E$66,"Provento",FIIs!$N$66,Patrimônio!B964)</f>
        <v>0</v>
      </c>
      <c r="N964" s="109">
        <f t="shared" si="2"/>
        <v>0</v>
      </c>
      <c r="O964" s="109"/>
      <c r="Q964" s="154"/>
      <c r="R964" s="155" t="s">
        <v>266</v>
      </c>
      <c r="S964" s="156">
        <v>0</v>
      </c>
    </row>
    <row r="965" spans="1:19" ht="17.25" customHeight="1">
      <c r="A965" s="108">
        <v>73901</v>
      </c>
      <c r="B965" s="108">
        <f t="shared" si="0"/>
        <v>73900</v>
      </c>
      <c r="C965" s="109"/>
      <c r="D965" s="109"/>
      <c r="E965" s="109"/>
      <c r="F965" s="109"/>
      <c r="G965" s="109"/>
      <c r="H965" s="109"/>
      <c r="I965" s="109">
        <f t="shared" ref="I965:J965" si="979">SUM(C965,E965,G965)</f>
        <v>0</v>
      </c>
      <c r="J965" s="109">
        <f t="shared" si="979"/>
        <v>0</v>
      </c>
      <c r="K965" s="109">
        <f>SUMIFS(Ações!$J$66,Ações!$N$66,Patrimônio!B965,Ações!$E$66,"Provento")</f>
        <v>0</v>
      </c>
      <c r="L965" s="109">
        <f>SUMIFS(BDRs!$J$66,BDRs!$E$66,"Provento",BDRs!$N$66,Patrimônio!B965)</f>
        <v>0</v>
      </c>
      <c r="M965" s="109">
        <f>SUMIFS(FIIs!$J$66,FIIs!$E$66,"Provento",FIIs!$N$66,Patrimônio!B965)</f>
        <v>0</v>
      </c>
      <c r="N965" s="109">
        <f t="shared" si="2"/>
        <v>0</v>
      </c>
      <c r="O965" s="109"/>
      <c r="Q965" s="154"/>
      <c r="R965" s="155" t="s">
        <v>267</v>
      </c>
      <c r="S965" s="156">
        <v>0</v>
      </c>
    </row>
    <row r="966" spans="1:19" ht="17.25" customHeight="1">
      <c r="A966" s="108">
        <v>73932</v>
      </c>
      <c r="B966" s="108">
        <f t="shared" si="0"/>
        <v>73931</v>
      </c>
      <c r="C966" s="109"/>
      <c r="D966" s="109"/>
      <c r="E966" s="109"/>
      <c r="F966" s="109"/>
      <c r="G966" s="109"/>
      <c r="H966" s="109"/>
      <c r="I966" s="109">
        <f t="shared" ref="I966:J966" si="980">SUM(C966,E966,G966)</f>
        <v>0</v>
      </c>
      <c r="J966" s="109">
        <f t="shared" si="980"/>
        <v>0</v>
      </c>
      <c r="K966" s="109">
        <f>SUMIFS(Ações!$J$66,Ações!$N$66,Patrimônio!B966,Ações!$E$66,"Provento")</f>
        <v>0</v>
      </c>
      <c r="L966" s="109">
        <f>SUMIFS(BDRs!$J$66,BDRs!$E$66,"Provento",BDRs!$N$66,Patrimônio!B966)</f>
        <v>0</v>
      </c>
      <c r="M966" s="109">
        <f>SUMIFS(FIIs!$J$66,FIIs!$E$66,"Provento",FIIs!$N$66,Patrimônio!B966)</f>
        <v>0</v>
      </c>
      <c r="N966" s="109">
        <f t="shared" si="2"/>
        <v>0</v>
      </c>
      <c r="O966" s="109"/>
      <c r="Q966" s="154"/>
      <c r="R966" s="155" t="s">
        <v>268</v>
      </c>
      <c r="S966" s="156">
        <v>0</v>
      </c>
    </row>
    <row r="967" spans="1:19" ht="17.25" customHeight="1">
      <c r="A967" s="108">
        <v>73962</v>
      </c>
      <c r="B967" s="108">
        <f t="shared" si="0"/>
        <v>73961</v>
      </c>
      <c r="C967" s="109"/>
      <c r="D967" s="109"/>
      <c r="E967" s="109"/>
      <c r="F967" s="109"/>
      <c r="G967" s="109"/>
      <c r="H967" s="109"/>
      <c r="I967" s="109">
        <f t="shared" ref="I967:J967" si="981">SUM(C967,E967,G967)</f>
        <v>0</v>
      </c>
      <c r="J967" s="109">
        <f t="shared" si="981"/>
        <v>0</v>
      </c>
      <c r="K967" s="109">
        <f>SUMIFS(Ações!$J$66,Ações!$N$66,Patrimônio!B967,Ações!$E$66,"Provento")</f>
        <v>0</v>
      </c>
      <c r="L967" s="109">
        <f>SUMIFS(BDRs!$J$66,BDRs!$E$66,"Provento",BDRs!$N$66,Patrimônio!B967)</f>
        <v>0</v>
      </c>
      <c r="M967" s="109">
        <f>SUMIFS(FIIs!$J$66,FIIs!$E$66,"Provento",FIIs!$N$66,Patrimônio!B967)</f>
        <v>0</v>
      </c>
      <c r="N967" s="109">
        <f t="shared" si="2"/>
        <v>0</v>
      </c>
      <c r="O967" s="109"/>
      <c r="Q967" s="154"/>
      <c r="R967" s="155" t="s">
        <v>269</v>
      </c>
      <c r="S967" s="156">
        <v>0</v>
      </c>
    </row>
    <row r="968" spans="1:19" ht="17.25" customHeight="1">
      <c r="A968" s="108">
        <v>73993</v>
      </c>
      <c r="B968" s="108">
        <f t="shared" si="0"/>
        <v>73992</v>
      </c>
      <c r="C968" s="109"/>
      <c r="D968" s="109"/>
      <c r="E968" s="109"/>
      <c r="F968" s="109"/>
      <c r="G968" s="109"/>
      <c r="H968" s="109"/>
      <c r="I968" s="109">
        <f t="shared" ref="I968:J968" si="982">SUM(C968,E968,G968)</f>
        <v>0</v>
      </c>
      <c r="J968" s="109">
        <f t="shared" si="982"/>
        <v>0</v>
      </c>
      <c r="K968" s="109">
        <f>SUMIFS(Ações!$J$66,Ações!$N$66,Patrimônio!B968,Ações!$E$66,"Provento")</f>
        <v>0</v>
      </c>
      <c r="L968" s="109">
        <f>SUMIFS(BDRs!$J$66,BDRs!$E$66,"Provento",BDRs!$N$66,Patrimônio!B968)</f>
        <v>0</v>
      </c>
      <c r="M968" s="109">
        <f>SUMIFS(FIIs!$J$66,FIIs!$E$66,"Provento",FIIs!$N$66,Patrimônio!B968)</f>
        <v>0</v>
      </c>
      <c r="N968" s="109">
        <f t="shared" si="2"/>
        <v>0</v>
      </c>
      <c r="O968" s="109"/>
      <c r="Q968" s="154"/>
      <c r="R968" s="155" t="s">
        <v>270</v>
      </c>
      <c r="S968" s="156">
        <v>0</v>
      </c>
    </row>
    <row r="969" spans="1:19" ht="17.25" customHeight="1">
      <c r="A969" s="108">
        <v>74024</v>
      </c>
      <c r="B969" s="108">
        <f t="shared" si="0"/>
        <v>74023</v>
      </c>
      <c r="C969" s="109"/>
      <c r="D969" s="109"/>
      <c r="E969" s="109"/>
      <c r="F969" s="109"/>
      <c r="G969" s="109"/>
      <c r="H969" s="109"/>
      <c r="I969" s="109">
        <f t="shared" ref="I969:J969" si="983">SUM(C969,E969,G969)</f>
        <v>0</v>
      </c>
      <c r="J969" s="109">
        <f t="shared" si="983"/>
        <v>0</v>
      </c>
      <c r="K969" s="109">
        <f>SUMIFS(Ações!$J$66,Ações!$N$66,Patrimônio!B969,Ações!$E$66,"Provento")</f>
        <v>0</v>
      </c>
      <c r="L969" s="109">
        <f>SUMIFS(BDRs!$J$66,BDRs!$E$66,"Provento",BDRs!$N$66,Patrimônio!B969)</f>
        <v>0</v>
      </c>
      <c r="M969" s="109">
        <f>SUMIFS(FIIs!$J$66,FIIs!$E$66,"Provento",FIIs!$N$66,Patrimônio!B969)</f>
        <v>0</v>
      </c>
      <c r="N969" s="109">
        <f t="shared" si="2"/>
        <v>0</v>
      </c>
      <c r="O969" s="109"/>
      <c r="Q969" s="154"/>
      <c r="R969" s="155" t="s">
        <v>271</v>
      </c>
      <c r="S969" s="156">
        <v>0</v>
      </c>
    </row>
    <row r="970" spans="1:19" ht="17.25" customHeight="1">
      <c r="A970" s="108">
        <v>74054</v>
      </c>
      <c r="B970" s="108">
        <f t="shared" si="0"/>
        <v>74053</v>
      </c>
      <c r="C970" s="109"/>
      <c r="D970" s="109"/>
      <c r="E970" s="109"/>
      <c r="F970" s="109"/>
      <c r="G970" s="109"/>
      <c r="H970" s="109"/>
      <c r="I970" s="109">
        <f t="shared" ref="I970:J970" si="984">SUM(C970,E970,G970)</f>
        <v>0</v>
      </c>
      <c r="J970" s="109">
        <f t="shared" si="984"/>
        <v>0</v>
      </c>
      <c r="K970" s="109">
        <f>SUMIFS(Ações!$J$66,Ações!$N$66,Patrimônio!B970,Ações!$E$66,"Provento")</f>
        <v>0</v>
      </c>
      <c r="L970" s="109">
        <f>SUMIFS(BDRs!$J$66,BDRs!$E$66,"Provento",BDRs!$N$66,Patrimônio!B970)</f>
        <v>0</v>
      </c>
      <c r="M970" s="109">
        <f>SUMIFS(FIIs!$J$66,FIIs!$E$66,"Provento",FIIs!$N$66,Patrimônio!B970)</f>
        <v>0</v>
      </c>
      <c r="N970" s="109">
        <f t="shared" si="2"/>
        <v>0</v>
      </c>
      <c r="O970" s="109"/>
      <c r="Q970" s="154"/>
      <c r="R970" s="155" t="s">
        <v>272</v>
      </c>
      <c r="S970" s="156">
        <v>0</v>
      </c>
    </row>
    <row r="971" spans="1:19" ht="17.25" customHeight="1">
      <c r="A971" s="108">
        <v>74085</v>
      </c>
      <c r="B971" s="108">
        <f t="shared" si="0"/>
        <v>74084</v>
      </c>
      <c r="C971" s="109"/>
      <c r="D971" s="109"/>
      <c r="E971" s="109"/>
      <c r="F971" s="109"/>
      <c r="G971" s="109"/>
      <c r="H971" s="109"/>
      <c r="I971" s="109">
        <f t="shared" ref="I971:J971" si="985">SUM(C971,E971,G971)</f>
        <v>0</v>
      </c>
      <c r="J971" s="109">
        <f t="shared" si="985"/>
        <v>0</v>
      </c>
      <c r="K971" s="109">
        <f>SUMIFS(Ações!$J$66,Ações!$N$66,Patrimônio!B971,Ações!$E$66,"Provento")</f>
        <v>0</v>
      </c>
      <c r="L971" s="109">
        <f>SUMIFS(BDRs!$J$66,BDRs!$E$66,"Provento",BDRs!$N$66,Patrimônio!B971)</f>
        <v>0</v>
      </c>
      <c r="M971" s="109">
        <f>SUMIFS(FIIs!$J$66,FIIs!$E$66,"Provento",FIIs!$N$66,Patrimônio!B971)</f>
        <v>0</v>
      </c>
      <c r="N971" s="109">
        <f t="shared" si="2"/>
        <v>0</v>
      </c>
      <c r="O971" s="109"/>
      <c r="Q971" s="151" t="s">
        <v>236</v>
      </c>
      <c r="R971" s="157"/>
      <c r="S971" s="153">
        <v>0</v>
      </c>
    </row>
    <row r="972" spans="1:19" ht="17.25" customHeight="1">
      <c r="A972" s="108">
        <v>74115</v>
      </c>
      <c r="B972" s="108">
        <f t="shared" si="0"/>
        <v>74114</v>
      </c>
      <c r="C972" s="109"/>
      <c r="D972" s="109"/>
      <c r="E972" s="109"/>
      <c r="F972" s="109"/>
      <c r="G972" s="109"/>
      <c r="H972" s="109"/>
      <c r="I972" s="109">
        <f t="shared" ref="I972:J972" si="986">SUM(C972,E972,G972)</f>
        <v>0</v>
      </c>
      <c r="J972" s="109">
        <f t="shared" si="986"/>
        <v>0</v>
      </c>
      <c r="K972" s="109">
        <f>SUMIFS(Ações!$J$66,Ações!$N$66,Patrimônio!B972,Ações!$E$66,"Provento")</f>
        <v>0</v>
      </c>
      <c r="L972" s="109">
        <f>SUMIFS(BDRs!$J$66,BDRs!$E$66,"Provento",BDRs!$N$66,Patrimônio!B972)</f>
        <v>0</v>
      </c>
      <c r="M972" s="109">
        <f>SUMIFS(FIIs!$J$66,FIIs!$E$66,"Provento",FIIs!$N$66,Patrimônio!B972)</f>
        <v>0</v>
      </c>
      <c r="N972" s="109">
        <f t="shared" si="2"/>
        <v>0</v>
      </c>
      <c r="O972" s="109"/>
      <c r="Q972" s="151" t="s">
        <v>237</v>
      </c>
      <c r="R972" s="152" t="s">
        <v>261</v>
      </c>
      <c r="S972" s="153">
        <v>0</v>
      </c>
    </row>
    <row r="973" spans="1:19" ht="17.25" customHeight="1">
      <c r="A973" s="108"/>
      <c r="B973" s="108"/>
      <c r="C973" s="109"/>
      <c r="D973" s="109"/>
      <c r="E973" s="109"/>
      <c r="F973" s="109"/>
      <c r="G973" s="109"/>
      <c r="H973" s="109"/>
      <c r="I973" s="109"/>
      <c r="J973" s="109"/>
      <c r="K973" s="109"/>
      <c r="L973" s="109"/>
      <c r="M973" s="109"/>
      <c r="N973" s="109"/>
      <c r="O973" s="109"/>
      <c r="Q973" s="154"/>
      <c r="R973" s="155" t="s">
        <v>262</v>
      </c>
      <c r="S973" s="156">
        <v>0</v>
      </c>
    </row>
    <row r="974" spans="1:19" ht="17.25" customHeight="1">
      <c r="A974" s="108"/>
      <c r="B974" s="108"/>
      <c r="C974" s="109"/>
      <c r="D974" s="109"/>
      <c r="E974" s="109"/>
      <c r="F974" s="109"/>
      <c r="G974" s="109"/>
      <c r="H974" s="109"/>
      <c r="I974" s="109"/>
      <c r="J974" s="109"/>
      <c r="K974" s="109"/>
      <c r="L974" s="109"/>
      <c r="M974" s="109"/>
      <c r="N974" s="109"/>
      <c r="O974" s="109"/>
      <c r="Q974" s="154"/>
      <c r="R974" s="155" t="s">
        <v>263</v>
      </c>
      <c r="S974" s="156">
        <v>0</v>
      </c>
    </row>
    <row r="975" spans="1:19" ht="17.25" customHeight="1">
      <c r="A975" s="108"/>
      <c r="B975" s="108"/>
      <c r="C975" s="109"/>
      <c r="D975" s="109"/>
      <c r="E975" s="109"/>
      <c r="F975" s="109"/>
      <c r="G975" s="109"/>
      <c r="H975" s="109"/>
      <c r="I975" s="109"/>
      <c r="J975" s="109"/>
      <c r="K975" s="109"/>
      <c r="L975" s="109"/>
      <c r="M975" s="109"/>
      <c r="N975" s="109"/>
      <c r="O975" s="109"/>
      <c r="Q975" s="154"/>
      <c r="R975" s="155" t="s">
        <v>264</v>
      </c>
      <c r="S975" s="156">
        <v>0</v>
      </c>
    </row>
    <row r="976" spans="1:19" ht="17.25" customHeight="1">
      <c r="A976" s="108"/>
      <c r="B976" s="108"/>
      <c r="C976" s="109"/>
      <c r="D976" s="109"/>
      <c r="E976" s="109"/>
      <c r="F976" s="109"/>
      <c r="G976" s="109"/>
      <c r="H976" s="109"/>
      <c r="I976" s="109"/>
      <c r="J976" s="109"/>
      <c r="K976" s="109"/>
      <c r="L976" s="109"/>
      <c r="M976" s="109"/>
      <c r="N976" s="109"/>
      <c r="O976" s="109"/>
      <c r="Q976" s="154"/>
      <c r="R976" s="155" t="s">
        <v>265</v>
      </c>
      <c r="S976" s="156">
        <v>0</v>
      </c>
    </row>
    <row r="977" spans="1:19" ht="17.25" customHeight="1">
      <c r="A977" s="108"/>
      <c r="B977" s="108"/>
      <c r="C977" s="109"/>
      <c r="D977" s="109"/>
      <c r="E977" s="109"/>
      <c r="F977" s="109"/>
      <c r="G977" s="109"/>
      <c r="H977" s="109"/>
      <c r="I977" s="109"/>
      <c r="J977" s="109"/>
      <c r="K977" s="109"/>
      <c r="L977" s="109"/>
      <c r="M977" s="109"/>
      <c r="N977" s="109"/>
      <c r="O977" s="109"/>
      <c r="Q977" s="154"/>
      <c r="R977" s="155" t="s">
        <v>266</v>
      </c>
      <c r="S977" s="156">
        <v>0</v>
      </c>
    </row>
    <row r="978" spans="1:19" ht="17.25" customHeight="1">
      <c r="A978" s="108"/>
      <c r="B978" s="108"/>
      <c r="C978" s="109"/>
      <c r="D978" s="109"/>
      <c r="E978" s="109"/>
      <c r="F978" s="109"/>
      <c r="G978" s="109"/>
      <c r="H978" s="109"/>
      <c r="I978" s="109"/>
      <c r="J978" s="109"/>
      <c r="K978" s="109"/>
      <c r="L978" s="109"/>
      <c r="M978" s="109"/>
      <c r="N978" s="109"/>
      <c r="O978" s="109"/>
      <c r="Q978" s="154"/>
      <c r="R978" s="155" t="s">
        <v>267</v>
      </c>
      <c r="S978" s="156">
        <v>0</v>
      </c>
    </row>
    <row r="979" spans="1:19" ht="17.25" customHeight="1">
      <c r="A979" s="108"/>
      <c r="B979" s="108"/>
      <c r="C979" s="109"/>
      <c r="D979" s="109"/>
      <c r="E979" s="109"/>
      <c r="F979" s="109"/>
      <c r="G979" s="109"/>
      <c r="H979" s="109"/>
      <c r="I979" s="109"/>
      <c r="J979" s="109"/>
      <c r="K979" s="109"/>
      <c r="L979" s="109"/>
      <c r="M979" s="109"/>
      <c r="N979" s="109"/>
      <c r="O979" s="109"/>
      <c r="Q979" s="154"/>
      <c r="R979" s="155" t="s">
        <v>268</v>
      </c>
      <c r="S979" s="156">
        <v>0</v>
      </c>
    </row>
    <row r="980" spans="1:19" ht="17.25" customHeight="1">
      <c r="A980" s="108"/>
      <c r="B980" s="108"/>
      <c r="C980" s="109"/>
      <c r="D980" s="109"/>
      <c r="E980" s="109"/>
      <c r="F980" s="109"/>
      <c r="G980" s="109"/>
      <c r="H980" s="109"/>
      <c r="I980" s="109"/>
      <c r="J980" s="109"/>
      <c r="K980" s="109"/>
      <c r="L980" s="109"/>
      <c r="M980" s="109"/>
      <c r="N980" s="109"/>
      <c r="O980" s="109"/>
      <c r="Q980" s="154"/>
      <c r="R980" s="155" t="s">
        <v>269</v>
      </c>
      <c r="S980" s="156">
        <v>0</v>
      </c>
    </row>
    <row r="981" spans="1:19" ht="17.25" customHeight="1">
      <c r="A981" s="108"/>
      <c r="B981" s="108"/>
      <c r="C981" s="109"/>
      <c r="D981" s="109"/>
      <c r="E981" s="109"/>
      <c r="F981" s="109"/>
      <c r="G981" s="109"/>
      <c r="H981" s="109"/>
      <c r="I981" s="109"/>
      <c r="J981" s="109"/>
      <c r="K981" s="109"/>
      <c r="L981" s="109"/>
      <c r="M981" s="109"/>
      <c r="N981" s="109"/>
      <c r="O981" s="109"/>
      <c r="Q981" s="154"/>
      <c r="R981" s="155" t="s">
        <v>270</v>
      </c>
      <c r="S981" s="156">
        <v>0</v>
      </c>
    </row>
    <row r="982" spans="1:19" ht="17.25" customHeight="1">
      <c r="A982" s="108"/>
      <c r="B982" s="108"/>
      <c r="C982" s="109"/>
      <c r="D982" s="109"/>
      <c r="E982" s="109"/>
      <c r="F982" s="109"/>
      <c r="G982" s="109"/>
      <c r="H982" s="109"/>
      <c r="I982" s="109"/>
      <c r="J982" s="109"/>
      <c r="K982" s="109"/>
      <c r="L982" s="109"/>
      <c r="M982" s="109"/>
      <c r="N982" s="109"/>
      <c r="O982" s="109"/>
      <c r="Q982" s="154"/>
      <c r="R982" s="155" t="s">
        <v>271</v>
      </c>
      <c r="S982" s="156">
        <v>0</v>
      </c>
    </row>
    <row r="983" spans="1:19" ht="17.25" customHeight="1">
      <c r="A983" s="108"/>
      <c r="B983" s="108"/>
      <c r="C983" s="109"/>
      <c r="D983" s="109"/>
      <c r="E983" s="109"/>
      <c r="F983" s="109"/>
      <c r="G983" s="109"/>
      <c r="H983" s="109"/>
      <c r="I983" s="109"/>
      <c r="J983" s="109"/>
      <c r="K983" s="109"/>
      <c r="L983" s="109"/>
      <c r="M983" s="109"/>
      <c r="N983" s="109"/>
      <c r="O983" s="109"/>
      <c r="Q983" s="154"/>
      <c r="R983" s="155" t="s">
        <v>272</v>
      </c>
      <c r="S983" s="156">
        <v>0</v>
      </c>
    </row>
    <row r="984" spans="1:19" ht="17.25" customHeight="1">
      <c r="A984" s="108"/>
      <c r="B984" s="108"/>
      <c r="C984" s="109"/>
      <c r="D984" s="109"/>
      <c r="E984" s="109"/>
      <c r="F984" s="109"/>
      <c r="G984" s="109"/>
      <c r="H984" s="109"/>
      <c r="I984" s="109"/>
      <c r="J984" s="109"/>
      <c r="K984" s="109"/>
      <c r="L984" s="109"/>
      <c r="M984" s="109"/>
      <c r="N984" s="109"/>
      <c r="O984" s="109"/>
      <c r="Q984" s="151" t="s">
        <v>238</v>
      </c>
      <c r="R984" s="157"/>
      <c r="S984" s="153">
        <v>0</v>
      </c>
    </row>
    <row r="985" spans="1:19" ht="17.25" customHeight="1">
      <c r="A985" s="108"/>
      <c r="B985" s="108"/>
      <c r="C985" s="109"/>
      <c r="D985" s="109"/>
      <c r="E985" s="109"/>
      <c r="F985" s="109"/>
      <c r="G985" s="109"/>
      <c r="H985" s="109"/>
      <c r="I985" s="109"/>
      <c r="J985" s="109"/>
      <c r="K985" s="109"/>
      <c r="L985" s="109"/>
      <c r="M985" s="109"/>
      <c r="N985" s="109"/>
      <c r="O985" s="109"/>
      <c r="Q985" s="151" t="s">
        <v>239</v>
      </c>
      <c r="R985" s="152" t="s">
        <v>261</v>
      </c>
      <c r="S985" s="153">
        <v>0</v>
      </c>
    </row>
    <row r="986" spans="1:19" ht="17.25" customHeight="1">
      <c r="A986" s="108"/>
      <c r="B986" s="108"/>
      <c r="C986" s="109"/>
      <c r="D986" s="109"/>
      <c r="E986" s="109"/>
      <c r="F986" s="109"/>
      <c r="G986" s="109"/>
      <c r="H986" s="109"/>
      <c r="I986" s="109"/>
      <c r="J986" s="109"/>
      <c r="K986" s="109"/>
      <c r="L986" s="109"/>
      <c r="M986" s="109"/>
      <c r="N986" s="109"/>
      <c r="O986" s="109"/>
      <c r="Q986" s="154"/>
      <c r="R986" s="155" t="s">
        <v>262</v>
      </c>
      <c r="S986" s="156">
        <v>0</v>
      </c>
    </row>
    <row r="987" spans="1:19" ht="17.25" customHeight="1">
      <c r="A987" s="108"/>
      <c r="B987" s="108"/>
      <c r="C987" s="109"/>
      <c r="D987" s="109"/>
      <c r="E987" s="109"/>
      <c r="F987" s="109"/>
      <c r="G987" s="109"/>
      <c r="H987" s="109"/>
      <c r="I987" s="109"/>
      <c r="J987" s="109"/>
      <c r="K987" s="109"/>
      <c r="L987" s="109"/>
      <c r="M987" s="109"/>
      <c r="N987" s="109"/>
      <c r="O987" s="109"/>
      <c r="Q987" s="154"/>
      <c r="R987" s="155" t="s">
        <v>263</v>
      </c>
      <c r="S987" s="156">
        <v>0</v>
      </c>
    </row>
    <row r="988" spans="1:19" ht="17.25" customHeight="1">
      <c r="A988" s="108"/>
      <c r="B988" s="108"/>
      <c r="C988" s="109"/>
      <c r="D988" s="109"/>
      <c r="E988" s="109"/>
      <c r="F988" s="109"/>
      <c r="G988" s="109"/>
      <c r="H988" s="109"/>
      <c r="I988" s="109"/>
      <c r="J988" s="109"/>
      <c r="K988" s="109"/>
      <c r="L988" s="109"/>
      <c r="M988" s="109"/>
      <c r="N988" s="109"/>
      <c r="O988" s="109"/>
      <c r="Q988" s="154"/>
      <c r="R988" s="155" t="s">
        <v>264</v>
      </c>
      <c r="S988" s="156">
        <v>0</v>
      </c>
    </row>
    <row r="989" spans="1:19" ht="17.25" customHeight="1">
      <c r="A989" s="108"/>
      <c r="B989" s="108"/>
      <c r="C989" s="109"/>
      <c r="D989" s="109"/>
      <c r="E989" s="109"/>
      <c r="F989" s="109"/>
      <c r="G989" s="109"/>
      <c r="H989" s="109"/>
      <c r="I989" s="109"/>
      <c r="J989" s="109"/>
      <c r="K989" s="109"/>
      <c r="L989" s="109"/>
      <c r="M989" s="109"/>
      <c r="N989" s="109"/>
      <c r="O989" s="109"/>
      <c r="Q989" s="154"/>
      <c r="R989" s="155" t="s">
        <v>265</v>
      </c>
      <c r="S989" s="156">
        <v>0</v>
      </c>
    </row>
    <row r="990" spans="1:19" ht="17.25" customHeight="1">
      <c r="A990" s="108"/>
      <c r="B990" s="108"/>
      <c r="C990" s="109"/>
      <c r="D990" s="109"/>
      <c r="E990" s="109"/>
      <c r="F990" s="109"/>
      <c r="G990" s="109"/>
      <c r="H990" s="109"/>
      <c r="I990" s="109"/>
      <c r="J990" s="109"/>
      <c r="K990" s="109"/>
      <c r="L990" s="109"/>
      <c r="M990" s="109"/>
      <c r="N990" s="109"/>
      <c r="O990" s="109"/>
      <c r="Q990" s="154"/>
      <c r="R990" s="155" t="s">
        <v>266</v>
      </c>
      <c r="S990" s="156">
        <v>0</v>
      </c>
    </row>
    <row r="991" spans="1:19" ht="17.25" customHeight="1">
      <c r="A991" s="108"/>
      <c r="B991" s="108"/>
      <c r="C991" s="109"/>
      <c r="D991" s="109"/>
      <c r="E991" s="109"/>
      <c r="F991" s="109"/>
      <c r="G991" s="109"/>
      <c r="H991" s="109"/>
      <c r="I991" s="109"/>
      <c r="J991" s="109"/>
      <c r="K991" s="109"/>
      <c r="L991" s="109"/>
      <c r="M991" s="109"/>
      <c r="N991" s="109"/>
      <c r="O991" s="109"/>
      <c r="Q991" s="154"/>
      <c r="R991" s="155" t="s">
        <v>267</v>
      </c>
      <c r="S991" s="156">
        <v>0</v>
      </c>
    </row>
    <row r="992" spans="1:19" ht="17.25" customHeight="1">
      <c r="A992" s="108"/>
      <c r="B992" s="108"/>
      <c r="C992" s="109"/>
      <c r="D992" s="109"/>
      <c r="E992" s="109"/>
      <c r="F992" s="109"/>
      <c r="G992" s="109"/>
      <c r="H992" s="109"/>
      <c r="I992" s="109"/>
      <c r="J992" s="109"/>
      <c r="K992" s="109"/>
      <c r="L992" s="109"/>
      <c r="M992" s="109"/>
      <c r="N992" s="109"/>
      <c r="O992" s="109"/>
      <c r="Q992" s="154"/>
      <c r="R992" s="155" t="s">
        <v>268</v>
      </c>
      <c r="S992" s="156">
        <v>0</v>
      </c>
    </row>
    <row r="993" spans="1:19" ht="17.25" customHeight="1">
      <c r="A993" s="108"/>
      <c r="B993" s="108"/>
      <c r="C993" s="109"/>
      <c r="D993" s="109"/>
      <c r="E993" s="109"/>
      <c r="F993" s="109"/>
      <c r="G993" s="109"/>
      <c r="H993" s="109"/>
      <c r="I993" s="109"/>
      <c r="J993" s="109"/>
      <c r="K993" s="109"/>
      <c r="L993" s="109"/>
      <c r="M993" s="109"/>
      <c r="N993" s="109"/>
      <c r="O993" s="109"/>
      <c r="Q993" s="154"/>
      <c r="R993" s="155" t="s">
        <v>269</v>
      </c>
      <c r="S993" s="156">
        <v>0</v>
      </c>
    </row>
    <row r="994" spans="1:19" ht="17.25" customHeight="1">
      <c r="A994" s="108"/>
      <c r="B994" s="108"/>
      <c r="C994" s="109"/>
      <c r="D994" s="109"/>
      <c r="E994" s="109"/>
      <c r="F994" s="109"/>
      <c r="G994" s="109"/>
      <c r="H994" s="109"/>
      <c r="I994" s="109"/>
      <c r="J994" s="109"/>
      <c r="K994" s="109"/>
      <c r="L994" s="109"/>
      <c r="M994" s="109"/>
      <c r="N994" s="109"/>
      <c r="O994" s="109"/>
      <c r="Q994" s="154"/>
      <c r="R994" s="155" t="s">
        <v>270</v>
      </c>
      <c r="S994" s="156">
        <v>0</v>
      </c>
    </row>
    <row r="995" spans="1:19" ht="17.25" customHeight="1">
      <c r="A995" s="108"/>
      <c r="B995" s="108"/>
      <c r="C995" s="109"/>
      <c r="D995" s="109"/>
      <c r="E995" s="109"/>
      <c r="F995" s="109"/>
      <c r="G995" s="109"/>
      <c r="H995" s="109"/>
      <c r="I995" s="109"/>
      <c r="J995" s="109"/>
      <c r="K995" s="109"/>
      <c r="L995" s="109"/>
      <c r="M995" s="109"/>
      <c r="N995" s="109"/>
      <c r="O995" s="109"/>
      <c r="Q995" s="154"/>
      <c r="R995" s="155" t="s">
        <v>271</v>
      </c>
      <c r="S995" s="156">
        <v>0</v>
      </c>
    </row>
    <row r="996" spans="1:19" ht="17.25" customHeight="1">
      <c r="A996" s="108"/>
      <c r="B996" s="108"/>
      <c r="C996" s="109"/>
      <c r="D996" s="109"/>
      <c r="E996" s="109"/>
      <c r="F996" s="109"/>
      <c r="G996" s="109"/>
      <c r="H996" s="109"/>
      <c r="I996" s="109"/>
      <c r="J996" s="109"/>
      <c r="K996" s="109"/>
      <c r="L996" s="109"/>
      <c r="M996" s="109"/>
      <c r="N996" s="109"/>
      <c r="O996" s="109"/>
      <c r="Q996" s="154"/>
      <c r="R996" s="155" t="s">
        <v>272</v>
      </c>
      <c r="S996" s="156">
        <v>0</v>
      </c>
    </row>
    <row r="997" spans="1:19" ht="17.25" customHeight="1">
      <c r="A997" s="108"/>
      <c r="B997" s="108"/>
      <c r="C997" s="109"/>
      <c r="D997" s="109"/>
      <c r="E997" s="109"/>
      <c r="F997" s="109"/>
      <c r="G997" s="109"/>
      <c r="H997" s="109"/>
      <c r="I997" s="109"/>
      <c r="J997" s="109"/>
      <c r="K997" s="109"/>
      <c r="L997" s="109"/>
      <c r="M997" s="109"/>
      <c r="N997" s="109"/>
      <c r="O997" s="109"/>
      <c r="Q997" s="151" t="s">
        <v>240</v>
      </c>
      <c r="R997" s="157"/>
      <c r="S997" s="153">
        <v>0</v>
      </c>
    </row>
    <row r="998" spans="1:19" ht="17.25" customHeight="1">
      <c r="A998" s="108"/>
      <c r="B998" s="108"/>
      <c r="C998" s="109"/>
      <c r="D998" s="109"/>
      <c r="E998" s="109"/>
      <c r="F998" s="109"/>
      <c r="G998" s="109"/>
      <c r="H998" s="109"/>
      <c r="I998" s="109"/>
      <c r="J998" s="109"/>
      <c r="K998" s="109"/>
      <c r="L998" s="109"/>
      <c r="M998" s="109"/>
      <c r="N998" s="109"/>
      <c r="O998" s="109"/>
      <c r="Q998" s="151" t="s">
        <v>241</v>
      </c>
      <c r="R998" s="152" t="s">
        <v>261</v>
      </c>
      <c r="S998" s="153">
        <v>0</v>
      </c>
    </row>
    <row r="999" spans="1:19" ht="17.25" customHeight="1">
      <c r="A999" s="108"/>
      <c r="B999" s="108"/>
      <c r="C999" s="109"/>
      <c r="D999" s="109"/>
      <c r="E999" s="109"/>
      <c r="F999" s="109"/>
      <c r="G999" s="109"/>
      <c r="H999" s="109"/>
      <c r="I999" s="109"/>
      <c r="J999" s="109"/>
      <c r="K999" s="109"/>
      <c r="L999" s="109"/>
      <c r="M999" s="109"/>
      <c r="N999" s="109"/>
      <c r="O999" s="109"/>
      <c r="Q999" s="154"/>
      <c r="R999" s="155" t="s">
        <v>262</v>
      </c>
      <c r="S999" s="156">
        <v>0</v>
      </c>
    </row>
    <row r="1000" spans="1:19" ht="17.25" customHeight="1">
      <c r="A1000" s="108"/>
      <c r="B1000" s="108"/>
      <c r="C1000" s="109"/>
      <c r="D1000" s="109"/>
      <c r="E1000" s="109"/>
      <c r="F1000" s="109"/>
      <c r="G1000" s="109"/>
      <c r="H1000" s="109"/>
      <c r="I1000" s="109"/>
      <c r="J1000" s="109"/>
      <c r="K1000" s="109"/>
      <c r="L1000" s="109"/>
      <c r="M1000" s="109"/>
      <c r="N1000" s="109"/>
      <c r="O1000" s="109"/>
      <c r="Q1000" s="154"/>
      <c r="R1000" s="155" t="s">
        <v>263</v>
      </c>
      <c r="S1000" s="156">
        <v>0</v>
      </c>
    </row>
    <row r="1001" spans="1:19" ht="17.25" customHeight="1">
      <c r="A1001" s="108"/>
      <c r="B1001" s="108"/>
      <c r="C1001" s="109"/>
      <c r="D1001" s="109"/>
      <c r="E1001" s="109"/>
      <c r="F1001" s="109"/>
      <c r="G1001" s="109"/>
      <c r="H1001" s="109"/>
      <c r="I1001" s="109"/>
      <c r="J1001" s="109"/>
      <c r="K1001" s="109"/>
      <c r="L1001" s="109"/>
      <c r="M1001" s="109"/>
      <c r="N1001" s="109"/>
      <c r="O1001" s="109"/>
      <c r="Q1001" s="154"/>
      <c r="R1001" s="155" t="s">
        <v>264</v>
      </c>
      <c r="S1001" s="156">
        <v>0</v>
      </c>
    </row>
    <row r="1002" spans="1:19" ht="17.25" customHeight="1">
      <c r="A1002" s="108"/>
      <c r="B1002" s="108"/>
      <c r="C1002" s="109"/>
      <c r="D1002" s="109"/>
      <c r="E1002" s="109"/>
      <c r="F1002" s="109"/>
      <c r="G1002" s="109"/>
      <c r="H1002" s="109"/>
      <c r="I1002" s="109"/>
      <c r="J1002" s="109"/>
      <c r="K1002" s="109"/>
      <c r="L1002" s="109"/>
      <c r="M1002" s="109"/>
      <c r="N1002" s="109"/>
      <c r="O1002" s="109"/>
      <c r="Q1002" s="154"/>
      <c r="R1002" s="155" t="s">
        <v>265</v>
      </c>
      <c r="S1002" s="156">
        <v>0</v>
      </c>
    </row>
    <row r="1003" spans="1:19" ht="17.25" customHeight="1">
      <c r="A1003" s="108"/>
      <c r="B1003" s="108"/>
      <c r="C1003" s="109"/>
      <c r="D1003" s="109"/>
      <c r="E1003" s="109"/>
      <c r="F1003" s="109"/>
      <c r="G1003" s="109"/>
      <c r="H1003" s="109"/>
      <c r="I1003" s="109"/>
      <c r="J1003" s="109"/>
      <c r="K1003" s="109"/>
      <c r="L1003" s="109"/>
      <c r="M1003" s="109"/>
      <c r="N1003" s="109"/>
      <c r="O1003" s="109"/>
      <c r="Q1003" s="154"/>
      <c r="R1003" s="155" t="s">
        <v>266</v>
      </c>
      <c r="S1003" s="156">
        <v>0</v>
      </c>
    </row>
    <row r="1004" spans="1:19" ht="17.25" customHeight="1">
      <c r="A1004" s="108"/>
      <c r="B1004" s="108"/>
      <c r="C1004" s="109"/>
      <c r="D1004" s="109"/>
      <c r="E1004" s="109"/>
      <c r="F1004" s="109"/>
      <c r="G1004" s="109"/>
      <c r="H1004" s="109"/>
      <c r="I1004" s="109"/>
      <c r="J1004" s="109"/>
      <c r="K1004" s="109"/>
      <c r="L1004" s="109"/>
      <c r="M1004" s="109"/>
      <c r="N1004" s="109"/>
      <c r="O1004" s="109"/>
      <c r="Q1004" s="154"/>
      <c r="R1004" s="155" t="s">
        <v>267</v>
      </c>
      <c r="S1004" s="156">
        <v>0</v>
      </c>
    </row>
    <row r="1005" spans="1:19" ht="17.25" customHeight="1">
      <c r="A1005" s="108"/>
      <c r="B1005" s="108"/>
      <c r="C1005" s="109"/>
      <c r="D1005" s="109"/>
      <c r="E1005" s="109"/>
      <c r="F1005" s="109"/>
      <c r="G1005" s="109"/>
      <c r="H1005" s="109"/>
      <c r="I1005" s="109"/>
      <c r="J1005" s="109"/>
      <c r="K1005" s="109"/>
      <c r="L1005" s="109"/>
      <c r="M1005" s="109"/>
      <c r="N1005" s="109"/>
      <c r="O1005" s="109"/>
      <c r="Q1005" s="154"/>
      <c r="R1005" s="155" t="s">
        <v>268</v>
      </c>
      <c r="S1005" s="156">
        <v>0</v>
      </c>
    </row>
    <row r="1006" spans="1:19" ht="17.25" customHeight="1">
      <c r="A1006" s="108"/>
      <c r="B1006" s="108"/>
      <c r="C1006" s="109"/>
      <c r="D1006" s="109"/>
      <c r="E1006" s="109"/>
      <c r="F1006" s="109"/>
      <c r="G1006" s="109"/>
      <c r="H1006" s="109"/>
      <c r="I1006" s="109"/>
      <c r="J1006" s="109"/>
      <c r="K1006" s="109"/>
      <c r="L1006" s="109"/>
      <c r="M1006" s="109"/>
      <c r="N1006" s="109"/>
      <c r="O1006" s="109"/>
      <c r="Q1006" s="154"/>
      <c r="R1006" s="155" t="s">
        <v>269</v>
      </c>
      <c r="S1006" s="156">
        <v>0</v>
      </c>
    </row>
    <row r="1007" spans="1:19" ht="17.25" customHeight="1">
      <c r="A1007" s="108"/>
      <c r="B1007" s="108"/>
      <c r="C1007" s="109"/>
      <c r="D1007" s="109"/>
      <c r="E1007" s="109"/>
      <c r="F1007" s="109"/>
      <c r="G1007" s="109"/>
      <c r="H1007" s="109"/>
      <c r="I1007" s="109"/>
      <c r="J1007" s="109"/>
      <c r="K1007" s="109"/>
      <c r="L1007" s="109"/>
      <c r="M1007" s="109"/>
      <c r="N1007" s="109"/>
      <c r="O1007" s="109"/>
      <c r="Q1007" s="154"/>
      <c r="R1007" s="155" t="s">
        <v>270</v>
      </c>
      <c r="S1007" s="156">
        <v>0</v>
      </c>
    </row>
    <row r="1008" spans="1:19" ht="17.25" customHeight="1">
      <c r="A1008" s="108"/>
      <c r="B1008" s="108"/>
      <c r="C1008" s="109"/>
      <c r="D1008" s="109"/>
      <c r="E1008" s="109"/>
      <c r="F1008" s="109"/>
      <c r="G1008" s="109"/>
      <c r="H1008" s="109"/>
      <c r="I1008" s="109"/>
      <c r="J1008" s="109"/>
      <c r="K1008" s="109"/>
      <c r="L1008" s="109"/>
      <c r="M1008" s="109"/>
      <c r="N1008" s="109"/>
      <c r="O1008" s="109"/>
      <c r="Q1008" s="154"/>
      <c r="R1008" s="155" t="s">
        <v>271</v>
      </c>
      <c r="S1008" s="156">
        <v>0</v>
      </c>
    </row>
    <row r="1009" spans="1:19" ht="17.25" customHeight="1">
      <c r="A1009" s="108"/>
      <c r="B1009" s="108"/>
      <c r="C1009" s="109"/>
      <c r="D1009" s="109"/>
      <c r="E1009" s="109"/>
      <c r="F1009" s="109"/>
      <c r="G1009" s="109"/>
      <c r="H1009" s="109"/>
      <c r="I1009" s="109"/>
      <c r="J1009" s="109"/>
      <c r="K1009" s="109"/>
      <c r="L1009" s="109"/>
      <c r="M1009" s="109"/>
      <c r="N1009" s="109"/>
      <c r="O1009" s="109"/>
      <c r="Q1009" s="154"/>
      <c r="R1009" s="155" t="s">
        <v>272</v>
      </c>
      <c r="S1009" s="156">
        <v>0</v>
      </c>
    </row>
    <row r="1010" spans="1:19" ht="17.25" customHeight="1">
      <c r="A1010" s="108"/>
      <c r="B1010" s="108"/>
      <c r="C1010" s="109"/>
      <c r="D1010" s="109"/>
      <c r="E1010" s="109"/>
      <c r="F1010" s="109"/>
      <c r="G1010" s="109"/>
      <c r="H1010" s="109"/>
      <c r="I1010" s="109"/>
      <c r="J1010" s="109"/>
      <c r="K1010" s="109"/>
      <c r="L1010" s="109"/>
      <c r="M1010" s="109"/>
      <c r="N1010" s="109"/>
      <c r="O1010" s="109"/>
      <c r="Q1010" s="151" t="s">
        <v>242</v>
      </c>
      <c r="R1010" s="157"/>
      <c r="S1010" s="153">
        <v>0</v>
      </c>
    </row>
    <row r="1011" spans="1:19" ht="17.25" customHeight="1">
      <c r="A1011" s="108"/>
      <c r="B1011" s="108"/>
      <c r="C1011" s="109"/>
      <c r="D1011" s="109"/>
      <c r="E1011" s="109"/>
      <c r="F1011" s="109"/>
      <c r="G1011" s="109"/>
      <c r="H1011" s="109"/>
      <c r="I1011" s="109"/>
      <c r="J1011" s="109"/>
      <c r="K1011" s="109"/>
      <c r="L1011" s="109"/>
      <c r="M1011" s="109"/>
      <c r="N1011" s="109"/>
      <c r="O1011" s="109"/>
      <c r="Q1011" s="151" t="s">
        <v>243</v>
      </c>
      <c r="R1011" s="152" t="s">
        <v>261</v>
      </c>
      <c r="S1011" s="153">
        <v>0</v>
      </c>
    </row>
    <row r="1012" spans="1:19" ht="17.25" customHeight="1">
      <c r="A1012" s="108"/>
      <c r="B1012" s="108"/>
      <c r="C1012" s="109"/>
      <c r="D1012" s="109"/>
      <c r="E1012" s="109"/>
      <c r="F1012" s="109"/>
      <c r="G1012" s="109"/>
      <c r="H1012" s="109"/>
      <c r="I1012" s="109"/>
      <c r="J1012" s="109"/>
      <c r="K1012" s="109"/>
      <c r="L1012" s="109"/>
      <c r="M1012" s="109"/>
      <c r="N1012" s="109"/>
      <c r="O1012" s="109"/>
      <c r="Q1012" s="154"/>
      <c r="R1012" s="155" t="s">
        <v>262</v>
      </c>
      <c r="S1012" s="156">
        <v>0</v>
      </c>
    </row>
    <row r="1013" spans="1:19" ht="17.25" customHeight="1">
      <c r="A1013" s="108"/>
      <c r="B1013" s="108"/>
      <c r="C1013" s="109"/>
      <c r="D1013" s="109"/>
      <c r="E1013" s="109"/>
      <c r="F1013" s="109"/>
      <c r="G1013" s="109"/>
      <c r="H1013" s="109"/>
      <c r="I1013" s="109"/>
      <c r="J1013" s="109"/>
      <c r="K1013" s="109"/>
      <c r="L1013" s="109"/>
      <c r="M1013" s="109"/>
      <c r="N1013" s="109"/>
      <c r="O1013" s="109"/>
      <c r="Q1013" s="154"/>
      <c r="R1013" s="155" t="s">
        <v>263</v>
      </c>
      <c r="S1013" s="156">
        <v>0</v>
      </c>
    </row>
    <row r="1014" spans="1:19" ht="17.25" customHeight="1">
      <c r="A1014" s="108"/>
      <c r="B1014" s="108"/>
      <c r="C1014" s="109"/>
      <c r="D1014" s="109"/>
      <c r="E1014" s="109"/>
      <c r="F1014" s="109"/>
      <c r="G1014" s="109"/>
      <c r="H1014" s="109"/>
      <c r="I1014" s="109"/>
      <c r="J1014" s="109"/>
      <c r="K1014" s="109"/>
      <c r="L1014" s="109"/>
      <c r="M1014" s="109"/>
      <c r="N1014" s="109"/>
      <c r="O1014" s="109"/>
      <c r="Q1014" s="154"/>
      <c r="R1014" s="155" t="s">
        <v>264</v>
      </c>
      <c r="S1014" s="156">
        <v>0</v>
      </c>
    </row>
    <row r="1015" spans="1:19" ht="17.25" customHeight="1">
      <c r="A1015" s="108"/>
      <c r="B1015" s="108"/>
      <c r="C1015" s="109"/>
      <c r="D1015" s="109"/>
      <c r="E1015" s="109"/>
      <c r="F1015" s="109"/>
      <c r="G1015" s="109"/>
      <c r="H1015" s="109"/>
      <c r="I1015" s="109"/>
      <c r="J1015" s="109"/>
      <c r="K1015" s="109"/>
      <c r="L1015" s="109"/>
      <c r="M1015" s="109"/>
      <c r="N1015" s="109"/>
      <c r="O1015" s="109"/>
      <c r="Q1015" s="154"/>
      <c r="R1015" s="155" t="s">
        <v>265</v>
      </c>
      <c r="S1015" s="156">
        <v>0</v>
      </c>
    </row>
    <row r="1016" spans="1:19" ht="17.25" customHeight="1">
      <c r="A1016" s="108"/>
      <c r="B1016" s="108"/>
      <c r="C1016" s="109"/>
      <c r="D1016" s="109"/>
      <c r="E1016" s="109"/>
      <c r="F1016" s="109"/>
      <c r="G1016" s="109"/>
      <c r="H1016" s="109"/>
      <c r="I1016" s="109"/>
      <c r="J1016" s="109"/>
      <c r="K1016" s="109"/>
      <c r="L1016" s="109"/>
      <c r="M1016" s="109"/>
      <c r="N1016" s="109"/>
      <c r="O1016" s="109"/>
      <c r="Q1016" s="154"/>
      <c r="R1016" s="155" t="s">
        <v>266</v>
      </c>
      <c r="S1016" s="156">
        <v>0</v>
      </c>
    </row>
    <row r="1017" spans="1:19" ht="17.25" customHeight="1">
      <c r="A1017" s="108"/>
      <c r="B1017" s="108"/>
      <c r="C1017" s="109"/>
      <c r="D1017" s="109"/>
      <c r="E1017" s="109"/>
      <c r="F1017" s="109"/>
      <c r="G1017" s="109"/>
      <c r="H1017" s="109"/>
      <c r="I1017" s="109"/>
      <c r="J1017" s="109"/>
      <c r="K1017" s="109"/>
      <c r="L1017" s="109"/>
      <c r="M1017" s="109"/>
      <c r="N1017" s="109"/>
      <c r="O1017" s="109"/>
      <c r="Q1017" s="154"/>
      <c r="R1017" s="155" t="s">
        <v>267</v>
      </c>
      <c r="S1017" s="156">
        <v>0</v>
      </c>
    </row>
    <row r="1018" spans="1:19" ht="17.25" customHeight="1">
      <c r="A1018" s="108"/>
      <c r="B1018" s="108"/>
      <c r="C1018" s="109"/>
      <c r="D1018" s="109"/>
      <c r="E1018" s="109"/>
      <c r="F1018" s="109"/>
      <c r="G1018" s="109"/>
      <c r="H1018" s="109"/>
      <c r="I1018" s="109"/>
      <c r="J1018" s="109"/>
      <c r="K1018" s="109"/>
      <c r="L1018" s="109"/>
      <c r="M1018" s="109"/>
      <c r="N1018" s="109"/>
      <c r="O1018" s="109"/>
      <c r="Q1018" s="154"/>
      <c r="R1018" s="155" t="s">
        <v>268</v>
      </c>
      <c r="S1018" s="156">
        <v>0</v>
      </c>
    </row>
    <row r="1019" spans="1:19" ht="17.25" customHeight="1">
      <c r="A1019" s="108"/>
      <c r="B1019" s="108"/>
      <c r="C1019" s="109"/>
      <c r="D1019" s="109"/>
      <c r="E1019" s="109"/>
      <c r="F1019" s="109"/>
      <c r="G1019" s="109"/>
      <c r="H1019" s="109"/>
      <c r="I1019" s="109"/>
      <c r="J1019" s="109"/>
      <c r="K1019" s="109"/>
      <c r="L1019" s="109"/>
      <c r="M1019" s="109"/>
      <c r="N1019" s="109"/>
      <c r="O1019" s="109"/>
      <c r="Q1019" s="154"/>
      <c r="R1019" s="155" t="s">
        <v>269</v>
      </c>
      <c r="S1019" s="156">
        <v>0</v>
      </c>
    </row>
    <row r="1020" spans="1:19" ht="17.25" customHeight="1">
      <c r="A1020" s="108"/>
      <c r="B1020" s="108"/>
      <c r="C1020" s="109"/>
      <c r="D1020" s="109"/>
      <c r="E1020" s="109"/>
      <c r="F1020" s="109"/>
      <c r="G1020" s="109"/>
      <c r="H1020" s="109"/>
      <c r="I1020" s="109"/>
      <c r="J1020" s="109"/>
      <c r="K1020" s="109"/>
      <c r="L1020" s="109"/>
      <c r="M1020" s="109"/>
      <c r="N1020" s="109"/>
      <c r="O1020" s="109"/>
      <c r="Q1020" s="154"/>
      <c r="R1020" s="155" t="s">
        <v>270</v>
      </c>
      <c r="S1020" s="156">
        <v>0</v>
      </c>
    </row>
    <row r="1021" spans="1:19" ht="17.25" customHeight="1">
      <c r="A1021" s="108"/>
      <c r="B1021" s="108"/>
      <c r="C1021" s="109"/>
      <c r="D1021" s="109"/>
      <c r="E1021" s="109"/>
      <c r="F1021" s="109"/>
      <c r="G1021" s="109"/>
      <c r="H1021" s="109"/>
      <c r="I1021" s="109"/>
      <c r="J1021" s="109"/>
      <c r="K1021" s="109"/>
      <c r="L1021" s="109"/>
      <c r="M1021" s="109"/>
      <c r="N1021" s="109"/>
      <c r="O1021" s="109"/>
      <c r="Q1021" s="154"/>
      <c r="R1021" s="155" t="s">
        <v>271</v>
      </c>
      <c r="S1021" s="156">
        <v>0</v>
      </c>
    </row>
    <row r="1022" spans="1:19" ht="17.25" customHeight="1">
      <c r="A1022" s="108"/>
      <c r="B1022" s="108"/>
      <c r="C1022" s="109"/>
      <c r="D1022" s="109"/>
      <c r="E1022" s="109"/>
      <c r="F1022" s="109"/>
      <c r="G1022" s="109"/>
      <c r="H1022" s="109"/>
      <c r="I1022" s="109"/>
      <c r="J1022" s="109"/>
      <c r="K1022" s="109"/>
      <c r="L1022" s="109"/>
      <c r="M1022" s="109"/>
      <c r="N1022" s="109"/>
      <c r="O1022" s="109"/>
      <c r="Q1022" s="154"/>
      <c r="R1022" s="155" t="s">
        <v>272</v>
      </c>
      <c r="S1022" s="156">
        <v>0</v>
      </c>
    </row>
    <row r="1023" spans="1:19" ht="17.25" customHeight="1">
      <c r="A1023" s="108"/>
      <c r="B1023" s="108"/>
      <c r="C1023" s="109"/>
      <c r="D1023" s="109"/>
      <c r="E1023" s="109"/>
      <c r="F1023" s="109"/>
      <c r="G1023" s="109"/>
      <c r="H1023" s="109"/>
      <c r="I1023" s="109"/>
      <c r="J1023" s="109"/>
      <c r="K1023" s="109"/>
      <c r="L1023" s="109"/>
      <c r="M1023" s="109"/>
      <c r="N1023" s="109"/>
      <c r="O1023" s="109"/>
      <c r="Q1023" s="151" t="s">
        <v>244</v>
      </c>
      <c r="R1023" s="157"/>
      <c r="S1023" s="153">
        <v>0</v>
      </c>
    </row>
    <row r="1024" spans="1:19" ht="17.25" customHeight="1">
      <c r="A1024" s="108"/>
      <c r="B1024" s="108"/>
      <c r="C1024" s="109"/>
      <c r="D1024" s="109"/>
      <c r="E1024" s="109"/>
      <c r="F1024" s="109"/>
      <c r="G1024" s="109"/>
      <c r="H1024" s="109"/>
      <c r="I1024" s="109"/>
      <c r="J1024" s="109"/>
      <c r="K1024" s="109"/>
      <c r="L1024" s="109"/>
      <c r="M1024" s="109"/>
      <c r="N1024" s="109"/>
      <c r="O1024" s="109"/>
      <c r="Q1024" s="151" t="s">
        <v>245</v>
      </c>
      <c r="R1024" s="152" t="s">
        <v>261</v>
      </c>
      <c r="S1024" s="153">
        <v>0</v>
      </c>
    </row>
    <row r="1025" spans="1:19" ht="17.25" customHeight="1">
      <c r="A1025" s="108"/>
      <c r="B1025" s="108"/>
      <c r="C1025" s="109"/>
      <c r="D1025" s="109"/>
      <c r="E1025" s="109"/>
      <c r="F1025" s="109"/>
      <c r="G1025" s="109"/>
      <c r="H1025" s="109"/>
      <c r="I1025" s="109"/>
      <c r="J1025" s="109"/>
      <c r="K1025" s="109"/>
      <c r="L1025" s="109"/>
      <c r="M1025" s="109"/>
      <c r="N1025" s="109"/>
      <c r="O1025" s="109"/>
      <c r="Q1025" s="154"/>
      <c r="R1025" s="155" t="s">
        <v>262</v>
      </c>
      <c r="S1025" s="156">
        <v>0</v>
      </c>
    </row>
    <row r="1026" spans="1:19" ht="17.25" customHeight="1">
      <c r="A1026" s="108"/>
      <c r="B1026" s="108"/>
      <c r="C1026" s="109"/>
      <c r="D1026" s="109"/>
      <c r="E1026" s="109"/>
      <c r="F1026" s="109"/>
      <c r="G1026" s="109"/>
      <c r="H1026" s="109"/>
      <c r="I1026" s="109"/>
      <c r="J1026" s="109"/>
      <c r="K1026" s="109"/>
      <c r="L1026" s="109"/>
      <c r="M1026" s="109"/>
      <c r="N1026" s="109"/>
      <c r="O1026" s="109"/>
      <c r="Q1026" s="154"/>
      <c r="R1026" s="155" t="s">
        <v>263</v>
      </c>
      <c r="S1026" s="156">
        <v>0</v>
      </c>
    </row>
    <row r="1027" spans="1:19" ht="17.25" customHeight="1">
      <c r="A1027" s="108"/>
      <c r="B1027" s="108"/>
      <c r="C1027" s="109"/>
      <c r="D1027" s="109"/>
      <c r="E1027" s="109"/>
      <c r="F1027" s="109"/>
      <c r="G1027" s="109"/>
      <c r="H1027" s="109"/>
      <c r="I1027" s="109"/>
      <c r="J1027" s="109"/>
      <c r="K1027" s="109"/>
      <c r="L1027" s="109"/>
      <c r="M1027" s="109"/>
      <c r="N1027" s="109"/>
      <c r="O1027" s="109"/>
      <c r="Q1027" s="154"/>
      <c r="R1027" s="155" t="s">
        <v>264</v>
      </c>
      <c r="S1027" s="156">
        <v>0</v>
      </c>
    </row>
    <row r="1028" spans="1:19" ht="17.25" customHeight="1">
      <c r="A1028" s="108"/>
      <c r="B1028" s="108"/>
      <c r="C1028" s="109"/>
      <c r="D1028" s="109"/>
      <c r="E1028" s="109"/>
      <c r="F1028" s="109"/>
      <c r="G1028" s="109"/>
      <c r="H1028" s="109"/>
      <c r="I1028" s="109"/>
      <c r="J1028" s="109"/>
      <c r="K1028" s="109"/>
      <c r="L1028" s="109"/>
      <c r="M1028" s="109"/>
      <c r="N1028" s="109"/>
      <c r="O1028" s="109"/>
      <c r="Q1028" s="154"/>
      <c r="R1028" s="155" t="s">
        <v>265</v>
      </c>
      <c r="S1028" s="156">
        <v>0</v>
      </c>
    </row>
    <row r="1029" spans="1:19" ht="17.25" customHeight="1">
      <c r="A1029" s="108"/>
      <c r="B1029" s="108"/>
      <c r="C1029" s="109"/>
      <c r="D1029" s="109"/>
      <c r="E1029" s="109"/>
      <c r="F1029" s="109"/>
      <c r="G1029" s="109"/>
      <c r="H1029" s="109"/>
      <c r="I1029" s="109"/>
      <c r="J1029" s="109"/>
      <c r="K1029" s="109"/>
      <c r="L1029" s="109"/>
      <c r="M1029" s="109"/>
      <c r="N1029" s="109"/>
      <c r="O1029" s="109"/>
      <c r="Q1029" s="154"/>
      <c r="R1029" s="155" t="s">
        <v>266</v>
      </c>
      <c r="S1029" s="156">
        <v>0</v>
      </c>
    </row>
    <row r="1030" spans="1:19" ht="17.25" customHeight="1">
      <c r="A1030" s="108"/>
      <c r="B1030" s="108"/>
      <c r="C1030" s="109"/>
      <c r="D1030" s="109"/>
      <c r="E1030" s="109"/>
      <c r="F1030" s="109"/>
      <c r="G1030" s="109"/>
      <c r="H1030" s="109"/>
      <c r="I1030" s="109"/>
      <c r="J1030" s="109"/>
      <c r="K1030" s="109"/>
      <c r="L1030" s="109"/>
      <c r="M1030" s="109"/>
      <c r="N1030" s="109"/>
      <c r="O1030" s="109"/>
      <c r="Q1030" s="154"/>
      <c r="R1030" s="155" t="s">
        <v>267</v>
      </c>
      <c r="S1030" s="156">
        <v>0</v>
      </c>
    </row>
    <row r="1031" spans="1:19" ht="17.25" customHeight="1">
      <c r="A1031" s="108"/>
      <c r="B1031" s="108"/>
      <c r="C1031" s="109"/>
      <c r="D1031" s="109"/>
      <c r="E1031" s="109"/>
      <c r="F1031" s="109"/>
      <c r="G1031" s="109"/>
      <c r="H1031" s="109"/>
      <c r="I1031" s="109"/>
      <c r="J1031" s="109"/>
      <c r="K1031" s="109"/>
      <c r="L1031" s="109"/>
      <c r="M1031" s="109"/>
      <c r="N1031" s="109"/>
      <c r="O1031" s="109"/>
      <c r="Q1031" s="154"/>
      <c r="R1031" s="155" t="s">
        <v>268</v>
      </c>
      <c r="S1031" s="156">
        <v>0</v>
      </c>
    </row>
    <row r="1032" spans="1:19" ht="17.25" customHeight="1">
      <c r="A1032" s="108"/>
      <c r="B1032" s="108"/>
      <c r="C1032" s="109"/>
      <c r="D1032" s="109"/>
      <c r="E1032" s="109"/>
      <c r="F1032" s="109"/>
      <c r="G1032" s="109"/>
      <c r="H1032" s="109"/>
      <c r="I1032" s="109"/>
      <c r="J1032" s="109"/>
      <c r="K1032" s="109"/>
      <c r="L1032" s="109"/>
      <c r="M1032" s="109"/>
      <c r="N1032" s="109"/>
      <c r="O1032" s="109"/>
      <c r="Q1032" s="154"/>
      <c r="R1032" s="155" t="s">
        <v>269</v>
      </c>
      <c r="S1032" s="156">
        <v>0</v>
      </c>
    </row>
    <row r="1033" spans="1:19" ht="17.25" customHeight="1">
      <c r="A1033" s="108"/>
      <c r="B1033" s="108"/>
      <c r="C1033" s="109"/>
      <c r="D1033" s="109"/>
      <c r="E1033" s="109"/>
      <c r="F1033" s="109"/>
      <c r="G1033" s="109"/>
      <c r="H1033" s="109"/>
      <c r="I1033" s="109"/>
      <c r="J1033" s="109"/>
      <c r="K1033" s="109"/>
      <c r="L1033" s="109"/>
      <c r="M1033" s="109"/>
      <c r="N1033" s="109"/>
      <c r="O1033" s="109"/>
      <c r="Q1033" s="154"/>
      <c r="R1033" s="155" t="s">
        <v>270</v>
      </c>
      <c r="S1033" s="156">
        <v>0</v>
      </c>
    </row>
    <row r="1034" spans="1:19" ht="17.25" customHeight="1">
      <c r="A1034" s="108"/>
      <c r="B1034" s="108"/>
      <c r="C1034" s="109"/>
      <c r="D1034" s="109"/>
      <c r="E1034" s="109"/>
      <c r="F1034" s="109"/>
      <c r="G1034" s="109"/>
      <c r="H1034" s="109"/>
      <c r="I1034" s="109"/>
      <c r="J1034" s="109"/>
      <c r="K1034" s="109"/>
      <c r="L1034" s="109"/>
      <c r="M1034" s="109"/>
      <c r="N1034" s="109"/>
      <c r="O1034" s="109"/>
      <c r="Q1034" s="154"/>
      <c r="R1034" s="155" t="s">
        <v>271</v>
      </c>
      <c r="S1034" s="156">
        <v>0</v>
      </c>
    </row>
    <row r="1035" spans="1:19" ht="17.25" customHeight="1">
      <c r="A1035" s="108"/>
      <c r="B1035" s="108"/>
      <c r="C1035" s="109"/>
      <c r="D1035" s="109"/>
      <c r="E1035" s="109"/>
      <c r="F1035" s="109"/>
      <c r="G1035" s="109"/>
      <c r="H1035" s="109"/>
      <c r="I1035" s="109"/>
      <c r="J1035" s="109"/>
      <c r="K1035" s="109"/>
      <c r="L1035" s="109"/>
      <c r="M1035" s="109"/>
      <c r="N1035" s="109"/>
      <c r="O1035" s="109"/>
      <c r="Q1035" s="154"/>
      <c r="R1035" s="155" t="s">
        <v>272</v>
      </c>
      <c r="S1035" s="156">
        <v>0</v>
      </c>
    </row>
    <row r="1036" spans="1:19" ht="17.25" customHeight="1">
      <c r="A1036" s="108"/>
      <c r="B1036" s="108"/>
      <c r="C1036" s="109"/>
      <c r="D1036" s="109"/>
      <c r="E1036" s="109"/>
      <c r="F1036" s="109"/>
      <c r="G1036" s="109"/>
      <c r="H1036" s="109"/>
      <c r="I1036" s="109"/>
      <c r="J1036" s="109"/>
      <c r="K1036" s="109"/>
      <c r="L1036" s="109"/>
      <c r="M1036" s="109"/>
      <c r="N1036" s="109"/>
      <c r="O1036" s="109"/>
      <c r="Q1036" s="151" t="s">
        <v>246</v>
      </c>
      <c r="R1036" s="157"/>
      <c r="S1036" s="153">
        <v>0</v>
      </c>
    </row>
    <row r="1037" spans="1:19" ht="17.25" customHeight="1">
      <c r="A1037" s="108"/>
      <c r="B1037" s="108"/>
      <c r="C1037" s="109"/>
      <c r="D1037" s="109"/>
      <c r="E1037" s="109"/>
      <c r="F1037" s="109"/>
      <c r="G1037" s="109"/>
      <c r="H1037" s="109"/>
      <c r="I1037" s="109"/>
      <c r="J1037" s="109"/>
      <c r="K1037" s="109"/>
      <c r="L1037" s="109"/>
      <c r="M1037" s="109"/>
      <c r="N1037" s="109"/>
      <c r="O1037" s="109"/>
      <c r="Q1037" s="151" t="s">
        <v>247</v>
      </c>
      <c r="R1037" s="152" t="s">
        <v>261</v>
      </c>
      <c r="S1037" s="153">
        <v>0</v>
      </c>
    </row>
    <row r="1038" spans="1:19" ht="17.25" customHeight="1">
      <c r="A1038" s="108"/>
      <c r="B1038" s="108"/>
      <c r="C1038" s="109"/>
      <c r="D1038" s="109"/>
      <c r="E1038" s="109"/>
      <c r="F1038" s="109"/>
      <c r="G1038" s="109"/>
      <c r="H1038" s="109"/>
      <c r="I1038" s="109"/>
      <c r="J1038" s="109"/>
      <c r="K1038" s="109"/>
      <c r="L1038" s="109"/>
      <c r="M1038" s="109"/>
      <c r="N1038" s="109"/>
      <c r="O1038" s="109"/>
      <c r="Q1038" s="154"/>
      <c r="R1038" s="155" t="s">
        <v>262</v>
      </c>
      <c r="S1038" s="156">
        <v>0</v>
      </c>
    </row>
    <row r="1039" spans="1:19" ht="17.25" customHeight="1">
      <c r="A1039" s="108"/>
      <c r="B1039" s="108"/>
      <c r="C1039" s="109"/>
      <c r="D1039" s="109"/>
      <c r="E1039" s="109"/>
      <c r="F1039" s="109"/>
      <c r="G1039" s="109"/>
      <c r="H1039" s="109"/>
      <c r="I1039" s="109"/>
      <c r="J1039" s="109"/>
      <c r="K1039" s="109"/>
      <c r="L1039" s="109"/>
      <c r="M1039" s="109"/>
      <c r="N1039" s="109"/>
      <c r="O1039" s="109"/>
      <c r="Q1039" s="154"/>
      <c r="R1039" s="155" t="s">
        <v>263</v>
      </c>
      <c r="S1039" s="156">
        <v>0</v>
      </c>
    </row>
    <row r="1040" spans="1:19" ht="17.25" customHeight="1">
      <c r="A1040" s="108"/>
      <c r="B1040" s="108"/>
      <c r="C1040" s="109"/>
      <c r="D1040" s="109"/>
      <c r="E1040" s="109"/>
      <c r="F1040" s="109"/>
      <c r="G1040" s="109"/>
      <c r="H1040" s="109"/>
      <c r="I1040" s="109"/>
      <c r="J1040" s="109"/>
      <c r="K1040" s="109"/>
      <c r="L1040" s="109"/>
      <c r="M1040" s="109"/>
      <c r="N1040" s="109"/>
      <c r="O1040" s="109"/>
      <c r="Q1040" s="154"/>
      <c r="R1040" s="155" t="s">
        <v>264</v>
      </c>
      <c r="S1040" s="156">
        <v>0</v>
      </c>
    </row>
    <row r="1041" spans="1:19" ht="17.25" customHeight="1">
      <c r="A1041" s="108"/>
      <c r="B1041" s="108"/>
      <c r="C1041" s="109"/>
      <c r="D1041" s="109"/>
      <c r="E1041" s="109"/>
      <c r="F1041" s="109"/>
      <c r="G1041" s="109"/>
      <c r="H1041" s="109"/>
      <c r="I1041" s="109"/>
      <c r="J1041" s="109"/>
      <c r="K1041" s="109"/>
      <c r="L1041" s="109"/>
      <c r="M1041" s="109"/>
      <c r="N1041" s="109"/>
      <c r="O1041" s="109"/>
      <c r="Q1041" s="154"/>
      <c r="R1041" s="155" t="s">
        <v>265</v>
      </c>
      <c r="S1041" s="156">
        <v>0</v>
      </c>
    </row>
    <row r="1042" spans="1:19" ht="17.25" customHeight="1">
      <c r="A1042" s="108"/>
      <c r="B1042" s="108"/>
      <c r="C1042" s="109"/>
      <c r="D1042" s="109"/>
      <c r="E1042" s="109"/>
      <c r="F1042" s="109"/>
      <c r="G1042" s="109"/>
      <c r="H1042" s="109"/>
      <c r="I1042" s="109"/>
      <c r="J1042" s="109"/>
      <c r="K1042" s="109"/>
      <c r="L1042" s="109"/>
      <c r="M1042" s="109"/>
      <c r="N1042" s="109"/>
      <c r="O1042" s="109"/>
      <c r="Q1042" s="154"/>
      <c r="R1042" s="155" t="s">
        <v>266</v>
      </c>
      <c r="S1042" s="156">
        <v>0</v>
      </c>
    </row>
    <row r="1043" spans="1:19" ht="17.25" customHeight="1">
      <c r="A1043" s="108"/>
      <c r="B1043" s="108"/>
      <c r="C1043" s="109"/>
      <c r="D1043" s="109"/>
      <c r="E1043" s="109"/>
      <c r="F1043" s="109"/>
      <c r="G1043" s="109"/>
      <c r="H1043" s="109"/>
      <c r="I1043" s="109"/>
      <c r="J1043" s="109"/>
      <c r="K1043" s="109"/>
      <c r="L1043" s="109"/>
      <c r="M1043" s="109"/>
      <c r="N1043" s="109"/>
      <c r="O1043" s="109"/>
      <c r="Q1043" s="154"/>
      <c r="R1043" s="155" t="s">
        <v>267</v>
      </c>
      <c r="S1043" s="156">
        <v>0</v>
      </c>
    </row>
    <row r="1044" spans="1:19" ht="17.25" customHeight="1">
      <c r="A1044" s="108"/>
      <c r="B1044" s="108"/>
      <c r="C1044" s="109"/>
      <c r="D1044" s="109"/>
      <c r="E1044" s="109"/>
      <c r="F1044" s="109"/>
      <c r="G1044" s="109"/>
      <c r="H1044" s="109"/>
      <c r="I1044" s="109"/>
      <c r="J1044" s="109"/>
      <c r="K1044" s="109"/>
      <c r="L1044" s="109"/>
      <c r="M1044" s="109"/>
      <c r="N1044" s="109"/>
      <c r="O1044" s="109"/>
      <c r="Q1044" s="154"/>
      <c r="R1044" s="155" t="s">
        <v>268</v>
      </c>
      <c r="S1044" s="156">
        <v>0</v>
      </c>
    </row>
    <row r="1045" spans="1:19" ht="17.25" customHeight="1">
      <c r="A1045" s="108"/>
      <c r="B1045" s="108"/>
      <c r="C1045" s="109"/>
      <c r="D1045" s="109"/>
      <c r="E1045" s="109"/>
      <c r="F1045" s="109"/>
      <c r="G1045" s="109"/>
      <c r="H1045" s="109"/>
      <c r="I1045" s="109"/>
      <c r="J1045" s="109"/>
      <c r="K1045" s="109"/>
      <c r="L1045" s="109"/>
      <c r="M1045" s="109"/>
      <c r="N1045" s="109"/>
      <c r="O1045" s="109"/>
      <c r="Q1045" s="154"/>
      <c r="R1045" s="155" t="s">
        <v>269</v>
      </c>
      <c r="S1045" s="156">
        <v>0</v>
      </c>
    </row>
    <row r="1046" spans="1:19" ht="17.25" customHeight="1">
      <c r="A1046" s="108"/>
      <c r="B1046" s="108"/>
      <c r="C1046" s="109"/>
      <c r="D1046" s="109"/>
      <c r="E1046" s="109"/>
      <c r="F1046" s="109"/>
      <c r="G1046" s="109"/>
      <c r="H1046" s="109"/>
      <c r="I1046" s="109"/>
      <c r="J1046" s="109"/>
      <c r="K1046" s="109"/>
      <c r="L1046" s="109"/>
      <c r="M1046" s="109"/>
      <c r="N1046" s="109"/>
      <c r="O1046" s="109"/>
      <c r="Q1046" s="154"/>
      <c r="R1046" s="155" t="s">
        <v>270</v>
      </c>
      <c r="S1046" s="156">
        <v>0</v>
      </c>
    </row>
    <row r="1047" spans="1:19" ht="17.25" customHeight="1">
      <c r="A1047" s="108"/>
      <c r="B1047" s="108"/>
      <c r="C1047" s="109"/>
      <c r="D1047" s="109"/>
      <c r="E1047" s="109"/>
      <c r="F1047" s="109"/>
      <c r="G1047" s="109"/>
      <c r="H1047" s="109"/>
      <c r="I1047" s="109"/>
      <c r="J1047" s="109"/>
      <c r="K1047" s="109"/>
      <c r="L1047" s="109"/>
      <c r="M1047" s="109"/>
      <c r="N1047" s="109"/>
      <c r="O1047" s="109"/>
      <c r="Q1047" s="154"/>
      <c r="R1047" s="155" t="s">
        <v>271</v>
      </c>
      <c r="S1047" s="156">
        <v>0</v>
      </c>
    </row>
    <row r="1048" spans="1:19" ht="17.25" customHeight="1">
      <c r="A1048" s="108"/>
      <c r="B1048" s="108"/>
      <c r="C1048" s="109"/>
      <c r="D1048" s="109"/>
      <c r="E1048" s="109"/>
      <c r="F1048" s="109"/>
      <c r="G1048" s="109"/>
      <c r="H1048" s="109"/>
      <c r="I1048" s="109"/>
      <c r="J1048" s="109"/>
      <c r="K1048" s="109"/>
      <c r="L1048" s="109"/>
      <c r="M1048" s="109"/>
      <c r="N1048" s="109"/>
      <c r="O1048" s="109"/>
      <c r="Q1048" s="154"/>
      <c r="R1048" s="155" t="s">
        <v>272</v>
      </c>
      <c r="S1048" s="156">
        <v>0</v>
      </c>
    </row>
    <row r="1049" spans="1:19" ht="17.25" customHeight="1">
      <c r="A1049" s="108"/>
      <c r="B1049" s="108"/>
      <c r="C1049" s="109"/>
      <c r="D1049" s="109"/>
      <c r="E1049" s="109"/>
      <c r="F1049" s="109"/>
      <c r="G1049" s="109"/>
      <c r="H1049" s="109"/>
      <c r="I1049" s="109"/>
      <c r="J1049" s="109"/>
      <c r="K1049" s="109"/>
      <c r="L1049" s="109"/>
      <c r="M1049" s="109"/>
      <c r="N1049" s="109"/>
      <c r="O1049" s="109"/>
      <c r="Q1049" s="151" t="s">
        <v>248</v>
      </c>
      <c r="R1049" s="157"/>
      <c r="S1049" s="153">
        <v>0</v>
      </c>
    </row>
    <row r="1050" spans="1:19" ht="17.25" customHeight="1">
      <c r="A1050" s="108"/>
      <c r="B1050" s="108"/>
      <c r="C1050" s="109"/>
      <c r="D1050" s="109"/>
      <c r="E1050" s="109"/>
      <c r="F1050" s="109"/>
      <c r="G1050" s="109"/>
      <c r="H1050" s="109"/>
      <c r="I1050" s="109"/>
      <c r="J1050" s="109"/>
      <c r="K1050" s="109"/>
      <c r="L1050" s="109"/>
      <c r="M1050" s="109"/>
      <c r="N1050" s="109"/>
      <c r="O1050" s="109"/>
      <c r="Q1050" s="151" t="s">
        <v>249</v>
      </c>
      <c r="R1050" s="152" t="s">
        <v>261</v>
      </c>
      <c r="S1050" s="153">
        <v>0</v>
      </c>
    </row>
    <row r="1051" spans="1:19" ht="17.25" customHeight="1">
      <c r="A1051" s="108"/>
      <c r="B1051" s="108"/>
      <c r="C1051" s="109"/>
      <c r="D1051" s="109"/>
      <c r="E1051" s="109"/>
      <c r="F1051" s="109"/>
      <c r="G1051" s="109"/>
      <c r="H1051" s="109"/>
      <c r="I1051" s="109"/>
      <c r="J1051" s="109"/>
      <c r="K1051" s="109"/>
      <c r="L1051" s="109"/>
      <c r="M1051" s="109"/>
      <c r="N1051" s="109"/>
      <c r="O1051" s="109"/>
      <c r="Q1051" s="154"/>
      <c r="R1051" s="155" t="s">
        <v>262</v>
      </c>
      <c r="S1051" s="156">
        <v>0</v>
      </c>
    </row>
    <row r="1052" spans="1:19" ht="17.25" customHeight="1">
      <c r="A1052" s="108"/>
      <c r="B1052" s="108"/>
      <c r="C1052" s="109"/>
      <c r="D1052" s="109"/>
      <c r="E1052" s="109"/>
      <c r="F1052" s="109"/>
      <c r="G1052" s="109"/>
      <c r="H1052" s="109"/>
      <c r="I1052" s="109"/>
      <c r="J1052" s="109"/>
      <c r="K1052" s="109"/>
      <c r="L1052" s="109"/>
      <c r="M1052" s="109"/>
      <c r="N1052" s="109"/>
      <c r="O1052" s="109"/>
      <c r="Q1052" s="154"/>
      <c r="R1052" s="155" t="s">
        <v>263</v>
      </c>
      <c r="S1052" s="156">
        <v>0</v>
      </c>
    </row>
    <row r="1053" spans="1:19" ht="17.25" customHeight="1">
      <c r="A1053" s="108"/>
      <c r="B1053" s="108"/>
      <c r="C1053" s="109"/>
      <c r="D1053" s="109"/>
      <c r="E1053" s="109"/>
      <c r="F1053" s="109"/>
      <c r="G1053" s="109"/>
      <c r="H1053" s="109"/>
      <c r="I1053" s="109"/>
      <c r="J1053" s="109"/>
      <c r="K1053" s="109"/>
      <c r="L1053" s="109"/>
      <c r="M1053" s="109"/>
      <c r="N1053" s="109"/>
      <c r="O1053" s="109"/>
      <c r="Q1053" s="154"/>
      <c r="R1053" s="155" t="s">
        <v>264</v>
      </c>
      <c r="S1053" s="156">
        <v>0</v>
      </c>
    </row>
    <row r="1054" spans="1:19" ht="17.25" customHeight="1">
      <c r="A1054" s="108"/>
      <c r="B1054" s="108"/>
      <c r="C1054" s="109"/>
      <c r="D1054" s="109"/>
      <c r="E1054" s="109"/>
      <c r="F1054" s="109"/>
      <c r="G1054" s="109"/>
      <c r="H1054" s="109"/>
      <c r="I1054" s="109"/>
      <c r="J1054" s="109"/>
      <c r="K1054" s="109"/>
      <c r="L1054" s="109"/>
      <c r="M1054" s="109"/>
      <c r="N1054" s="109"/>
      <c r="O1054" s="109"/>
      <c r="Q1054" s="154"/>
      <c r="R1054" s="155" t="s">
        <v>265</v>
      </c>
      <c r="S1054" s="156">
        <v>0</v>
      </c>
    </row>
    <row r="1055" spans="1:19" ht="17.25" customHeight="1">
      <c r="A1055" s="108"/>
      <c r="B1055" s="108"/>
      <c r="C1055" s="109"/>
      <c r="D1055" s="109"/>
      <c r="E1055" s="109"/>
      <c r="F1055" s="109"/>
      <c r="G1055" s="109"/>
      <c r="H1055" s="109"/>
      <c r="I1055" s="109"/>
      <c r="J1055" s="109"/>
      <c r="K1055" s="109"/>
      <c r="L1055" s="109"/>
      <c r="M1055" s="109"/>
      <c r="N1055" s="109"/>
      <c r="O1055" s="109"/>
      <c r="Q1055" s="154"/>
      <c r="R1055" s="155" t="s">
        <v>266</v>
      </c>
      <c r="S1055" s="156">
        <v>0</v>
      </c>
    </row>
    <row r="1056" spans="1:19" ht="17.25" customHeight="1">
      <c r="A1056" s="108"/>
      <c r="B1056" s="108"/>
      <c r="C1056" s="109"/>
      <c r="D1056" s="109"/>
      <c r="E1056" s="109"/>
      <c r="F1056" s="109"/>
      <c r="G1056" s="109"/>
      <c r="H1056" s="109"/>
      <c r="I1056" s="109"/>
      <c r="J1056" s="109"/>
      <c r="K1056" s="109"/>
      <c r="L1056" s="109"/>
      <c r="M1056" s="109"/>
      <c r="N1056" s="109"/>
      <c r="O1056" s="109"/>
      <c r="Q1056" s="154"/>
      <c r="R1056" s="155" t="s">
        <v>267</v>
      </c>
      <c r="S1056" s="156">
        <v>0</v>
      </c>
    </row>
    <row r="1057" spans="1:19" ht="17.25" customHeight="1">
      <c r="A1057" s="108"/>
      <c r="B1057" s="108"/>
      <c r="C1057" s="109"/>
      <c r="D1057" s="109"/>
      <c r="E1057" s="109"/>
      <c r="F1057" s="109"/>
      <c r="G1057" s="109"/>
      <c r="H1057" s="109"/>
      <c r="I1057" s="109"/>
      <c r="J1057" s="109"/>
      <c r="K1057" s="109"/>
      <c r="L1057" s="109"/>
      <c r="M1057" s="109"/>
      <c r="N1057" s="109"/>
      <c r="O1057" s="109"/>
      <c r="Q1057" s="154"/>
      <c r="R1057" s="155" t="s">
        <v>268</v>
      </c>
      <c r="S1057" s="156">
        <v>0</v>
      </c>
    </row>
    <row r="1058" spans="1:19" ht="17.25" customHeight="1">
      <c r="A1058" s="108"/>
      <c r="B1058" s="108"/>
      <c r="C1058" s="109"/>
      <c r="D1058" s="109"/>
      <c r="E1058" s="109"/>
      <c r="F1058" s="109"/>
      <c r="G1058" s="109"/>
      <c r="H1058" s="109"/>
      <c r="I1058" s="109"/>
      <c r="J1058" s="109"/>
      <c r="K1058" s="109"/>
      <c r="L1058" s="109"/>
      <c r="M1058" s="109"/>
      <c r="N1058" s="109"/>
      <c r="O1058" s="109"/>
      <c r="Q1058" s="154"/>
      <c r="R1058" s="155" t="s">
        <v>269</v>
      </c>
      <c r="S1058" s="156">
        <v>0</v>
      </c>
    </row>
    <row r="1059" spans="1:19" ht="17.25" customHeight="1">
      <c r="A1059" s="108"/>
      <c r="B1059" s="108"/>
      <c r="C1059" s="109"/>
      <c r="D1059" s="109"/>
      <c r="E1059" s="109"/>
      <c r="F1059" s="109"/>
      <c r="G1059" s="109"/>
      <c r="H1059" s="109"/>
      <c r="I1059" s="109"/>
      <c r="J1059" s="109"/>
      <c r="K1059" s="109"/>
      <c r="L1059" s="109"/>
      <c r="M1059" s="109"/>
      <c r="N1059" s="109"/>
      <c r="O1059" s="109"/>
      <c r="Q1059" s="154"/>
      <c r="R1059" s="155" t="s">
        <v>270</v>
      </c>
      <c r="S1059" s="156">
        <v>0</v>
      </c>
    </row>
    <row r="1060" spans="1:19" ht="17.25" customHeight="1">
      <c r="A1060" s="108"/>
      <c r="B1060" s="108"/>
      <c r="C1060" s="109"/>
      <c r="D1060" s="109"/>
      <c r="E1060" s="109"/>
      <c r="F1060" s="109"/>
      <c r="G1060" s="109"/>
      <c r="H1060" s="109"/>
      <c r="I1060" s="109"/>
      <c r="J1060" s="109"/>
      <c r="K1060" s="109"/>
      <c r="L1060" s="109"/>
      <c r="M1060" s="109"/>
      <c r="N1060" s="109"/>
      <c r="O1060" s="109"/>
      <c r="Q1060" s="154"/>
      <c r="R1060" s="155" t="s">
        <v>271</v>
      </c>
      <c r="S1060" s="156">
        <v>0</v>
      </c>
    </row>
    <row r="1061" spans="1:19" ht="17.25" customHeight="1">
      <c r="A1061" s="108"/>
      <c r="B1061" s="108"/>
      <c r="C1061" s="109"/>
      <c r="D1061" s="109"/>
      <c r="E1061" s="109"/>
      <c r="F1061" s="109"/>
      <c r="G1061" s="109"/>
      <c r="H1061" s="109"/>
      <c r="I1061" s="109"/>
      <c r="J1061" s="109"/>
      <c r="K1061" s="109"/>
      <c r="L1061" s="109"/>
      <c r="M1061" s="109"/>
      <c r="N1061" s="109"/>
      <c r="O1061" s="109"/>
      <c r="Q1061" s="154"/>
      <c r="R1061" s="155" t="s">
        <v>272</v>
      </c>
      <c r="S1061" s="156">
        <v>0</v>
      </c>
    </row>
    <row r="1062" spans="1:19" ht="17.25" customHeight="1">
      <c r="A1062" s="108"/>
      <c r="B1062" s="108"/>
      <c r="C1062" s="109"/>
      <c r="D1062" s="109"/>
      <c r="E1062" s="109"/>
      <c r="F1062" s="109"/>
      <c r="G1062" s="109"/>
      <c r="H1062" s="109"/>
      <c r="I1062" s="109"/>
      <c r="J1062" s="109"/>
      <c r="K1062" s="109"/>
      <c r="L1062" s="109"/>
      <c r="M1062" s="109"/>
      <c r="N1062" s="109"/>
      <c r="O1062" s="109"/>
      <c r="Q1062" s="151" t="s">
        <v>250</v>
      </c>
      <c r="R1062" s="157"/>
      <c r="S1062" s="153">
        <v>0</v>
      </c>
    </row>
    <row r="1063" spans="1:19" ht="17.25" customHeight="1">
      <c r="A1063" s="108"/>
      <c r="B1063" s="108"/>
      <c r="C1063" s="109"/>
      <c r="D1063" s="109"/>
      <c r="E1063" s="109"/>
      <c r="F1063" s="109"/>
      <c r="G1063" s="109"/>
      <c r="H1063" s="109"/>
      <c r="I1063" s="109"/>
      <c r="J1063" s="109"/>
      <c r="K1063" s="109"/>
      <c r="L1063" s="109"/>
      <c r="M1063" s="109"/>
      <c r="N1063" s="109"/>
      <c r="O1063" s="109"/>
      <c r="Q1063" s="151" t="s">
        <v>251</v>
      </c>
      <c r="R1063" s="152" t="s">
        <v>261</v>
      </c>
      <c r="S1063" s="153">
        <v>0</v>
      </c>
    </row>
    <row r="1064" spans="1:19" ht="17.25" customHeight="1">
      <c r="A1064" s="108"/>
      <c r="B1064" s="108"/>
      <c r="C1064" s="109"/>
      <c r="D1064" s="109"/>
      <c r="E1064" s="109"/>
      <c r="F1064" s="109"/>
      <c r="G1064" s="109"/>
      <c r="H1064" s="109"/>
      <c r="I1064" s="109"/>
      <c r="J1064" s="109"/>
      <c r="K1064" s="109"/>
      <c r="L1064" s="109"/>
      <c r="M1064" s="109"/>
      <c r="N1064" s="109"/>
      <c r="O1064" s="109"/>
      <c r="Q1064" s="154"/>
      <c r="R1064" s="155" t="s">
        <v>262</v>
      </c>
      <c r="S1064" s="156">
        <v>0</v>
      </c>
    </row>
    <row r="1065" spans="1:19" ht="17.25" customHeight="1">
      <c r="A1065" s="108"/>
      <c r="B1065" s="108"/>
      <c r="C1065" s="109"/>
      <c r="D1065" s="109"/>
      <c r="E1065" s="109"/>
      <c r="F1065" s="109"/>
      <c r="G1065" s="109"/>
      <c r="H1065" s="109"/>
      <c r="I1065" s="109"/>
      <c r="J1065" s="109"/>
      <c r="K1065" s="109"/>
      <c r="L1065" s="109"/>
      <c r="M1065" s="109"/>
      <c r="N1065" s="109"/>
      <c r="O1065" s="109"/>
      <c r="Q1065" s="154"/>
      <c r="R1065" s="155" t="s">
        <v>263</v>
      </c>
      <c r="S1065" s="156">
        <v>0</v>
      </c>
    </row>
    <row r="1066" spans="1:19" ht="17.25" customHeight="1">
      <c r="A1066" s="108"/>
      <c r="B1066" s="108"/>
      <c r="C1066" s="109"/>
      <c r="D1066" s="109"/>
      <c r="E1066" s="109"/>
      <c r="F1066" s="109"/>
      <c r="G1066" s="109"/>
      <c r="H1066" s="109"/>
      <c r="I1066" s="109"/>
      <c r="J1066" s="109"/>
      <c r="K1066" s="109"/>
      <c r="L1066" s="109"/>
      <c r="M1066" s="109"/>
      <c r="N1066" s="109"/>
      <c r="O1066" s="109"/>
      <c r="Q1066" s="154"/>
      <c r="R1066" s="155" t="s">
        <v>264</v>
      </c>
      <c r="S1066" s="156">
        <v>0</v>
      </c>
    </row>
    <row r="1067" spans="1:19" ht="17.25" customHeight="1">
      <c r="A1067" s="108"/>
      <c r="B1067" s="108"/>
      <c r="C1067" s="109"/>
      <c r="D1067" s="109"/>
      <c r="E1067" s="109"/>
      <c r="F1067" s="109"/>
      <c r="G1067" s="109"/>
      <c r="H1067" s="109"/>
      <c r="I1067" s="109"/>
      <c r="J1067" s="109"/>
      <c r="K1067" s="109"/>
      <c r="L1067" s="109"/>
      <c r="M1067" s="109"/>
      <c r="N1067" s="109"/>
      <c r="O1067" s="109"/>
      <c r="Q1067" s="154"/>
      <c r="R1067" s="155" t="s">
        <v>265</v>
      </c>
      <c r="S1067" s="156">
        <v>0</v>
      </c>
    </row>
    <row r="1068" spans="1:19" ht="17.25" customHeight="1">
      <c r="A1068" s="108"/>
      <c r="B1068" s="108"/>
      <c r="C1068" s="109"/>
      <c r="D1068" s="109"/>
      <c r="E1068" s="109"/>
      <c r="F1068" s="109"/>
      <c r="G1068" s="109"/>
      <c r="H1068" s="109"/>
      <c r="I1068" s="109"/>
      <c r="J1068" s="109"/>
      <c r="K1068" s="109"/>
      <c r="L1068" s="109"/>
      <c r="M1068" s="109"/>
      <c r="N1068" s="109"/>
      <c r="O1068" s="109"/>
      <c r="Q1068" s="154"/>
      <c r="R1068" s="155" t="s">
        <v>266</v>
      </c>
      <c r="S1068" s="156">
        <v>0</v>
      </c>
    </row>
    <row r="1069" spans="1:19" ht="17.25" customHeight="1">
      <c r="A1069" s="108"/>
      <c r="B1069" s="108"/>
      <c r="C1069" s="109"/>
      <c r="D1069" s="109"/>
      <c r="E1069" s="109"/>
      <c r="F1069" s="109"/>
      <c r="G1069" s="109"/>
      <c r="H1069" s="109"/>
      <c r="I1069" s="109"/>
      <c r="J1069" s="109"/>
      <c r="K1069" s="109"/>
      <c r="L1069" s="109"/>
      <c r="M1069" s="109"/>
      <c r="N1069" s="109"/>
      <c r="O1069" s="109"/>
      <c r="Q1069" s="154"/>
      <c r="R1069" s="155" t="s">
        <v>267</v>
      </c>
      <c r="S1069" s="156">
        <v>0</v>
      </c>
    </row>
    <row r="1070" spans="1:19" ht="17.25" customHeight="1">
      <c r="A1070" s="108"/>
      <c r="B1070" s="108"/>
      <c r="C1070" s="109"/>
      <c r="D1070" s="109"/>
      <c r="E1070" s="109"/>
      <c r="F1070" s="109"/>
      <c r="G1070" s="109"/>
      <c r="H1070" s="109"/>
      <c r="I1070" s="109"/>
      <c r="J1070" s="109"/>
      <c r="K1070" s="109"/>
      <c r="L1070" s="109"/>
      <c r="M1070" s="109"/>
      <c r="N1070" s="109"/>
      <c r="O1070" s="109"/>
      <c r="Q1070" s="154"/>
      <c r="R1070" s="155" t="s">
        <v>268</v>
      </c>
      <c r="S1070" s="156">
        <v>0</v>
      </c>
    </row>
    <row r="1071" spans="1:19" ht="17.25" customHeight="1">
      <c r="A1071" s="108"/>
      <c r="B1071" s="108"/>
      <c r="C1071" s="109"/>
      <c r="D1071" s="109"/>
      <c r="E1071" s="109"/>
      <c r="F1071" s="109"/>
      <c r="G1071" s="109"/>
      <c r="H1071" s="109"/>
      <c r="I1071" s="109"/>
      <c r="J1071" s="109"/>
      <c r="K1071" s="109"/>
      <c r="L1071" s="109"/>
      <c r="M1071" s="109"/>
      <c r="N1071" s="109"/>
      <c r="O1071" s="109"/>
      <c r="Q1071" s="154"/>
      <c r="R1071" s="155" t="s">
        <v>269</v>
      </c>
      <c r="S1071" s="156">
        <v>0</v>
      </c>
    </row>
    <row r="1072" spans="1:19" ht="17.25" customHeight="1">
      <c r="A1072" s="108"/>
      <c r="B1072" s="108"/>
      <c r="C1072" s="109"/>
      <c r="D1072" s="109"/>
      <c r="E1072" s="109"/>
      <c r="F1072" s="109"/>
      <c r="G1072" s="109"/>
      <c r="H1072" s="109"/>
      <c r="I1072" s="109"/>
      <c r="J1072" s="109"/>
      <c r="K1072" s="109"/>
      <c r="L1072" s="109"/>
      <c r="M1072" s="109"/>
      <c r="N1072" s="109"/>
      <c r="O1072" s="109"/>
      <c r="Q1072" s="154"/>
      <c r="R1072" s="155" t="s">
        <v>270</v>
      </c>
      <c r="S1072" s="156">
        <v>0</v>
      </c>
    </row>
    <row r="1073" spans="1:19" ht="17.25" customHeight="1">
      <c r="A1073" s="108"/>
      <c r="B1073" s="108"/>
      <c r="C1073" s="109"/>
      <c r="D1073" s="109"/>
      <c r="E1073" s="109"/>
      <c r="F1073" s="109"/>
      <c r="G1073" s="109"/>
      <c r="H1073" s="109"/>
      <c r="I1073" s="109"/>
      <c r="J1073" s="109"/>
      <c r="K1073" s="109"/>
      <c r="L1073" s="109"/>
      <c r="M1073" s="109"/>
      <c r="N1073" s="109"/>
      <c r="O1073" s="109"/>
      <c r="Q1073" s="154"/>
      <c r="R1073" s="155" t="s">
        <v>271</v>
      </c>
      <c r="S1073" s="156">
        <v>0</v>
      </c>
    </row>
    <row r="1074" spans="1:19" ht="17.25" customHeight="1">
      <c r="A1074" s="108"/>
      <c r="B1074" s="108"/>
      <c r="C1074" s="109"/>
      <c r="D1074" s="109"/>
      <c r="E1074" s="109"/>
      <c r="F1074" s="109"/>
      <c r="G1074" s="109"/>
      <c r="H1074" s="109"/>
      <c r="I1074" s="109"/>
      <c r="J1074" s="109"/>
      <c r="K1074" s="109"/>
      <c r="L1074" s="109"/>
      <c r="M1074" s="109"/>
      <c r="N1074" s="109"/>
      <c r="O1074" s="109"/>
      <c r="Q1074" s="151" t="s">
        <v>252</v>
      </c>
      <c r="R1074" s="157"/>
      <c r="S1074" s="153">
        <v>0</v>
      </c>
    </row>
    <row r="1075" spans="1:19" ht="17.25" customHeight="1">
      <c r="A1075" s="108"/>
      <c r="B1075" s="108"/>
      <c r="C1075" s="109"/>
      <c r="D1075" s="109"/>
      <c r="E1075" s="109"/>
      <c r="F1075" s="109"/>
      <c r="G1075" s="109"/>
      <c r="H1075" s="109"/>
      <c r="I1075" s="109"/>
      <c r="J1075" s="109"/>
      <c r="K1075" s="109"/>
      <c r="L1075" s="109"/>
      <c r="M1075" s="109"/>
      <c r="N1075" s="109"/>
      <c r="O1075" s="109"/>
      <c r="Q1075" s="158" t="s">
        <v>257</v>
      </c>
      <c r="R1075" s="159"/>
      <c r="S1075" s="160">
        <v>0</v>
      </c>
    </row>
    <row r="1076" spans="1:19" ht="17.25" customHeight="1">
      <c r="A1076" s="108"/>
      <c r="B1076" s="108"/>
      <c r="C1076" s="109"/>
      <c r="D1076" s="109"/>
      <c r="E1076" s="109"/>
      <c r="F1076" s="109"/>
      <c r="G1076" s="109"/>
      <c r="H1076" s="109"/>
      <c r="I1076" s="109"/>
      <c r="J1076" s="109"/>
      <c r="K1076" s="109"/>
      <c r="L1076" s="109"/>
      <c r="M1076" s="109"/>
      <c r="N1076" s="109"/>
      <c r="O1076" s="109"/>
    </row>
    <row r="1077" spans="1:19" ht="17.25" customHeight="1">
      <c r="A1077" s="108"/>
      <c r="B1077" s="108"/>
      <c r="C1077" s="109"/>
      <c r="D1077" s="109"/>
      <c r="E1077" s="109"/>
      <c r="F1077" s="109"/>
      <c r="G1077" s="109"/>
      <c r="H1077" s="109"/>
      <c r="I1077" s="109"/>
      <c r="J1077" s="109"/>
      <c r="K1077" s="109"/>
      <c r="L1077" s="109"/>
      <c r="M1077" s="109"/>
      <c r="N1077" s="109"/>
      <c r="O1077" s="109"/>
    </row>
    <row r="1078" spans="1:19" ht="17.25" customHeight="1">
      <c r="A1078" s="108"/>
      <c r="B1078" s="108"/>
      <c r="C1078" s="109"/>
      <c r="D1078" s="109"/>
      <c r="E1078" s="109"/>
      <c r="F1078" s="109"/>
      <c r="G1078" s="109"/>
      <c r="H1078" s="109"/>
      <c r="I1078" s="109"/>
      <c r="J1078" s="109"/>
      <c r="K1078" s="109"/>
      <c r="L1078" s="109"/>
      <c r="M1078" s="109"/>
      <c r="N1078" s="109"/>
      <c r="O1078" s="109"/>
    </row>
    <row r="1079" spans="1:19" ht="17.25" customHeight="1">
      <c r="A1079" s="108"/>
      <c r="B1079" s="108"/>
      <c r="C1079" s="109"/>
      <c r="D1079" s="109"/>
      <c r="E1079" s="109"/>
      <c r="F1079" s="109"/>
      <c r="G1079" s="109"/>
      <c r="H1079" s="109"/>
      <c r="I1079" s="109"/>
      <c r="J1079" s="109"/>
      <c r="K1079" s="109"/>
      <c r="L1079" s="109"/>
      <c r="M1079" s="109"/>
      <c r="N1079" s="109"/>
      <c r="O1079" s="109"/>
    </row>
    <row r="1080" spans="1:19" ht="17.25" customHeight="1">
      <c r="A1080" s="108"/>
      <c r="B1080" s="108"/>
      <c r="C1080" s="109"/>
      <c r="D1080" s="109"/>
      <c r="E1080" s="109"/>
      <c r="F1080" s="109"/>
      <c r="G1080" s="109"/>
      <c r="H1080" s="109"/>
      <c r="I1080" s="109"/>
      <c r="J1080" s="109"/>
      <c r="K1080" s="109"/>
      <c r="L1080" s="109"/>
      <c r="M1080" s="109"/>
      <c r="N1080" s="109"/>
      <c r="O1080" s="109"/>
    </row>
    <row r="1081" spans="1:19" ht="17.25" customHeight="1">
      <c r="A1081" s="108"/>
      <c r="B1081" s="108"/>
      <c r="C1081" s="109"/>
      <c r="D1081" s="109"/>
      <c r="E1081" s="109"/>
      <c r="F1081" s="109"/>
      <c r="G1081" s="109"/>
      <c r="H1081" s="109"/>
      <c r="I1081" s="109"/>
      <c r="J1081" s="109"/>
      <c r="K1081" s="109"/>
      <c r="L1081" s="109"/>
      <c r="M1081" s="109"/>
      <c r="N1081" s="109"/>
      <c r="O1081" s="109"/>
    </row>
    <row r="1082" spans="1:19" ht="17.25" customHeight="1">
      <c r="A1082" s="108"/>
      <c r="B1082" s="108"/>
      <c r="C1082" s="109"/>
      <c r="D1082" s="109"/>
      <c r="E1082" s="109"/>
      <c r="F1082" s="109"/>
      <c r="G1082" s="109"/>
      <c r="H1082" s="109"/>
      <c r="I1082" s="109"/>
      <c r="J1082" s="109"/>
      <c r="K1082" s="109"/>
      <c r="L1082" s="109"/>
      <c r="M1082" s="109"/>
      <c r="N1082" s="109"/>
      <c r="O1082" s="109"/>
    </row>
    <row r="1083" spans="1:19" ht="17.25" customHeight="1">
      <c r="A1083" s="108"/>
      <c r="B1083" s="108"/>
      <c r="C1083" s="109"/>
      <c r="D1083" s="109"/>
      <c r="E1083" s="109"/>
      <c r="F1083" s="109"/>
      <c r="G1083" s="109"/>
      <c r="H1083" s="109"/>
      <c r="I1083" s="109"/>
      <c r="J1083" s="109"/>
      <c r="K1083" s="109"/>
      <c r="L1083" s="109"/>
      <c r="M1083" s="109"/>
      <c r="N1083" s="109"/>
      <c r="O1083" s="109"/>
    </row>
    <row r="1084" spans="1:19" ht="17.25" customHeight="1">
      <c r="A1084" s="108"/>
      <c r="B1084" s="108"/>
      <c r="C1084" s="109"/>
      <c r="D1084" s="109"/>
      <c r="E1084" s="109"/>
      <c r="F1084" s="109"/>
      <c r="G1084" s="109"/>
      <c r="H1084" s="109"/>
      <c r="I1084" s="109"/>
      <c r="J1084" s="109"/>
      <c r="K1084" s="109"/>
      <c r="L1084" s="109"/>
      <c r="M1084" s="109"/>
      <c r="N1084" s="109"/>
      <c r="O1084" s="109"/>
    </row>
    <row r="1085" spans="1:19" ht="17.25" customHeight="1">
      <c r="A1085" s="108"/>
      <c r="B1085" s="108"/>
      <c r="C1085" s="109"/>
      <c r="D1085" s="109"/>
      <c r="E1085" s="109"/>
      <c r="F1085" s="109"/>
      <c r="G1085" s="109"/>
      <c r="H1085" s="109"/>
      <c r="I1085" s="109"/>
      <c r="J1085" s="109"/>
      <c r="K1085" s="109"/>
      <c r="L1085" s="109"/>
      <c r="M1085" s="109"/>
      <c r="N1085" s="109"/>
      <c r="O1085" s="109"/>
    </row>
    <row r="1086" spans="1:19" ht="17.25" customHeight="1">
      <c r="A1086" s="108"/>
      <c r="B1086" s="108"/>
      <c r="C1086" s="109"/>
      <c r="D1086" s="109"/>
      <c r="E1086" s="109"/>
      <c r="F1086" s="109"/>
      <c r="G1086" s="109"/>
      <c r="H1086" s="109"/>
      <c r="I1086" s="109"/>
      <c r="J1086" s="109"/>
      <c r="K1086" s="109"/>
      <c r="L1086" s="109"/>
      <c r="M1086" s="109"/>
      <c r="N1086" s="109"/>
      <c r="O1086" s="109"/>
    </row>
    <row r="1087" spans="1:19" ht="17.25" customHeight="1">
      <c r="A1087" s="108"/>
      <c r="B1087" s="108"/>
      <c r="C1087" s="109"/>
      <c r="D1087" s="109"/>
      <c r="E1087" s="109"/>
      <c r="F1087" s="109"/>
      <c r="G1087" s="109"/>
      <c r="H1087" s="109"/>
      <c r="I1087" s="109"/>
      <c r="J1087" s="109"/>
      <c r="K1087" s="109"/>
      <c r="L1087" s="109"/>
      <c r="M1087" s="109"/>
      <c r="N1087" s="109"/>
      <c r="O1087" s="109"/>
    </row>
    <row r="1088" spans="1:19" ht="17.25" customHeight="1">
      <c r="A1088" s="108"/>
      <c r="B1088" s="108"/>
      <c r="C1088" s="109"/>
      <c r="D1088" s="109"/>
      <c r="E1088" s="109"/>
      <c r="F1088" s="109"/>
      <c r="G1088" s="109"/>
      <c r="H1088" s="109"/>
      <c r="I1088" s="109"/>
      <c r="J1088" s="109"/>
      <c r="K1088" s="109"/>
      <c r="L1088" s="109"/>
      <c r="M1088" s="109"/>
      <c r="N1088" s="109"/>
      <c r="O1088" s="109"/>
    </row>
    <row r="1089" spans="1:15" ht="17.25" customHeight="1">
      <c r="A1089" s="108"/>
      <c r="B1089" s="108"/>
      <c r="C1089" s="109"/>
      <c r="D1089" s="109"/>
      <c r="E1089" s="109"/>
      <c r="F1089" s="109"/>
      <c r="G1089" s="109"/>
      <c r="H1089" s="109"/>
      <c r="I1089" s="109"/>
      <c r="J1089" s="109"/>
      <c r="K1089" s="109"/>
      <c r="L1089" s="109"/>
      <c r="M1089" s="109"/>
      <c r="N1089" s="109"/>
      <c r="O1089" s="109"/>
    </row>
    <row r="1090" spans="1:15" ht="17.25" customHeight="1">
      <c r="A1090" s="108"/>
      <c r="B1090" s="108"/>
      <c r="C1090" s="109"/>
      <c r="D1090" s="109"/>
      <c r="E1090" s="109"/>
      <c r="F1090" s="109"/>
      <c r="G1090" s="109"/>
      <c r="H1090" s="109"/>
      <c r="I1090" s="109"/>
      <c r="J1090" s="109"/>
      <c r="K1090" s="109"/>
      <c r="L1090" s="109"/>
      <c r="M1090" s="109"/>
      <c r="N1090" s="109"/>
      <c r="O1090" s="109"/>
    </row>
    <row r="1091" spans="1:15" ht="17.25" customHeight="1">
      <c r="A1091" s="108"/>
      <c r="B1091" s="108"/>
      <c r="C1091" s="109"/>
      <c r="D1091" s="109"/>
      <c r="E1091" s="109"/>
      <c r="F1091" s="109"/>
      <c r="G1091" s="109"/>
      <c r="H1091" s="109"/>
      <c r="I1091" s="109"/>
      <c r="J1091" s="109"/>
      <c r="K1091" s="109"/>
      <c r="L1091" s="109"/>
      <c r="M1091" s="109"/>
      <c r="N1091" s="109"/>
      <c r="O1091" s="109"/>
    </row>
    <row r="1092" spans="1:15" ht="17.25" customHeight="1">
      <c r="A1092" s="108"/>
      <c r="B1092" s="108"/>
      <c r="C1092" s="109"/>
      <c r="D1092" s="109"/>
      <c r="E1092" s="109"/>
      <c r="F1092" s="109"/>
      <c r="G1092" s="109"/>
      <c r="H1092" s="109"/>
      <c r="I1092" s="109"/>
      <c r="J1092" s="109"/>
      <c r="K1092" s="109"/>
      <c r="L1092" s="109"/>
      <c r="M1092" s="109"/>
      <c r="N1092" s="109"/>
      <c r="O1092" s="109"/>
    </row>
    <row r="1093" spans="1:15" ht="17.25" customHeight="1">
      <c r="A1093" s="108"/>
      <c r="B1093" s="108"/>
      <c r="C1093" s="109"/>
      <c r="D1093" s="109"/>
      <c r="E1093" s="109"/>
      <c r="F1093" s="109"/>
      <c r="G1093" s="109"/>
      <c r="H1093" s="109"/>
      <c r="I1093" s="109"/>
      <c r="J1093" s="109"/>
      <c r="K1093" s="109"/>
      <c r="L1093" s="109"/>
      <c r="M1093" s="109"/>
      <c r="N1093" s="109"/>
      <c r="O1093" s="109"/>
    </row>
    <row r="1094" spans="1:15" ht="17.25" customHeight="1">
      <c r="A1094" s="108"/>
      <c r="B1094" s="108"/>
      <c r="C1094" s="109"/>
      <c r="D1094" s="109"/>
      <c r="E1094" s="109"/>
      <c r="F1094" s="109"/>
      <c r="G1094" s="109"/>
      <c r="H1094" s="109"/>
      <c r="I1094" s="109"/>
      <c r="J1094" s="109"/>
      <c r="K1094" s="109"/>
      <c r="L1094" s="109"/>
      <c r="M1094" s="109"/>
      <c r="N1094" s="109"/>
      <c r="O1094" s="109"/>
    </row>
    <row r="1095" spans="1:15" ht="17.25" customHeight="1">
      <c r="A1095" s="108"/>
      <c r="B1095" s="108"/>
      <c r="C1095" s="109"/>
      <c r="D1095" s="109"/>
      <c r="E1095" s="109"/>
      <c r="F1095" s="109"/>
      <c r="G1095" s="109"/>
      <c r="H1095" s="109"/>
      <c r="I1095" s="109"/>
      <c r="J1095" s="109"/>
      <c r="K1095" s="109"/>
      <c r="L1095" s="109"/>
      <c r="M1095" s="109"/>
      <c r="N1095" s="109"/>
      <c r="O1095" s="109"/>
    </row>
    <row r="1096" spans="1:15" ht="17.25" customHeight="1">
      <c r="A1096" s="108"/>
      <c r="B1096" s="108"/>
      <c r="C1096" s="109"/>
      <c r="D1096" s="109"/>
      <c r="E1096" s="109"/>
      <c r="F1096" s="109"/>
      <c r="G1096" s="109"/>
      <c r="H1096" s="109"/>
      <c r="I1096" s="109"/>
      <c r="J1096" s="109"/>
      <c r="K1096" s="109"/>
      <c r="L1096" s="109"/>
      <c r="M1096" s="109"/>
      <c r="N1096" s="109"/>
      <c r="O1096" s="109"/>
    </row>
    <row r="1097" spans="1:15" ht="17.25" customHeight="1">
      <c r="A1097" s="108"/>
      <c r="B1097" s="108"/>
      <c r="C1097" s="109"/>
      <c r="D1097" s="109"/>
      <c r="E1097" s="109"/>
      <c r="F1097" s="109"/>
      <c r="G1097" s="109"/>
      <c r="H1097" s="109"/>
      <c r="I1097" s="109"/>
      <c r="J1097" s="109"/>
      <c r="K1097" s="109"/>
      <c r="L1097" s="109"/>
      <c r="M1097" s="109"/>
      <c r="N1097" s="109"/>
      <c r="O1097" s="109"/>
    </row>
    <row r="1098" spans="1:15" ht="17.25" customHeight="1">
      <c r="A1098" s="108"/>
      <c r="B1098" s="108"/>
      <c r="C1098" s="109"/>
      <c r="D1098" s="109"/>
      <c r="E1098" s="109"/>
      <c r="F1098" s="109"/>
      <c r="G1098" s="109"/>
      <c r="H1098" s="109"/>
      <c r="I1098" s="109"/>
      <c r="J1098" s="109"/>
      <c r="K1098" s="109"/>
      <c r="L1098" s="109"/>
      <c r="M1098" s="109"/>
      <c r="N1098" s="109"/>
      <c r="O1098" s="109"/>
    </row>
    <row r="1099" spans="1:15" ht="17.25" customHeight="1">
      <c r="A1099" s="108"/>
      <c r="B1099" s="108"/>
      <c r="C1099" s="109"/>
      <c r="D1099" s="109"/>
      <c r="E1099" s="109"/>
      <c r="F1099" s="109"/>
      <c r="G1099" s="109"/>
      <c r="H1099" s="109"/>
      <c r="I1099" s="109"/>
      <c r="J1099" s="109"/>
      <c r="K1099" s="109"/>
      <c r="L1099" s="109"/>
      <c r="M1099" s="109"/>
      <c r="N1099" s="109"/>
      <c r="O1099" s="109"/>
    </row>
    <row r="1100" spans="1:15" ht="17.25" customHeight="1">
      <c r="A1100" s="108"/>
      <c r="B1100" s="108"/>
      <c r="C1100" s="109"/>
      <c r="D1100" s="109"/>
      <c r="E1100" s="109"/>
      <c r="F1100" s="109"/>
      <c r="G1100" s="109"/>
      <c r="H1100" s="109"/>
      <c r="I1100" s="109"/>
      <c r="J1100" s="109"/>
      <c r="K1100" s="109"/>
      <c r="L1100" s="109"/>
      <c r="M1100" s="109"/>
      <c r="N1100" s="109"/>
      <c r="O1100" s="109"/>
    </row>
    <row r="1101" spans="1:15" ht="17.25" customHeight="1">
      <c r="A1101" s="108"/>
      <c r="B1101" s="108"/>
      <c r="C1101" s="109"/>
      <c r="D1101" s="109"/>
      <c r="E1101" s="109"/>
      <c r="F1101" s="109"/>
      <c r="G1101" s="109"/>
      <c r="H1101" s="109"/>
      <c r="I1101" s="109"/>
      <c r="J1101" s="109"/>
      <c r="K1101" s="109"/>
      <c r="L1101" s="109"/>
      <c r="M1101" s="109"/>
      <c r="N1101" s="109"/>
      <c r="O1101" s="109"/>
    </row>
    <row r="1102" spans="1:15" ht="17.25" customHeight="1">
      <c r="A1102" s="108"/>
      <c r="B1102" s="108"/>
      <c r="C1102" s="109"/>
      <c r="D1102" s="109"/>
      <c r="E1102" s="109"/>
      <c r="F1102" s="109"/>
      <c r="G1102" s="109"/>
      <c r="H1102" s="109"/>
      <c r="I1102" s="109"/>
      <c r="J1102" s="109"/>
      <c r="K1102" s="109"/>
      <c r="L1102" s="109"/>
      <c r="M1102" s="109"/>
      <c r="N1102" s="109"/>
      <c r="O1102" s="109"/>
    </row>
    <row r="1103" spans="1:15" ht="17.25" customHeight="1">
      <c r="A1103" s="108"/>
      <c r="B1103" s="108"/>
      <c r="C1103" s="109"/>
      <c r="D1103" s="109"/>
      <c r="E1103" s="109"/>
      <c r="F1103" s="109"/>
      <c r="G1103" s="109"/>
      <c r="H1103" s="109"/>
      <c r="I1103" s="109"/>
      <c r="J1103" s="109"/>
      <c r="K1103" s="109"/>
      <c r="L1103" s="109"/>
      <c r="M1103" s="109"/>
      <c r="N1103" s="109"/>
      <c r="O1103" s="109"/>
    </row>
    <row r="1104" spans="1:15" ht="17.25" customHeight="1">
      <c r="A1104" s="108"/>
      <c r="B1104" s="108"/>
      <c r="C1104" s="109"/>
      <c r="D1104" s="109"/>
      <c r="E1104" s="109"/>
      <c r="F1104" s="109"/>
      <c r="G1104" s="109"/>
      <c r="H1104" s="109"/>
      <c r="I1104" s="109"/>
      <c r="J1104" s="109"/>
      <c r="K1104" s="109"/>
      <c r="L1104" s="109"/>
      <c r="M1104" s="109"/>
      <c r="N1104" s="109"/>
      <c r="O1104" s="109"/>
    </row>
    <row r="1105" spans="1:15" ht="17.25" customHeight="1">
      <c r="A1105" s="108"/>
      <c r="B1105" s="108"/>
      <c r="C1105" s="109"/>
      <c r="D1105" s="109"/>
      <c r="E1105" s="109"/>
      <c r="F1105" s="109"/>
      <c r="G1105" s="109"/>
      <c r="H1105" s="109"/>
      <c r="I1105" s="109"/>
      <c r="J1105" s="109"/>
      <c r="K1105" s="109"/>
      <c r="L1105" s="109"/>
      <c r="M1105" s="109"/>
      <c r="N1105" s="109"/>
      <c r="O1105" s="109"/>
    </row>
    <row r="1106" spans="1:15" ht="17.25" customHeight="1">
      <c r="A1106" s="108"/>
      <c r="B1106" s="108"/>
      <c r="C1106" s="109"/>
      <c r="D1106" s="109"/>
      <c r="E1106" s="109"/>
      <c r="F1106" s="109"/>
      <c r="G1106" s="109"/>
      <c r="H1106" s="109"/>
      <c r="I1106" s="109"/>
      <c r="J1106" s="109"/>
      <c r="K1106" s="109"/>
      <c r="L1106" s="109"/>
      <c r="M1106" s="109"/>
      <c r="N1106" s="109"/>
      <c r="O1106" s="109"/>
    </row>
    <row r="1107" spans="1:15" ht="17.25" customHeight="1">
      <c r="A1107" s="108"/>
      <c r="B1107" s="108"/>
      <c r="C1107" s="109"/>
      <c r="D1107" s="109"/>
      <c r="E1107" s="109"/>
      <c r="F1107" s="109"/>
      <c r="G1107" s="109"/>
      <c r="H1107" s="109"/>
      <c r="I1107" s="109"/>
      <c r="J1107" s="109"/>
      <c r="K1107" s="109"/>
      <c r="L1107" s="109"/>
      <c r="M1107" s="109"/>
      <c r="N1107" s="109"/>
      <c r="O1107" s="109"/>
    </row>
    <row r="1108" spans="1:15" ht="17.25" customHeight="1">
      <c r="A1108" s="108"/>
      <c r="B1108" s="108"/>
      <c r="C1108" s="109"/>
      <c r="D1108" s="109"/>
      <c r="E1108" s="109"/>
      <c r="F1108" s="109"/>
      <c r="G1108" s="109"/>
      <c r="H1108" s="109"/>
      <c r="I1108" s="109"/>
      <c r="J1108" s="109"/>
      <c r="K1108" s="109"/>
      <c r="L1108" s="109"/>
      <c r="M1108" s="109"/>
      <c r="N1108" s="109"/>
      <c r="O1108" s="109"/>
    </row>
    <row r="1109" spans="1:15" ht="17.25" customHeight="1">
      <c r="A1109" s="108"/>
      <c r="B1109" s="108"/>
      <c r="C1109" s="109"/>
      <c r="D1109" s="109"/>
      <c r="E1109" s="109"/>
      <c r="F1109" s="109"/>
      <c r="G1109" s="109"/>
      <c r="H1109" s="109"/>
      <c r="I1109" s="109"/>
      <c r="J1109" s="109"/>
      <c r="K1109" s="109"/>
      <c r="L1109" s="109"/>
      <c r="M1109" s="109"/>
      <c r="N1109" s="109"/>
      <c r="O1109" s="109"/>
    </row>
    <row r="1110" spans="1:15" ht="17.25" customHeight="1">
      <c r="A1110" s="108"/>
      <c r="B1110" s="108"/>
      <c r="C1110" s="109"/>
      <c r="D1110" s="109"/>
      <c r="E1110" s="109"/>
      <c r="F1110" s="109"/>
      <c r="G1110" s="109"/>
      <c r="H1110" s="109"/>
      <c r="I1110" s="109"/>
      <c r="J1110" s="109"/>
      <c r="K1110" s="109"/>
      <c r="L1110" s="109"/>
      <c r="M1110" s="109"/>
      <c r="N1110" s="109"/>
      <c r="O1110" s="109"/>
    </row>
    <row r="1111" spans="1:15" ht="17.25" customHeight="1">
      <c r="A1111" s="108"/>
      <c r="B1111" s="108"/>
      <c r="C1111" s="109"/>
      <c r="D1111" s="109"/>
      <c r="E1111" s="109"/>
      <c r="F1111" s="109"/>
      <c r="G1111" s="109"/>
      <c r="H1111" s="109"/>
      <c r="I1111" s="109"/>
      <c r="J1111" s="109"/>
      <c r="K1111" s="109"/>
      <c r="L1111" s="109"/>
      <c r="M1111" s="109"/>
      <c r="N1111" s="109"/>
      <c r="O1111" s="109"/>
    </row>
    <row r="1112" spans="1:15" ht="17.25" customHeight="1">
      <c r="A1112" s="108"/>
      <c r="B1112" s="108"/>
      <c r="C1112" s="109"/>
      <c r="D1112" s="109"/>
      <c r="E1112" s="109"/>
      <c r="F1112" s="109"/>
      <c r="G1112" s="109"/>
      <c r="H1112" s="109"/>
      <c r="I1112" s="109"/>
      <c r="J1112" s="109"/>
      <c r="K1112" s="109"/>
      <c r="L1112" s="109"/>
      <c r="M1112" s="109"/>
      <c r="N1112" s="109"/>
      <c r="O1112" s="109"/>
    </row>
    <row r="1113" spans="1:15" ht="17.25" customHeight="1">
      <c r="A1113" s="108"/>
      <c r="B1113" s="108"/>
      <c r="C1113" s="109"/>
      <c r="D1113" s="109"/>
      <c r="E1113" s="109"/>
      <c r="F1113" s="109"/>
      <c r="G1113" s="109"/>
      <c r="H1113" s="109"/>
      <c r="I1113" s="109"/>
      <c r="J1113" s="109"/>
      <c r="K1113" s="109"/>
      <c r="L1113" s="109"/>
      <c r="M1113" s="109"/>
      <c r="N1113" s="109"/>
      <c r="O1113" s="109"/>
    </row>
    <row r="1114" spans="1:15" ht="17.25" customHeight="1">
      <c r="A1114" s="108"/>
      <c r="B1114" s="108"/>
      <c r="C1114" s="109"/>
      <c r="D1114" s="109"/>
      <c r="E1114" s="109"/>
      <c r="F1114" s="109"/>
      <c r="G1114" s="109"/>
      <c r="H1114" s="109"/>
      <c r="I1114" s="109"/>
      <c r="J1114" s="109"/>
      <c r="K1114" s="109"/>
      <c r="L1114" s="109"/>
      <c r="M1114" s="109"/>
      <c r="N1114" s="109"/>
      <c r="O1114" s="109"/>
    </row>
    <row r="1115" spans="1:15" ht="17.25" customHeight="1">
      <c r="A1115" s="108"/>
      <c r="B1115" s="108"/>
      <c r="C1115" s="109"/>
      <c r="D1115" s="109"/>
      <c r="E1115" s="109"/>
      <c r="F1115" s="109"/>
      <c r="G1115" s="109"/>
      <c r="H1115" s="109"/>
      <c r="I1115" s="109"/>
      <c r="J1115" s="109"/>
      <c r="K1115" s="109"/>
      <c r="L1115" s="109"/>
      <c r="M1115" s="109"/>
      <c r="N1115" s="109"/>
      <c r="O1115" s="109"/>
    </row>
    <row r="1116" spans="1:15" ht="17.25" customHeight="1">
      <c r="A1116" s="108"/>
      <c r="B1116" s="108"/>
      <c r="C1116" s="109"/>
      <c r="D1116" s="109"/>
      <c r="E1116" s="109"/>
      <c r="F1116" s="109"/>
      <c r="G1116" s="109"/>
      <c r="H1116" s="109"/>
      <c r="I1116" s="109"/>
      <c r="J1116" s="109"/>
      <c r="K1116" s="109"/>
      <c r="L1116" s="109"/>
      <c r="M1116" s="109"/>
      <c r="N1116" s="109"/>
      <c r="O1116" s="109"/>
    </row>
    <row r="1117" spans="1:15" ht="17.25" customHeight="1">
      <c r="A1117" s="108"/>
      <c r="B1117" s="108"/>
      <c r="C1117" s="109"/>
      <c r="D1117" s="109"/>
      <c r="E1117" s="109"/>
      <c r="F1117" s="109"/>
      <c r="G1117" s="109"/>
      <c r="H1117" s="109"/>
      <c r="I1117" s="109"/>
      <c r="J1117" s="109"/>
      <c r="K1117" s="109"/>
      <c r="L1117" s="109"/>
      <c r="M1117" s="109"/>
      <c r="N1117" s="109"/>
      <c r="O1117" s="109"/>
    </row>
    <row r="1118" spans="1:15" ht="17.25" customHeight="1">
      <c r="A1118" s="108"/>
      <c r="B1118" s="108"/>
      <c r="C1118" s="109"/>
      <c r="D1118" s="109"/>
      <c r="E1118" s="109"/>
      <c r="F1118" s="109"/>
      <c r="G1118" s="109"/>
      <c r="H1118" s="109"/>
      <c r="I1118" s="109"/>
      <c r="J1118" s="109"/>
      <c r="K1118" s="109"/>
      <c r="L1118" s="109"/>
      <c r="M1118" s="109"/>
      <c r="N1118" s="109"/>
      <c r="O1118" s="109"/>
    </row>
    <row r="1119" spans="1:15" ht="17.25" customHeight="1">
      <c r="A1119" s="108"/>
      <c r="B1119" s="108"/>
      <c r="C1119" s="109"/>
      <c r="D1119" s="109"/>
      <c r="E1119" s="109"/>
      <c r="F1119" s="109"/>
      <c r="G1119" s="109"/>
      <c r="H1119" s="109"/>
      <c r="I1119" s="109"/>
      <c r="J1119" s="109"/>
      <c r="K1119" s="109"/>
      <c r="L1119" s="109"/>
      <c r="M1119" s="109"/>
      <c r="N1119" s="109"/>
      <c r="O1119" s="109"/>
    </row>
    <row r="1120" spans="1:15" ht="17.25" customHeight="1">
      <c r="A1120" s="108"/>
      <c r="B1120" s="108"/>
      <c r="C1120" s="109"/>
      <c r="D1120" s="109"/>
      <c r="E1120" s="109"/>
      <c r="F1120" s="109"/>
      <c r="G1120" s="109"/>
      <c r="H1120" s="109"/>
      <c r="I1120" s="109"/>
      <c r="J1120" s="109"/>
      <c r="K1120" s="109"/>
      <c r="L1120" s="109"/>
      <c r="M1120" s="109"/>
      <c r="N1120" s="109"/>
      <c r="O1120" s="109"/>
    </row>
    <row r="1121" spans="1:15" ht="17.25" customHeight="1">
      <c r="A1121" s="108"/>
      <c r="B1121" s="108"/>
      <c r="C1121" s="109"/>
      <c r="D1121" s="109"/>
      <c r="E1121" s="109"/>
      <c r="F1121" s="109"/>
      <c r="G1121" s="109"/>
      <c r="H1121" s="109"/>
      <c r="I1121" s="109"/>
      <c r="J1121" s="109"/>
      <c r="K1121" s="109"/>
      <c r="L1121" s="109"/>
      <c r="M1121" s="109"/>
      <c r="N1121" s="109"/>
      <c r="O1121" s="109"/>
    </row>
    <row r="1122" spans="1:15" ht="17.25" customHeight="1">
      <c r="A1122" s="108"/>
      <c r="B1122" s="108"/>
      <c r="C1122" s="109"/>
      <c r="D1122" s="109"/>
      <c r="E1122" s="109"/>
      <c r="F1122" s="109"/>
      <c r="G1122" s="109"/>
      <c r="H1122" s="109"/>
      <c r="I1122" s="109"/>
      <c r="J1122" s="109"/>
      <c r="K1122" s="109"/>
      <c r="L1122" s="109"/>
      <c r="M1122" s="109"/>
      <c r="N1122" s="109"/>
      <c r="O1122" s="109"/>
    </row>
    <row r="1123" spans="1:15" ht="17.25" customHeight="1">
      <c r="A1123" s="108"/>
      <c r="B1123" s="108"/>
      <c r="C1123" s="109"/>
      <c r="D1123" s="109"/>
      <c r="E1123" s="109"/>
      <c r="F1123" s="109"/>
      <c r="G1123" s="109"/>
      <c r="H1123" s="109"/>
      <c r="I1123" s="109"/>
      <c r="J1123" s="109"/>
      <c r="K1123" s="109"/>
      <c r="L1123" s="109"/>
      <c r="M1123" s="109"/>
      <c r="N1123" s="109"/>
      <c r="O1123" s="109"/>
    </row>
    <row r="1124" spans="1:15" ht="17.25" customHeight="1">
      <c r="A1124" s="108"/>
      <c r="B1124" s="108"/>
      <c r="C1124" s="109"/>
      <c r="D1124" s="109"/>
      <c r="E1124" s="109"/>
      <c r="F1124" s="109"/>
      <c r="G1124" s="109"/>
      <c r="H1124" s="109"/>
      <c r="I1124" s="109"/>
      <c r="J1124" s="109"/>
      <c r="K1124" s="109"/>
      <c r="L1124" s="109"/>
      <c r="M1124" s="109"/>
      <c r="N1124" s="109"/>
      <c r="O1124" s="109"/>
    </row>
    <row r="1125" spans="1:15" ht="17.25" customHeight="1">
      <c r="A1125" s="108"/>
      <c r="B1125" s="108"/>
      <c r="C1125" s="109"/>
      <c r="D1125" s="109"/>
      <c r="E1125" s="109"/>
      <c r="F1125" s="109"/>
      <c r="G1125" s="109"/>
      <c r="H1125" s="109"/>
      <c r="I1125" s="109"/>
      <c r="J1125" s="109"/>
      <c r="K1125" s="109"/>
      <c r="L1125" s="109"/>
      <c r="M1125" s="109"/>
      <c r="N1125" s="109"/>
      <c r="O1125" s="109"/>
    </row>
    <row r="1126" spans="1:15" ht="17.25" customHeight="1">
      <c r="A1126" s="108"/>
      <c r="B1126" s="108"/>
      <c r="C1126" s="109"/>
      <c r="D1126" s="109"/>
      <c r="E1126" s="109"/>
      <c r="F1126" s="109"/>
      <c r="G1126" s="109"/>
      <c r="H1126" s="109"/>
      <c r="I1126" s="109"/>
      <c r="J1126" s="109"/>
      <c r="K1126" s="109"/>
      <c r="L1126" s="109"/>
      <c r="M1126" s="109"/>
      <c r="N1126" s="109"/>
      <c r="O1126" s="109"/>
    </row>
    <row r="1127" spans="1:15" ht="17.25" customHeight="1">
      <c r="A1127" s="108"/>
      <c r="B1127" s="108"/>
      <c r="C1127" s="109"/>
      <c r="D1127" s="109"/>
      <c r="E1127" s="109"/>
      <c r="F1127" s="109"/>
      <c r="G1127" s="109"/>
      <c r="H1127" s="109"/>
      <c r="I1127" s="109"/>
      <c r="J1127" s="109"/>
      <c r="K1127" s="109"/>
      <c r="L1127" s="109"/>
      <c r="M1127" s="109"/>
      <c r="N1127" s="109"/>
      <c r="O1127" s="109"/>
    </row>
    <row r="1128" spans="1:15" ht="17.25" customHeight="1">
      <c r="A1128" s="108"/>
      <c r="B1128" s="108"/>
      <c r="C1128" s="109"/>
      <c r="D1128" s="109"/>
      <c r="E1128" s="109"/>
      <c r="F1128" s="109"/>
      <c r="G1128" s="109"/>
      <c r="H1128" s="109"/>
      <c r="I1128" s="109"/>
      <c r="J1128" s="109"/>
      <c r="K1128" s="109"/>
      <c r="L1128" s="109"/>
      <c r="M1128" s="109"/>
      <c r="N1128" s="109"/>
      <c r="O1128" s="109"/>
    </row>
    <row r="1129" spans="1:15" ht="17.25" customHeight="1">
      <c r="A1129" s="108"/>
      <c r="B1129" s="108"/>
      <c r="C1129" s="109"/>
      <c r="D1129" s="109"/>
      <c r="E1129" s="109"/>
      <c r="F1129" s="109"/>
      <c r="G1129" s="109"/>
      <c r="H1129" s="109"/>
      <c r="I1129" s="109"/>
      <c r="J1129" s="109"/>
      <c r="K1129" s="109"/>
      <c r="L1129" s="109"/>
      <c r="M1129" s="109"/>
      <c r="N1129" s="109"/>
      <c r="O1129" s="109"/>
    </row>
    <row r="1130" spans="1:15" ht="17.25" customHeight="1">
      <c r="A1130" s="108"/>
      <c r="B1130" s="108"/>
      <c r="C1130" s="109"/>
      <c r="D1130" s="109"/>
      <c r="E1130" s="109"/>
      <c r="F1130" s="109"/>
      <c r="G1130" s="109"/>
      <c r="H1130" s="109"/>
      <c r="I1130" s="109"/>
      <c r="J1130" s="109"/>
      <c r="K1130" s="109"/>
      <c r="L1130" s="109"/>
      <c r="M1130" s="109"/>
      <c r="N1130" s="109"/>
      <c r="O1130" s="109"/>
    </row>
    <row r="1131" spans="1:15" ht="17.25" customHeight="1">
      <c r="A1131" s="108"/>
      <c r="B1131" s="108"/>
      <c r="C1131" s="109"/>
      <c r="D1131" s="109"/>
      <c r="E1131" s="109"/>
      <c r="F1131" s="109"/>
      <c r="G1131" s="109"/>
      <c r="H1131" s="109"/>
      <c r="I1131" s="109"/>
      <c r="J1131" s="109"/>
      <c r="K1131" s="109"/>
      <c r="L1131" s="109"/>
      <c r="M1131" s="109"/>
      <c r="N1131" s="109"/>
      <c r="O1131" s="109"/>
    </row>
    <row r="1132" spans="1:15" ht="17.25" customHeight="1">
      <c r="A1132" s="108"/>
      <c r="B1132" s="108"/>
      <c r="C1132" s="109"/>
      <c r="D1132" s="109"/>
      <c r="E1132" s="109"/>
      <c r="F1132" s="109"/>
      <c r="G1132" s="109"/>
      <c r="H1132" s="109"/>
      <c r="I1132" s="109"/>
      <c r="J1132" s="109"/>
      <c r="K1132" s="109"/>
      <c r="L1132" s="109"/>
      <c r="M1132" s="109"/>
      <c r="N1132" s="109"/>
      <c r="O1132" s="109"/>
    </row>
    <row r="1133" spans="1:15" ht="17.25" customHeight="1">
      <c r="A1133" s="108"/>
      <c r="B1133" s="108"/>
      <c r="C1133" s="109"/>
      <c r="D1133" s="109"/>
      <c r="E1133" s="109"/>
      <c r="F1133" s="109"/>
      <c r="G1133" s="109"/>
      <c r="H1133" s="109"/>
      <c r="I1133" s="109"/>
      <c r="J1133" s="109"/>
      <c r="K1133" s="109"/>
      <c r="L1133" s="109"/>
      <c r="M1133" s="109"/>
      <c r="N1133" s="109"/>
      <c r="O1133" s="109"/>
    </row>
    <row r="1134" spans="1:15" ht="17.25" customHeight="1">
      <c r="A1134" s="108"/>
      <c r="B1134" s="108"/>
      <c r="C1134" s="109"/>
      <c r="D1134" s="109"/>
      <c r="E1134" s="109"/>
      <c r="F1134" s="109"/>
      <c r="G1134" s="109"/>
      <c r="H1134" s="109"/>
      <c r="I1134" s="109"/>
      <c r="J1134" s="109"/>
      <c r="K1134" s="109"/>
      <c r="L1134" s="109"/>
      <c r="M1134" s="109"/>
      <c r="N1134" s="109"/>
      <c r="O1134" s="109"/>
    </row>
    <row r="1135" spans="1:15" ht="17.25" customHeight="1">
      <c r="A1135" s="108"/>
      <c r="B1135" s="108"/>
      <c r="C1135" s="109"/>
      <c r="D1135" s="109"/>
      <c r="E1135" s="109"/>
      <c r="F1135" s="109"/>
      <c r="G1135" s="109"/>
      <c r="H1135" s="109"/>
      <c r="I1135" s="109"/>
      <c r="J1135" s="109"/>
      <c r="K1135" s="109"/>
      <c r="L1135" s="109"/>
      <c r="M1135" s="109"/>
      <c r="N1135" s="109"/>
      <c r="O1135" s="109"/>
    </row>
    <row r="1136" spans="1:15" ht="17.25" customHeight="1">
      <c r="A1136" s="108"/>
      <c r="B1136" s="108"/>
      <c r="C1136" s="109"/>
      <c r="D1136" s="109"/>
      <c r="E1136" s="109"/>
      <c r="F1136" s="109"/>
      <c r="G1136" s="109"/>
      <c r="H1136" s="109"/>
      <c r="I1136" s="109"/>
      <c r="J1136" s="109"/>
      <c r="K1136" s="109"/>
      <c r="L1136" s="109"/>
      <c r="M1136" s="109"/>
      <c r="N1136" s="109"/>
      <c r="O1136" s="109"/>
    </row>
    <row r="1137" spans="1:15" ht="17.25" customHeight="1">
      <c r="A1137" s="108"/>
      <c r="B1137" s="108"/>
      <c r="C1137" s="109"/>
      <c r="D1137" s="109"/>
      <c r="E1137" s="109"/>
      <c r="F1137" s="109"/>
      <c r="G1137" s="109"/>
      <c r="H1137" s="109"/>
      <c r="I1137" s="109"/>
      <c r="J1137" s="109"/>
      <c r="K1137" s="109"/>
      <c r="L1137" s="109"/>
      <c r="M1137" s="109"/>
      <c r="N1137" s="109"/>
      <c r="O1137" s="109"/>
    </row>
    <row r="1138" spans="1:15" ht="17.25" customHeight="1">
      <c r="A1138" s="108"/>
      <c r="B1138" s="108"/>
      <c r="C1138" s="109"/>
      <c r="D1138" s="109"/>
      <c r="E1138" s="109"/>
      <c r="F1138" s="109"/>
      <c r="G1138" s="109"/>
      <c r="H1138" s="109"/>
      <c r="I1138" s="109"/>
      <c r="J1138" s="109"/>
      <c r="K1138" s="109"/>
      <c r="L1138" s="109"/>
      <c r="M1138" s="109"/>
      <c r="N1138" s="109"/>
      <c r="O1138" s="109"/>
    </row>
    <row r="1139" spans="1:15" ht="17.25" customHeight="1">
      <c r="A1139" s="108"/>
      <c r="B1139" s="108"/>
      <c r="C1139" s="109"/>
      <c r="D1139" s="109"/>
      <c r="E1139" s="109"/>
      <c r="F1139" s="109"/>
      <c r="G1139" s="109"/>
      <c r="H1139" s="109"/>
      <c r="I1139" s="109"/>
      <c r="J1139" s="109"/>
      <c r="K1139" s="109"/>
      <c r="L1139" s="109"/>
      <c r="M1139" s="109"/>
      <c r="N1139" s="109"/>
      <c r="O1139" s="109"/>
    </row>
    <row r="1140" spans="1:15" ht="17.25" customHeight="1">
      <c r="A1140" s="108"/>
      <c r="B1140" s="108"/>
      <c r="C1140" s="109"/>
      <c r="D1140" s="109"/>
      <c r="E1140" s="109"/>
      <c r="F1140" s="109"/>
      <c r="G1140" s="109"/>
      <c r="H1140" s="109"/>
      <c r="I1140" s="109"/>
      <c r="J1140" s="109"/>
      <c r="K1140" s="109"/>
      <c r="L1140" s="109"/>
      <c r="M1140" s="109"/>
      <c r="N1140" s="109"/>
      <c r="O1140" s="109"/>
    </row>
    <row r="1141" spans="1:15" ht="17.25" customHeight="1">
      <c r="A1141" s="108"/>
      <c r="B1141" s="108"/>
      <c r="C1141" s="109"/>
      <c r="D1141" s="109"/>
      <c r="E1141" s="109"/>
      <c r="F1141" s="109"/>
      <c r="G1141" s="109"/>
      <c r="H1141" s="109"/>
      <c r="I1141" s="109"/>
      <c r="J1141" s="109"/>
      <c r="K1141" s="109"/>
      <c r="L1141" s="109"/>
      <c r="M1141" s="109"/>
      <c r="N1141" s="109"/>
      <c r="O1141" s="109"/>
    </row>
    <row r="1142" spans="1:15" ht="17.25" customHeight="1">
      <c r="A1142" s="108"/>
      <c r="B1142" s="108"/>
      <c r="C1142" s="109"/>
      <c r="D1142" s="109"/>
      <c r="E1142" s="109"/>
      <c r="F1142" s="109"/>
      <c r="G1142" s="109"/>
      <c r="H1142" s="109"/>
      <c r="I1142" s="109"/>
      <c r="J1142" s="109"/>
      <c r="K1142" s="109"/>
      <c r="L1142" s="109"/>
      <c r="M1142" s="109"/>
      <c r="N1142" s="109"/>
      <c r="O1142" s="109"/>
    </row>
    <row r="1143" spans="1:15" ht="17.25" customHeight="1">
      <c r="A1143" s="108"/>
      <c r="B1143" s="108"/>
      <c r="C1143" s="109"/>
      <c r="D1143" s="109"/>
      <c r="E1143" s="109"/>
      <c r="F1143" s="109"/>
      <c r="G1143" s="109"/>
      <c r="H1143" s="109"/>
      <c r="I1143" s="109"/>
      <c r="J1143" s="109"/>
      <c r="K1143" s="109"/>
      <c r="L1143" s="109"/>
      <c r="M1143" s="109"/>
      <c r="N1143" s="109"/>
      <c r="O1143" s="109"/>
    </row>
    <row r="1144" spans="1:15" ht="17.25" customHeight="1">
      <c r="A1144" s="108"/>
      <c r="B1144" s="108"/>
      <c r="C1144" s="109"/>
      <c r="D1144" s="109"/>
      <c r="E1144" s="109"/>
      <c r="F1144" s="109"/>
      <c r="G1144" s="109"/>
      <c r="H1144" s="109"/>
      <c r="I1144" s="109"/>
      <c r="J1144" s="109"/>
      <c r="K1144" s="109"/>
      <c r="L1144" s="109"/>
      <c r="M1144" s="109"/>
      <c r="N1144" s="109"/>
      <c r="O1144" s="109"/>
    </row>
    <row r="1145" spans="1:15" ht="17.25" customHeight="1">
      <c r="A1145" s="108"/>
      <c r="B1145" s="108"/>
      <c r="C1145" s="109"/>
      <c r="D1145" s="109"/>
      <c r="E1145" s="109"/>
      <c r="F1145" s="109"/>
      <c r="G1145" s="109"/>
      <c r="H1145" s="109"/>
      <c r="I1145" s="109"/>
      <c r="J1145" s="109"/>
      <c r="K1145" s="109"/>
      <c r="L1145" s="109"/>
      <c r="M1145" s="109"/>
      <c r="N1145" s="109"/>
      <c r="O1145" s="109"/>
    </row>
    <row r="1146" spans="1:15" ht="17.25" customHeight="1">
      <c r="A1146" s="108"/>
      <c r="B1146" s="108"/>
      <c r="C1146" s="109"/>
      <c r="D1146" s="109"/>
      <c r="E1146" s="109"/>
      <c r="F1146" s="109"/>
      <c r="G1146" s="109"/>
      <c r="H1146" s="109"/>
      <c r="I1146" s="109"/>
      <c r="J1146" s="109"/>
      <c r="K1146" s="109"/>
      <c r="L1146" s="109"/>
      <c r="M1146" s="109"/>
      <c r="N1146" s="109"/>
      <c r="O1146" s="109"/>
    </row>
    <row r="1147" spans="1:15" ht="17.25" customHeight="1">
      <c r="A1147" s="108"/>
      <c r="B1147" s="108"/>
      <c r="C1147" s="109"/>
      <c r="D1147" s="109"/>
      <c r="E1147" s="109"/>
      <c r="F1147" s="109"/>
      <c r="G1147" s="109"/>
      <c r="H1147" s="109"/>
      <c r="I1147" s="109"/>
      <c r="J1147" s="109"/>
      <c r="K1147" s="109"/>
      <c r="L1147" s="109"/>
      <c r="M1147" s="109"/>
      <c r="N1147" s="109"/>
      <c r="O1147" s="109"/>
    </row>
    <row r="1148" spans="1:15" ht="17.25" customHeight="1">
      <c r="A1148" s="108"/>
      <c r="B1148" s="108"/>
      <c r="C1148" s="109"/>
      <c r="D1148" s="109"/>
      <c r="E1148" s="109"/>
      <c r="F1148" s="109"/>
      <c r="G1148" s="109"/>
      <c r="H1148" s="109"/>
      <c r="I1148" s="109"/>
      <c r="J1148" s="109"/>
      <c r="K1148" s="109"/>
      <c r="L1148" s="109"/>
      <c r="M1148" s="109"/>
      <c r="N1148" s="109"/>
      <c r="O1148" s="109"/>
    </row>
    <row r="1149" spans="1:15" ht="17.25" customHeight="1">
      <c r="A1149" s="108"/>
      <c r="B1149" s="108"/>
      <c r="C1149" s="109"/>
      <c r="D1149" s="109"/>
      <c r="E1149" s="109"/>
      <c r="F1149" s="109"/>
      <c r="G1149" s="109"/>
      <c r="H1149" s="109"/>
      <c r="I1149" s="109"/>
      <c r="J1149" s="109"/>
      <c r="K1149" s="109"/>
      <c r="L1149" s="109"/>
      <c r="M1149" s="109"/>
      <c r="N1149" s="109"/>
      <c r="O1149" s="109"/>
    </row>
    <row r="1150" spans="1:15" ht="17.25" customHeight="1">
      <c r="A1150" s="108"/>
      <c r="B1150" s="108"/>
      <c r="C1150" s="109"/>
      <c r="D1150" s="109"/>
      <c r="E1150" s="109"/>
      <c r="F1150" s="109"/>
      <c r="G1150" s="109"/>
      <c r="H1150" s="109"/>
      <c r="I1150" s="109"/>
      <c r="J1150" s="109"/>
      <c r="K1150" s="109"/>
      <c r="L1150" s="109"/>
      <c r="M1150" s="109"/>
      <c r="N1150" s="109"/>
      <c r="O1150" s="109"/>
    </row>
    <row r="1151" spans="1:15" ht="17.25" customHeight="1">
      <c r="A1151" s="108"/>
      <c r="B1151" s="108"/>
      <c r="C1151" s="109"/>
      <c r="D1151" s="109"/>
      <c r="E1151" s="109"/>
      <c r="F1151" s="109"/>
      <c r="G1151" s="109"/>
      <c r="H1151" s="109"/>
      <c r="I1151" s="109"/>
      <c r="J1151" s="109"/>
      <c r="K1151" s="109"/>
      <c r="L1151" s="109"/>
      <c r="M1151" s="109"/>
      <c r="N1151" s="109"/>
      <c r="O1151" s="109"/>
    </row>
    <row r="1152" spans="1:15" ht="17.25" customHeight="1">
      <c r="A1152" s="108"/>
      <c r="B1152" s="108"/>
      <c r="C1152" s="109"/>
      <c r="D1152" s="109"/>
      <c r="E1152" s="109"/>
      <c r="F1152" s="109"/>
      <c r="G1152" s="109"/>
      <c r="H1152" s="109"/>
      <c r="I1152" s="109"/>
      <c r="J1152" s="109"/>
      <c r="K1152" s="109"/>
      <c r="L1152" s="109"/>
      <c r="M1152" s="109"/>
      <c r="N1152" s="109"/>
      <c r="O1152" s="109"/>
    </row>
    <row r="1153" spans="1:15" ht="17.25" customHeight="1">
      <c r="A1153" s="108"/>
      <c r="B1153" s="108"/>
      <c r="C1153" s="109"/>
      <c r="D1153" s="109"/>
      <c r="E1153" s="109"/>
      <c r="F1153" s="109"/>
      <c r="G1153" s="109"/>
      <c r="H1153" s="109"/>
      <c r="I1153" s="109"/>
      <c r="J1153" s="109"/>
      <c r="K1153" s="109"/>
      <c r="L1153" s="109"/>
      <c r="M1153" s="109"/>
      <c r="N1153" s="109"/>
      <c r="O1153" s="109"/>
    </row>
    <row r="1154" spans="1:15" ht="17.25" customHeight="1">
      <c r="A1154" s="108"/>
      <c r="B1154" s="108"/>
      <c r="C1154" s="109"/>
      <c r="D1154" s="109"/>
      <c r="E1154" s="109"/>
      <c r="F1154" s="109"/>
      <c r="G1154" s="109"/>
      <c r="H1154" s="109"/>
      <c r="I1154" s="109"/>
      <c r="J1154" s="109"/>
      <c r="K1154" s="109"/>
      <c r="L1154" s="109"/>
      <c r="M1154" s="109"/>
      <c r="N1154" s="109"/>
      <c r="O1154" s="109"/>
    </row>
    <row r="1155" spans="1:15" ht="17.25" customHeight="1">
      <c r="A1155" s="108"/>
      <c r="B1155" s="108"/>
      <c r="C1155" s="109"/>
      <c r="D1155" s="109"/>
      <c r="E1155" s="109"/>
      <c r="F1155" s="109"/>
      <c r="G1155" s="109"/>
      <c r="H1155" s="109"/>
      <c r="I1155" s="109"/>
      <c r="J1155" s="109"/>
      <c r="K1155" s="109"/>
      <c r="L1155" s="109"/>
      <c r="M1155" s="109"/>
      <c r="N1155" s="109"/>
      <c r="O1155" s="109"/>
    </row>
    <row r="1156" spans="1:15" ht="17.25" customHeight="1">
      <c r="A1156" s="108"/>
      <c r="B1156" s="108"/>
      <c r="C1156" s="109"/>
      <c r="D1156" s="109"/>
      <c r="E1156" s="109"/>
      <c r="F1156" s="109"/>
      <c r="G1156" s="109"/>
      <c r="H1156" s="109"/>
      <c r="I1156" s="109"/>
      <c r="J1156" s="109"/>
      <c r="K1156" s="109"/>
      <c r="L1156" s="109"/>
      <c r="M1156" s="109"/>
      <c r="N1156" s="109"/>
      <c r="O1156" s="109"/>
    </row>
    <row r="1157" spans="1:15" ht="17.25" customHeight="1">
      <c r="A1157" s="108"/>
      <c r="B1157" s="108"/>
      <c r="C1157" s="109"/>
      <c r="D1157" s="109"/>
      <c r="E1157" s="109"/>
      <c r="F1157" s="109"/>
      <c r="G1157" s="109"/>
      <c r="H1157" s="109"/>
      <c r="I1157" s="109"/>
      <c r="J1157" s="109"/>
      <c r="K1157" s="109"/>
      <c r="L1157" s="109"/>
      <c r="M1157" s="109"/>
      <c r="N1157" s="109"/>
      <c r="O1157" s="109"/>
    </row>
    <row r="1158" spans="1:15" ht="17.25" customHeight="1">
      <c r="A1158" s="108"/>
      <c r="B1158" s="108"/>
      <c r="C1158" s="109"/>
      <c r="D1158" s="109"/>
      <c r="E1158" s="109"/>
      <c r="F1158" s="109"/>
      <c r="G1158" s="109"/>
      <c r="H1158" s="109"/>
      <c r="I1158" s="109"/>
      <c r="J1158" s="109"/>
      <c r="K1158" s="109"/>
      <c r="L1158" s="109"/>
      <c r="M1158" s="109"/>
      <c r="N1158" s="109"/>
      <c r="O1158" s="109"/>
    </row>
    <row r="1159" spans="1:15" ht="17.25" customHeight="1">
      <c r="A1159" s="108"/>
      <c r="B1159" s="108"/>
      <c r="C1159" s="109"/>
      <c r="D1159" s="109"/>
      <c r="E1159" s="109"/>
      <c r="F1159" s="109"/>
      <c r="G1159" s="109"/>
      <c r="H1159" s="109"/>
      <c r="I1159" s="109"/>
      <c r="J1159" s="109"/>
      <c r="K1159" s="109"/>
      <c r="L1159" s="109"/>
      <c r="M1159" s="109"/>
      <c r="N1159" s="109"/>
      <c r="O1159" s="109"/>
    </row>
    <row r="1160" spans="1:15" ht="17.25" customHeight="1">
      <c r="A1160" s="108"/>
      <c r="B1160" s="108"/>
      <c r="C1160" s="109"/>
      <c r="D1160" s="109"/>
      <c r="E1160" s="109"/>
      <c r="F1160" s="109"/>
      <c r="G1160" s="109"/>
      <c r="H1160" s="109"/>
      <c r="I1160" s="109"/>
      <c r="J1160" s="109"/>
      <c r="K1160" s="109"/>
      <c r="L1160" s="109"/>
      <c r="M1160" s="109"/>
      <c r="N1160" s="109"/>
      <c r="O1160" s="109"/>
    </row>
    <row r="1161" spans="1:15" ht="17.25" customHeight="1">
      <c r="A1161" s="108"/>
      <c r="B1161" s="108"/>
      <c r="C1161" s="109"/>
      <c r="D1161" s="109"/>
      <c r="E1161" s="109"/>
      <c r="F1161" s="109"/>
      <c r="G1161" s="109"/>
      <c r="H1161" s="109"/>
      <c r="I1161" s="109"/>
      <c r="J1161" s="109"/>
      <c r="K1161" s="109"/>
      <c r="L1161" s="109"/>
      <c r="M1161" s="109"/>
      <c r="N1161" s="109"/>
      <c r="O1161" s="109"/>
    </row>
    <row r="1162" spans="1:15" ht="17.25" customHeight="1">
      <c r="A1162" s="108"/>
      <c r="B1162" s="108"/>
      <c r="C1162" s="109"/>
      <c r="D1162" s="109"/>
      <c r="E1162" s="109"/>
      <c r="F1162" s="109"/>
      <c r="G1162" s="109"/>
      <c r="H1162" s="109"/>
      <c r="I1162" s="109"/>
      <c r="J1162" s="109"/>
      <c r="K1162" s="109"/>
      <c r="L1162" s="109"/>
      <c r="M1162" s="109"/>
      <c r="N1162" s="109"/>
      <c r="O1162" s="109"/>
    </row>
    <row r="1163" spans="1:15" ht="17.25" customHeight="1">
      <c r="A1163" s="108"/>
      <c r="B1163" s="108"/>
      <c r="C1163" s="109"/>
      <c r="D1163" s="109"/>
      <c r="E1163" s="109"/>
      <c r="F1163" s="109"/>
      <c r="G1163" s="109"/>
      <c r="H1163" s="109"/>
      <c r="I1163" s="109"/>
      <c r="J1163" s="109"/>
      <c r="K1163" s="109"/>
      <c r="L1163" s="109"/>
      <c r="M1163" s="109"/>
      <c r="N1163" s="109"/>
      <c r="O1163" s="109"/>
    </row>
    <row r="1164" spans="1:15" ht="17.25" customHeight="1">
      <c r="A1164" s="108"/>
      <c r="B1164" s="108"/>
      <c r="C1164" s="109"/>
      <c r="D1164" s="109"/>
      <c r="E1164" s="109"/>
      <c r="F1164" s="109"/>
      <c r="G1164" s="109"/>
      <c r="H1164" s="109"/>
      <c r="I1164" s="109"/>
      <c r="J1164" s="109"/>
      <c r="K1164" s="109"/>
      <c r="L1164" s="109"/>
      <c r="M1164" s="109"/>
      <c r="N1164" s="109"/>
      <c r="O1164" s="109"/>
    </row>
    <row r="1165" spans="1:15" ht="17.25" customHeight="1">
      <c r="A1165" s="108"/>
      <c r="B1165" s="108"/>
      <c r="C1165" s="109"/>
      <c r="D1165" s="109"/>
      <c r="E1165" s="109"/>
      <c r="F1165" s="109"/>
      <c r="G1165" s="109"/>
      <c r="H1165" s="109"/>
      <c r="I1165" s="109"/>
      <c r="J1165" s="109"/>
      <c r="K1165" s="109"/>
      <c r="L1165" s="109"/>
      <c r="M1165" s="109"/>
      <c r="N1165" s="109"/>
      <c r="O1165" s="109"/>
    </row>
    <row r="1166" spans="1:15" ht="17.25" customHeight="1">
      <c r="A1166" s="108"/>
      <c r="B1166" s="108"/>
      <c r="C1166" s="109"/>
      <c r="D1166" s="109"/>
      <c r="E1166" s="109"/>
      <c r="F1166" s="109"/>
      <c r="G1166" s="109"/>
      <c r="H1166" s="109"/>
      <c r="I1166" s="109"/>
      <c r="J1166" s="109"/>
      <c r="K1166" s="109"/>
      <c r="L1166" s="109"/>
      <c r="M1166" s="109"/>
      <c r="N1166" s="109"/>
      <c r="O1166" s="109"/>
    </row>
    <row r="1167" spans="1:15" ht="17.25" customHeight="1">
      <c r="A1167" s="108"/>
      <c r="B1167" s="108"/>
      <c r="C1167" s="109"/>
      <c r="D1167" s="109"/>
      <c r="E1167" s="109"/>
      <c r="F1167" s="109"/>
      <c r="G1167" s="109"/>
      <c r="H1167" s="109"/>
      <c r="I1167" s="109"/>
      <c r="J1167" s="109"/>
      <c r="K1167" s="109"/>
      <c r="L1167" s="109"/>
      <c r="M1167" s="109"/>
      <c r="N1167" s="109"/>
      <c r="O1167" s="109"/>
    </row>
    <row r="1168" spans="1:15" ht="17.25" customHeight="1">
      <c r="A1168" s="108"/>
      <c r="B1168" s="108"/>
      <c r="C1168" s="109"/>
      <c r="D1168" s="109"/>
      <c r="E1168" s="109"/>
      <c r="F1168" s="109"/>
      <c r="G1168" s="109"/>
      <c r="H1168" s="109"/>
      <c r="I1168" s="109"/>
      <c r="J1168" s="109"/>
      <c r="K1168" s="109"/>
      <c r="L1168" s="109"/>
      <c r="M1168" s="109"/>
      <c r="N1168" s="109"/>
      <c r="O1168" s="109"/>
    </row>
    <row r="1169" spans="1:15" ht="17.25" customHeight="1">
      <c r="A1169" s="108"/>
      <c r="B1169" s="108"/>
      <c r="C1169" s="109"/>
      <c r="D1169" s="109"/>
      <c r="E1169" s="109"/>
      <c r="F1169" s="109"/>
      <c r="G1169" s="109"/>
      <c r="H1169" s="109"/>
      <c r="I1169" s="109"/>
      <c r="J1169" s="109"/>
      <c r="K1169" s="109"/>
      <c r="L1169" s="109"/>
      <c r="M1169" s="109"/>
      <c r="N1169" s="109"/>
      <c r="O1169" s="109"/>
    </row>
    <row r="1170" spans="1:15" ht="17.25" customHeight="1">
      <c r="A1170" s="108"/>
      <c r="B1170" s="108"/>
      <c r="C1170" s="109"/>
      <c r="D1170" s="109"/>
      <c r="E1170" s="109"/>
      <c r="F1170" s="109"/>
      <c r="G1170" s="109"/>
      <c r="H1170" s="109"/>
      <c r="I1170" s="109"/>
      <c r="J1170" s="109"/>
      <c r="K1170" s="109"/>
      <c r="L1170" s="109"/>
      <c r="M1170" s="109"/>
      <c r="N1170" s="109"/>
      <c r="O1170" s="109"/>
    </row>
    <row r="1171" spans="1:15" ht="17.25" customHeight="1">
      <c r="A1171" s="108"/>
      <c r="B1171" s="108"/>
      <c r="C1171" s="109"/>
      <c r="D1171" s="109"/>
      <c r="E1171" s="109"/>
      <c r="F1171" s="109"/>
      <c r="G1171" s="109"/>
      <c r="H1171" s="109"/>
      <c r="I1171" s="109"/>
      <c r="J1171" s="109"/>
      <c r="K1171" s="109"/>
      <c r="L1171" s="109"/>
      <c r="M1171" s="109"/>
      <c r="N1171" s="109"/>
      <c r="O1171" s="109"/>
    </row>
    <row r="1172" spans="1:15" ht="17.25" customHeight="1">
      <c r="A1172" s="108"/>
      <c r="B1172" s="108"/>
      <c r="C1172" s="109"/>
      <c r="D1172" s="109"/>
      <c r="E1172" s="109"/>
      <c r="F1172" s="109"/>
      <c r="G1172" s="109"/>
      <c r="H1172" s="109"/>
      <c r="I1172" s="109"/>
      <c r="J1172" s="109"/>
      <c r="K1172" s="109"/>
      <c r="L1172" s="109"/>
      <c r="M1172" s="109"/>
      <c r="N1172" s="109"/>
      <c r="O1172" s="109"/>
    </row>
    <row r="1173" spans="1:15" ht="17.25" customHeight="1">
      <c r="A1173" s="108"/>
      <c r="B1173" s="108"/>
      <c r="C1173" s="109"/>
      <c r="D1173" s="109"/>
      <c r="E1173" s="109"/>
      <c r="F1173" s="109"/>
      <c r="G1173" s="109"/>
      <c r="H1173" s="109"/>
      <c r="I1173" s="109"/>
      <c r="J1173" s="109"/>
      <c r="K1173" s="109"/>
      <c r="L1173" s="109"/>
      <c r="M1173" s="109"/>
      <c r="N1173" s="109"/>
      <c r="O1173" s="109"/>
    </row>
    <row r="1174" spans="1:15" ht="17.25" customHeight="1">
      <c r="A1174" s="108"/>
      <c r="B1174" s="108"/>
      <c r="C1174" s="109"/>
      <c r="D1174" s="109"/>
      <c r="E1174" s="109"/>
      <c r="F1174" s="109"/>
      <c r="G1174" s="109"/>
      <c r="H1174" s="109"/>
      <c r="I1174" s="109"/>
      <c r="J1174" s="109"/>
      <c r="K1174" s="109"/>
      <c r="L1174" s="109"/>
      <c r="M1174" s="109"/>
      <c r="N1174" s="109"/>
      <c r="O1174" s="109"/>
    </row>
    <row r="1175" spans="1:15" ht="17.25" customHeight="1">
      <c r="A1175" s="108"/>
      <c r="B1175" s="108"/>
      <c r="C1175" s="109"/>
      <c r="D1175" s="109"/>
      <c r="E1175" s="109"/>
      <c r="F1175" s="109"/>
      <c r="G1175" s="109"/>
      <c r="H1175" s="109"/>
      <c r="I1175" s="109"/>
      <c r="J1175" s="109"/>
      <c r="K1175" s="109"/>
      <c r="L1175" s="109"/>
      <c r="M1175" s="109"/>
      <c r="N1175" s="109"/>
      <c r="O1175" s="109"/>
    </row>
    <row r="1176" spans="1:15" ht="17.25" customHeight="1">
      <c r="A1176" s="108"/>
      <c r="B1176" s="108"/>
      <c r="C1176" s="109"/>
      <c r="D1176" s="109"/>
      <c r="E1176" s="109"/>
      <c r="F1176" s="109"/>
      <c r="G1176" s="109"/>
      <c r="H1176" s="109"/>
      <c r="I1176" s="109"/>
      <c r="J1176" s="109"/>
      <c r="K1176" s="109"/>
      <c r="L1176" s="109"/>
      <c r="M1176" s="109"/>
      <c r="N1176" s="109"/>
      <c r="O1176" s="109"/>
    </row>
    <row r="1177" spans="1:15" ht="17.25" customHeight="1">
      <c r="A1177" s="108"/>
      <c r="B1177" s="108"/>
      <c r="C1177" s="109"/>
      <c r="D1177" s="109"/>
      <c r="E1177" s="109"/>
      <c r="F1177" s="109"/>
      <c r="G1177" s="109"/>
      <c r="H1177" s="109"/>
      <c r="I1177" s="109"/>
      <c r="J1177" s="109"/>
      <c r="K1177" s="109"/>
      <c r="L1177" s="109"/>
      <c r="M1177" s="109"/>
      <c r="N1177" s="109"/>
      <c r="O1177" s="109"/>
    </row>
    <row r="1178" spans="1:15" ht="17.25" customHeight="1">
      <c r="A1178" s="108"/>
      <c r="B1178" s="108"/>
      <c r="C1178" s="109"/>
      <c r="D1178" s="109"/>
      <c r="E1178" s="109"/>
      <c r="F1178" s="109"/>
      <c r="G1178" s="109"/>
      <c r="H1178" s="109"/>
      <c r="I1178" s="109"/>
      <c r="J1178" s="109"/>
      <c r="K1178" s="109"/>
      <c r="L1178" s="109"/>
      <c r="M1178" s="109"/>
      <c r="N1178" s="109"/>
      <c r="O1178" s="109"/>
    </row>
    <row r="1179" spans="1:15" ht="17.25" customHeight="1">
      <c r="A1179" s="108"/>
      <c r="B1179" s="108"/>
      <c r="C1179" s="109"/>
      <c r="D1179" s="109"/>
      <c r="E1179" s="109"/>
      <c r="F1179" s="109"/>
      <c r="G1179" s="109"/>
      <c r="H1179" s="109"/>
      <c r="I1179" s="109"/>
      <c r="J1179" s="109"/>
      <c r="K1179" s="109"/>
      <c r="L1179" s="109"/>
      <c r="M1179" s="109"/>
      <c r="N1179" s="109"/>
      <c r="O1179" s="109"/>
    </row>
    <row r="1180" spans="1:15" ht="17.25" customHeight="1">
      <c r="A1180" s="108"/>
      <c r="B1180" s="108"/>
      <c r="C1180" s="109"/>
      <c r="D1180" s="109"/>
      <c r="E1180" s="109"/>
      <c r="F1180" s="109"/>
      <c r="G1180" s="109"/>
      <c r="H1180" s="109"/>
      <c r="I1180" s="109"/>
      <c r="J1180" s="109"/>
      <c r="K1180" s="109"/>
      <c r="L1180" s="109"/>
      <c r="M1180" s="109"/>
      <c r="N1180" s="109"/>
      <c r="O1180" s="109"/>
    </row>
    <row r="1181" spans="1:15" ht="17.25" customHeight="1">
      <c r="A1181" s="108"/>
      <c r="B1181" s="108"/>
      <c r="C1181" s="109"/>
      <c r="D1181" s="109"/>
      <c r="E1181" s="109"/>
      <c r="F1181" s="109"/>
      <c r="G1181" s="109"/>
      <c r="H1181" s="109"/>
      <c r="I1181" s="109"/>
      <c r="J1181" s="109"/>
      <c r="K1181" s="109"/>
      <c r="L1181" s="109"/>
      <c r="M1181" s="109"/>
      <c r="N1181" s="109"/>
      <c r="O1181" s="109"/>
    </row>
    <row r="1182" spans="1:15" ht="17.25" customHeight="1">
      <c r="A1182" s="108"/>
      <c r="B1182" s="108"/>
      <c r="C1182" s="109"/>
      <c r="D1182" s="109"/>
      <c r="E1182" s="109"/>
      <c r="F1182" s="109"/>
      <c r="G1182" s="109"/>
      <c r="H1182" s="109"/>
      <c r="I1182" s="109"/>
      <c r="J1182" s="109"/>
      <c r="K1182" s="109"/>
      <c r="L1182" s="109"/>
      <c r="M1182" s="109"/>
      <c r="N1182" s="109"/>
      <c r="O1182" s="109"/>
    </row>
    <row r="1183" spans="1:15" ht="17.25" customHeight="1">
      <c r="A1183" s="108"/>
      <c r="B1183" s="108"/>
      <c r="C1183" s="109"/>
      <c r="D1183" s="109"/>
      <c r="E1183" s="109"/>
      <c r="F1183" s="109"/>
      <c r="G1183" s="109"/>
      <c r="H1183" s="109"/>
      <c r="I1183" s="109"/>
      <c r="J1183" s="109"/>
      <c r="K1183" s="109"/>
      <c r="L1183" s="109"/>
      <c r="M1183" s="109"/>
      <c r="N1183" s="109"/>
      <c r="O1183" s="109"/>
    </row>
    <row r="1184" spans="1:15" ht="17.25" customHeight="1">
      <c r="A1184" s="108"/>
      <c r="B1184" s="108"/>
      <c r="C1184" s="109"/>
      <c r="D1184" s="109"/>
      <c r="E1184" s="109"/>
      <c r="F1184" s="109"/>
      <c r="G1184" s="109"/>
      <c r="H1184" s="109"/>
      <c r="I1184" s="109"/>
      <c r="J1184" s="109"/>
      <c r="K1184" s="109"/>
      <c r="L1184" s="109"/>
      <c r="M1184" s="109"/>
      <c r="N1184" s="109"/>
      <c r="O1184" s="109"/>
    </row>
    <row r="1185" spans="1:15" ht="17.25" customHeight="1">
      <c r="A1185" s="108"/>
      <c r="B1185" s="108"/>
      <c r="C1185" s="109"/>
      <c r="D1185" s="109"/>
      <c r="E1185" s="109"/>
      <c r="F1185" s="109"/>
      <c r="G1185" s="109"/>
      <c r="H1185" s="109"/>
      <c r="I1185" s="109"/>
      <c r="J1185" s="109"/>
      <c r="K1185" s="109"/>
      <c r="L1185" s="109"/>
      <c r="M1185" s="109"/>
      <c r="N1185" s="109"/>
      <c r="O1185" s="109"/>
    </row>
    <row r="1186" spans="1:15" ht="17.25" customHeight="1">
      <c r="A1186" s="108"/>
      <c r="B1186" s="108"/>
      <c r="C1186" s="109"/>
      <c r="D1186" s="109"/>
      <c r="E1186" s="109"/>
      <c r="F1186" s="109"/>
      <c r="G1186" s="109"/>
      <c r="H1186" s="109"/>
      <c r="I1186" s="109"/>
      <c r="J1186" s="109"/>
      <c r="K1186" s="109"/>
      <c r="L1186" s="109"/>
      <c r="M1186" s="109"/>
      <c r="N1186" s="109"/>
      <c r="O1186" s="109"/>
    </row>
    <row r="1187" spans="1:15" ht="17.25" customHeight="1">
      <c r="A1187" s="108"/>
      <c r="B1187" s="108"/>
      <c r="C1187" s="109"/>
      <c r="D1187" s="109"/>
      <c r="E1187" s="109"/>
      <c r="F1187" s="109"/>
      <c r="G1187" s="109"/>
      <c r="H1187" s="109"/>
      <c r="I1187" s="109"/>
      <c r="J1187" s="109"/>
      <c r="K1187" s="109"/>
      <c r="L1187" s="109"/>
      <c r="M1187" s="109"/>
      <c r="N1187" s="109"/>
      <c r="O1187" s="109"/>
    </row>
    <row r="1188" spans="1:15" ht="17.25" customHeight="1">
      <c r="A1188" s="108"/>
      <c r="B1188" s="108"/>
      <c r="C1188" s="109"/>
      <c r="D1188" s="109"/>
      <c r="E1188" s="109"/>
      <c r="F1188" s="109"/>
      <c r="G1188" s="109"/>
      <c r="H1188" s="109"/>
      <c r="I1188" s="109"/>
      <c r="J1188" s="109"/>
      <c r="K1188" s="109"/>
      <c r="L1188" s="109"/>
      <c r="M1188" s="109"/>
      <c r="N1188" s="109"/>
      <c r="O1188" s="109"/>
    </row>
    <row r="1189" spans="1:15" ht="17.25" customHeight="1">
      <c r="A1189" s="108"/>
      <c r="B1189" s="108"/>
      <c r="C1189" s="109"/>
      <c r="D1189" s="109"/>
      <c r="E1189" s="109"/>
      <c r="F1189" s="109"/>
      <c r="G1189" s="109"/>
      <c r="H1189" s="109"/>
      <c r="I1189" s="109"/>
      <c r="J1189" s="109"/>
      <c r="K1189" s="109"/>
      <c r="L1189" s="109"/>
      <c r="M1189" s="109"/>
      <c r="N1189" s="109"/>
      <c r="O1189" s="109"/>
    </row>
    <row r="1190" spans="1:15" ht="17.25" customHeight="1">
      <c r="A1190" s="108"/>
      <c r="B1190" s="108"/>
      <c r="C1190" s="109"/>
      <c r="D1190" s="109"/>
      <c r="E1190" s="109"/>
      <c r="F1190" s="109"/>
      <c r="G1190" s="109"/>
      <c r="H1190" s="109"/>
      <c r="I1190" s="109"/>
      <c r="J1190" s="109"/>
      <c r="K1190" s="109"/>
      <c r="L1190" s="109"/>
      <c r="M1190" s="109"/>
      <c r="N1190" s="109"/>
      <c r="O1190" s="109"/>
    </row>
    <row r="1191" spans="1:15" ht="17.25" customHeight="1">
      <c r="A1191" s="108"/>
      <c r="B1191" s="108"/>
      <c r="C1191" s="109"/>
      <c r="D1191" s="109"/>
      <c r="E1191" s="109"/>
      <c r="F1191" s="109"/>
      <c r="G1191" s="109"/>
      <c r="H1191" s="109"/>
      <c r="I1191" s="109"/>
      <c r="J1191" s="109"/>
      <c r="K1191" s="109"/>
      <c r="L1191" s="109"/>
      <c r="M1191" s="109"/>
      <c r="N1191" s="109"/>
      <c r="O1191" s="109"/>
    </row>
    <row r="1192" spans="1:15" ht="17.25" customHeight="1">
      <c r="A1192" s="108"/>
      <c r="B1192" s="108"/>
      <c r="C1192" s="109"/>
      <c r="D1192" s="109"/>
      <c r="E1192" s="109"/>
      <c r="F1192" s="109"/>
      <c r="G1192" s="109"/>
      <c r="H1192" s="109"/>
      <c r="I1192" s="109"/>
      <c r="J1192" s="109"/>
      <c r="K1192" s="109"/>
      <c r="L1192" s="109"/>
      <c r="M1192" s="109"/>
      <c r="N1192" s="109"/>
      <c r="O1192" s="109"/>
    </row>
    <row r="1193" spans="1:15" ht="17.25" customHeight="1">
      <c r="A1193" s="108"/>
      <c r="B1193" s="108"/>
      <c r="C1193" s="109"/>
      <c r="D1193" s="109"/>
      <c r="E1193" s="109"/>
      <c r="F1193" s="109"/>
      <c r="G1193" s="109"/>
      <c r="H1193" s="109"/>
      <c r="I1193" s="109"/>
      <c r="J1193" s="109"/>
      <c r="K1193" s="109"/>
      <c r="L1193" s="109"/>
      <c r="M1193" s="109"/>
      <c r="N1193" s="109"/>
      <c r="O1193" s="109"/>
    </row>
    <row r="1194" spans="1:15" ht="17.25" customHeight="1">
      <c r="A1194" s="108"/>
      <c r="B1194" s="108"/>
      <c r="C1194" s="109"/>
      <c r="D1194" s="109"/>
      <c r="E1194" s="109"/>
      <c r="F1194" s="109"/>
      <c r="G1194" s="109"/>
      <c r="H1194" s="109"/>
      <c r="I1194" s="109"/>
      <c r="J1194" s="109"/>
      <c r="K1194" s="109"/>
      <c r="L1194" s="109"/>
      <c r="M1194" s="109"/>
      <c r="N1194" s="109"/>
      <c r="O1194" s="109"/>
    </row>
    <row r="1195" spans="1:15" ht="17.25" customHeight="1">
      <c r="A1195" s="108"/>
      <c r="B1195" s="108"/>
      <c r="C1195" s="109"/>
      <c r="D1195" s="109"/>
      <c r="E1195" s="109"/>
      <c r="F1195" s="109"/>
      <c r="G1195" s="109"/>
      <c r="H1195" s="109"/>
      <c r="I1195" s="109"/>
      <c r="J1195" s="109"/>
      <c r="K1195" s="109"/>
      <c r="L1195" s="109"/>
      <c r="M1195" s="109"/>
      <c r="N1195" s="109"/>
      <c r="O1195" s="109"/>
    </row>
    <row r="1196" spans="1:15" ht="17.25" customHeight="1">
      <c r="A1196" s="108"/>
      <c r="B1196" s="108"/>
      <c r="C1196" s="109"/>
      <c r="D1196" s="109"/>
      <c r="E1196" s="109"/>
      <c r="F1196" s="109"/>
      <c r="G1196" s="109"/>
      <c r="H1196" s="109"/>
      <c r="I1196" s="109"/>
      <c r="J1196" s="109"/>
      <c r="K1196" s="109"/>
      <c r="L1196" s="109"/>
      <c r="M1196" s="109"/>
      <c r="N1196" s="109"/>
      <c r="O1196" s="109"/>
    </row>
    <row r="1197" spans="1:15" ht="17.25" customHeight="1">
      <c r="A1197" s="108"/>
      <c r="B1197" s="108"/>
      <c r="C1197" s="109"/>
      <c r="D1197" s="109"/>
      <c r="E1197" s="109"/>
      <c r="F1197" s="109"/>
      <c r="G1197" s="109"/>
      <c r="H1197" s="109"/>
      <c r="I1197" s="109"/>
      <c r="J1197" s="109"/>
      <c r="K1197" s="109"/>
      <c r="L1197" s="109"/>
      <c r="M1197" s="109"/>
      <c r="N1197" s="109"/>
      <c r="O1197" s="109"/>
    </row>
    <row r="1198" spans="1:15" ht="17.25" customHeight="1">
      <c r="A1198" s="108"/>
      <c r="B1198" s="108"/>
      <c r="C1198" s="109"/>
      <c r="D1198" s="109"/>
      <c r="E1198" s="109"/>
      <c r="F1198" s="109"/>
      <c r="G1198" s="109"/>
      <c r="H1198" s="109"/>
      <c r="I1198" s="109"/>
      <c r="J1198" s="109"/>
      <c r="K1198" s="109"/>
      <c r="L1198" s="109"/>
      <c r="M1198" s="109"/>
      <c r="N1198" s="109"/>
      <c r="O1198" s="109"/>
    </row>
    <row r="1199" spans="1:15" ht="17.25" customHeight="1">
      <c r="A1199" s="108"/>
      <c r="B1199" s="108"/>
      <c r="C1199" s="109"/>
      <c r="D1199" s="109"/>
      <c r="E1199" s="109"/>
      <c r="F1199" s="109"/>
      <c r="G1199" s="109"/>
      <c r="H1199" s="109"/>
      <c r="I1199" s="109"/>
      <c r="J1199" s="109"/>
      <c r="K1199" s="109"/>
      <c r="L1199" s="109"/>
      <c r="M1199" s="109"/>
      <c r="N1199" s="109"/>
      <c r="O1199" s="109"/>
    </row>
    <row r="1200" spans="1:15" ht="17.25" customHeight="1">
      <c r="A1200" s="108"/>
      <c r="B1200" s="108"/>
      <c r="C1200" s="109"/>
      <c r="D1200" s="109"/>
      <c r="E1200" s="109"/>
      <c r="F1200" s="109"/>
      <c r="G1200" s="109"/>
      <c r="H1200" s="109"/>
      <c r="I1200" s="109"/>
      <c r="J1200" s="109"/>
      <c r="K1200" s="109"/>
      <c r="L1200" s="109"/>
      <c r="M1200" s="109"/>
      <c r="N1200" s="109"/>
      <c r="O1200" s="109"/>
    </row>
    <row r="1201" spans="1:15" ht="17.25" customHeight="1">
      <c r="A1201" s="108"/>
      <c r="B1201" s="108"/>
      <c r="C1201" s="109"/>
      <c r="D1201" s="109"/>
      <c r="E1201" s="109"/>
      <c r="F1201" s="109"/>
      <c r="G1201" s="109"/>
      <c r="H1201" s="109"/>
      <c r="I1201" s="109"/>
      <c r="J1201" s="109"/>
      <c r="K1201" s="109"/>
      <c r="L1201" s="109"/>
      <c r="M1201" s="109"/>
      <c r="N1201" s="109"/>
      <c r="O1201" s="109"/>
    </row>
    <row r="1202" spans="1:15" ht="17.25" customHeight="1">
      <c r="A1202" s="108"/>
      <c r="B1202" s="108"/>
      <c r="C1202" s="109"/>
      <c r="D1202" s="109"/>
      <c r="E1202" s="109"/>
      <c r="F1202" s="109"/>
      <c r="G1202" s="109"/>
      <c r="H1202" s="109"/>
      <c r="I1202" s="109"/>
      <c r="J1202" s="109"/>
      <c r="K1202" s="109"/>
      <c r="L1202" s="109"/>
      <c r="M1202" s="109"/>
      <c r="N1202" s="109"/>
      <c r="O1202" s="109"/>
    </row>
    <row r="1203" spans="1:15" ht="17.25" customHeight="1">
      <c r="A1203" s="108"/>
      <c r="B1203" s="108"/>
      <c r="C1203" s="109"/>
      <c r="D1203" s="109"/>
      <c r="E1203" s="109"/>
      <c r="F1203" s="109"/>
      <c r="G1203" s="109"/>
      <c r="H1203" s="109"/>
      <c r="I1203" s="109"/>
      <c r="J1203" s="109"/>
      <c r="K1203" s="109"/>
      <c r="L1203" s="109"/>
      <c r="M1203" s="109"/>
      <c r="N1203" s="109"/>
      <c r="O1203" s="109"/>
    </row>
    <row r="1204" spans="1:15" ht="17.25" customHeight="1">
      <c r="A1204" s="108"/>
      <c r="B1204" s="108"/>
      <c r="C1204" s="109"/>
      <c r="D1204" s="109"/>
      <c r="E1204" s="109"/>
      <c r="F1204" s="109"/>
      <c r="G1204" s="109"/>
      <c r="H1204" s="109"/>
      <c r="I1204" s="109"/>
      <c r="J1204" s="109"/>
      <c r="K1204" s="109"/>
      <c r="L1204" s="109"/>
      <c r="M1204" s="109"/>
      <c r="N1204" s="109"/>
      <c r="O1204" s="109"/>
    </row>
    <row r="1205" spans="1:15" ht="17.25" customHeight="1">
      <c r="A1205" s="108"/>
      <c r="B1205" s="108"/>
      <c r="C1205" s="109"/>
      <c r="D1205" s="109"/>
      <c r="E1205" s="109"/>
      <c r="F1205" s="109"/>
      <c r="G1205" s="109"/>
      <c r="H1205" s="109"/>
      <c r="I1205" s="109"/>
      <c r="J1205" s="109"/>
      <c r="K1205" s="109"/>
      <c r="L1205" s="109"/>
      <c r="M1205" s="109"/>
      <c r="N1205" s="109"/>
      <c r="O1205" s="109"/>
    </row>
    <row r="1206" spans="1:15" ht="17.25" customHeight="1">
      <c r="A1206" s="108"/>
      <c r="B1206" s="108"/>
      <c r="C1206" s="109"/>
      <c r="D1206" s="109"/>
      <c r="E1206" s="109"/>
      <c r="F1206" s="109"/>
      <c r="G1206" s="109"/>
      <c r="H1206" s="109"/>
      <c r="I1206" s="109"/>
      <c r="J1206" s="109"/>
      <c r="K1206" s="109"/>
      <c r="L1206" s="109"/>
      <c r="M1206" s="109"/>
      <c r="N1206" s="109"/>
      <c r="O1206" s="109"/>
    </row>
    <row r="1207" spans="1:15" ht="17.25" customHeight="1">
      <c r="A1207" s="108"/>
      <c r="B1207" s="108"/>
      <c r="C1207" s="109"/>
      <c r="D1207" s="109"/>
      <c r="E1207" s="109"/>
      <c r="F1207" s="109"/>
      <c r="G1207" s="109"/>
      <c r="H1207" s="109"/>
      <c r="I1207" s="109"/>
      <c r="J1207" s="109"/>
      <c r="K1207" s="109"/>
      <c r="L1207" s="109"/>
      <c r="M1207" s="109"/>
      <c r="N1207" s="109"/>
      <c r="O1207" s="109"/>
    </row>
    <row r="1208" spans="1:15" ht="17.25" customHeight="1">
      <c r="A1208" s="108"/>
      <c r="B1208" s="108"/>
      <c r="C1208" s="109"/>
      <c r="D1208" s="109"/>
      <c r="E1208" s="109"/>
      <c r="F1208" s="109"/>
      <c r="G1208" s="109"/>
      <c r="H1208" s="109"/>
      <c r="I1208" s="109"/>
      <c r="J1208" s="109"/>
      <c r="K1208" s="109"/>
      <c r="L1208" s="109"/>
      <c r="M1208" s="109"/>
      <c r="N1208" s="109"/>
      <c r="O1208" s="109"/>
    </row>
    <row r="1209" spans="1:15" ht="17.25" customHeight="1">
      <c r="A1209" s="108"/>
      <c r="B1209" s="108"/>
      <c r="C1209" s="109"/>
      <c r="D1209" s="109"/>
      <c r="E1209" s="109"/>
      <c r="F1209" s="109"/>
      <c r="G1209" s="109"/>
      <c r="H1209" s="109"/>
      <c r="I1209" s="109"/>
      <c r="J1209" s="109"/>
      <c r="K1209" s="109"/>
      <c r="L1209" s="109"/>
      <c r="M1209" s="109"/>
      <c r="N1209" s="109"/>
      <c r="O1209" s="109"/>
    </row>
    <row r="1210" spans="1:15" ht="17.25" customHeight="1">
      <c r="A1210" s="108"/>
      <c r="B1210" s="108"/>
      <c r="C1210" s="109"/>
      <c r="D1210" s="109"/>
      <c r="E1210" s="109"/>
      <c r="F1210" s="109"/>
      <c r="G1210" s="109"/>
      <c r="H1210" s="109"/>
      <c r="I1210" s="109"/>
      <c r="J1210" s="109"/>
      <c r="K1210" s="109"/>
      <c r="L1210" s="109"/>
      <c r="M1210" s="109"/>
      <c r="N1210" s="109"/>
      <c r="O1210" s="109"/>
    </row>
    <row r="1211" spans="1:15" ht="17.25" customHeight="1">
      <c r="A1211" s="108"/>
      <c r="B1211" s="108"/>
      <c r="C1211" s="109"/>
      <c r="D1211" s="109"/>
      <c r="E1211" s="109"/>
      <c r="F1211" s="109"/>
      <c r="G1211" s="109"/>
      <c r="H1211" s="109"/>
      <c r="I1211" s="109"/>
      <c r="J1211" s="109"/>
      <c r="K1211" s="109"/>
      <c r="L1211" s="109"/>
      <c r="M1211" s="109"/>
      <c r="N1211" s="109"/>
      <c r="O1211" s="109"/>
    </row>
    <row r="1212" spans="1:15" ht="17.25" customHeight="1">
      <c r="A1212" s="108"/>
      <c r="B1212" s="108"/>
      <c r="C1212" s="109"/>
      <c r="D1212" s="109"/>
      <c r="E1212" s="109"/>
      <c r="F1212" s="109"/>
      <c r="G1212" s="109"/>
      <c r="H1212" s="109"/>
      <c r="I1212" s="109"/>
      <c r="J1212" s="109"/>
      <c r="K1212" s="109"/>
      <c r="L1212" s="109"/>
      <c r="M1212" s="109"/>
      <c r="N1212" s="109"/>
      <c r="O1212" s="109"/>
    </row>
    <row r="1213" spans="1:15" ht="17.25" customHeight="1">
      <c r="A1213" s="108"/>
      <c r="B1213" s="108"/>
      <c r="C1213" s="109"/>
      <c r="D1213" s="109"/>
      <c r="E1213" s="109"/>
      <c r="F1213" s="109"/>
      <c r="G1213" s="109"/>
      <c r="H1213" s="109"/>
      <c r="I1213" s="109"/>
      <c r="J1213" s="109"/>
      <c r="K1213" s="109"/>
      <c r="L1213" s="109"/>
      <c r="M1213" s="109"/>
      <c r="N1213" s="109"/>
      <c r="O1213" s="109"/>
    </row>
    <row r="1214" spans="1:15" ht="17.25" customHeight="1">
      <c r="A1214" s="108"/>
      <c r="B1214" s="108"/>
      <c r="C1214" s="109"/>
      <c r="D1214" s="109"/>
      <c r="E1214" s="109"/>
      <c r="F1214" s="109"/>
      <c r="G1214" s="109"/>
      <c r="H1214" s="109"/>
      <c r="I1214" s="109"/>
      <c r="J1214" s="109"/>
      <c r="K1214" s="109"/>
      <c r="L1214" s="109"/>
      <c r="M1214" s="109"/>
      <c r="N1214" s="109"/>
      <c r="O1214" s="109"/>
    </row>
    <row r="1215" spans="1:15" ht="17.25" customHeight="1">
      <c r="A1215" s="108"/>
      <c r="B1215" s="108"/>
      <c r="C1215" s="109"/>
      <c r="D1215" s="109"/>
      <c r="E1215" s="109"/>
      <c r="F1215" s="109"/>
      <c r="G1215" s="109"/>
      <c r="H1215" s="109"/>
      <c r="I1215" s="109"/>
      <c r="J1215" s="109"/>
      <c r="K1215" s="109"/>
      <c r="L1215" s="109"/>
      <c r="M1215" s="109"/>
      <c r="N1215" s="109"/>
      <c r="O1215" s="109"/>
    </row>
    <row r="1216" spans="1:15" ht="17.25" customHeight="1">
      <c r="A1216" s="108"/>
      <c r="B1216" s="108"/>
      <c r="C1216" s="109"/>
      <c r="D1216" s="109"/>
      <c r="E1216" s="109"/>
      <c r="F1216" s="109"/>
      <c r="G1216" s="109"/>
      <c r="H1216" s="109"/>
      <c r="I1216" s="109"/>
      <c r="J1216" s="109"/>
      <c r="K1216" s="109"/>
      <c r="L1216" s="109"/>
      <c r="M1216" s="109"/>
      <c r="N1216" s="109"/>
      <c r="O1216" s="109"/>
    </row>
    <row r="1217" spans="1:15" ht="17.25" customHeight="1">
      <c r="A1217" s="108"/>
      <c r="B1217" s="108"/>
      <c r="C1217" s="109"/>
      <c r="D1217" s="109"/>
      <c r="E1217" s="109"/>
      <c r="F1217" s="109"/>
      <c r="G1217" s="109"/>
      <c r="H1217" s="109"/>
      <c r="I1217" s="109"/>
      <c r="J1217" s="109"/>
      <c r="K1217" s="109"/>
      <c r="L1217" s="109"/>
      <c r="M1217" s="109"/>
      <c r="N1217" s="109"/>
      <c r="O1217" s="109"/>
    </row>
    <row r="1218" spans="1:15" ht="17.25" customHeight="1">
      <c r="A1218" s="108"/>
      <c r="B1218" s="108"/>
      <c r="C1218" s="109"/>
      <c r="D1218" s="109"/>
      <c r="E1218" s="109"/>
      <c r="F1218" s="109"/>
      <c r="G1218" s="109"/>
      <c r="H1218" s="109"/>
      <c r="I1218" s="109"/>
      <c r="J1218" s="109"/>
      <c r="K1218" s="109"/>
      <c r="L1218" s="109"/>
      <c r="M1218" s="109"/>
      <c r="N1218" s="109"/>
      <c r="O1218" s="109"/>
    </row>
    <row r="1219" spans="1:15" ht="17.25" customHeight="1">
      <c r="A1219" s="108"/>
      <c r="B1219" s="108"/>
      <c r="C1219" s="109"/>
      <c r="D1219" s="109"/>
      <c r="E1219" s="109"/>
      <c r="F1219" s="109"/>
      <c r="G1219" s="109"/>
      <c r="H1219" s="109"/>
      <c r="I1219" s="109"/>
      <c r="J1219" s="109"/>
      <c r="K1219" s="109"/>
      <c r="L1219" s="109"/>
      <c r="M1219" s="109"/>
      <c r="N1219" s="109"/>
      <c r="O1219" s="109"/>
    </row>
    <row r="1220" spans="1:15" ht="17.25" customHeight="1">
      <c r="A1220" s="108"/>
      <c r="B1220" s="108"/>
      <c r="C1220" s="109"/>
      <c r="D1220" s="109"/>
      <c r="E1220" s="109"/>
      <c r="F1220" s="109"/>
      <c r="G1220" s="109"/>
      <c r="H1220" s="109"/>
      <c r="I1220" s="109"/>
      <c r="J1220" s="109"/>
      <c r="K1220" s="109"/>
      <c r="L1220" s="109"/>
      <c r="M1220" s="109"/>
      <c r="N1220" s="109"/>
      <c r="O1220" s="109"/>
    </row>
    <row r="1221" spans="1:15" ht="17.25" customHeight="1">
      <c r="A1221" s="108"/>
      <c r="B1221" s="108"/>
      <c r="C1221" s="109"/>
      <c r="D1221" s="109"/>
      <c r="E1221" s="109"/>
      <c r="F1221" s="109"/>
      <c r="G1221" s="109"/>
      <c r="H1221" s="109"/>
      <c r="I1221" s="109"/>
      <c r="J1221" s="109"/>
      <c r="K1221" s="109"/>
      <c r="L1221" s="109"/>
      <c r="M1221" s="109"/>
      <c r="N1221" s="109"/>
      <c r="O1221" s="109"/>
    </row>
    <row r="1222" spans="1:15" ht="17.25" customHeight="1">
      <c r="A1222" s="108"/>
      <c r="B1222" s="108"/>
      <c r="C1222" s="109"/>
      <c r="D1222" s="109"/>
      <c r="E1222" s="109"/>
      <c r="F1222" s="109"/>
      <c r="G1222" s="109"/>
      <c r="H1222" s="109"/>
      <c r="I1222" s="109"/>
      <c r="J1222" s="109"/>
      <c r="K1222" s="109"/>
      <c r="L1222" s="109"/>
      <c r="M1222" s="109"/>
      <c r="N1222" s="109"/>
      <c r="O1222" s="109"/>
    </row>
    <row r="1223" spans="1:15" ht="17.25" customHeight="1">
      <c r="A1223" s="108"/>
      <c r="B1223" s="108"/>
      <c r="C1223" s="109"/>
      <c r="D1223" s="109"/>
      <c r="E1223" s="109"/>
      <c r="F1223" s="109"/>
      <c r="G1223" s="109"/>
      <c r="H1223" s="109"/>
      <c r="I1223" s="109"/>
      <c r="J1223" s="109"/>
      <c r="K1223" s="109"/>
      <c r="L1223" s="109"/>
      <c r="M1223" s="109"/>
      <c r="N1223" s="109"/>
      <c r="O1223" s="109"/>
    </row>
    <row r="1224" spans="1:15" ht="17.25" customHeight="1">
      <c r="A1224" s="108"/>
      <c r="B1224" s="108"/>
      <c r="C1224" s="109"/>
      <c r="D1224" s="109"/>
      <c r="E1224" s="109"/>
      <c r="F1224" s="109"/>
      <c r="G1224" s="109"/>
      <c r="H1224" s="109"/>
      <c r="I1224" s="109"/>
      <c r="J1224" s="109"/>
      <c r="K1224" s="109"/>
      <c r="L1224" s="109"/>
      <c r="M1224" s="109"/>
      <c r="N1224" s="109"/>
      <c r="O1224" s="109"/>
    </row>
    <row r="1225" spans="1:15" ht="17.25" customHeight="1">
      <c r="A1225" s="108"/>
      <c r="B1225" s="108"/>
      <c r="C1225" s="109"/>
      <c r="D1225" s="109"/>
      <c r="E1225" s="109"/>
      <c r="F1225" s="109"/>
      <c r="G1225" s="109"/>
      <c r="H1225" s="109"/>
      <c r="I1225" s="109"/>
      <c r="J1225" s="109"/>
      <c r="K1225" s="109"/>
      <c r="L1225" s="109"/>
      <c r="M1225" s="109"/>
      <c r="N1225" s="109"/>
      <c r="O1225" s="109"/>
    </row>
    <row r="1226" spans="1:15" ht="17.25" customHeight="1">
      <c r="A1226" s="108"/>
      <c r="B1226" s="108"/>
      <c r="C1226" s="109"/>
      <c r="D1226" s="109"/>
      <c r="E1226" s="109"/>
      <c r="F1226" s="109"/>
      <c r="G1226" s="109"/>
      <c r="H1226" s="109"/>
      <c r="I1226" s="109"/>
      <c r="J1226" s="109"/>
      <c r="K1226" s="109"/>
      <c r="L1226" s="109"/>
      <c r="M1226" s="109"/>
      <c r="N1226" s="109"/>
      <c r="O1226" s="109"/>
    </row>
    <row r="1227" spans="1:15" ht="17.25" customHeight="1">
      <c r="A1227" s="108"/>
      <c r="B1227" s="108"/>
      <c r="C1227" s="109"/>
      <c r="D1227" s="109"/>
      <c r="E1227" s="109"/>
      <c r="F1227" s="109"/>
      <c r="G1227" s="109"/>
      <c r="H1227" s="109"/>
      <c r="I1227" s="109"/>
      <c r="J1227" s="109"/>
      <c r="K1227" s="109"/>
      <c r="L1227" s="109"/>
      <c r="M1227" s="109"/>
      <c r="N1227" s="109"/>
      <c r="O1227" s="109"/>
    </row>
    <row r="1228" spans="1:15" ht="17.25" customHeight="1">
      <c r="A1228" s="108"/>
      <c r="B1228" s="108"/>
      <c r="C1228" s="109"/>
      <c r="D1228" s="109"/>
      <c r="E1228" s="109"/>
      <c r="F1228" s="109"/>
      <c r="G1228" s="109"/>
      <c r="H1228" s="109"/>
      <c r="I1228" s="109"/>
      <c r="J1228" s="109"/>
      <c r="K1228" s="109"/>
      <c r="L1228" s="109"/>
      <c r="M1228" s="109"/>
      <c r="N1228" s="109"/>
      <c r="O1228" s="109"/>
    </row>
    <row r="1229" spans="1:15" ht="17.25" customHeight="1">
      <c r="A1229" s="108"/>
      <c r="B1229" s="108"/>
      <c r="C1229" s="109"/>
      <c r="D1229" s="109"/>
      <c r="E1229" s="109"/>
      <c r="F1229" s="109"/>
      <c r="G1229" s="109"/>
      <c r="H1229" s="109"/>
      <c r="I1229" s="109"/>
      <c r="J1229" s="109"/>
      <c r="K1229" s="109"/>
      <c r="L1229" s="109"/>
      <c r="M1229" s="109"/>
      <c r="N1229" s="109"/>
      <c r="O1229" s="109"/>
    </row>
    <row r="1230" spans="1:15" ht="17.25" customHeight="1">
      <c r="A1230" s="108"/>
      <c r="B1230" s="108"/>
      <c r="C1230" s="109"/>
      <c r="D1230" s="109"/>
      <c r="E1230" s="109"/>
      <c r="F1230" s="109"/>
      <c r="G1230" s="109"/>
      <c r="H1230" s="109"/>
      <c r="I1230" s="109"/>
      <c r="J1230" s="109"/>
      <c r="K1230" s="109"/>
      <c r="L1230" s="109"/>
      <c r="M1230" s="109"/>
      <c r="N1230" s="109"/>
      <c r="O1230" s="109"/>
    </row>
    <row r="1231" spans="1:15" ht="17.25" customHeight="1">
      <c r="A1231" s="108"/>
      <c r="B1231" s="108"/>
      <c r="C1231" s="109"/>
      <c r="D1231" s="109"/>
      <c r="E1231" s="109"/>
      <c r="F1231" s="109"/>
      <c r="G1231" s="109"/>
      <c r="H1231" s="109"/>
      <c r="I1231" s="109"/>
      <c r="J1231" s="109"/>
      <c r="K1231" s="109"/>
      <c r="L1231" s="109"/>
      <c r="M1231" s="109"/>
      <c r="N1231" s="109"/>
      <c r="O1231" s="109"/>
    </row>
    <row r="1232" spans="1:15" ht="17.25" customHeight="1">
      <c r="A1232" s="108"/>
      <c r="B1232" s="108"/>
      <c r="C1232" s="109"/>
      <c r="D1232" s="109"/>
      <c r="E1232" s="109"/>
      <c r="F1232" s="109"/>
      <c r="G1232" s="109"/>
      <c r="H1232" s="109"/>
      <c r="I1232" s="109"/>
      <c r="J1232" s="109"/>
      <c r="K1232" s="109"/>
      <c r="L1232" s="109"/>
      <c r="M1232" s="109"/>
      <c r="N1232" s="109"/>
      <c r="O1232" s="109"/>
    </row>
    <row r="1233" spans="1:15" ht="17.25" customHeight="1">
      <c r="A1233" s="108"/>
      <c r="B1233" s="108"/>
      <c r="C1233" s="109"/>
      <c r="D1233" s="109"/>
      <c r="E1233" s="109"/>
      <c r="F1233" s="109"/>
      <c r="G1233" s="109"/>
      <c r="H1233" s="109"/>
      <c r="I1233" s="109"/>
      <c r="J1233" s="109"/>
      <c r="K1233" s="109"/>
      <c r="L1233" s="109"/>
      <c r="M1233" s="109"/>
      <c r="N1233" s="109"/>
      <c r="O1233" s="109"/>
    </row>
    <row r="1234" spans="1:15" ht="17.25" customHeight="1">
      <c r="A1234" s="108"/>
      <c r="B1234" s="108"/>
      <c r="C1234" s="109"/>
      <c r="D1234" s="109"/>
      <c r="E1234" s="109"/>
      <c r="F1234" s="109"/>
      <c r="G1234" s="109"/>
      <c r="H1234" s="109"/>
      <c r="I1234" s="109"/>
      <c r="J1234" s="109"/>
      <c r="K1234" s="109"/>
      <c r="L1234" s="109"/>
      <c r="M1234" s="109"/>
      <c r="N1234" s="109"/>
      <c r="O1234" s="109"/>
    </row>
    <row r="1235" spans="1:15" ht="17.25" customHeight="1">
      <c r="A1235" s="108"/>
      <c r="B1235" s="108"/>
      <c r="C1235" s="109"/>
      <c r="D1235" s="109"/>
      <c r="E1235" s="109"/>
      <c r="F1235" s="109"/>
      <c r="G1235" s="109"/>
      <c r="H1235" s="109"/>
      <c r="I1235" s="109"/>
      <c r="J1235" s="109"/>
      <c r="K1235" s="109"/>
      <c r="L1235" s="109"/>
      <c r="M1235" s="109"/>
      <c r="N1235" s="109"/>
      <c r="O1235" s="109"/>
    </row>
    <row r="1236" spans="1:15" ht="17.25" customHeight="1">
      <c r="A1236" s="108"/>
      <c r="B1236" s="108"/>
      <c r="C1236" s="109"/>
      <c r="D1236" s="109"/>
      <c r="E1236" s="109"/>
      <c r="F1236" s="109"/>
      <c r="G1236" s="109"/>
      <c r="H1236" s="109"/>
      <c r="I1236" s="109"/>
      <c r="J1236" s="109"/>
      <c r="K1236" s="109"/>
      <c r="L1236" s="109"/>
      <c r="M1236" s="109"/>
      <c r="N1236" s="109"/>
      <c r="O1236" s="109"/>
    </row>
    <row r="1237" spans="1:15" ht="17.25" customHeight="1">
      <c r="A1237" s="108"/>
      <c r="B1237" s="108"/>
      <c r="C1237" s="109"/>
      <c r="D1237" s="109"/>
      <c r="E1237" s="109"/>
      <c r="F1237" s="109"/>
      <c r="G1237" s="109"/>
      <c r="H1237" s="109"/>
      <c r="I1237" s="109"/>
      <c r="J1237" s="109"/>
      <c r="K1237" s="109"/>
      <c r="L1237" s="109"/>
      <c r="M1237" s="109"/>
      <c r="N1237" s="109"/>
      <c r="O1237" s="109"/>
    </row>
    <row r="1238" spans="1:15" ht="17.25" customHeight="1">
      <c r="A1238" s="108"/>
      <c r="B1238" s="108"/>
      <c r="C1238" s="109"/>
      <c r="D1238" s="109"/>
      <c r="E1238" s="109"/>
      <c r="F1238" s="109"/>
      <c r="G1238" s="109"/>
      <c r="H1238" s="109"/>
      <c r="I1238" s="109"/>
      <c r="J1238" s="109"/>
      <c r="K1238" s="109"/>
      <c r="L1238" s="109"/>
      <c r="M1238" s="109"/>
      <c r="N1238" s="109"/>
      <c r="O1238" s="109"/>
    </row>
    <row r="1239" spans="1:15" ht="17.25" customHeight="1">
      <c r="A1239" s="108"/>
      <c r="B1239" s="108"/>
      <c r="C1239" s="109"/>
      <c r="D1239" s="109"/>
      <c r="E1239" s="109"/>
      <c r="F1239" s="109"/>
      <c r="G1239" s="109"/>
      <c r="H1239" s="109"/>
      <c r="I1239" s="109"/>
      <c r="J1239" s="109"/>
      <c r="K1239" s="109"/>
      <c r="L1239" s="109"/>
      <c r="M1239" s="109"/>
      <c r="N1239" s="109"/>
      <c r="O1239" s="109"/>
    </row>
    <row r="1240" spans="1:15" ht="17.25" customHeight="1">
      <c r="A1240" s="108"/>
      <c r="B1240" s="108"/>
      <c r="C1240" s="109"/>
      <c r="D1240" s="109"/>
      <c r="E1240" s="109"/>
      <c r="F1240" s="109"/>
      <c r="G1240" s="109"/>
      <c r="H1240" s="109"/>
      <c r="I1240" s="109"/>
      <c r="J1240" s="109"/>
      <c r="K1240" s="109"/>
      <c r="L1240" s="109"/>
      <c r="M1240" s="109"/>
      <c r="N1240" s="109"/>
      <c r="O1240" s="109"/>
    </row>
    <row r="1241" spans="1:15" ht="17.25" customHeight="1">
      <c r="A1241" s="108"/>
      <c r="B1241" s="108"/>
      <c r="C1241" s="109"/>
      <c r="D1241" s="109"/>
      <c r="E1241" s="109"/>
      <c r="F1241" s="109"/>
      <c r="G1241" s="109"/>
      <c r="H1241" s="109"/>
      <c r="I1241" s="109"/>
      <c r="J1241" s="109"/>
      <c r="K1241" s="109"/>
      <c r="L1241" s="109"/>
      <c r="M1241" s="109"/>
      <c r="N1241" s="109"/>
      <c r="O1241" s="109"/>
    </row>
    <row r="1242" spans="1:15" ht="17.25" customHeight="1">
      <c r="A1242" s="108"/>
      <c r="B1242" s="108"/>
      <c r="C1242" s="109"/>
      <c r="D1242" s="109"/>
      <c r="E1242" s="109"/>
      <c r="F1242" s="109"/>
      <c r="G1242" s="109"/>
      <c r="H1242" s="109"/>
      <c r="I1242" s="109"/>
      <c r="J1242" s="109"/>
      <c r="K1242" s="109"/>
      <c r="L1242" s="109"/>
      <c r="M1242" s="109"/>
      <c r="N1242" s="109"/>
      <c r="O1242" s="109"/>
    </row>
    <row r="1243" spans="1:15" ht="17.25" customHeight="1">
      <c r="A1243" s="108"/>
      <c r="B1243" s="108"/>
      <c r="C1243" s="109"/>
      <c r="D1243" s="109"/>
      <c r="E1243" s="109"/>
      <c r="F1243" s="109"/>
      <c r="G1243" s="109"/>
      <c r="H1243" s="109"/>
      <c r="I1243" s="109"/>
      <c r="J1243" s="109"/>
      <c r="K1243" s="109"/>
      <c r="L1243" s="109"/>
      <c r="M1243" s="109"/>
      <c r="N1243" s="109"/>
      <c r="O1243" s="109"/>
    </row>
    <row r="1244" spans="1:15" ht="17.25" customHeight="1">
      <c r="A1244" s="108"/>
      <c r="B1244" s="108"/>
      <c r="C1244" s="109"/>
      <c r="D1244" s="109"/>
      <c r="E1244" s="109"/>
      <c r="F1244" s="109"/>
      <c r="G1244" s="109"/>
      <c r="H1244" s="109"/>
      <c r="I1244" s="109"/>
      <c r="J1244" s="109"/>
      <c r="K1244" s="109"/>
      <c r="L1244" s="109"/>
      <c r="M1244" s="109"/>
      <c r="N1244" s="109"/>
      <c r="O1244" s="109"/>
    </row>
    <row r="1245" spans="1:15" ht="17.25" customHeight="1">
      <c r="A1245" s="108"/>
      <c r="B1245" s="108"/>
      <c r="C1245" s="109"/>
      <c r="D1245" s="109"/>
      <c r="E1245" s="109"/>
      <c r="F1245" s="109"/>
      <c r="G1245" s="109"/>
      <c r="H1245" s="109"/>
      <c r="I1245" s="109"/>
      <c r="J1245" s="109"/>
      <c r="K1245" s="109"/>
      <c r="L1245" s="109"/>
      <c r="M1245" s="109"/>
      <c r="N1245" s="109"/>
      <c r="O1245" s="109"/>
    </row>
    <row r="1246" spans="1:15" ht="17.25" customHeight="1">
      <c r="A1246" s="108"/>
      <c r="B1246" s="108"/>
      <c r="C1246" s="109"/>
      <c r="D1246" s="109"/>
      <c r="E1246" s="109"/>
      <c r="F1246" s="109"/>
      <c r="G1246" s="109"/>
      <c r="H1246" s="109"/>
      <c r="I1246" s="109"/>
      <c r="J1246" s="109"/>
      <c r="K1246" s="109"/>
      <c r="L1246" s="109"/>
      <c r="M1246" s="109"/>
      <c r="N1246" s="109"/>
      <c r="O1246" s="109"/>
    </row>
    <row r="1247" spans="1:15" ht="17.25" customHeight="1">
      <c r="A1247" s="108"/>
      <c r="B1247" s="108"/>
      <c r="C1247" s="109"/>
      <c r="D1247" s="109"/>
      <c r="E1247" s="109"/>
      <c r="F1247" s="109"/>
      <c r="G1247" s="109"/>
      <c r="H1247" s="109"/>
      <c r="I1247" s="109"/>
      <c r="J1247" s="109"/>
      <c r="K1247" s="109"/>
      <c r="L1247" s="109"/>
      <c r="M1247" s="109"/>
      <c r="N1247" s="109"/>
      <c r="O1247" s="109"/>
    </row>
    <row r="1248" spans="1:15" ht="17.25" customHeight="1">
      <c r="A1248" s="108"/>
      <c r="B1248" s="108"/>
      <c r="C1248" s="109"/>
      <c r="D1248" s="109"/>
      <c r="E1248" s="109"/>
      <c r="F1248" s="109"/>
      <c r="G1248" s="109"/>
      <c r="H1248" s="109"/>
      <c r="I1248" s="109"/>
      <c r="J1248" s="109"/>
      <c r="K1248" s="109"/>
      <c r="L1248" s="109"/>
      <c r="M1248" s="109"/>
      <c r="N1248" s="109"/>
      <c r="O1248" s="109"/>
    </row>
    <row r="1249" spans="1:15" ht="17.25" customHeight="1">
      <c r="A1249" s="108"/>
      <c r="B1249" s="108"/>
      <c r="C1249" s="109"/>
      <c r="D1249" s="109"/>
      <c r="E1249" s="109"/>
      <c r="F1249" s="109"/>
      <c r="G1249" s="109"/>
      <c r="H1249" s="109"/>
      <c r="I1249" s="109"/>
      <c r="J1249" s="109"/>
      <c r="K1249" s="109"/>
      <c r="L1249" s="109"/>
      <c r="M1249" s="109"/>
      <c r="N1249" s="109"/>
      <c r="O1249" s="109"/>
    </row>
    <row r="1250" spans="1:15" ht="17.25" customHeight="1">
      <c r="A1250" s="108"/>
      <c r="B1250" s="108"/>
      <c r="C1250" s="109"/>
      <c r="D1250" s="109"/>
      <c r="E1250" s="109"/>
      <c r="F1250" s="109"/>
      <c r="G1250" s="109"/>
      <c r="H1250" s="109"/>
      <c r="I1250" s="109"/>
      <c r="J1250" s="109"/>
      <c r="K1250" s="109"/>
      <c r="L1250" s="109"/>
      <c r="M1250" s="109"/>
      <c r="N1250" s="109"/>
      <c r="O1250" s="109"/>
    </row>
    <row r="1251" spans="1:15" ht="17.25" customHeight="1">
      <c r="A1251" s="108"/>
      <c r="B1251" s="108"/>
      <c r="C1251" s="109"/>
      <c r="D1251" s="109"/>
      <c r="E1251" s="109"/>
      <c r="F1251" s="109"/>
      <c r="G1251" s="109"/>
      <c r="H1251" s="109"/>
      <c r="I1251" s="109"/>
      <c r="J1251" s="109"/>
      <c r="K1251" s="109"/>
      <c r="L1251" s="109"/>
      <c r="M1251" s="109"/>
      <c r="N1251" s="109"/>
      <c r="O1251" s="109"/>
    </row>
    <row r="1252" spans="1:15" ht="17.25" customHeight="1">
      <c r="A1252" s="108"/>
      <c r="B1252" s="108"/>
      <c r="C1252" s="109"/>
      <c r="D1252" s="109"/>
      <c r="E1252" s="109"/>
      <c r="F1252" s="109"/>
      <c r="G1252" s="109"/>
      <c r="H1252" s="109"/>
      <c r="I1252" s="109"/>
      <c r="J1252" s="109"/>
      <c r="K1252" s="109"/>
      <c r="L1252" s="109"/>
      <c r="M1252" s="109"/>
      <c r="N1252" s="109"/>
      <c r="O1252" s="109"/>
    </row>
    <row r="1253" spans="1:15" ht="17.25" customHeight="1">
      <c r="A1253" s="108"/>
      <c r="B1253" s="108"/>
      <c r="C1253" s="109"/>
      <c r="D1253" s="109"/>
      <c r="E1253" s="109"/>
      <c r="F1253" s="109"/>
      <c r="G1253" s="109"/>
      <c r="H1253" s="109"/>
      <c r="I1253" s="109"/>
      <c r="J1253" s="109"/>
      <c r="K1253" s="109"/>
      <c r="L1253" s="109"/>
      <c r="M1253" s="109"/>
      <c r="N1253" s="109"/>
      <c r="O1253" s="109"/>
    </row>
    <row r="1254" spans="1:15" ht="17.25" customHeight="1">
      <c r="A1254" s="108"/>
      <c r="B1254" s="108"/>
      <c r="C1254" s="109"/>
      <c r="D1254" s="109"/>
      <c r="E1254" s="109"/>
      <c r="F1254" s="109"/>
      <c r="G1254" s="109"/>
      <c r="H1254" s="109"/>
      <c r="I1254" s="109"/>
      <c r="J1254" s="109"/>
      <c r="K1254" s="109"/>
      <c r="L1254" s="109"/>
      <c r="M1254" s="109"/>
      <c r="N1254" s="109"/>
      <c r="O1254" s="109"/>
    </row>
    <row r="1255" spans="1:15" ht="17.25" customHeight="1">
      <c r="A1255" s="108"/>
      <c r="B1255" s="108"/>
      <c r="C1255" s="109"/>
      <c r="D1255" s="109"/>
      <c r="E1255" s="109"/>
      <c r="F1255" s="109"/>
      <c r="G1255" s="109"/>
      <c r="H1255" s="109"/>
      <c r="I1255" s="109"/>
      <c r="J1255" s="109"/>
      <c r="K1255" s="109"/>
      <c r="L1255" s="109"/>
      <c r="M1255" s="109"/>
      <c r="N1255" s="109"/>
      <c r="O1255" s="109"/>
    </row>
    <row r="1256" spans="1:15" ht="17.25" customHeight="1">
      <c r="A1256" s="108"/>
      <c r="B1256" s="108"/>
      <c r="C1256" s="109"/>
      <c r="D1256" s="109"/>
      <c r="E1256" s="109"/>
      <c r="F1256" s="109"/>
      <c r="G1256" s="109"/>
      <c r="H1256" s="109"/>
      <c r="I1256" s="109"/>
      <c r="J1256" s="109"/>
      <c r="K1256" s="109"/>
      <c r="L1256" s="109"/>
      <c r="M1256" s="109"/>
      <c r="N1256" s="109"/>
      <c r="O1256" s="109"/>
    </row>
    <row r="1257" spans="1:15" ht="17.25" customHeight="1">
      <c r="A1257" s="108"/>
      <c r="B1257" s="108"/>
      <c r="C1257" s="109"/>
      <c r="D1257" s="109"/>
      <c r="E1257" s="109"/>
      <c r="F1257" s="109"/>
      <c r="G1257" s="109"/>
      <c r="H1257" s="109"/>
      <c r="I1257" s="109"/>
      <c r="J1257" s="109"/>
      <c r="K1257" s="109"/>
      <c r="L1257" s="109"/>
      <c r="M1257" s="109"/>
      <c r="N1257" s="109"/>
      <c r="O1257" s="109"/>
    </row>
    <row r="1258" spans="1:15" ht="17.25" customHeight="1">
      <c r="A1258" s="108"/>
      <c r="B1258" s="108"/>
      <c r="C1258" s="109"/>
      <c r="D1258" s="109"/>
      <c r="E1258" s="109"/>
      <c r="F1258" s="109"/>
      <c r="G1258" s="109"/>
      <c r="H1258" s="109"/>
      <c r="I1258" s="109"/>
      <c r="J1258" s="109"/>
      <c r="K1258" s="109"/>
      <c r="L1258" s="109"/>
      <c r="M1258" s="109"/>
      <c r="N1258" s="109"/>
      <c r="O1258" s="109"/>
    </row>
    <row r="1259" spans="1:15" ht="17.25" customHeight="1">
      <c r="A1259" s="108"/>
      <c r="B1259" s="108"/>
      <c r="C1259" s="109"/>
      <c r="D1259" s="109"/>
      <c r="E1259" s="109"/>
      <c r="F1259" s="109"/>
      <c r="G1259" s="109"/>
      <c r="H1259" s="109"/>
      <c r="I1259" s="109"/>
      <c r="J1259" s="109"/>
      <c r="K1259" s="109"/>
      <c r="L1259" s="109"/>
      <c r="M1259" s="109"/>
      <c r="N1259" s="109"/>
      <c r="O1259" s="109"/>
    </row>
    <row r="1260" spans="1:15" ht="17.25" customHeight="1">
      <c r="A1260" s="108"/>
      <c r="B1260" s="108"/>
      <c r="C1260" s="109"/>
      <c r="D1260" s="109"/>
      <c r="E1260" s="109"/>
      <c r="F1260" s="109"/>
      <c r="G1260" s="109"/>
      <c r="H1260" s="109"/>
      <c r="I1260" s="109"/>
      <c r="J1260" s="109"/>
      <c r="K1260" s="109"/>
      <c r="L1260" s="109"/>
      <c r="M1260" s="109"/>
      <c r="N1260" s="109"/>
      <c r="O1260" s="109"/>
    </row>
    <row r="1261" spans="1:15" ht="17.25" customHeight="1">
      <c r="A1261" s="108"/>
      <c r="B1261" s="108"/>
      <c r="C1261" s="109"/>
      <c r="D1261" s="109"/>
      <c r="E1261" s="109"/>
      <c r="F1261" s="109"/>
      <c r="G1261" s="109"/>
      <c r="H1261" s="109"/>
      <c r="I1261" s="109"/>
      <c r="J1261" s="109"/>
      <c r="K1261" s="109"/>
      <c r="L1261" s="109"/>
      <c r="M1261" s="109"/>
      <c r="N1261" s="109"/>
      <c r="O1261" s="109"/>
    </row>
    <row r="1262" spans="1:15" ht="17.25" customHeight="1">
      <c r="A1262" s="108"/>
      <c r="B1262" s="108"/>
      <c r="C1262" s="109"/>
      <c r="D1262" s="109"/>
      <c r="E1262" s="109"/>
      <c r="F1262" s="109"/>
      <c r="G1262" s="109"/>
      <c r="H1262" s="109"/>
      <c r="I1262" s="109"/>
      <c r="J1262" s="109"/>
      <c r="K1262" s="109"/>
      <c r="L1262" s="109"/>
      <c r="M1262" s="109"/>
      <c r="N1262" s="109"/>
      <c r="O1262" s="109"/>
    </row>
    <row r="1263" spans="1:15" ht="17.25" customHeight="1">
      <c r="A1263" s="108"/>
      <c r="B1263" s="108"/>
      <c r="C1263" s="109"/>
      <c r="D1263" s="109"/>
      <c r="E1263" s="109"/>
      <c r="F1263" s="109"/>
      <c r="G1263" s="109"/>
      <c r="H1263" s="109"/>
      <c r="I1263" s="109"/>
      <c r="J1263" s="109"/>
      <c r="K1263" s="109"/>
      <c r="L1263" s="109"/>
      <c r="M1263" s="109"/>
      <c r="N1263" s="109"/>
      <c r="O1263" s="109"/>
    </row>
    <row r="1264" spans="1:15" ht="17.25" customHeight="1">
      <c r="A1264" s="108"/>
      <c r="B1264" s="108"/>
      <c r="C1264" s="109"/>
      <c r="D1264" s="109"/>
      <c r="E1264" s="109"/>
      <c r="F1264" s="109"/>
      <c r="G1264" s="109"/>
      <c r="H1264" s="109"/>
      <c r="I1264" s="109"/>
      <c r="J1264" s="109"/>
      <c r="K1264" s="109"/>
      <c r="L1264" s="109"/>
      <c r="M1264" s="109"/>
      <c r="N1264" s="109"/>
      <c r="O1264" s="109"/>
    </row>
    <row r="1265" spans="1:15" ht="17.25" customHeight="1">
      <c r="A1265" s="108"/>
      <c r="B1265" s="108"/>
      <c r="C1265" s="109"/>
      <c r="D1265" s="109"/>
      <c r="E1265" s="109"/>
      <c r="F1265" s="109"/>
      <c r="G1265" s="109"/>
      <c r="H1265" s="109"/>
      <c r="I1265" s="109"/>
      <c r="J1265" s="109"/>
      <c r="K1265" s="109"/>
      <c r="L1265" s="109"/>
      <c r="M1265" s="109"/>
      <c r="N1265" s="109"/>
      <c r="O1265" s="109"/>
    </row>
    <row r="1266" spans="1:15" ht="17.25" customHeight="1">
      <c r="A1266" s="108"/>
      <c r="B1266" s="108"/>
      <c r="C1266" s="109"/>
      <c r="D1266" s="109"/>
      <c r="E1266" s="109"/>
      <c r="F1266" s="109"/>
      <c r="G1266" s="109"/>
      <c r="H1266" s="109"/>
      <c r="I1266" s="109"/>
      <c r="J1266" s="109"/>
      <c r="K1266" s="109"/>
      <c r="L1266" s="109"/>
      <c r="M1266" s="109"/>
      <c r="N1266" s="109"/>
      <c r="O1266" s="109"/>
    </row>
    <row r="1267" spans="1:15" ht="17.25" customHeight="1">
      <c r="A1267" s="108"/>
      <c r="B1267" s="108"/>
      <c r="C1267" s="109"/>
      <c r="D1267" s="109"/>
      <c r="E1267" s="109"/>
      <c r="F1267" s="109"/>
      <c r="G1267" s="109"/>
      <c r="H1267" s="109"/>
      <c r="I1267" s="109"/>
      <c r="J1267" s="109"/>
      <c r="K1267" s="109"/>
      <c r="L1267" s="109"/>
      <c r="M1267" s="109"/>
      <c r="N1267" s="109"/>
      <c r="O1267" s="109"/>
    </row>
    <row r="1268" spans="1:15" ht="17.25" customHeight="1">
      <c r="A1268" s="108"/>
      <c r="B1268" s="108"/>
      <c r="C1268" s="109"/>
      <c r="D1268" s="109"/>
      <c r="E1268" s="109"/>
      <c r="F1268" s="109"/>
      <c r="G1268" s="109"/>
      <c r="H1268" s="109"/>
      <c r="I1268" s="109"/>
      <c r="J1268" s="109"/>
      <c r="K1268" s="109"/>
      <c r="L1268" s="109"/>
      <c r="M1268" s="109"/>
      <c r="N1268" s="109"/>
      <c r="O1268" s="109"/>
    </row>
    <row r="1269" spans="1:15" ht="17.25" customHeight="1">
      <c r="A1269" s="108"/>
      <c r="B1269" s="108"/>
      <c r="C1269" s="109"/>
      <c r="D1269" s="109"/>
      <c r="E1269" s="109"/>
      <c r="F1269" s="109"/>
      <c r="G1269" s="109"/>
      <c r="H1269" s="109"/>
      <c r="I1269" s="109"/>
      <c r="J1269" s="109"/>
      <c r="K1269" s="109"/>
      <c r="L1269" s="109"/>
      <c r="M1269" s="109"/>
      <c r="N1269" s="109"/>
      <c r="O1269" s="109"/>
    </row>
    <row r="1270" spans="1:15" ht="17.25" customHeight="1">
      <c r="A1270" s="108"/>
      <c r="B1270" s="108"/>
      <c r="C1270" s="109"/>
      <c r="D1270" s="109"/>
      <c r="E1270" s="109"/>
      <c r="F1270" s="109"/>
      <c r="G1270" s="109"/>
      <c r="H1270" s="109"/>
      <c r="I1270" s="109"/>
      <c r="J1270" s="109"/>
      <c r="K1270" s="109"/>
      <c r="L1270" s="109"/>
      <c r="M1270" s="109"/>
      <c r="N1270" s="109"/>
      <c r="O1270" s="109"/>
    </row>
    <row r="1271" spans="1:15" ht="17.25" customHeight="1">
      <c r="A1271" s="108"/>
      <c r="B1271" s="108"/>
      <c r="C1271" s="109"/>
      <c r="D1271" s="109"/>
      <c r="E1271" s="109"/>
      <c r="F1271" s="109"/>
      <c r="G1271" s="109"/>
      <c r="H1271" s="109"/>
      <c r="I1271" s="109"/>
      <c r="J1271" s="109"/>
      <c r="K1271" s="109"/>
      <c r="L1271" s="109"/>
      <c r="M1271" s="109"/>
      <c r="N1271" s="109"/>
      <c r="O1271" s="109"/>
    </row>
    <row r="1272" spans="1:15" ht="17.25" customHeight="1">
      <c r="A1272" s="108"/>
      <c r="B1272" s="108"/>
      <c r="C1272" s="109"/>
      <c r="D1272" s="109"/>
      <c r="E1272" s="109"/>
      <c r="F1272" s="109"/>
      <c r="G1272" s="109"/>
      <c r="H1272" s="109"/>
      <c r="I1272" s="109"/>
      <c r="J1272" s="109"/>
      <c r="K1272" s="109"/>
      <c r="L1272" s="109"/>
      <c r="M1272" s="109"/>
      <c r="N1272" s="109"/>
      <c r="O1272" s="109"/>
    </row>
    <row r="1273" spans="1:15" ht="17.25" customHeight="1">
      <c r="A1273" s="108"/>
      <c r="B1273" s="108"/>
      <c r="C1273" s="109"/>
      <c r="D1273" s="109"/>
      <c r="E1273" s="109"/>
      <c r="F1273" s="109"/>
      <c r="G1273" s="109"/>
      <c r="H1273" s="109"/>
      <c r="I1273" s="109"/>
      <c r="J1273" s="109"/>
      <c r="K1273" s="109"/>
      <c r="L1273" s="109"/>
      <c r="M1273" s="109"/>
      <c r="N1273" s="109"/>
      <c r="O1273" s="109"/>
    </row>
    <row r="1274" spans="1:15" ht="17.25" customHeight="1">
      <c r="A1274" s="108"/>
      <c r="B1274" s="108"/>
      <c r="C1274" s="109"/>
      <c r="D1274" s="109"/>
      <c r="E1274" s="109"/>
      <c r="F1274" s="109"/>
      <c r="G1274" s="109"/>
      <c r="H1274" s="109"/>
      <c r="I1274" s="109"/>
      <c r="J1274" s="109"/>
      <c r="K1274" s="109"/>
      <c r="L1274" s="109"/>
      <c r="M1274" s="109"/>
      <c r="N1274" s="109"/>
      <c r="O1274" s="109"/>
    </row>
    <row r="1275" spans="1:15" ht="17.25" customHeight="1">
      <c r="A1275" s="108"/>
      <c r="B1275" s="108"/>
      <c r="C1275" s="109"/>
      <c r="D1275" s="109"/>
      <c r="E1275" s="109"/>
      <c r="F1275" s="109"/>
      <c r="G1275" s="109"/>
      <c r="H1275" s="109"/>
      <c r="I1275" s="109"/>
      <c r="J1275" s="109"/>
      <c r="K1275" s="109"/>
      <c r="L1275" s="109"/>
      <c r="M1275" s="109"/>
      <c r="N1275" s="109"/>
      <c r="O1275" s="109"/>
    </row>
    <row r="1276" spans="1:15" ht="17.25" customHeight="1">
      <c r="A1276" s="108"/>
      <c r="B1276" s="108"/>
      <c r="C1276" s="109"/>
      <c r="D1276" s="109"/>
      <c r="E1276" s="109"/>
      <c r="F1276" s="109"/>
      <c r="G1276" s="109"/>
      <c r="H1276" s="109"/>
      <c r="I1276" s="109"/>
      <c r="J1276" s="109"/>
      <c r="K1276" s="109"/>
      <c r="L1276" s="109"/>
      <c r="M1276" s="109"/>
      <c r="N1276" s="109"/>
      <c r="O1276" s="109"/>
    </row>
    <row r="1277" spans="1:15" ht="17.25" customHeight="1">
      <c r="A1277" s="108"/>
      <c r="B1277" s="108"/>
      <c r="C1277" s="109"/>
      <c r="D1277" s="109"/>
      <c r="E1277" s="109"/>
      <c r="F1277" s="109"/>
      <c r="G1277" s="109"/>
      <c r="H1277" s="109"/>
      <c r="I1277" s="109"/>
      <c r="J1277" s="109"/>
      <c r="K1277" s="109"/>
      <c r="L1277" s="109"/>
      <c r="M1277" s="109"/>
      <c r="N1277" s="109"/>
      <c r="O1277" s="109"/>
    </row>
    <row r="1278" spans="1:15" ht="17.25" customHeight="1">
      <c r="A1278" s="108"/>
      <c r="B1278" s="108"/>
      <c r="C1278" s="109"/>
      <c r="D1278" s="109"/>
      <c r="E1278" s="109"/>
      <c r="F1278" s="109"/>
      <c r="G1278" s="109"/>
      <c r="H1278" s="109"/>
      <c r="I1278" s="109"/>
      <c r="J1278" s="109"/>
      <c r="K1278" s="109"/>
      <c r="L1278" s="109"/>
      <c r="M1278" s="109"/>
      <c r="N1278" s="109"/>
      <c r="O1278" s="109"/>
    </row>
    <row r="1279" spans="1:15" ht="17.25" customHeight="1">
      <c r="A1279" s="108"/>
      <c r="B1279" s="108"/>
      <c r="C1279" s="109"/>
      <c r="D1279" s="109"/>
      <c r="E1279" s="109"/>
      <c r="F1279" s="109"/>
      <c r="G1279" s="109"/>
      <c r="H1279" s="109"/>
      <c r="I1279" s="109"/>
      <c r="J1279" s="109"/>
      <c r="K1279" s="109"/>
      <c r="L1279" s="109"/>
      <c r="M1279" s="109"/>
      <c r="N1279" s="109"/>
      <c r="O1279" s="109"/>
    </row>
    <row r="1280" spans="1:15" ht="17.25" customHeight="1">
      <c r="A1280" s="108"/>
      <c r="B1280" s="108"/>
      <c r="C1280" s="109"/>
      <c r="D1280" s="109"/>
      <c r="E1280" s="109"/>
      <c r="F1280" s="109"/>
      <c r="G1280" s="109"/>
      <c r="H1280" s="109"/>
      <c r="I1280" s="109"/>
      <c r="J1280" s="109"/>
      <c r="K1280" s="109"/>
      <c r="L1280" s="109"/>
      <c r="M1280" s="109"/>
      <c r="N1280" s="109"/>
      <c r="O1280" s="109"/>
    </row>
    <row r="1281" spans="1:15" ht="17.25" customHeight="1">
      <c r="A1281" s="108"/>
      <c r="B1281" s="108"/>
      <c r="C1281" s="109"/>
      <c r="D1281" s="109"/>
      <c r="E1281" s="109"/>
      <c r="F1281" s="109"/>
      <c r="G1281" s="109"/>
      <c r="H1281" s="109"/>
      <c r="I1281" s="109"/>
      <c r="J1281" s="109"/>
      <c r="K1281" s="109"/>
      <c r="L1281" s="109"/>
      <c r="M1281" s="109"/>
      <c r="N1281" s="109"/>
      <c r="O1281" s="109"/>
    </row>
    <row r="1282" spans="1:15" ht="17.25" customHeight="1">
      <c r="A1282" s="108"/>
      <c r="B1282" s="108"/>
      <c r="C1282" s="109"/>
      <c r="D1282" s="109"/>
      <c r="E1282" s="109"/>
      <c r="F1282" s="109"/>
      <c r="G1282" s="109"/>
      <c r="H1282" s="109"/>
      <c r="I1282" s="109"/>
      <c r="J1282" s="109"/>
      <c r="K1282" s="109"/>
      <c r="L1282" s="109"/>
      <c r="M1282" s="109"/>
      <c r="N1282" s="109"/>
      <c r="O1282" s="109"/>
    </row>
    <row r="1283" spans="1:15" ht="17.25" customHeight="1">
      <c r="A1283" s="108"/>
      <c r="B1283" s="108"/>
      <c r="C1283" s="109"/>
      <c r="D1283" s="109"/>
      <c r="E1283" s="109"/>
      <c r="F1283" s="109"/>
      <c r="G1283" s="109"/>
      <c r="H1283" s="109"/>
      <c r="I1283" s="109"/>
      <c r="J1283" s="109"/>
      <c r="K1283" s="109"/>
      <c r="L1283" s="109"/>
      <c r="M1283" s="109"/>
      <c r="N1283" s="109"/>
      <c r="O1283" s="109"/>
    </row>
    <row r="1284" spans="1:15" ht="17.25" customHeight="1">
      <c r="A1284" s="108"/>
      <c r="B1284" s="108"/>
      <c r="C1284" s="109"/>
      <c r="D1284" s="109"/>
      <c r="E1284" s="109"/>
      <c r="F1284" s="109"/>
      <c r="G1284" s="109"/>
      <c r="H1284" s="109"/>
      <c r="I1284" s="109"/>
      <c r="J1284" s="109"/>
      <c r="K1284" s="109"/>
      <c r="L1284" s="109"/>
      <c r="M1284" s="109"/>
      <c r="N1284" s="109"/>
      <c r="O1284" s="109"/>
    </row>
    <row r="1285" spans="1:15" ht="17.25" customHeight="1">
      <c r="A1285" s="108"/>
      <c r="B1285" s="108"/>
      <c r="C1285" s="109"/>
      <c r="D1285" s="109"/>
      <c r="E1285" s="109"/>
      <c r="F1285" s="109"/>
      <c r="G1285" s="109"/>
      <c r="H1285" s="109"/>
      <c r="I1285" s="109"/>
      <c r="J1285" s="109"/>
      <c r="K1285" s="109"/>
      <c r="L1285" s="109"/>
      <c r="M1285" s="109"/>
      <c r="N1285" s="109"/>
      <c r="O1285" s="109"/>
    </row>
    <row r="1286" spans="1:15" ht="17.25" customHeight="1">
      <c r="A1286" s="108"/>
      <c r="B1286" s="108"/>
      <c r="C1286" s="109"/>
      <c r="D1286" s="109"/>
      <c r="E1286" s="109"/>
      <c r="F1286" s="109"/>
      <c r="G1286" s="109"/>
      <c r="H1286" s="109"/>
      <c r="I1286" s="109"/>
      <c r="J1286" s="109"/>
      <c r="K1286" s="109"/>
      <c r="L1286" s="109"/>
      <c r="M1286" s="109"/>
      <c r="N1286" s="109"/>
      <c r="O1286" s="109"/>
    </row>
    <row r="1287" spans="1:15" ht="17.25" customHeight="1">
      <c r="A1287" s="108"/>
      <c r="B1287" s="108"/>
      <c r="C1287" s="109"/>
      <c r="D1287" s="109"/>
      <c r="E1287" s="109"/>
      <c r="F1287" s="109"/>
      <c r="G1287" s="109"/>
      <c r="H1287" s="109"/>
      <c r="I1287" s="109"/>
      <c r="J1287" s="109"/>
      <c r="K1287" s="109"/>
      <c r="L1287" s="109"/>
      <c r="M1287" s="109"/>
      <c r="N1287" s="109"/>
      <c r="O1287" s="109"/>
    </row>
    <row r="1288" spans="1:15" ht="17.25" customHeight="1">
      <c r="A1288" s="108"/>
      <c r="B1288" s="108"/>
      <c r="C1288" s="109"/>
      <c r="D1288" s="109"/>
      <c r="E1288" s="109"/>
      <c r="F1288" s="109"/>
      <c r="G1288" s="109"/>
      <c r="H1288" s="109"/>
      <c r="I1288" s="109"/>
      <c r="J1288" s="109"/>
      <c r="K1288" s="109"/>
      <c r="L1288" s="109"/>
      <c r="M1288" s="109"/>
      <c r="N1288" s="109"/>
      <c r="O1288" s="109"/>
    </row>
    <row r="1289" spans="1:15" ht="17.25" customHeight="1">
      <c r="A1289" s="108"/>
      <c r="B1289" s="108"/>
      <c r="C1289" s="109"/>
      <c r="D1289" s="109"/>
      <c r="E1289" s="109"/>
      <c r="F1289" s="109"/>
      <c r="G1289" s="109"/>
      <c r="H1289" s="109"/>
      <c r="I1289" s="109"/>
      <c r="J1289" s="109"/>
      <c r="K1289" s="109"/>
      <c r="L1289" s="109"/>
      <c r="M1289" s="109"/>
      <c r="N1289" s="109"/>
      <c r="O1289" s="109"/>
    </row>
    <row r="1290" spans="1:15" ht="17.25" customHeight="1">
      <c r="A1290" s="108"/>
      <c r="B1290" s="108"/>
      <c r="C1290" s="109"/>
      <c r="D1290" s="109"/>
      <c r="E1290" s="109"/>
      <c r="F1290" s="109"/>
      <c r="G1290" s="109"/>
      <c r="H1290" s="109"/>
      <c r="I1290" s="109"/>
      <c r="J1290" s="109"/>
      <c r="K1290" s="109"/>
      <c r="L1290" s="109"/>
      <c r="M1290" s="109"/>
      <c r="N1290" s="109"/>
      <c r="O1290" s="109"/>
    </row>
    <row r="1291" spans="1:15" ht="17.25" customHeight="1">
      <c r="A1291" s="108"/>
      <c r="B1291" s="108"/>
      <c r="C1291" s="109"/>
      <c r="D1291" s="109"/>
      <c r="E1291" s="109"/>
      <c r="F1291" s="109"/>
      <c r="G1291" s="109"/>
      <c r="H1291" s="109"/>
      <c r="I1291" s="109"/>
      <c r="J1291" s="109"/>
      <c r="K1291" s="109"/>
      <c r="L1291" s="109"/>
      <c r="M1291" s="109"/>
      <c r="N1291" s="109"/>
      <c r="O1291" s="109"/>
    </row>
    <row r="1292" spans="1:15" ht="17.25" customHeight="1">
      <c r="A1292" s="108"/>
      <c r="B1292" s="108"/>
      <c r="C1292" s="109"/>
      <c r="D1292" s="109"/>
      <c r="E1292" s="109"/>
      <c r="F1292" s="109"/>
      <c r="G1292" s="109"/>
      <c r="H1292" s="109"/>
      <c r="I1292" s="109"/>
      <c r="J1292" s="109"/>
      <c r="K1292" s="109"/>
      <c r="L1292" s="109"/>
      <c r="M1292" s="109"/>
      <c r="N1292" s="109"/>
      <c r="O1292" s="109"/>
    </row>
    <row r="1293" spans="1:15" ht="17.25" customHeight="1">
      <c r="A1293" s="108"/>
      <c r="B1293" s="108"/>
      <c r="C1293" s="109"/>
      <c r="D1293" s="109"/>
      <c r="E1293" s="109"/>
      <c r="F1293" s="109"/>
      <c r="G1293" s="109"/>
      <c r="H1293" s="109"/>
      <c r="I1293" s="109"/>
      <c r="J1293" s="109"/>
      <c r="K1293" s="109"/>
      <c r="L1293" s="109"/>
      <c r="M1293" s="109"/>
      <c r="N1293" s="109"/>
      <c r="O1293" s="109"/>
    </row>
    <row r="1294" spans="1:15" ht="17.25" customHeight="1">
      <c r="A1294" s="108"/>
      <c r="B1294" s="108"/>
      <c r="C1294" s="109"/>
      <c r="D1294" s="109"/>
      <c r="E1294" s="109"/>
      <c r="F1294" s="109"/>
      <c r="G1294" s="109"/>
      <c r="H1294" s="109"/>
      <c r="I1294" s="109"/>
      <c r="J1294" s="109"/>
      <c r="K1294" s="109"/>
      <c r="L1294" s="109"/>
      <c r="M1294" s="109"/>
      <c r="N1294" s="109"/>
      <c r="O1294" s="109"/>
    </row>
    <row r="1295" spans="1:15" ht="17.25" customHeight="1">
      <c r="A1295" s="108"/>
      <c r="B1295" s="108"/>
      <c r="C1295" s="109"/>
      <c r="D1295" s="109"/>
      <c r="E1295" s="109"/>
      <c r="F1295" s="109"/>
      <c r="G1295" s="109"/>
      <c r="H1295" s="109"/>
      <c r="I1295" s="109"/>
      <c r="J1295" s="109"/>
      <c r="K1295" s="109"/>
      <c r="L1295" s="109"/>
      <c r="M1295" s="109"/>
      <c r="N1295" s="109"/>
      <c r="O1295" s="109"/>
    </row>
    <row r="1296" spans="1:15" ht="17.25" customHeight="1">
      <c r="A1296" s="108"/>
      <c r="B1296" s="108"/>
      <c r="C1296" s="109"/>
      <c r="D1296" s="109"/>
      <c r="E1296" s="109"/>
      <c r="F1296" s="109"/>
      <c r="G1296" s="109"/>
      <c r="H1296" s="109"/>
      <c r="I1296" s="109"/>
      <c r="J1296" s="109"/>
      <c r="K1296" s="109"/>
      <c r="L1296" s="109"/>
      <c r="M1296" s="109"/>
      <c r="N1296" s="109"/>
      <c r="O1296" s="109"/>
    </row>
    <row r="1297" spans="1:15" ht="17.25" customHeight="1">
      <c r="A1297" s="108"/>
      <c r="B1297" s="108"/>
      <c r="C1297" s="109"/>
      <c r="D1297" s="109"/>
      <c r="E1297" s="109"/>
      <c r="F1297" s="109"/>
      <c r="G1297" s="109"/>
      <c r="H1297" s="109"/>
      <c r="I1297" s="109"/>
      <c r="J1297" s="109"/>
      <c r="K1297" s="109"/>
      <c r="L1297" s="109"/>
      <c r="M1297" s="109"/>
      <c r="N1297" s="109"/>
      <c r="O1297" s="109"/>
    </row>
    <row r="1298" spans="1:15" ht="17.25" customHeight="1">
      <c r="A1298" s="108"/>
      <c r="B1298" s="108"/>
      <c r="C1298" s="109"/>
      <c r="D1298" s="109"/>
      <c r="E1298" s="109"/>
      <c r="F1298" s="109"/>
      <c r="G1298" s="109"/>
      <c r="H1298" s="109"/>
      <c r="I1298" s="109"/>
      <c r="J1298" s="109"/>
      <c r="K1298" s="109"/>
      <c r="L1298" s="109"/>
      <c r="M1298" s="109"/>
      <c r="N1298" s="109"/>
      <c r="O1298" s="109"/>
    </row>
    <row r="1299" spans="1:15" ht="17.25" customHeight="1">
      <c r="A1299" s="108"/>
      <c r="B1299" s="108"/>
      <c r="C1299" s="109"/>
      <c r="D1299" s="109"/>
      <c r="E1299" s="109"/>
      <c r="F1299" s="109"/>
      <c r="G1299" s="109"/>
      <c r="H1299" s="109"/>
      <c r="I1299" s="109"/>
      <c r="J1299" s="109"/>
      <c r="K1299" s="109"/>
      <c r="L1299" s="109"/>
      <c r="M1299" s="109"/>
      <c r="N1299" s="109"/>
      <c r="O1299" s="109"/>
    </row>
    <row r="1300" spans="1:15" ht="17.25" customHeight="1">
      <c r="A1300" s="108"/>
      <c r="B1300" s="108"/>
      <c r="C1300" s="109"/>
      <c r="D1300" s="109"/>
      <c r="E1300" s="109"/>
      <c r="F1300" s="109"/>
      <c r="G1300" s="109"/>
      <c r="H1300" s="109"/>
      <c r="I1300" s="109"/>
      <c r="J1300" s="109"/>
      <c r="K1300" s="109"/>
      <c r="L1300" s="109"/>
      <c r="M1300" s="109"/>
      <c r="N1300" s="109"/>
      <c r="O1300" s="109"/>
    </row>
    <row r="1301" spans="1:15" ht="17.25" customHeight="1">
      <c r="A1301" s="108"/>
      <c r="B1301" s="108"/>
      <c r="C1301" s="109"/>
      <c r="D1301" s="109"/>
      <c r="E1301" s="109"/>
      <c r="F1301" s="109"/>
      <c r="G1301" s="109"/>
      <c r="H1301" s="109"/>
      <c r="I1301" s="109"/>
      <c r="J1301" s="109"/>
      <c r="K1301" s="109"/>
      <c r="L1301" s="109"/>
      <c r="M1301" s="109"/>
      <c r="N1301" s="109"/>
      <c r="O1301" s="109"/>
    </row>
    <row r="1302" spans="1:15" ht="17.25" customHeight="1">
      <c r="A1302" s="108"/>
      <c r="B1302" s="108"/>
      <c r="C1302" s="109"/>
      <c r="D1302" s="109"/>
      <c r="E1302" s="109"/>
      <c r="F1302" s="109"/>
      <c r="G1302" s="109"/>
      <c r="H1302" s="109"/>
      <c r="I1302" s="109"/>
      <c r="J1302" s="109"/>
      <c r="K1302" s="109"/>
      <c r="L1302" s="109"/>
      <c r="M1302" s="109"/>
      <c r="N1302" s="109"/>
      <c r="O1302" s="109"/>
    </row>
    <row r="1303" spans="1:15" ht="17.25" customHeight="1">
      <c r="A1303" s="108"/>
      <c r="B1303" s="108"/>
      <c r="C1303" s="109"/>
      <c r="D1303" s="109"/>
      <c r="E1303" s="109"/>
      <c r="F1303" s="109"/>
      <c r="G1303" s="109"/>
      <c r="H1303" s="109"/>
      <c r="I1303" s="109"/>
      <c r="J1303" s="109"/>
      <c r="K1303" s="109"/>
      <c r="L1303" s="109"/>
      <c r="M1303" s="109"/>
      <c r="N1303" s="109"/>
      <c r="O1303" s="109"/>
    </row>
    <row r="1304" spans="1:15" ht="17.25" customHeight="1">
      <c r="A1304" s="108"/>
      <c r="B1304" s="108"/>
      <c r="C1304" s="109"/>
      <c r="D1304" s="109"/>
      <c r="E1304" s="109"/>
      <c r="F1304" s="109"/>
      <c r="G1304" s="109"/>
      <c r="H1304" s="109"/>
      <c r="I1304" s="109"/>
      <c r="J1304" s="109"/>
      <c r="K1304" s="109"/>
      <c r="L1304" s="109"/>
      <c r="M1304" s="109"/>
      <c r="N1304" s="109"/>
      <c r="O1304" s="109"/>
    </row>
    <row r="1305" spans="1:15" ht="17.25" customHeight="1">
      <c r="A1305" s="108"/>
      <c r="B1305" s="108"/>
      <c r="C1305" s="109"/>
      <c r="D1305" s="109"/>
      <c r="E1305" s="109"/>
      <c r="F1305" s="109"/>
      <c r="G1305" s="109"/>
      <c r="H1305" s="109"/>
      <c r="I1305" s="109"/>
      <c r="J1305" s="109"/>
      <c r="K1305" s="109"/>
      <c r="L1305" s="109"/>
      <c r="M1305" s="109"/>
      <c r="N1305" s="109"/>
      <c r="O1305" s="109"/>
    </row>
    <row r="1306" spans="1:15" ht="17.25" customHeight="1">
      <c r="A1306" s="108"/>
      <c r="B1306" s="108"/>
      <c r="C1306" s="109"/>
      <c r="D1306" s="109"/>
      <c r="E1306" s="109"/>
      <c r="F1306" s="109"/>
      <c r="G1306" s="109"/>
      <c r="H1306" s="109"/>
      <c r="I1306" s="109"/>
      <c r="J1306" s="109"/>
      <c r="K1306" s="109"/>
      <c r="L1306" s="109"/>
      <c r="M1306" s="109"/>
      <c r="N1306" s="109"/>
      <c r="O1306" s="109"/>
    </row>
    <row r="1307" spans="1:15" ht="17.25" customHeight="1">
      <c r="A1307" s="108"/>
      <c r="B1307" s="108"/>
      <c r="C1307" s="109"/>
      <c r="D1307" s="109"/>
      <c r="E1307" s="109"/>
      <c r="F1307" s="109"/>
      <c r="G1307" s="109"/>
      <c r="H1307" s="109"/>
      <c r="I1307" s="109"/>
      <c r="J1307" s="109"/>
      <c r="K1307" s="109"/>
      <c r="L1307" s="109"/>
      <c r="M1307" s="109"/>
      <c r="N1307" s="109"/>
      <c r="O1307" s="109"/>
    </row>
    <row r="1308" spans="1:15" ht="17.25" customHeight="1">
      <c r="A1308" s="108"/>
      <c r="B1308" s="108"/>
      <c r="C1308" s="109"/>
      <c r="D1308" s="109"/>
      <c r="E1308" s="109"/>
      <c r="F1308" s="109"/>
      <c r="G1308" s="109"/>
      <c r="H1308" s="109"/>
      <c r="I1308" s="109"/>
      <c r="J1308" s="109"/>
      <c r="K1308" s="109"/>
      <c r="L1308" s="109"/>
      <c r="M1308" s="109"/>
      <c r="N1308" s="109"/>
      <c r="O1308" s="109"/>
    </row>
    <row r="1309" spans="1:15" ht="17.25" customHeight="1">
      <c r="A1309" s="108"/>
      <c r="B1309" s="108"/>
      <c r="C1309" s="109"/>
      <c r="D1309" s="109"/>
      <c r="E1309" s="109"/>
      <c r="F1309" s="109"/>
      <c r="G1309" s="109"/>
      <c r="H1309" s="109"/>
      <c r="I1309" s="109"/>
      <c r="J1309" s="109"/>
      <c r="K1309" s="109"/>
      <c r="L1309" s="109"/>
      <c r="M1309" s="109"/>
      <c r="N1309" s="109"/>
      <c r="O1309" s="109"/>
    </row>
    <row r="1310" spans="1:15" ht="17.25" customHeight="1">
      <c r="A1310" s="108"/>
      <c r="B1310" s="108"/>
      <c r="C1310" s="109"/>
      <c r="D1310" s="109"/>
      <c r="E1310" s="109"/>
      <c r="F1310" s="109"/>
      <c r="G1310" s="109"/>
      <c r="H1310" s="109"/>
      <c r="I1310" s="109"/>
      <c r="J1310" s="109"/>
      <c r="K1310" s="109"/>
      <c r="L1310" s="109"/>
      <c r="M1310" s="109"/>
      <c r="N1310" s="109"/>
      <c r="O1310" s="109"/>
    </row>
    <row r="1311" spans="1:15" ht="17.25" customHeight="1">
      <c r="A1311" s="108"/>
      <c r="B1311" s="108"/>
      <c r="C1311" s="109"/>
      <c r="D1311" s="109"/>
      <c r="E1311" s="109"/>
      <c r="F1311" s="109"/>
      <c r="G1311" s="109"/>
      <c r="H1311" s="109"/>
      <c r="I1311" s="109"/>
      <c r="J1311" s="109"/>
      <c r="K1311" s="109"/>
      <c r="L1311" s="109"/>
      <c r="M1311" s="109"/>
      <c r="N1311" s="109"/>
      <c r="O1311" s="109"/>
    </row>
    <row r="1312" spans="1:15" ht="17.25" customHeight="1">
      <c r="A1312" s="108"/>
      <c r="B1312" s="108"/>
      <c r="C1312" s="109"/>
      <c r="D1312" s="109"/>
      <c r="E1312" s="109"/>
      <c r="F1312" s="109"/>
      <c r="G1312" s="109"/>
      <c r="H1312" s="109"/>
      <c r="I1312" s="109"/>
      <c r="J1312" s="109"/>
      <c r="K1312" s="109"/>
      <c r="L1312" s="109"/>
      <c r="M1312" s="109"/>
      <c r="N1312" s="109"/>
      <c r="O1312" s="109"/>
    </row>
    <row r="1313" spans="1:15" ht="17.25" customHeight="1">
      <c r="A1313" s="108"/>
      <c r="B1313" s="108"/>
      <c r="C1313" s="109"/>
      <c r="D1313" s="109"/>
      <c r="E1313" s="109"/>
      <c r="F1313" s="109"/>
      <c r="G1313" s="109"/>
      <c r="H1313" s="109"/>
      <c r="I1313" s="109"/>
      <c r="J1313" s="109"/>
      <c r="K1313" s="109"/>
      <c r="L1313" s="109"/>
      <c r="M1313" s="109"/>
      <c r="N1313" s="109"/>
      <c r="O1313" s="109"/>
    </row>
    <row r="1314" spans="1:15" ht="17.25" customHeight="1">
      <c r="A1314" s="108"/>
      <c r="B1314" s="108"/>
      <c r="C1314" s="109"/>
      <c r="D1314" s="109"/>
      <c r="E1314" s="109"/>
      <c r="F1314" s="109"/>
      <c r="G1314" s="109"/>
      <c r="H1314" s="109"/>
      <c r="I1314" s="109"/>
      <c r="J1314" s="109"/>
      <c r="K1314" s="109"/>
      <c r="L1314" s="109"/>
      <c r="M1314" s="109"/>
      <c r="N1314" s="109"/>
      <c r="O1314" s="109"/>
    </row>
    <row r="1315" spans="1:15" ht="17.25" customHeight="1">
      <c r="A1315" s="108"/>
      <c r="B1315" s="108"/>
      <c r="C1315" s="109"/>
      <c r="D1315" s="109"/>
      <c r="E1315" s="109"/>
      <c r="F1315" s="109"/>
      <c r="G1315" s="109"/>
      <c r="H1315" s="109"/>
      <c r="I1315" s="109"/>
      <c r="J1315" s="109"/>
      <c r="K1315" s="109"/>
      <c r="L1315" s="109"/>
      <c r="M1315" s="109"/>
      <c r="N1315" s="109"/>
      <c r="O1315" s="109"/>
    </row>
    <row r="1316" spans="1:15" ht="17.25" customHeight="1">
      <c r="A1316" s="108"/>
      <c r="B1316" s="108"/>
      <c r="C1316" s="109"/>
      <c r="D1316" s="109"/>
      <c r="E1316" s="109"/>
      <c r="F1316" s="109"/>
      <c r="G1316" s="109"/>
      <c r="H1316" s="109"/>
      <c r="I1316" s="109"/>
      <c r="J1316" s="109"/>
      <c r="K1316" s="109"/>
      <c r="L1316" s="109"/>
      <c r="M1316" s="109"/>
      <c r="N1316" s="109"/>
      <c r="O1316" s="109"/>
    </row>
    <row r="1317" spans="1:15" ht="17.25" customHeight="1">
      <c r="A1317" s="108"/>
      <c r="B1317" s="108"/>
      <c r="C1317" s="109"/>
      <c r="D1317" s="109"/>
      <c r="E1317" s="109"/>
      <c r="F1317" s="109"/>
      <c r="G1317" s="109"/>
      <c r="H1317" s="109"/>
      <c r="I1317" s="109"/>
      <c r="J1317" s="109"/>
      <c r="K1317" s="109"/>
      <c r="L1317" s="109"/>
      <c r="M1317" s="109"/>
      <c r="N1317" s="109"/>
      <c r="O1317" s="109"/>
    </row>
    <row r="1318" spans="1:15" ht="17.25" customHeight="1">
      <c r="A1318" s="108"/>
      <c r="B1318" s="108"/>
      <c r="C1318" s="109"/>
      <c r="D1318" s="109"/>
      <c r="E1318" s="109"/>
      <c r="F1318" s="109"/>
      <c r="G1318" s="109"/>
      <c r="H1318" s="109"/>
      <c r="I1318" s="109"/>
      <c r="J1318" s="109"/>
      <c r="K1318" s="109"/>
      <c r="L1318" s="109"/>
      <c r="M1318" s="109"/>
      <c r="N1318" s="109"/>
      <c r="O1318" s="109"/>
    </row>
    <row r="1319" spans="1:15" ht="17.25" customHeight="1">
      <c r="A1319" s="108"/>
      <c r="B1319" s="108"/>
      <c r="C1319" s="109"/>
      <c r="D1319" s="109"/>
      <c r="E1319" s="109"/>
      <c r="F1319" s="109"/>
      <c r="G1319" s="109"/>
      <c r="H1319" s="109"/>
      <c r="I1319" s="109"/>
      <c r="J1319" s="109"/>
      <c r="K1319" s="109"/>
      <c r="L1319" s="109"/>
      <c r="M1319" s="109"/>
      <c r="N1319" s="109"/>
      <c r="O1319" s="109"/>
    </row>
    <row r="1320" spans="1:15" ht="17.25" customHeight="1">
      <c r="A1320" s="108"/>
      <c r="B1320" s="108"/>
      <c r="C1320" s="109"/>
      <c r="D1320" s="109"/>
      <c r="E1320" s="109"/>
      <c r="F1320" s="109"/>
      <c r="G1320" s="109"/>
      <c r="H1320" s="109"/>
      <c r="I1320" s="109"/>
      <c r="J1320" s="109"/>
      <c r="K1320" s="109"/>
      <c r="L1320" s="109"/>
      <c r="M1320" s="109"/>
      <c r="N1320" s="109"/>
      <c r="O1320" s="109"/>
    </row>
    <row r="1321" spans="1:15" ht="17.25" customHeight="1">
      <c r="A1321" s="108"/>
      <c r="B1321" s="108"/>
      <c r="C1321" s="109"/>
      <c r="D1321" s="109"/>
      <c r="E1321" s="109"/>
      <c r="F1321" s="109"/>
      <c r="G1321" s="109"/>
      <c r="H1321" s="109"/>
      <c r="I1321" s="109"/>
      <c r="J1321" s="109"/>
      <c r="K1321" s="109"/>
      <c r="L1321" s="109"/>
      <c r="M1321" s="109"/>
      <c r="N1321" s="109"/>
      <c r="O1321" s="109"/>
    </row>
    <row r="1322" spans="1:15" ht="17.25" customHeight="1">
      <c r="A1322" s="108"/>
      <c r="B1322" s="108"/>
      <c r="C1322" s="109"/>
      <c r="D1322" s="109"/>
      <c r="E1322" s="109"/>
      <c r="F1322" s="109"/>
      <c r="G1322" s="109"/>
      <c r="H1322" s="109"/>
      <c r="I1322" s="109"/>
      <c r="J1322" s="109"/>
      <c r="K1322" s="109"/>
      <c r="L1322" s="109"/>
      <c r="M1322" s="109"/>
      <c r="N1322" s="109"/>
      <c r="O1322" s="109"/>
    </row>
    <row r="1323" spans="1:15" ht="17.25" customHeight="1">
      <c r="A1323" s="108"/>
      <c r="B1323" s="108"/>
      <c r="C1323" s="109"/>
      <c r="D1323" s="109"/>
      <c r="E1323" s="109"/>
      <c r="F1323" s="109"/>
      <c r="G1323" s="109"/>
      <c r="H1323" s="109"/>
      <c r="I1323" s="109"/>
      <c r="J1323" s="109"/>
      <c r="K1323" s="109"/>
      <c r="L1323" s="109"/>
      <c r="M1323" s="109"/>
      <c r="N1323" s="109"/>
      <c r="O1323" s="109"/>
    </row>
    <row r="1324" spans="1:15" ht="17.25" customHeight="1">
      <c r="A1324" s="108"/>
      <c r="B1324" s="108"/>
      <c r="C1324" s="109"/>
      <c r="D1324" s="109"/>
      <c r="E1324" s="109"/>
      <c r="F1324" s="109"/>
      <c r="G1324" s="109"/>
      <c r="H1324" s="109"/>
      <c r="I1324" s="109"/>
      <c r="J1324" s="109"/>
      <c r="K1324" s="109"/>
      <c r="L1324" s="109"/>
      <c r="M1324" s="109"/>
      <c r="N1324" s="109"/>
      <c r="O1324" s="109"/>
    </row>
    <row r="1325" spans="1:15" ht="17.25" customHeight="1">
      <c r="A1325" s="108"/>
      <c r="B1325" s="108"/>
      <c r="C1325" s="109"/>
      <c r="D1325" s="109"/>
      <c r="E1325" s="109"/>
      <c r="F1325" s="109"/>
      <c r="G1325" s="109"/>
      <c r="H1325" s="109"/>
      <c r="I1325" s="109"/>
      <c r="J1325" s="109"/>
      <c r="K1325" s="109"/>
      <c r="L1325" s="109"/>
      <c r="M1325" s="109"/>
      <c r="N1325" s="109"/>
      <c r="O1325" s="109"/>
    </row>
    <row r="1326" spans="1:15" ht="17.25" customHeight="1">
      <c r="A1326" s="108"/>
      <c r="B1326" s="108"/>
      <c r="C1326" s="109"/>
      <c r="D1326" s="109"/>
      <c r="E1326" s="109"/>
      <c r="F1326" s="109"/>
      <c r="G1326" s="109"/>
      <c r="H1326" s="109"/>
      <c r="I1326" s="109"/>
      <c r="J1326" s="109"/>
      <c r="K1326" s="109"/>
      <c r="L1326" s="109"/>
      <c r="M1326" s="109"/>
      <c r="N1326" s="109"/>
      <c r="O1326" s="109"/>
    </row>
    <row r="1327" spans="1:15" ht="17.25" customHeight="1">
      <c r="A1327" s="108"/>
      <c r="B1327" s="108"/>
      <c r="C1327" s="109"/>
      <c r="D1327" s="109"/>
      <c r="E1327" s="109"/>
      <c r="F1327" s="109"/>
      <c r="G1327" s="109"/>
      <c r="H1327" s="109"/>
      <c r="I1327" s="109"/>
      <c r="J1327" s="109"/>
      <c r="K1327" s="109"/>
      <c r="L1327" s="109"/>
      <c r="M1327" s="109"/>
      <c r="N1327" s="109"/>
      <c r="O1327" s="109"/>
    </row>
    <row r="1328" spans="1:15" ht="17.25" customHeight="1">
      <c r="A1328" s="108"/>
      <c r="B1328" s="108"/>
      <c r="C1328" s="109"/>
      <c r="D1328" s="109"/>
      <c r="E1328" s="109"/>
      <c r="F1328" s="109"/>
      <c r="G1328" s="109"/>
      <c r="H1328" s="109"/>
      <c r="I1328" s="109"/>
      <c r="J1328" s="109"/>
      <c r="K1328" s="109"/>
      <c r="L1328" s="109"/>
      <c r="M1328" s="109"/>
      <c r="N1328" s="109"/>
      <c r="O1328" s="109"/>
    </row>
    <row r="1329" spans="1:15" ht="17.25" customHeight="1">
      <c r="A1329" s="108"/>
      <c r="B1329" s="108"/>
      <c r="C1329" s="109"/>
      <c r="D1329" s="109"/>
      <c r="E1329" s="109"/>
      <c r="F1329" s="109"/>
      <c r="G1329" s="109"/>
      <c r="H1329" s="109"/>
      <c r="I1329" s="109"/>
      <c r="J1329" s="109"/>
      <c r="K1329" s="109"/>
      <c r="L1329" s="109"/>
      <c r="M1329" s="109"/>
      <c r="N1329" s="109"/>
      <c r="O1329" s="109"/>
    </row>
    <row r="1330" spans="1:15" ht="17.25" customHeight="1">
      <c r="A1330" s="108"/>
      <c r="B1330" s="108"/>
      <c r="C1330" s="109"/>
      <c r="D1330" s="109"/>
      <c r="E1330" s="109"/>
      <c r="F1330" s="109"/>
      <c r="G1330" s="109"/>
      <c r="H1330" s="109"/>
      <c r="I1330" s="109"/>
      <c r="J1330" s="109"/>
      <c r="K1330" s="109"/>
      <c r="L1330" s="109"/>
      <c r="M1330" s="109"/>
      <c r="N1330" s="109"/>
      <c r="O1330" s="109"/>
    </row>
    <row r="1331" spans="1:15" ht="17.25" customHeight="1">
      <c r="A1331" s="108"/>
      <c r="B1331" s="108"/>
      <c r="C1331" s="109"/>
      <c r="D1331" s="109"/>
      <c r="E1331" s="109"/>
      <c r="F1331" s="109"/>
      <c r="G1331" s="109"/>
      <c r="H1331" s="109"/>
      <c r="I1331" s="109"/>
      <c r="J1331" s="109"/>
      <c r="K1331" s="109"/>
      <c r="L1331" s="109"/>
      <c r="M1331" s="109"/>
      <c r="N1331" s="109"/>
      <c r="O1331" s="109"/>
    </row>
    <row r="1332" spans="1:15" ht="17.25" customHeight="1">
      <c r="A1332" s="108"/>
      <c r="B1332" s="108"/>
      <c r="C1332" s="109"/>
      <c r="D1332" s="109"/>
      <c r="E1332" s="109"/>
      <c r="F1332" s="109"/>
      <c r="G1332" s="109"/>
      <c r="H1332" s="109"/>
      <c r="I1332" s="109"/>
      <c r="J1332" s="109"/>
      <c r="K1332" s="109"/>
      <c r="L1332" s="109"/>
      <c r="M1332" s="109"/>
      <c r="N1332" s="109"/>
      <c r="O1332" s="109"/>
    </row>
    <row r="1333" spans="1:15" ht="17.25" customHeight="1">
      <c r="A1333" s="108"/>
      <c r="B1333" s="108"/>
      <c r="C1333" s="109"/>
      <c r="D1333" s="109"/>
      <c r="E1333" s="109"/>
      <c r="F1333" s="109"/>
      <c r="G1333" s="109"/>
      <c r="H1333" s="109"/>
      <c r="I1333" s="109"/>
      <c r="J1333" s="109"/>
      <c r="K1333" s="109"/>
      <c r="L1333" s="109"/>
      <c r="M1333" s="109"/>
      <c r="N1333" s="109"/>
      <c r="O1333" s="109"/>
    </row>
    <row r="1334" spans="1:15" ht="17.25" customHeight="1">
      <c r="A1334" s="108"/>
      <c r="B1334" s="108"/>
      <c r="C1334" s="109"/>
      <c r="D1334" s="109"/>
      <c r="E1334" s="109"/>
      <c r="F1334" s="109"/>
      <c r="G1334" s="109"/>
      <c r="H1334" s="109"/>
      <c r="I1334" s="109"/>
      <c r="J1334" s="109"/>
      <c r="K1334" s="109"/>
      <c r="L1334" s="109"/>
      <c r="M1334" s="109"/>
      <c r="N1334" s="109"/>
      <c r="O1334" s="109"/>
    </row>
    <row r="1335" spans="1:15" ht="17.25" customHeight="1">
      <c r="A1335" s="108"/>
      <c r="B1335" s="108"/>
      <c r="C1335" s="109"/>
      <c r="D1335" s="109"/>
      <c r="E1335" s="109"/>
      <c r="F1335" s="109"/>
      <c r="G1335" s="109"/>
      <c r="H1335" s="109"/>
      <c r="I1335" s="109"/>
      <c r="J1335" s="109"/>
      <c r="K1335" s="109"/>
      <c r="L1335" s="109"/>
      <c r="M1335" s="109"/>
      <c r="N1335" s="109"/>
      <c r="O1335" s="109"/>
    </row>
    <row r="1336" spans="1:15" ht="17.25" customHeight="1">
      <c r="A1336" s="108"/>
      <c r="B1336" s="108"/>
      <c r="C1336" s="109"/>
      <c r="D1336" s="109"/>
      <c r="E1336" s="109"/>
      <c r="F1336" s="109"/>
      <c r="G1336" s="109"/>
      <c r="H1336" s="109"/>
      <c r="I1336" s="109"/>
      <c r="J1336" s="109"/>
      <c r="K1336" s="109"/>
      <c r="L1336" s="109"/>
      <c r="M1336" s="109"/>
      <c r="N1336" s="109"/>
      <c r="O1336" s="109"/>
    </row>
    <row r="1337" spans="1:15" ht="17.25" customHeight="1">
      <c r="A1337" s="108"/>
      <c r="B1337" s="108"/>
      <c r="C1337" s="109"/>
      <c r="D1337" s="109"/>
      <c r="E1337" s="109"/>
      <c r="F1337" s="109"/>
      <c r="G1337" s="109"/>
      <c r="H1337" s="109"/>
      <c r="I1337" s="109"/>
      <c r="J1337" s="109"/>
      <c r="K1337" s="109"/>
      <c r="L1337" s="109"/>
      <c r="M1337" s="109"/>
      <c r="N1337" s="109"/>
      <c r="O1337" s="109"/>
    </row>
    <row r="1338" spans="1:15" ht="17.25" customHeight="1">
      <c r="A1338" s="108"/>
      <c r="B1338" s="108"/>
      <c r="C1338" s="109"/>
      <c r="D1338" s="109"/>
      <c r="E1338" s="109"/>
      <c r="F1338" s="109"/>
      <c r="G1338" s="109"/>
      <c r="H1338" s="109"/>
      <c r="I1338" s="109"/>
      <c r="J1338" s="109"/>
      <c r="K1338" s="109"/>
      <c r="L1338" s="109"/>
      <c r="M1338" s="109"/>
      <c r="N1338" s="109"/>
      <c r="O1338" s="109"/>
    </row>
    <row r="1339" spans="1:15" ht="17.25" customHeight="1">
      <c r="A1339" s="108"/>
      <c r="B1339" s="108"/>
      <c r="C1339" s="109"/>
      <c r="D1339" s="109"/>
      <c r="E1339" s="109"/>
      <c r="F1339" s="109"/>
      <c r="G1339" s="109"/>
      <c r="H1339" s="109"/>
      <c r="I1339" s="109"/>
      <c r="J1339" s="109"/>
      <c r="K1339" s="109"/>
      <c r="L1339" s="109"/>
      <c r="M1339" s="109"/>
      <c r="N1339" s="109"/>
      <c r="O1339" s="109"/>
    </row>
    <row r="1340" spans="1:15" ht="17.25" customHeight="1">
      <c r="A1340" s="108"/>
      <c r="B1340" s="108"/>
      <c r="C1340" s="109"/>
      <c r="D1340" s="109"/>
      <c r="E1340" s="109"/>
      <c r="F1340" s="109"/>
      <c r="G1340" s="109"/>
      <c r="H1340" s="109"/>
      <c r="I1340" s="109"/>
      <c r="J1340" s="109"/>
      <c r="K1340" s="109"/>
      <c r="L1340" s="109"/>
      <c r="M1340" s="109"/>
      <c r="N1340" s="109"/>
      <c r="O1340" s="109"/>
    </row>
    <row r="1341" spans="1:15" ht="17.25" customHeight="1">
      <c r="A1341" s="108"/>
      <c r="B1341" s="108"/>
      <c r="C1341" s="109"/>
      <c r="D1341" s="109"/>
      <c r="E1341" s="109"/>
      <c r="F1341" s="109"/>
      <c r="G1341" s="109"/>
      <c r="H1341" s="109"/>
      <c r="I1341" s="109"/>
      <c r="J1341" s="109"/>
      <c r="K1341" s="109"/>
      <c r="L1341" s="109"/>
      <c r="M1341" s="109"/>
      <c r="N1341" s="109"/>
      <c r="O1341" s="109"/>
    </row>
    <row r="1342" spans="1:15" ht="17.25" customHeight="1">
      <c r="A1342" s="108"/>
      <c r="B1342" s="108"/>
      <c r="C1342" s="109"/>
      <c r="D1342" s="109"/>
      <c r="E1342" s="109"/>
      <c r="F1342" s="109"/>
      <c r="G1342" s="109"/>
      <c r="H1342" s="109"/>
      <c r="I1342" s="109"/>
      <c r="J1342" s="109"/>
      <c r="K1342" s="109"/>
      <c r="L1342" s="109"/>
      <c r="M1342" s="109"/>
      <c r="N1342" s="109"/>
      <c r="O1342" s="109"/>
    </row>
    <row r="1343" spans="1:15" ht="17.25" customHeight="1">
      <c r="A1343" s="108"/>
      <c r="B1343" s="108"/>
      <c r="C1343" s="109"/>
      <c r="D1343" s="109"/>
      <c r="E1343" s="109"/>
      <c r="F1343" s="109"/>
      <c r="G1343" s="109"/>
      <c r="H1343" s="109"/>
      <c r="I1343" s="109"/>
      <c r="J1343" s="109"/>
      <c r="K1343" s="109"/>
      <c r="L1343" s="109"/>
      <c r="M1343" s="109"/>
      <c r="N1343" s="109"/>
      <c r="O1343" s="109"/>
    </row>
    <row r="1344" spans="1:15" ht="17.25" customHeight="1">
      <c r="A1344" s="108"/>
      <c r="B1344" s="108"/>
      <c r="C1344" s="109"/>
      <c r="D1344" s="109"/>
      <c r="E1344" s="109"/>
      <c r="F1344" s="109"/>
      <c r="G1344" s="109"/>
      <c r="H1344" s="109"/>
      <c r="I1344" s="109"/>
      <c r="J1344" s="109"/>
      <c r="K1344" s="109"/>
      <c r="L1344" s="109"/>
      <c r="M1344" s="109"/>
      <c r="N1344" s="109"/>
      <c r="O1344" s="109"/>
    </row>
    <row r="1345" spans="1:15" ht="17.25" customHeight="1">
      <c r="A1345" s="108"/>
      <c r="B1345" s="108"/>
      <c r="C1345" s="109"/>
      <c r="D1345" s="109"/>
      <c r="E1345" s="109"/>
      <c r="F1345" s="109"/>
      <c r="G1345" s="109"/>
      <c r="H1345" s="109"/>
      <c r="I1345" s="109"/>
      <c r="J1345" s="109"/>
      <c r="K1345" s="109"/>
      <c r="L1345" s="109"/>
      <c r="M1345" s="109"/>
      <c r="N1345" s="109"/>
      <c r="O1345" s="109"/>
    </row>
    <row r="1346" spans="1:15" ht="17.25" customHeight="1">
      <c r="A1346" s="108"/>
      <c r="B1346" s="108"/>
      <c r="C1346" s="109"/>
      <c r="D1346" s="109"/>
      <c r="E1346" s="109"/>
      <c r="F1346" s="109"/>
      <c r="G1346" s="109"/>
      <c r="H1346" s="109"/>
      <c r="I1346" s="109"/>
      <c r="J1346" s="109"/>
      <c r="K1346" s="109"/>
      <c r="L1346" s="109"/>
      <c r="M1346" s="109"/>
      <c r="N1346" s="109"/>
      <c r="O1346" s="109"/>
    </row>
    <row r="1347" spans="1:15" ht="17.25" customHeight="1">
      <c r="A1347" s="108"/>
      <c r="B1347" s="108"/>
      <c r="C1347" s="109"/>
      <c r="D1347" s="109"/>
      <c r="E1347" s="109"/>
      <c r="F1347" s="109"/>
      <c r="G1347" s="109"/>
      <c r="H1347" s="109"/>
      <c r="I1347" s="109"/>
      <c r="J1347" s="109"/>
      <c r="K1347" s="109"/>
      <c r="L1347" s="109"/>
      <c r="M1347" s="109"/>
      <c r="N1347" s="109"/>
      <c r="O1347" s="109"/>
    </row>
    <row r="1348" spans="1:15" ht="17.25" customHeight="1">
      <c r="A1348" s="108"/>
      <c r="B1348" s="108"/>
      <c r="C1348" s="109"/>
      <c r="D1348" s="109"/>
      <c r="E1348" s="109"/>
      <c r="F1348" s="109"/>
      <c r="G1348" s="109"/>
      <c r="H1348" s="109"/>
      <c r="I1348" s="109"/>
      <c r="J1348" s="109"/>
      <c r="K1348" s="109"/>
      <c r="L1348" s="109"/>
      <c r="M1348" s="109"/>
      <c r="N1348" s="109"/>
      <c r="O1348" s="109"/>
    </row>
    <row r="1349" spans="1:15" ht="17.25" customHeight="1">
      <c r="A1349" s="108"/>
      <c r="B1349" s="108"/>
      <c r="C1349" s="109"/>
      <c r="D1349" s="109"/>
      <c r="E1349" s="109"/>
      <c r="F1349" s="109"/>
      <c r="G1349" s="109"/>
      <c r="H1349" s="109"/>
      <c r="I1349" s="109"/>
      <c r="J1349" s="109"/>
      <c r="K1349" s="109"/>
      <c r="L1349" s="109"/>
      <c r="M1349" s="109"/>
      <c r="N1349" s="109"/>
      <c r="O1349" s="109"/>
    </row>
    <row r="1350" spans="1:15" ht="17.25" customHeight="1">
      <c r="A1350" s="108"/>
      <c r="B1350" s="108"/>
      <c r="C1350" s="109"/>
      <c r="D1350" s="109"/>
      <c r="E1350" s="109"/>
      <c r="F1350" s="109"/>
      <c r="G1350" s="109"/>
      <c r="H1350" s="109"/>
      <c r="I1350" s="109"/>
      <c r="J1350" s="109"/>
      <c r="K1350" s="109"/>
      <c r="L1350" s="109"/>
      <c r="M1350" s="109"/>
      <c r="N1350" s="109"/>
      <c r="O1350" s="109"/>
    </row>
    <row r="1351" spans="1:15" ht="17.25" customHeight="1">
      <c r="A1351" s="108"/>
      <c r="B1351" s="108"/>
      <c r="C1351" s="109"/>
      <c r="D1351" s="109"/>
      <c r="E1351" s="109"/>
      <c r="F1351" s="109"/>
      <c r="G1351" s="109"/>
      <c r="H1351" s="109"/>
      <c r="I1351" s="109"/>
      <c r="J1351" s="109"/>
      <c r="K1351" s="109"/>
      <c r="L1351" s="109"/>
      <c r="M1351" s="109"/>
      <c r="N1351" s="109"/>
      <c r="O1351" s="109"/>
    </row>
    <row r="1352" spans="1:15" ht="17.25" customHeight="1">
      <c r="A1352" s="108"/>
      <c r="B1352" s="108"/>
      <c r="C1352" s="109"/>
      <c r="D1352" s="109"/>
      <c r="E1352" s="109"/>
      <c r="F1352" s="109"/>
      <c r="G1352" s="109"/>
      <c r="H1352" s="109"/>
      <c r="I1352" s="109"/>
      <c r="J1352" s="109"/>
      <c r="K1352" s="109"/>
      <c r="L1352" s="109"/>
      <c r="M1352" s="109"/>
      <c r="N1352" s="109"/>
      <c r="O1352" s="109"/>
    </row>
    <row r="1353" spans="1:15" ht="17.25" customHeight="1">
      <c r="A1353" s="108"/>
      <c r="B1353" s="108"/>
      <c r="C1353" s="109"/>
      <c r="D1353" s="109"/>
      <c r="E1353" s="109"/>
      <c r="F1353" s="109"/>
      <c r="G1353" s="109"/>
      <c r="H1353" s="109"/>
      <c r="I1353" s="109"/>
      <c r="J1353" s="109"/>
      <c r="K1353" s="109"/>
      <c r="L1353" s="109"/>
      <c r="M1353" s="109"/>
      <c r="N1353" s="109"/>
      <c r="O1353" s="109"/>
    </row>
    <row r="1354" spans="1:15" ht="17.25" customHeight="1">
      <c r="A1354" s="108"/>
      <c r="B1354" s="108"/>
      <c r="C1354" s="109"/>
      <c r="D1354" s="109"/>
      <c r="E1354" s="109"/>
      <c r="F1354" s="109"/>
      <c r="G1354" s="109"/>
      <c r="H1354" s="109"/>
      <c r="I1354" s="109"/>
      <c r="J1354" s="109"/>
      <c r="K1354" s="109"/>
      <c r="L1354" s="109"/>
      <c r="M1354" s="109"/>
      <c r="N1354" s="109"/>
      <c r="O1354" s="109"/>
    </row>
    <row r="1355" spans="1:15" ht="17.25" customHeight="1">
      <c r="A1355" s="108"/>
      <c r="B1355" s="108"/>
      <c r="C1355" s="109"/>
      <c r="D1355" s="109"/>
      <c r="E1355" s="109"/>
      <c r="F1355" s="109"/>
      <c r="G1355" s="109"/>
      <c r="H1355" s="109"/>
      <c r="I1355" s="109"/>
      <c r="J1355" s="109"/>
      <c r="K1355" s="109"/>
      <c r="L1355" s="109"/>
      <c r="M1355" s="109"/>
      <c r="N1355" s="109"/>
      <c r="O1355" s="109"/>
    </row>
    <row r="1356" spans="1:15" ht="17.25" customHeight="1">
      <c r="A1356" s="108"/>
      <c r="B1356" s="108"/>
      <c r="C1356" s="109"/>
      <c r="D1356" s="109"/>
      <c r="E1356" s="109"/>
      <c r="F1356" s="109"/>
      <c r="G1356" s="109"/>
      <c r="H1356" s="109"/>
      <c r="I1356" s="109"/>
      <c r="J1356" s="109"/>
      <c r="K1356" s="109"/>
      <c r="L1356" s="109"/>
      <c r="M1356" s="109"/>
      <c r="N1356" s="109"/>
      <c r="O1356" s="109"/>
    </row>
    <row r="1357" spans="1:15" ht="17.25" customHeight="1">
      <c r="A1357" s="108"/>
      <c r="B1357" s="108"/>
      <c r="C1357" s="109"/>
      <c r="D1357" s="109"/>
      <c r="E1357" s="109"/>
      <c r="F1357" s="109"/>
      <c r="G1357" s="109"/>
      <c r="H1357" s="109"/>
      <c r="I1357" s="109"/>
      <c r="J1357" s="109"/>
      <c r="K1357" s="109"/>
      <c r="L1357" s="109"/>
      <c r="M1357" s="109"/>
      <c r="N1357" s="109"/>
      <c r="O1357" s="109"/>
    </row>
    <row r="1358" spans="1:15" ht="17.25" customHeight="1">
      <c r="A1358" s="108"/>
      <c r="B1358" s="108"/>
      <c r="C1358" s="109"/>
      <c r="D1358" s="109"/>
      <c r="E1358" s="109"/>
      <c r="F1358" s="109"/>
      <c r="G1358" s="109"/>
      <c r="H1358" s="109"/>
      <c r="I1358" s="109"/>
      <c r="J1358" s="109"/>
      <c r="K1358" s="109"/>
      <c r="L1358" s="109"/>
      <c r="M1358" s="109"/>
      <c r="N1358" s="109"/>
      <c r="O1358" s="109"/>
    </row>
    <row r="1359" spans="1:15" ht="17.25" customHeight="1">
      <c r="A1359" s="108"/>
      <c r="B1359" s="108"/>
      <c r="C1359" s="109"/>
      <c r="D1359" s="109"/>
      <c r="E1359" s="109"/>
      <c r="F1359" s="109"/>
      <c r="G1359" s="109"/>
      <c r="H1359" s="109"/>
      <c r="I1359" s="109"/>
      <c r="J1359" s="109"/>
      <c r="K1359" s="109"/>
      <c r="L1359" s="109"/>
      <c r="M1359" s="109"/>
      <c r="N1359" s="109"/>
      <c r="O1359" s="109"/>
    </row>
    <row r="1360" spans="1:15" ht="17.25" customHeight="1">
      <c r="A1360" s="108"/>
      <c r="B1360" s="108"/>
      <c r="C1360" s="109"/>
      <c r="D1360" s="109"/>
      <c r="E1360" s="109"/>
      <c r="F1360" s="109"/>
      <c r="G1360" s="109"/>
      <c r="H1360" s="109"/>
      <c r="I1360" s="109"/>
      <c r="J1360" s="109"/>
      <c r="K1360" s="109"/>
      <c r="L1360" s="109"/>
      <c r="M1360" s="109"/>
      <c r="N1360" s="109"/>
      <c r="O1360" s="109"/>
    </row>
    <row r="1361" spans="1:15" ht="17.25" customHeight="1">
      <c r="A1361" s="108"/>
      <c r="B1361" s="108"/>
      <c r="C1361" s="109"/>
      <c r="D1361" s="109"/>
      <c r="E1361" s="109"/>
      <c r="F1361" s="109"/>
      <c r="G1361" s="109"/>
      <c r="H1361" s="109"/>
      <c r="I1361" s="109"/>
      <c r="J1361" s="109"/>
      <c r="K1361" s="109"/>
      <c r="L1361" s="109"/>
      <c r="M1361" s="109"/>
      <c r="N1361" s="109"/>
      <c r="O1361" s="109"/>
    </row>
    <row r="1362" spans="1:15" ht="17.25" customHeight="1">
      <c r="A1362" s="108"/>
      <c r="B1362" s="108"/>
      <c r="C1362" s="109"/>
      <c r="D1362" s="109"/>
      <c r="E1362" s="109"/>
      <c r="F1362" s="109"/>
      <c r="G1362" s="109"/>
      <c r="H1362" s="109"/>
      <c r="I1362" s="109"/>
      <c r="J1362" s="109"/>
      <c r="K1362" s="109"/>
      <c r="L1362" s="109"/>
      <c r="M1362" s="109"/>
      <c r="N1362" s="109"/>
      <c r="O1362" s="109"/>
    </row>
    <row r="1363" spans="1:15" ht="17.25" customHeight="1">
      <c r="A1363" s="108"/>
      <c r="B1363" s="108"/>
      <c r="C1363" s="109"/>
      <c r="D1363" s="109"/>
      <c r="E1363" s="109"/>
      <c r="F1363" s="109"/>
      <c r="G1363" s="109"/>
      <c r="H1363" s="109"/>
      <c r="I1363" s="109"/>
      <c r="J1363" s="109"/>
      <c r="K1363" s="109"/>
      <c r="L1363" s="109"/>
      <c r="M1363" s="109"/>
      <c r="N1363" s="109"/>
      <c r="O1363" s="109"/>
    </row>
    <row r="1364" spans="1:15" ht="17.25" customHeight="1">
      <c r="A1364" s="108"/>
      <c r="B1364" s="108"/>
      <c r="C1364" s="109"/>
      <c r="D1364" s="109"/>
      <c r="E1364" s="109"/>
      <c r="F1364" s="109"/>
      <c r="G1364" s="109"/>
      <c r="H1364" s="109"/>
      <c r="I1364" s="109"/>
      <c r="J1364" s="109"/>
      <c r="K1364" s="109"/>
      <c r="L1364" s="109"/>
      <c r="M1364" s="109"/>
      <c r="N1364" s="109"/>
      <c r="O1364" s="109"/>
    </row>
    <row r="1365" spans="1:15" ht="17.25" customHeight="1">
      <c r="A1365" s="108"/>
      <c r="B1365" s="108"/>
      <c r="C1365" s="109"/>
      <c r="D1365" s="109"/>
      <c r="E1365" s="109"/>
      <c r="F1365" s="109"/>
      <c r="G1365" s="109"/>
      <c r="H1365" s="109"/>
      <c r="I1365" s="109"/>
      <c r="J1365" s="109"/>
      <c r="K1365" s="109"/>
      <c r="L1365" s="109"/>
      <c r="M1365" s="109"/>
      <c r="N1365" s="109"/>
      <c r="O1365" s="109"/>
    </row>
    <row r="1366" spans="1:15" ht="17.25" customHeight="1">
      <c r="A1366" s="108"/>
      <c r="B1366" s="108"/>
      <c r="C1366" s="109"/>
      <c r="D1366" s="109"/>
      <c r="E1366" s="109"/>
      <c r="F1366" s="109"/>
      <c r="G1366" s="109"/>
      <c r="H1366" s="109"/>
      <c r="I1366" s="109"/>
      <c r="J1366" s="109"/>
      <c r="K1366" s="109"/>
      <c r="L1366" s="109"/>
      <c r="M1366" s="109"/>
      <c r="N1366" s="109"/>
      <c r="O1366" s="109"/>
    </row>
    <row r="1367" spans="1:15" ht="17.25" customHeight="1">
      <c r="A1367" s="108"/>
      <c r="B1367" s="108"/>
      <c r="C1367" s="109"/>
      <c r="D1367" s="109"/>
      <c r="E1367" s="109"/>
      <c r="F1367" s="109"/>
      <c r="G1367" s="109"/>
      <c r="H1367" s="109"/>
      <c r="I1367" s="109"/>
      <c r="J1367" s="109"/>
      <c r="K1367" s="109"/>
      <c r="L1367" s="109"/>
      <c r="M1367" s="109"/>
      <c r="N1367" s="109"/>
      <c r="O1367" s="109"/>
    </row>
    <row r="1368" spans="1:15" ht="17.25" customHeight="1">
      <c r="A1368" s="108"/>
      <c r="B1368" s="108"/>
      <c r="C1368" s="109"/>
      <c r="D1368" s="109"/>
      <c r="E1368" s="109"/>
      <c r="F1368" s="109"/>
      <c r="G1368" s="109"/>
      <c r="H1368" s="109"/>
      <c r="I1368" s="109"/>
      <c r="J1368" s="109"/>
      <c r="K1368" s="109"/>
      <c r="L1368" s="109"/>
      <c r="M1368" s="109"/>
      <c r="N1368" s="109"/>
      <c r="O1368" s="109"/>
    </row>
    <row r="1369" spans="1:15" ht="17.25" customHeight="1">
      <c r="A1369" s="108"/>
      <c r="B1369" s="108"/>
      <c r="C1369" s="109"/>
      <c r="D1369" s="109"/>
      <c r="E1369" s="109"/>
      <c r="F1369" s="109"/>
      <c r="G1369" s="109"/>
      <c r="H1369" s="109"/>
      <c r="I1369" s="109"/>
      <c r="J1369" s="109"/>
      <c r="K1369" s="109"/>
      <c r="L1369" s="109"/>
      <c r="M1369" s="109"/>
      <c r="N1369" s="109"/>
      <c r="O1369" s="109"/>
    </row>
    <row r="1370" spans="1:15" ht="17.25" customHeight="1">
      <c r="A1370" s="108"/>
      <c r="B1370" s="108"/>
      <c r="C1370" s="109"/>
      <c r="D1370" s="109"/>
      <c r="E1370" s="109"/>
      <c r="F1370" s="109"/>
      <c r="G1370" s="109"/>
      <c r="H1370" s="109"/>
      <c r="I1370" s="109"/>
      <c r="J1370" s="109"/>
      <c r="K1370" s="109"/>
      <c r="L1370" s="109"/>
      <c r="M1370" s="109"/>
      <c r="N1370" s="109"/>
      <c r="O1370" s="109"/>
    </row>
    <row r="1371" spans="1:15" ht="17.25" customHeight="1">
      <c r="A1371" s="108"/>
      <c r="B1371" s="108"/>
      <c r="C1371" s="109"/>
      <c r="D1371" s="109"/>
      <c r="E1371" s="109"/>
      <c r="F1371" s="109"/>
      <c r="G1371" s="109"/>
      <c r="H1371" s="109"/>
      <c r="I1371" s="109"/>
      <c r="J1371" s="109"/>
      <c r="K1371" s="109"/>
      <c r="L1371" s="109"/>
      <c r="M1371" s="109"/>
      <c r="N1371" s="109"/>
      <c r="O1371" s="109"/>
    </row>
    <row r="1372" spans="1:15" ht="17.25" customHeight="1">
      <c r="A1372" s="108"/>
      <c r="B1372" s="108"/>
      <c r="C1372" s="109"/>
      <c r="D1372" s="109"/>
      <c r="E1372" s="109"/>
      <c r="F1372" s="109"/>
      <c r="G1372" s="109"/>
      <c r="H1372" s="109"/>
      <c r="I1372" s="109"/>
      <c r="J1372" s="109"/>
      <c r="K1372" s="109"/>
      <c r="L1372" s="109"/>
      <c r="M1372" s="109"/>
      <c r="N1372" s="109"/>
      <c r="O1372" s="109"/>
    </row>
    <row r="1373" spans="1:15" ht="17.25" customHeight="1">
      <c r="A1373" s="108"/>
      <c r="B1373" s="108"/>
      <c r="C1373" s="109"/>
      <c r="D1373" s="109"/>
      <c r="E1373" s="109"/>
      <c r="F1373" s="109"/>
      <c r="G1373" s="109"/>
      <c r="H1373" s="109"/>
      <c r="I1373" s="109"/>
      <c r="J1373" s="109"/>
      <c r="K1373" s="109"/>
      <c r="L1373" s="109"/>
      <c r="M1373" s="109"/>
      <c r="N1373" s="109"/>
      <c r="O1373" s="109"/>
    </row>
    <row r="1374" spans="1:15" ht="17.25" customHeight="1">
      <c r="A1374" s="108"/>
      <c r="B1374" s="108"/>
      <c r="C1374" s="109"/>
      <c r="D1374" s="109"/>
      <c r="E1374" s="109"/>
      <c r="F1374" s="109"/>
      <c r="G1374" s="109"/>
      <c r="H1374" s="109"/>
      <c r="I1374" s="109"/>
      <c r="J1374" s="109"/>
      <c r="K1374" s="109"/>
      <c r="L1374" s="109"/>
      <c r="M1374" s="109"/>
      <c r="N1374" s="109"/>
      <c r="O1374" s="109"/>
    </row>
    <row r="1375" spans="1:15" ht="17.25" customHeight="1">
      <c r="A1375" s="108"/>
      <c r="B1375" s="108"/>
      <c r="C1375" s="109"/>
      <c r="D1375" s="109"/>
      <c r="E1375" s="109"/>
      <c r="F1375" s="109"/>
      <c r="G1375" s="109"/>
      <c r="H1375" s="109"/>
      <c r="I1375" s="109"/>
      <c r="J1375" s="109"/>
      <c r="K1375" s="109"/>
      <c r="L1375" s="109"/>
      <c r="M1375" s="109"/>
      <c r="N1375" s="109"/>
      <c r="O1375" s="109"/>
    </row>
    <row r="1376" spans="1:15" ht="17.25" customHeight="1">
      <c r="A1376" s="108"/>
      <c r="B1376" s="108"/>
      <c r="C1376" s="109"/>
      <c r="D1376" s="109"/>
      <c r="E1376" s="109"/>
      <c r="F1376" s="109"/>
      <c r="G1376" s="109"/>
      <c r="H1376" s="109"/>
      <c r="I1376" s="109"/>
      <c r="J1376" s="109"/>
      <c r="K1376" s="109"/>
      <c r="L1376" s="109"/>
      <c r="M1376" s="109"/>
      <c r="N1376" s="109"/>
      <c r="O1376" s="109"/>
    </row>
    <row r="1377" spans="1:15" ht="17.25" customHeight="1">
      <c r="A1377" s="108"/>
      <c r="B1377" s="108"/>
      <c r="C1377" s="109"/>
      <c r="D1377" s="109"/>
      <c r="E1377" s="109"/>
      <c r="F1377" s="109"/>
      <c r="G1377" s="109"/>
      <c r="H1377" s="109"/>
      <c r="I1377" s="109"/>
      <c r="J1377" s="109"/>
      <c r="K1377" s="109"/>
      <c r="L1377" s="109"/>
      <c r="M1377" s="109"/>
      <c r="N1377" s="109"/>
      <c r="O1377" s="109"/>
    </row>
    <row r="1378" spans="1:15" ht="17.25" customHeight="1">
      <c r="A1378" s="108"/>
      <c r="B1378" s="108"/>
      <c r="C1378" s="109"/>
      <c r="D1378" s="109"/>
      <c r="E1378" s="109"/>
      <c r="F1378" s="109"/>
      <c r="G1378" s="109"/>
      <c r="H1378" s="109"/>
      <c r="I1378" s="109"/>
      <c r="J1378" s="109"/>
      <c r="K1378" s="109"/>
      <c r="L1378" s="109"/>
      <c r="M1378" s="109"/>
      <c r="N1378" s="109"/>
      <c r="O1378" s="109"/>
    </row>
    <row r="1379" spans="1:15" ht="17.25" customHeight="1">
      <c r="A1379" s="108"/>
      <c r="B1379" s="108"/>
      <c r="C1379" s="109"/>
      <c r="D1379" s="109"/>
      <c r="E1379" s="109"/>
      <c r="F1379" s="109"/>
      <c r="G1379" s="109"/>
      <c r="H1379" s="109"/>
      <c r="I1379" s="109"/>
      <c r="J1379" s="109"/>
      <c r="K1379" s="109"/>
      <c r="L1379" s="109"/>
      <c r="M1379" s="109"/>
      <c r="N1379" s="109"/>
      <c r="O1379" s="109"/>
    </row>
    <row r="1380" spans="1:15" ht="17.25" customHeight="1">
      <c r="A1380" s="108"/>
      <c r="B1380" s="108"/>
      <c r="C1380" s="109"/>
      <c r="D1380" s="109"/>
      <c r="E1380" s="109"/>
      <c r="F1380" s="109"/>
      <c r="G1380" s="109"/>
      <c r="H1380" s="109"/>
      <c r="I1380" s="109"/>
      <c r="J1380" s="109"/>
      <c r="K1380" s="109"/>
      <c r="L1380" s="109"/>
      <c r="M1380" s="109"/>
      <c r="N1380" s="109"/>
      <c r="O1380" s="109"/>
    </row>
    <row r="1381" spans="1:15" ht="17.25" customHeight="1">
      <c r="A1381" s="108"/>
      <c r="B1381" s="108"/>
      <c r="C1381" s="109"/>
      <c r="D1381" s="109"/>
      <c r="E1381" s="109"/>
      <c r="F1381" s="109"/>
      <c r="G1381" s="109"/>
      <c r="H1381" s="109"/>
      <c r="I1381" s="109"/>
      <c r="J1381" s="109"/>
      <c r="K1381" s="109"/>
      <c r="L1381" s="109"/>
      <c r="M1381" s="109"/>
      <c r="N1381" s="109"/>
      <c r="O1381" s="109"/>
    </row>
    <row r="1382" spans="1:15" ht="17.25" customHeight="1">
      <c r="A1382" s="108"/>
      <c r="B1382" s="108"/>
      <c r="C1382" s="109"/>
      <c r="D1382" s="109"/>
      <c r="E1382" s="109"/>
      <c r="F1382" s="109"/>
      <c r="G1382" s="109"/>
      <c r="H1382" s="109"/>
      <c r="I1382" s="109"/>
      <c r="J1382" s="109"/>
      <c r="K1382" s="109"/>
      <c r="L1382" s="109"/>
      <c r="M1382" s="109"/>
      <c r="N1382" s="109"/>
      <c r="O1382" s="109"/>
    </row>
    <row r="1383" spans="1:15" ht="17.25" customHeight="1">
      <c r="A1383" s="108"/>
      <c r="B1383" s="108"/>
      <c r="C1383" s="109"/>
      <c r="D1383" s="109"/>
      <c r="E1383" s="109"/>
      <c r="F1383" s="109"/>
      <c r="G1383" s="109"/>
      <c r="H1383" s="109"/>
      <c r="I1383" s="109"/>
      <c r="J1383" s="109"/>
      <c r="K1383" s="109"/>
      <c r="L1383" s="109"/>
      <c r="M1383" s="109"/>
      <c r="N1383" s="109"/>
      <c r="O1383" s="109"/>
    </row>
    <row r="1384" spans="1:15" ht="17.25" customHeight="1">
      <c r="A1384" s="108"/>
      <c r="B1384" s="108"/>
      <c r="C1384" s="109"/>
      <c r="D1384" s="109"/>
      <c r="E1384" s="109"/>
      <c r="F1384" s="109"/>
      <c r="G1384" s="109"/>
      <c r="H1384" s="109"/>
      <c r="I1384" s="109"/>
      <c r="J1384" s="109"/>
      <c r="K1384" s="109"/>
      <c r="L1384" s="109"/>
      <c r="M1384" s="109"/>
      <c r="N1384" s="109"/>
      <c r="O1384" s="109"/>
    </row>
    <row r="1385" spans="1:15" ht="17.25" customHeight="1">
      <c r="A1385" s="108"/>
      <c r="B1385" s="108"/>
      <c r="C1385" s="109"/>
      <c r="D1385" s="109"/>
      <c r="E1385" s="109"/>
      <c r="F1385" s="109"/>
      <c r="G1385" s="109"/>
      <c r="H1385" s="109"/>
      <c r="I1385" s="109"/>
      <c r="J1385" s="109"/>
      <c r="K1385" s="109"/>
      <c r="L1385" s="109"/>
      <c r="M1385" s="109"/>
      <c r="N1385" s="109"/>
      <c r="O1385" s="109"/>
    </row>
    <row r="1386" spans="1:15" ht="17.25" customHeight="1">
      <c r="A1386" s="108"/>
      <c r="B1386" s="108"/>
      <c r="C1386" s="109"/>
      <c r="D1386" s="109"/>
      <c r="E1386" s="109"/>
      <c r="F1386" s="109"/>
      <c r="G1386" s="109"/>
      <c r="H1386" s="109"/>
      <c r="I1386" s="109"/>
      <c r="J1386" s="109"/>
      <c r="K1386" s="109"/>
      <c r="L1386" s="109"/>
      <c r="M1386" s="109"/>
      <c r="N1386" s="109"/>
      <c r="O1386" s="109"/>
    </row>
    <row r="1387" spans="1:15" ht="17.25" customHeight="1">
      <c r="A1387" s="108"/>
      <c r="B1387" s="108"/>
      <c r="C1387" s="109"/>
      <c r="D1387" s="109"/>
      <c r="E1387" s="109"/>
      <c r="F1387" s="109"/>
      <c r="G1387" s="109"/>
      <c r="H1387" s="109"/>
      <c r="I1387" s="109"/>
      <c r="J1387" s="109"/>
      <c r="K1387" s="109"/>
      <c r="L1387" s="109"/>
      <c r="M1387" s="109"/>
      <c r="N1387" s="109"/>
      <c r="O1387" s="109"/>
    </row>
    <row r="1388" spans="1:15" ht="17.25" customHeight="1">
      <c r="A1388" s="108"/>
      <c r="B1388" s="108"/>
      <c r="C1388" s="109"/>
      <c r="D1388" s="109"/>
      <c r="E1388" s="109"/>
      <c r="F1388" s="109"/>
      <c r="G1388" s="109"/>
      <c r="H1388" s="109"/>
      <c r="I1388" s="109"/>
      <c r="J1388" s="109"/>
      <c r="K1388" s="109"/>
      <c r="L1388" s="109"/>
      <c r="M1388" s="109"/>
      <c r="N1388" s="109"/>
      <c r="O1388" s="109"/>
    </row>
    <row r="1389" spans="1:15" ht="17.25" customHeight="1">
      <c r="A1389" s="108"/>
      <c r="B1389" s="108"/>
      <c r="C1389" s="109"/>
      <c r="D1389" s="109"/>
      <c r="E1389" s="109"/>
      <c r="F1389" s="109"/>
      <c r="G1389" s="109"/>
      <c r="H1389" s="109"/>
      <c r="I1389" s="109"/>
      <c r="J1389" s="109"/>
      <c r="K1389" s="109"/>
      <c r="L1389" s="109"/>
      <c r="M1389" s="109"/>
      <c r="N1389" s="109"/>
      <c r="O1389" s="109"/>
    </row>
    <row r="1390" spans="1:15" ht="17.25" customHeight="1">
      <c r="A1390" s="108"/>
      <c r="B1390" s="108"/>
      <c r="C1390" s="109"/>
      <c r="D1390" s="109"/>
      <c r="E1390" s="109"/>
      <c r="F1390" s="109"/>
      <c r="G1390" s="109"/>
      <c r="H1390" s="109"/>
      <c r="I1390" s="109"/>
      <c r="J1390" s="109"/>
      <c r="K1390" s="109"/>
      <c r="L1390" s="109"/>
      <c r="M1390" s="109"/>
      <c r="N1390" s="109"/>
      <c r="O1390" s="109"/>
    </row>
    <row r="1391" spans="1:15" ht="17.25" customHeight="1">
      <c r="A1391" s="108"/>
      <c r="B1391" s="108"/>
      <c r="C1391" s="109"/>
      <c r="D1391" s="109"/>
      <c r="E1391" s="109"/>
      <c r="F1391" s="109"/>
      <c r="G1391" s="109"/>
      <c r="H1391" s="109"/>
      <c r="I1391" s="109"/>
      <c r="J1391" s="109"/>
      <c r="K1391" s="109"/>
      <c r="L1391" s="109"/>
      <c r="M1391" s="109"/>
      <c r="N1391" s="109"/>
      <c r="O1391" s="109"/>
    </row>
    <row r="1392" spans="1:15" ht="17.25" customHeight="1">
      <c r="A1392" s="108"/>
      <c r="B1392" s="108"/>
      <c r="C1392" s="109"/>
      <c r="D1392" s="109"/>
      <c r="E1392" s="109"/>
      <c r="F1392" s="109"/>
      <c r="G1392" s="109"/>
      <c r="H1392" s="109"/>
      <c r="I1392" s="109"/>
      <c r="J1392" s="109"/>
      <c r="K1392" s="109"/>
      <c r="L1392" s="109"/>
      <c r="M1392" s="109"/>
      <c r="N1392" s="109"/>
      <c r="O1392" s="109"/>
    </row>
    <row r="1393" spans="1:15" ht="17.25" customHeight="1">
      <c r="A1393" s="108"/>
      <c r="B1393" s="108"/>
      <c r="C1393" s="109"/>
      <c r="D1393" s="109"/>
      <c r="E1393" s="109"/>
      <c r="F1393" s="109"/>
      <c r="G1393" s="109"/>
      <c r="H1393" s="109"/>
      <c r="I1393" s="109"/>
      <c r="J1393" s="109"/>
      <c r="K1393" s="109"/>
      <c r="L1393" s="109"/>
      <c r="M1393" s="109"/>
      <c r="N1393" s="109"/>
      <c r="O1393" s="109"/>
    </row>
    <row r="1394" spans="1:15" ht="17.25" customHeight="1">
      <c r="A1394" s="108"/>
      <c r="B1394" s="108"/>
      <c r="C1394" s="109"/>
      <c r="D1394" s="109"/>
      <c r="E1394" s="109"/>
      <c r="F1394" s="109"/>
      <c r="G1394" s="109"/>
      <c r="H1394" s="109"/>
      <c r="I1394" s="109"/>
      <c r="J1394" s="109"/>
      <c r="K1394" s="109"/>
      <c r="L1394" s="109"/>
      <c r="M1394" s="109"/>
      <c r="N1394" s="109"/>
      <c r="O1394" s="109"/>
    </row>
    <row r="1395" spans="1:15" ht="17.25" customHeight="1">
      <c r="A1395" s="108"/>
      <c r="B1395" s="108"/>
      <c r="C1395" s="109"/>
      <c r="D1395" s="109"/>
      <c r="E1395" s="109"/>
      <c r="F1395" s="109"/>
      <c r="G1395" s="109"/>
      <c r="H1395" s="109"/>
      <c r="I1395" s="109"/>
      <c r="J1395" s="109"/>
      <c r="K1395" s="109"/>
      <c r="L1395" s="109"/>
      <c r="M1395" s="109"/>
      <c r="N1395" s="109"/>
      <c r="O1395" s="109"/>
    </row>
    <row r="1396" spans="1:15" ht="17.25" customHeight="1">
      <c r="A1396" s="108"/>
      <c r="B1396" s="108"/>
      <c r="C1396" s="109"/>
      <c r="D1396" s="109"/>
      <c r="E1396" s="109"/>
      <c r="F1396" s="109"/>
      <c r="G1396" s="109"/>
      <c r="H1396" s="109"/>
      <c r="I1396" s="109"/>
      <c r="J1396" s="109"/>
      <c r="K1396" s="109"/>
      <c r="L1396" s="109"/>
      <c r="M1396" s="109"/>
      <c r="N1396" s="109"/>
      <c r="O1396" s="109"/>
    </row>
    <row r="1397" spans="1:15" ht="17.25" customHeight="1">
      <c r="A1397" s="108"/>
      <c r="B1397" s="108"/>
      <c r="C1397" s="109"/>
      <c r="D1397" s="109"/>
      <c r="E1397" s="109"/>
      <c r="F1397" s="109"/>
      <c r="G1397" s="109"/>
      <c r="H1397" s="109"/>
      <c r="I1397" s="109"/>
      <c r="J1397" s="109"/>
      <c r="K1397" s="109"/>
      <c r="L1397" s="109"/>
      <c r="M1397" s="109"/>
      <c r="N1397" s="109"/>
      <c r="O1397" s="109"/>
    </row>
    <row r="1398" spans="1:15" ht="17.25" customHeight="1">
      <c r="A1398" s="108"/>
      <c r="B1398" s="108"/>
      <c r="C1398" s="109"/>
      <c r="D1398" s="109"/>
      <c r="E1398" s="109"/>
      <c r="F1398" s="109"/>
      <c r="G1398" s="109"/>
      <c r="H1398" s="109"/>
      <c r="I1398" s="109"/>
      <c r="J1398" s="109"/>
      <c r="K1398" s="109"/>
      <c r="L1398" s="109"/>
      <c r="M1398" s="109"/>
      <c r="N1398" s="109"/>
      <c r="O1398" s="109"/>
    </row>
    <row r="1399" spans="1:15" ht="17.25" customHeight="1">
      <c r="A1399" s="108"/>
      <c r="B1399" s="108"/>
      <c r="C1399" s="109"/>
      <c r="D1399" s="109"/>
      <c r="E1399" s="109"/>
      <c r="F1399" s="109"/>
      <c r="G1399" s="109"/>
      <c r="H1399" s="109"/>
      <c r="I1399" s="109"/>
      <c r="J1399" s="109"/>
      <c r="K1399" s="109"/>
      <c r="L1399" s="109"/>
      <c r="M1399" s="109"/>
      <c r="N1399" s="109"/>
      <c r="O1399" s="109"/>
    </row>
    <row r="1400" spans="1:15" ht="17.25" customHeight="1">
      <c r="A1400" s="108"/>
      <c r="B1400" s="108"/>
      <c r="C1400" s="109"/>
      <c r="D1400" s="109"/>
      <c r="E1400" s="109"/>
      <c r="F1400" s="109"/>
      <c r="G1400" s="109"/>
      <c r="H1400" s="109"/>
      <c r="I1400" s="109"/>
      <c r="J1400" s="109"/>
      <c r="K1400" s="109"/>
      <c r="L1400" s="109"/>
      <c r="M1400" s="109"/>
      <c r="N1400" s="109"/>
      <c r="O1400" s="109"/>
    </row>
    <row r="1401" spans="1:15" ht="17.25" customHeight="1">
      <c r="A1401" s="108"/>
      <c r="B1401" s="108"/>
      <c r="C1401" s="109"/>
      <c r="D1401" s="109"/>
      <c r="E1401" s="109"/>
      <c r="F1401" s="109"/>
      <c r="G1401" s="109"/>
      <c r="H1401" s="109"/>
      <c r="I1401" s="109"/>
      <c r="J1401" s="109"/>
      <c r="K1401" s="109"/>
      <c r="L1401" s="109"/>
      <c r="M1401" s="109"/>
      <c r="N1401" s="109"/>
      <c r="O1401" s="109"/>
    </row>
    <row r="1402" spans="1:15" ht="17.25" customHeight="1">
      <c r="A1402" s="108"/>
      <c r="B1402" s="108"/>
      <c r="C1402" s="109"/>
      <c r="D1402" s="109"/>
      <c r="E1402" s="109"/>
      <c r="F1402" s="109"/>
      <c r="G1402" s="109"/>
      <c r="H1402" s="109"/>
      <c r="I1402" s="109"/>
      <c r="J1402" s="109"/>
      <c r="K1402" s="109"/>
      <c r="L1402" s="109"/>
      <c r="M1402" s="109"/>
      <c r="N1402" s="109"/>
      <c r="O1402" s="109"/>
    </row>
    <row r="1403" spans="1:15" ht="17.25" customHeight="1">
      <c r="A1403" s="108"/>
      <c r="B1403" s="108"/>
      <c r="C1403" s="109"/>
      <c r="D1403" s="109"/>
      <c r="E1403" s="109"/>
      <c r="F1403" s="109"/>
      <c r="G1403" s="109"/>
      <c r="H1403" s="109"/>
      <c r="I1403" s="109"/>
      <c r="J1403" s="109"/>
      <c r="K1403" s="109"/>
      <c r="L1403" s="109"/>
      <c r="M1403" s="109"/>
      <c r="N1403" s="109"/>
      <c r="O1403" s="109"/>
    </row>
    <row r="1404" spans="1:15" ht="17.25" customHeight="1">
      <c r="A1404" s="108"/>
      <c r="B1404" s="108"/>
      <c r="C1404" s="109"/>
      <c r="D1404" s="109"/>
      <c r="E1404" s="109"/>
      <c r="F1404" s="109"/>
      <c r="G1404" s="109"/>
      <c r="H1404" s="109"/>
      <c r="I1404" s="109"/>
      <c r="J1404" s="109"/>
      <c r="K1404" s="109"/>
      <c r="L1404" s="109"/>
      <c r="M1404" s="109"/>
      <c r="N1404" s="109"/>
      <c r="O1404" s="109"/>
    </row>
    <row r="1405" spans="1:15" ht="17.25" customHeight="1">
      <c r="A1405" s="108"/>
      <c r="B1405" s="108"/>
      <c r="C1405" s="109"/>
      <c r="D1405" s="109"/>
      <c r="E1405" s="109"/>
      <c r="F1405" s="109"/>
      <c r="G1405" s="109"/>
      <c r="H1405" s="109"/>
      <c r="I1405" s="109"/>
      <c r="J1405" s="109"/>
      <c r="K1405" s="109"/>
      <c r="L1405" s="109"/>
      <c r="M1405" s="109"/>
      <c r="N1405" s="109"/>
      <c r="O1405" s="109"/>
    </row>
    <row r="1406" spans="1:15" ht="17.25" customHeight="1">
      <c r="A1406" s="108"/>
      <c r="B1406" s="108"/>
      <c r="C1406" s="109"/>
      <c r="D1406" s="109"/>
      <c r="E1406" s="109"/>
      <c r="F1406" s="109"/>
      <c r="G1406" s="109"/>
      <c r="H1406" s="109"/>
      <c r="I1406" s="109"/>
      <c r="J1406" s="109"/>
      <c r="K1406" s="109"/>
      <c r="L1406" s="109"/>
      <c r="M1406" s="109"/>
      <c r="N1406" s="109"/>
      <c r="O1406" s="109"/>
    </row>
    <row r="1407" spans="1:15" ht="17.25" customHeight="1">
      <c r="A1407" s="108"/>
      <c r="B1407" s="108"/>
      <c r="C1407" s="109"/>
      <c r="D1407" s="109"/>
      <c r="E1407" s="109"/>
      <c r="F1407" s="109"/>
      <c r="G1407" s="109"/>
      <c r="H1407" s="109"/>
      <c r="I1407" s="109"/>
      <c r="J1407" s="109"/>
      <c r="K1407" s="109"/>
      <c r="L1407" s="109"/>
      <c r="M1407" s="109"/>
      <c r="N1407" s="109"/>
      <c r="O1407" s="109"/>
    </row>
    <row r="1408" spans="1:15" ht="17.25" customHeight="1">
      <c r="A1408" s="108"/>
      <c r="B1408" s="108"/>
      <c r="C1408" s="109"/>
      <c r="D1408" s="109"/>
      <c r="E1408" s="109"/>
      <c r="F1408" s="109"/>
      <c r="G1408" s="109"/>
      <c r="H1408" s="109"/>
      <c r="I1408" s="109"/>
      <c r="J1408" s="109"/>
      <c r="K1408" s="109"/>
      <c r="L1408" s="109"/>
      <c r="M1408" s="109"/>
      <c r="N1408" s="109"/>
      <c r="O1408" s="109"/>
    </row>
    <row r="1409" spans="1:15" ht="17.25" customHeight="1">
      <c r="A1409" s="108"/>
      <c r="B1409" s="108"/>
      <c r="C1409" s="109"/>
      <c r="D1409" s="109"/>
      <c r="E1409" s="109"/>
      <c r="F1409" s="109"/>
      <c r="G1409" s="109"/>
      <c r="H1409" s="109"/>
      <c r="I1409" s="109"/>
      <c r="J1409" s="109"/>
      <c r="K1409" s="109"/>
      <c r="L1409" s="109"/>
      <c r="M1409" s="109"/>
      <c r="N1409" s="109"/>
      <c r="O1409" s="109"/>
    </row>
    <row r="1410" spans="1:15" ht="17.25" customHeight="1">
      <c r="A1410" s="108"/>
      <c r="B1410" s="108"/>
      <c r="C1410" s="109"/>
      <c r="D1410" s="109"/>
      <c r="E1410" s="109"/>
      <c r="F1410" s="109"/>
      <c r="G1410" s="109"/>
      <c r="H1410" s="109"/>
      <c r="I1410" s="109"/>
      <c r="J1410" s="109"/>
      <c r="K1410" s="109"/>
      <c r="L1410" s="109"/>
      <c r="M1410" s="109"/>
      <c r="N1410" s="109"/>
      <c r="O1410" s="109"/>
    </row>
    <row r="1411" spans="1:15" ht="17.25" customHeight="1">
      <c r="A1411" s="108"/>
      <c r="B1411" s="108"/>
      <c r="C1411" s="109"/>
      <c r="D1411" s="109"/>
      <c r="E1411" s="109"/>
      <c r="F1411" s="109"/>
      <c r="G1411" s="109"/>
      <c r="H1411" s="109"/>
      <c r="I1411" s="109"/>
      <c r="J1411" s="109"/>
      <c r="K1411" s="109"/>
      <c r="L1411" s="109"/>
      <c r="M1411" s="109"/>
      <c r="N1411" s="109"/>
      <c r="O1411" s="109"/>
    </row>
    <row r="1412" spans="1:15" ht="17.25" customHeight="1">
      <c r="A1412" s="108"/>
      <c r="B1412" s="108"/>
      <c r="C1412" s="109"/>
      <c r="D1412" s="109"/>
      <c r="E1412" s="109"/>
      <c r="F1412" s="109"/>
      <c r="G1412" s="109"/>
      <c r="H1412" s="109"/>
      <c r="I1412" s="109"/>
      <c r="J1412" s="109"/>
      <c r="K1412" s="109"/>
      <c r="L1412" s="109"/>
      <c r="M1412" s="109"/>
      <c r="N1412" s="109"/>
      <c r="O1412" s="109"/>
    </row>
    <row r="1413" spans="1:15" ht="17.25" customHeight="1">
      <c r="A1413" s="108"/>
      <c r="B1413" s="108"/>
      <c r="C1413" s="109"/>
      <c r="D1413" s="109"/>
      <c r="E1413" s="109"/>
      <c r="F1413" s="109"/>
      <c r="G1413" s="109"/>
      <c r="H1413" s="109"/>
      <c r="I1413" s="109"/>
      <c r="J1413" s="109"/>
      <c r="K1413" s="109"/>
      <c r="L1413" s="109"/>
      <c r="M1413" s="109"/>
      <c r="N1413" s="109"/>
      <c r="O1413" s="109"/>
    </row>
    <row r="1414" spans="1:15" ht="17.25" customHeight="1">
      <c r="A1414" s="108"/>
      <c r="B1414" s="108"/>
      <c r="C1414" s="109"/>
      <c r="D1414" s="109"/>
      <c r="E1414" s="109"/>
      <c r="F1414" s="109"/>
      <c r="G1414" s="109"/>
      <c r="H1414" s="109"/>
      <c r="I1414" s="109"/>
      <c r="J1414" s="109"/>
      <c r="K1414" s="109"/>
      <c r="L1414" s="109"/>
      <c r="M1414" s="109"/>
      <c r="N1414" s="109"/>
      <c r="O1414" s="109"/>
    </row>
    <row r="1415" spans="1:15" ht="17.25" customHeight="1">
      <c r="A1415" s="108"/>
      <c r="B1415" s="108"/>
      <c r="C1415" s="109"/>
      <c r="D1415" s="109"/>
      <c r="E1415" s="109"/>
      <c r="F1415" s="109"/>
      <c r="G1415" s="109"/>
      <c r="H1415" s="109"/>
      <c r="I1415" s="109"/>
      <c r="J1415" s="109"/>
      <c r="K1415" s="109"/>
      <c r="L1415" s="109"/>
      <c r="M1415" s="109"/>
      <c r="N1415" s="109"/>
      <c r="O1415" s="109"/>
    </row>
    <row r="1416" spans="1:15" ht="17.25" customHeight="1">
      <c r="A1416" s="108"/>
      <c r="B1416" s="108"/>
      <c r="C1416" s="109"/>
      <c r="D1416" s="109"/>
      <c r="E1416" s="109"/>
      <c r="F1416" s="109"/>
      <c r="G1416" s="109"/>
      <c r="H1416" s="109"/>
      <c r="I1416" s="109"/>
      <c r="J1416" s="109"/>
      <c r="K1416" s="109"/>
      <c r="L1416" s="109"/>
      <c r="M1416" s="109"/>
      <c r="N1416" s="109"/>
      <c r="O1416" s="109"/>
    </row>
    <row r="1417" spans="1:15" ht="17.25" customHeight="1">
      <c r="A1417" s="108"/>
      <c r="B1417" s="108"/>
      <c r="C1417" s="109"/>
      <c r="D1417" s="109"/>
      <c r="E1417" s="109"/>
      <c r="F1417" s="109"/>
      <c r="G1417" s="109"/>
      <c r="H1417" s="109"/>
      <c r="I1417" s="109"/>
      <c r="J1417" s="109"/>
      <c r="K1417" s="109"/>
      <c r="L1417" s="109"/>
      <c r="M1417" s="109"/>
      <c r="N1417" s="109"/>
      <c r="O1417" s="109"/>
    </row>
    <row r="1418" spans="1:15" ht="17.25" customHeight="1">
      <c r="A1418" s="108"/>
      <c r="B1418" s="108"/>
      <c r="C1418" s="109"/>
      <c r="D1418" s="109"/>
      <c r="E1418" s="109"/>
      <c r="F1418" s="109"/>
      <c r="G1418" s="109"/>
      <c r="H1418" s="109"/>
      <c r="I1418" s="109"/>
      <c r="J1418" s="109"/>
      <c r="K1418" s="109"/>
      <c r="L1418" s="109"/>
      <c r="M1418" s="109"/>
      <c r="N1418" s="109"/>
      <c r="O1418" s="109"/>
    </row>
    <row r="1419" spans="1:15" ht="17.25" customHeight="1">
      <c r="A1419" s="108"/>
      <c r="B1419" s="108"/>
      <c r="C1419" s="109"/>
      <c r="D1419" s="109"/>
      <c r="E1419" s="109"/>
      <c r="F1419" s="109"/>
      <c r="G1419" s="109"/>
      <c r="H1419" s="109"/>
      <c r="I1419" s="109"/>
      <c r="J1419" s="109"/>
      <c r="K1419" s="109"/>
      <c r="L1419" s="109"/>
      <c r="M1419" s="109"/>
      <c r="N1419" s="109"/>
      <c r="O1419" s="109"/>
    </row>
    <row r="1420" spans="1:15" ht="17.25" customHeight="1">
      <c r="A1420" s="108"/>
      <c r="B1420" s="108"/>
      <c r="C1420" s="109"/>
      <c r="D1420" s="109"/>
      <c r="E1420" s="109"/>
      <c r="F1420" s="109"/>
      <c r="G1420" s="109"/>
      <c r="H1420" s="109"/>
      <c r="I1420" s="109"/>
      <c r="J1420" s="109"/>
      <c r="K1420" s="109"/>
      <c r="L1420" s="109"/>
      <c r="M1420" s="109"/>
      <c r="N1420" s="109"/>
      <c r="O1420" s="109"/>
    </row>
    <row r="1421" spans="1:15" ht="17.25" customHeight="1">
      <c r="A1421" s="108"/>
      <c r="B1421" s="108"/>
      <c r="C1421" s="109"/>
      <c r="D1421" s="109"/>
      <c r="E1421" s="109"/>
      <c r="F1421" s="109"/>
      <c r="G1421" s="109"/>
      <c r="H1421" s="109"/>
      <c r="I1421" s="109"/>
      <c r="J1421" s="109"/>
      <c r="K1421" s="109"/>
      <c r="L1421" s="109"/>
      <c r="M1421" s="109"/>
      <c r="N1421" s="109"/>
      <c r="O1421" s="109"/>
    </row>
    <row r="1422" spans="1:15" ht="17.25" customHeight="1">
      <c r="A1422" s="108"/>
      <c r="B1422" s="108"/>
      <c r="C1422" s="109"/>
      <c r="D1422" s="109"/>
      <c r="E1422" s="109"/>
      <c r="F1422" s="109"/>
      <c r="G1422" s="109"/>
      <c r="H1422" s="109"/>
      <c r="I1422" s="109"/>
      <c r="J1422" s="109"/>
      <c r="K1422" s="109"/>
      <c r="L1422" s="109"/>
      <c r="M1422" s="109"/>
      <c r="N1422" s="109"/>
      <c r="O1422" s="109"/>
    </row>
    <row r="1423" spans="1:15" ht="17.25" customHeight="1">
      <c r="A1423" s="108"/>
      <c r="B1423" s="108"/>
      <c r="C1423" s="109"/>
      <c r="D1423" s="109"/>
      <c r="E1423" s="109"/>
      <c r="F1423" s="109"/>
      <c r="G1423" s="109"/>
      <c r="H1423" s="109"/>
      <c r="I1423" s="109"/>
      <c r="J1423" s="109"/>
      <c r="K1423" s="109"/>
      <c r="L1423" s="109"/>
      <c r="M1423" s="109"/>
      <c r="N1423" s="109"/>
      <c r="O1423" s="109"/>
    </row>
    <row r="1424" spans="1:15" ht="17.25" customHeight="1">
      <c r="A1424" s="108"/>
      <c r="B1424" s="108"/>
      <c r="C1424" s="109"/>
      <c r="D1424" s="109"/>
      <c r="E1424" s="109"/>
      <c r="F1424" s="109"/>
      <c r="G1424" s="109"/>
      <c r="H1424" s="109"/>
      <c r="I1424" s="109"/>
      <c r="J1424" s="109"/>
      <c r="K1424" s="109"/>
      <c r="L1424" s="109"/>
      <c r="M1424" s="109"/>
      <c r="N1424" s="109"/>
      <c r="O1424" s="109"/>
    </row>
    <row r="1425" spans="1:15" ht="17.25" customHeight="1">
      <c r="A1425" s="108"/>
      <c r="B1425" s="108"/>
      <c r="C1425" s="109"/>
      <c r="D1425" s="109"/>
      <c r="E1425" s="109"/>
      <c r="F1425" s="109"/>
      <c r="G1425" s="109"/>
      <c r="H1425" s="109"/>
      <c r="I1425" s="109"/>
      <c r="J1425" s="109"/>
      <c r="K1425" s="109"/>
      <c r="L1425" s="109"/>
      <c r="M1425" s="109"/>
      <c r="N1425" s="109"/>
      <c r="O1425" s="109"/>
    </row>
    <row r="1426" spans="1:15" ht="17.25" customHeight="1">
      <c r="A1426" s="108"/>
      <c r="B1426" s="108"/>
      <c r="C1426" s="109"/>
      <c r="D1426" s="109"/>
      <c r="E1426" s="109"/>
      <c r="F1426" s="109"/>
      <c r="G1426" s="109"/>
      <c r="H1426" s="109"/>
      <c r="I1426" s="109"/>
      <c r="J1426" s="109"/>
      <c r="K1426" s="109"/>
      <c r="L1426" s="109"/>
      <c r="M1426" s="109"/>
      <c r="N1426" s="109"/>
      <c r="O1426" s="109"/>
    </row>
    <row r="1427" spans="1:15" ht="17.25" customHeight="1">
      <c r="A1427" s="108"/>
      <c r="B1427" s="108"/>
      <c r="C1427" s="109"/>
      <c r="D1427" s="109"/>
      <c r="E1427" s="109"/>
      <c r="F1427" s="109"/>
      <c r="G1427" s="109"/>
      <c r="H1427" s="109"/>
      <c r="I1427" s="109"/>
      <c r="J1427" s="109"/>
      <c r="K1427" s="109"/>
      <c r="L1427" s="109"/>
      <c r="M1427" s="109"/>
      <c r="N1427" s="109"/>
      <c r="O1427" s="109"/>
    </row>
    <row r="1428" spans="1:15" ht="17.25" customHeight="1">
      <c r="A1428" s="108"/>
      <c r="B1428" s="108"/>
      <c r="C1428" s="109"/>
      <c r="D1428" s="109"/>
      <c r="E1428" s="109"/>
      <c r="F1428" s="109"/>
      <c r="G1428" s="109"/>
      <c r="H1428" s="109"/>
      <c r="I1428" s="109"/>
      <c r="J1428" s="109"/>
      <c r="K1428" s="109"/>
      <c r="L1428" s="109"/>
      <c r="M1428" s="109"/>
      <c r="N1428" s="109"/>
      <c r="O1428" s="109"/>
    </row>
    <row r="1429" spans="1:15" ht="17.25" customHeight="1">
      <c r="A1429" s="108"/>
      <c r="B1429" s="108"/>
      <c r="C1429" s="109"/>
      <c r="D1429" s="109"/>
      <c r="E1429" s="109"/>
      <c r="F1429" s="109"/>
      <c r="G1429" s="109"/>
      <c r="H1429" s="109"/>
      <c r="I1429" s="109"/>
      <c r="J1429" s="109"/>
      <c r="K1429" s="109"/>
      <c r="L1429" s="109"/>
      <c r="M1429" s="109"/>
      <c r="N1429" s="109"/>
      <c r="O1429" s="109"/>
    </row>
    <row r="1430" spans="1:15" ht="17.25" customHeight="1">
      <c r="A1430" s="108"/>
      <c r="B1430" s="108"/>
      <c r="C1430" s="109"/>
      <c r="D1430" s="109"/>
      <c r="E1430" s="109"/>
      <c r="F1430" s="109"/>
      <c r="G1430" s="109"/>
      <c r="H1430" s="109"/>
      <c r="I1430" s="109"/>
      <c r="J1430" s="109"/>
      <c r="K1430" s="109"/>
      <c r="L1430" s="109"/>
      <c r="M1430" s="109"/>
      <c r="N1430" s="109"/>
      <c r="O1430" s="109"/>
    </row>
    <row r="1431" spans="1:15" ht="17.25" customHeight="1">
      <c r="A1431" s="108"/>
      <c r="B1431" s="108"/>
      <c r="C1431" s="109"/>
      <c r="D1431" s="109"/>
      <c r="E1431" s="109"/>
      <c r="F1431" s="109"/>
      <c r="G1431" s="109"/>
      <c r="H1431" s="109"/>
      <c r="I1431" s="109"/>
      <c r="J1431" s="109"/>
      <c r="K1431" s="109"/>
      <c r="L1431" s="109"/>
      <c r="M1431" s="109"/>
      <c r="N1431" s="109"/>
      <c r="O1431" s="109"/>
    </row>
    <row r="1432" spans="1:15" ht="17.25" customHeight="1">
      <c r="A1432" s="108"/>
      <c r="B1432" s="108"/>
      <c r="C1432" s="109"/>
      <c r="D1432" s="109"/>
      <c r="E1432" s="109"/>
      <c r="F1432" s="109"/>
      <c r="G1432" s="109"/>
      <c r="H1432" s="109"/>
      <c r="I1432" s="109"/>
      <c r="J1432" s="109"/>
      <c r="K1432" s="109"/>
      <c r="L1432" s="109"/>
      <c r="M1432" s="109"/>
      <c r="N1432" s="109"/>
      <c r="O1432" s="109"/>
    </row>
    <row r="1433" spans="1:15" ht="17.25" customHeight="1">
      <c r="A1433" s="108"/>
      <c r="B1433" s="108"/>
      <c r="C1433" s="109"/>
      <c r="D1433" s="109"/>
      <c r="E1433" s="109"/>
      <c r="F1433" s="109"/>
      <c r="G1433" s="109"/>
      <c r="H1433" s="109"/>
      <c r="I1433" s="109"/>
      <c r="J1433" s="109"/>
      <c r="K1433" s="109"/>
      <c r="L1433" s="109"/>
      <c r="M1433" s="109"/>
      <c r="N1433" s="109"/>
      <c r="O1433" s="109"/>
    </row>
    <row r="1434" spans="1:15" ht="17.25" customHeight="1">
      <c r="A1434" s="108"/>
      <c r="B1434" s="108"/>
      <c r="C1434" s="109"/>
      <c r="D1434" s="109"/>
      <c r="E1434" s="109"/>
      <c r="F1434" s="109"/>
      <c r="G1434" s="109"/>
      <c r="H1434" s="109"/>
      <c r="I1434" s="109"/>
      <c r="J1434" s="109"/>
      <c r="K1434" s="109"/>
      <c r="L1434" s="109"/>
      <c r="M1434" s="109"/>
      <c r="N1434" s="109"/>
      <c r="O1434" s="109"/>
    </row>
    <row r="1435" spans="1:15" ht="17.25" customHeight="1">
      <c r="A1435" s="108"/>
      <c r="B1435" s="108"/>
      <c r="C1435" s="109"/>
      <c r="D1435" s="109"/>
      <c r="E1435" s="109"/>
      <c r="F1435" s="109"/>
      <c r="G1435" s="109"/>
      <c r="H1435" s="109"/>
      <c r="I1435" s="109"/>
      <c r="J1435" s="109"/>
      <c r="K1435" s="109"/>
      <c r="L1435" s="109"/>
      <c r="M1435" s="109"/>
      <c r="N1435" s="109"/>
      <c r="O1435" s="109"/>
    </row>
    <row r="1436" spans="1:15" ht="17.25" customHeight="1">
      <c r="A1436" s="108"/>
      <c r="B1436" s="108"/>
      <c r="C1436" s="109"/>
      <c r="D1436" s="109"/>
      <c r="E1436" s="109"/>
      <c r="F1436" s="109"/>
      <c r="G1436" s="109"/>
      <c r="H1436" s="109"/>
      <c r="I1436" s="109"/>
      <c r="J1436" s="109"/>
      <c r="K1436" s="109"/>
      <c r="L1436" s="109"/>
      <c r="M1436" s="109"/>
      <c r="N1436" s="109"/>
      <c r="O1436" s="109"/>
    </row>
    <row r="1437" spans="1:15" ht="17.25" customHeight="1">
      <c r="A1437" s="108"/>
      <c r="B1437" s="108"/>
      <c r="C1437" s="109"/>
      <c r="D1437" s="109"/>
      <c r="E1437" s="109"/>
      <c r="F1437" s="109"/>
      <c r="G1437" s="109"/>
      <c r="H1437" s="109"/>
      <c r="I1437" s="109"/>
      <c r="J1437" s="109"/>
      <c r="K1437" s="109"/>
      <c r="L1437" s="109"/>
      <c r="M1437" s="109"/>
      <c r="N1437" s="109"/>
      <c r="O1437" s="109"/>
    </row>
    <row r="1438" spans="1:15" ht="17.25" customHeight="1">
      <c r="A1438" s="108"/>
      <c r="B1438" s="108"/>
      <c r="C1438" s="109"/>
      <c r="D1438" s="109"/>
      <c r="E1438" s="109"/>
      <c r="F1438" s="109"/>
      <c r="G1438" s="109"/>
      <c r="H1438" s="109"/>
      <c r="I1438" s="109"/>
      <c r="J1438" s="109"/>
      <c r="K1438" s="109"/>
      <c r="L1438" s="109"/>
      <c r="M1438" s="109"/>
      <c r="N1438" s="109"/>
      <c r="O1438" s="109"/>
    </row>
    <row r="1439" spans="1:15" ht="17.25" customHeight="1">
      <c r="A1439" s="108"/>
      <c r="B1439" s="108"/>
      <c r="C1439" s="109"/>
      <c r="D1439" s="109"/>
      <c r="E1439" s="109"/>
      <c r="F1439" s="109"/>
      <c r="G1439" s="109"/>
      <c r="H1439" s="109"/>
      <c r="I1439" s="109"/>
      <c r="J1439" s="109"/>
      <c r="K1439" s="109"/>
      <c r="L1439" s="109"/>
      <c r="M1439" s="109"/>
      <c r="N1439" s="109"/>
      <c r="O1439" s="109"/>
    </row>
    <row r="1440" spans="1:15" ht="17.25" customHeight="1">
      <c r="A1440" s="108"/>
      <c r="B1440" s="108"/>
      <c r="C1440" s="109"/>
      <c r="D1440" s="109"/>
      <c r="E1440" s="109"/>
      <c r="F1440" s="109"/>
      <c r="G1440" s="109"/>
      <c r="H1440" s="109"/>
      <c r="I1440" s="109"/>
      <c r="J1440" s="109"/>
      <c r="K1440" s="109"/>
      <c r="L1440" s="109"/>
      <c r="M1440" s="109"/>
      <c r="N1440" s="109"/>
      <c r="O1440" s="109"/>
    </row>
    <row r="1441" spans="1:15" ht="17.25" customHeight="1">
      <c r="A1441" s="108"/>
      <c r="B1441" s="108"/>
      <c r="C1441" s="109"/>
      <c r="D1441" s="109"/>
      <c r="E1441" s="109"/>
      <c r="F1441" s="109"/>
      <c r="G1441" s="109"/>
      <c r="H1441" s="109"/>
      <c r="I1441" s="109"/>
      <c r="J1441" s="109"/>
      <c r="K1441" s="109"/>
      <c r="L1441" s="109"/>
      <c r="M1441" s="109"/>
      <c r="N1441" s="109"/>
      <c r="O1441" s="109"/>
    </row>
    <row r="1442" spans="1:15" ht="17.25" customHeight="1">
      <c r="A1442" s="108"/>
      <c r="B1442" s="108"/>
      <c r="C1442" s="109"/>
      <c r="D1442" s="109"/>
      <c r="E1442" s="109"/>
      <c r="F1442" s="109"/>
      <c r="G1442" s="109"/>
      <c r="H1442" s="109"/>
      <c r="I1442" s="109"/>
      <c r="J1442" s="109"/>
      <c r="K1442" s="109"/>
      <c r="L1442" s="109"/>
      <c r="M1442" s="109"/>
      <c r="N1442" s="109"/>
      <c r="O1442" s="109"/>
    </row>
    <row r="1443" spans="1:15" ht="17.25" customHeight="1">
      <c r="A1443" s="108"/>
      <c r="B1443" s="108"/>
      <c r="C1443" s="109"/>
      <c r="D1443" s="109"/>
      <c r="E1443" s="109"/>
      <c r="F1443" s="109"/>
      <c r="G1443" s="109"/>
      <c r="H1443" s="109"/>
      <c r="I1443" s="109"/>
      <c r="J1443" s="109"/>
      <c r="K1443" s="109"/>
      <c r="L1443" s="109"/>
      <c r="M1443" s="109"/>
      <c r="N1443" s="109"/>
      <c r="O1443" s="109"/>
    </row>
    <row r="1444" spans="1:15" ht="17.25" customHeight="1">
      <c r="A1444" s="108"/>
      <c r="B1444" s="108"/>
      <c r="C1444" s="109"/>
      <c r="D1444" s="109"/>
      <c r="E1444" s="109"/>
      <c r="F1444" s="109"/>
      <c r="G1444" s="109"/>
      <c r="H1444" s="109"/>
      <c r="I1444" s="109"/>
      <c r="J1444" s="109"/>
      <c r="K1444" s="109"/>
      <c r="L1444" s="109"/>
      <c r="M1444" s="109"/>
      <c r="N1444" s="109"/>
      <c r="O1444" s="109"/>
    </row>
    <row r="1445" spans="1:15" ht="17.25" customHeight="1">
      <c r="A1445" s="108"/>
      <c r="B1445" s="108"/>
      <c r="C1445" s="109"/>
      <c r="D1445" s="109"/>
      <c r="E1445" s="109"/>
      <c r="F1445" s="109"/>
      <c r="G1445" s="109"/>
      <c r="H1445" s="109"/>
      <c r="I1445" s="109"/>
      <c r="J1445" s="109"/>
      <c r="K1445" s="109"/>
      <c r="L1445" s="109"/>
      <c r="M1445" s="109"/>
      <c r="N1445" s="109"/>
      <c r="O1445" s="109"/>
    </row>
    <row r="1446" spans="1:15" ht="17.25" customHeight="1">
      <c r="A1446" s="108"/>
      <c r="B1446" s="108"/>
      <c r="C1446" s="109"/>
      <c r="D1446" s="109"/>
      <c r="E1446" s="109"/>
      <c r="F1446" s="109"/>
      <c r="G1446" s="109"/>
      <c r="H1446" s="109"/>
      <c r="I1446" s="109"/>
      <c r="J1446" s="109"/>
      <c r="K1446" s="109"/>
      <c r="L1446" s="109"/>
      <c r="M1446" s="109"/>
      <c r="N1446" s="109"/>
      <c r="O1446" s="109"/>
    </row>
    <row r="1447" spans="1:15" ht="17.25" customHeight="1">
      <c r="A1447" s="108"/>
      <c r="B1447" s="108"/>
      <c r="C1447" s="109"/>
      <c r="D1447" s="109"/>
      <c r="E1447" s="109"/>
      <c r="F1447" s="109"/>
      <c r="G1447" s="109"/>
      <c r="H1447" s="109"/>
      <c r="I1447" s="109"/>
      <c r="J1447" s="109"/>
      <c r="K1447" s="109"/>
      <c r="L1447" s="109"/>
      <c r="M1447" s="109"/>
      <c r="N1447" s="109"/>
      <c r="O1447" s="109"/>
    </row>
    <row r="1448" spans="1:15" ht="17.25" customHeight="1">
      <c r="A1448" s="108"/>
      <c r="B1448" s="108"/>
      <c r="C1448" s="109"/>
      <c r="D1448" s="109"/>
      <c r="E1448" s="109"/>
      <c r="F1448" s="109"/>
      <c r="G1448" s="109"/>
      <c r="H1448" s="109"/>
      <c r="I1448" s="109"/>
      <c r="J1448" s="109"/>
      <c r="K1448" s="109"/>
      <c r="L1448" s="109"/>
      <c r="M1448" s="109"/>
      <c r="N1448" s="109"/>
      <c r="O1448" s="109"/>
    </row>
    <row r="1449" spans="1:15" ht="17.25" customHeight="1">
      <c r="A1449" s="108"/>
      <c r="B1449" s="108"/>
      <c r="C1449" s="109"/>
      <c r="D1449" s="109"/>
      <c r="E1449" s="109"/>
      <c r="F1449" s="109"/>
      <c r="G1449" s="109"/>
      <c r="H1449" s="109"/>
      <c r="I1449" s="109"/>
      <c r="J1449" s="109"/>
      <c r="K1449" s="109"/>
      <c r="L1449" s="109"/>
      <c r="M1449" s="109"/>
      <c r="N1449" s="109"/>
      <c r="O1449" s="109"/>
    </row>
    <row r="1450" spans="1:15" ht="17.25" customHeight="1">
      <c r="A1450" s="108"/>
      <c r="B1450" s="108"/>
      <c r="C1450" s="109"/>
      <c r="D1450" s="109"/>
      <c r="E1450" s="109"/>
      <c r="F1450" s="109"/>
      <c r="G1450" s="109"/>
      <c r="H1450" s="109"/>
      <c r="I1450" s="109"/>
      <c r="J1450" s="109"/>
      <c r="K1450" s="109"/>
      <c r="L1450" s="109"/>
      <c r="M1450" s="109"/>
      <c r="N1450" s="109"/>
      <c r="O1450" s="109"/>
    </row>
    <row r="1451" spans="1:15" ht="17.25" customHeight="1">
      <c r="A1451" s="108"/>
      <c r="B1451" s="108"/>
      <c r="C1451" s="109"/>
      <c r="D1451" s="109"/>
      <c r="E1451" s="109"/>
      <c r="F1451" s="109"/>
      <c r="G1451" s="109"/>
      <c r="H1451" s="109"/>
      <c r="I1451" s="109"/>
      <c r="J1451" s="109"/>
      <c r="K1451" s="109"/>
      <c r="L1451" s="109"/>
      <c r="M1451" s="109"/>
      <c r="N1451" s="109"/>
      <c r="O1451" s="109"/>
    </row>
    <row r="1452" spans="1:15" ht="17.25" customHeight="1">
      <c r="A1452" s="108"/>
      <c r="B1452" s="108"/>
      <c r="C1452" s="109"/>
      <c r="D1452" s="109"/>
      <c r="E1452" s="109"/>
      <c r="F1452" s="109"/>
      <c r="G1452" s="109"/>
      <c r="H1452" s="109"/>
      <c r="I1452" s="109"/>
      <c r="J1452" s="109"/>
      <c r="K1452" s="109"/>
      <c r="L1452" s="109"/>
      <c r="M1452" s="109"/>
      <c r="N1452" s="109"/>
      <c r="O1452" s="109"/>
    </row>
    <row r="1453" spans="1:15" ht="17.25" customHeight="1">
      <c r="A1453" s="108"/>
      <c r="B1453" s="108"/>
      <c r="C1453" s="109"/>
      <c r="D1453" s="109"/>
      <c r="E1453" s="109"/>
      <c r="F1453" s="109"/>
      <c r="G1453" s="109"/>
      <c r="H1453" s="109"/>
      <c r="I1453" s="109"/>
      <c r="J1453" s="109"/>
      <c r="K1453" s="109"/>
      <c r="L1453" s="109"/>
      <c r="M1453" s="109"/>
      <c r="N1453" s="109"/>
      <c r="O1453" s="109"/>
    </row>
    <row r="1454" spans="1:15" ht="17.25" customHeight="1">
      <c r="A1454" s="108"/>
      <c r="B1454" s="108"/>
      <c r="C1454" s="109"/>
      <c r="D1454" s="109"/>
      <c r="E1454" s="109"/>
      <c r="F1454" s="109"/>
      <c r="G1454" s="109"/>
      <c r="H1454" s="109"/>
      <c r="I1454" s="109"/>
      <c r="J1454" s="109"/>
      <c r="K1454" s="109"/>
      <c r="L1454" s="109"/>
      <c r="M1454" s="109"/>
      <c r="N1454" s="109"/>
      <c r="O1454" s="109"/>
    </row>
    <row r="1455" spans="1:15" ht="17.25" customHeight="1">
      <c r="A1455" s="108"/>
      <c r="B1455" s="108"/>
      <c r="C1455" s="109"/>
      <c r="D1455" s="109"/>
      <c r="E1455" s="109"/>
      <c r="F1455" s="109"/>
      <c r="G1455" s="109"/>
      <c r="H1455" s="109"/>
      <c r="I1455" s="109"/>
      <c r="J1455" s="109"/>
      <c r="K1455" s="109"/>
      <c r="L1455" s="109"/>
      <c r="M1455" s="109"/>
      <c r="N1455" s="109"/>
      <c r="O1455" s="109"/>
    </row>
    <row r="1456" spans="1:15" ht="17.25" customHeight="1">
      <c r="A1456" s="108"/>
      <c r="B1456" s="108"/>
      <c r="C1456" s="109"/>
      <c r="D1456" s="109"/>
      <c r="E1456" s="109"/>
      <c r="F1456" s="109"/>
      <c r="G1456" s="109"/>
      <c r="H1456" s="109"/>
      <c r="I1456" s="109"/>
      <c r="J1456" s="109"/>
      <c r="K1456" s="109"/>
      <c r="L1456" s="109"/>
      <c r="M1456" s="109"/>
      <c r="N1456" s="109"/>
      <c r="O1456" s="109"/>
    </row>
    <row r="1457" spans="1:15" ht="17.25" customHeight="1">
      <c r="A1457" s="108"/>
      <c r="B1457" s="108"/>
      <c r="C1457" s="109"/>
      <c r="D1457" s="109"/>
      <c r="E1457" s="109"/>
      <c r="F1457" s="109"/>
      <c r="G1457" s="109"/>
      <c r="H1457" s="109"/>
      <c r="I1457" s="109"/>
      <c r="J1457" s="109"/>
      <c r="K1457" s="109"/>
      <c r="L1457" s="109"/>
      <c r="M1457" s="109"/>
      <c r="N1457" s="109"/>
      <c r="O1457" s="109"/>
    </row>
    <row r="1458" spans="1:15" ht="17.25" customHeight="1">
      <c r="A1458" s="108"/>
      <c r="B1458" s="108"/>
      <c r="C1458" s="109"/>
      <c r="D1458" s="109"/>
      <c r="E1458" s="109"/>
      <c r="F1458" s="109"/>
      <c r="G1458" s="109"/>
      <c r="H1458" s="109"/>
      <c r="I1458" s="109"/>
      <c r="J1458" s="109"/>
      <c r="K1458" s="109"/>
      <c r="L1458" s="109"/>
      <c r="M1458" s="109"/>
      <c r="N1458" s="109"/>
      <c r="O1458" s="109"/>
    </row>
    <row r="1459" spans="1:15" ht="17.25" customHeight="1">
      <c r="A1459" s="108"/>
      <c r="B1459" s="108"/>
      <c r="C1459" s="109"/>
      <c r="D1459" s="109"/>
      <c r="E1459" s="109"/>
      <c r="F1459" s="109"/>
      <c r="G1459" s="109"/>
      <c r="H1459" s="109"/>
      <c r="I1459" s="109"/>
      <c r="J1459" s="109"/>
      <c r="K1459" s="109"/>
      <c r="L1459" s="109"/>
      <c r="M1459" s="109"/>
      <c r="N1459" s="109"/>
      <c r="O1459" s="109"/>
    </row>
    <row r="1460" spans="1:15" ht="17.25" customHeight="1">
      <c r="A1460" s="108"/>
      <c r="B1460" s="108"/>
      <c r="C1460" s="109"/>
      <c r="D1460" s="109"/>
      <c r="E1460" s="109"/>
      <c r="F1460" s="109"/>
      <c r="G1460" s="109"/>
      <c r="H1460" s="109"/>
      <c r="I1460" s="109"/>
      <c r="J1460" s="109"/>
      <c r="K1460" s="109"/>
      <c r="L1460" s="109"/>
      <c r="M1460" s="109"/>
      <c r="N1460" s="109"/>
      <c r="O1460" s="109"/>
    </row>
    <row r="1461" spans="1:15" ht="17.25" customHeight="1">
      <c r="A1461" s="108"/>
      <c r="B1461" s="108"/>
      <c r="C1461" s="109"/>
      <c r="D1461" s="109"/>
      <c r="E1461" s="109"/>
      <c r="F1461" s="109"/>
      <c r="G1461" s="109"/>
      <c r="H1461" s="109"/>
      <c r="I1461" s="109"/>
      <c r="J1461" s="109"/>
      <c r="K1461" s="109"/>
      <c r="L1461" s="109"/>
      <c r="M1461" s="109"/>
      <c r="N1461" s="109"/>
      <c r="O1461" s="109"/>
    </row>
    <row r="1462" spans="1:15" ht="17.25" customHeight="1">
      <c r="A1462" s="108"/>
      <c r="B1462" s="108"/>
      <c r="C1462" s="109"/>
      <c r="D1462" s="109"/>
      <c r="E1462" s="109"/>
      <c r="F1462" s="109"/>
      <c r="G1462" s="109"/>
      <c r="H1462" s="109"/>
      <c r="I1462" s="109"/>
      <c r="J1462" s="109"/>
      <c r="K1462" s="109"/>
      <c r="L1462" s="109"/>
      <c r="M1462" s="109"/>
      <c r="N1462" s="109"/>
      <c r="O1462" s="109"/>
    </row>
    <row r="1463" spans="1:15" ht="17.25" customHeight="1">
      <c r="A1463" s="108"/>
      <c r="B1463" s="108"/>
      <c r="C1463" s="109"/>
      <c r="D1463" s="109"/>
      <c r="E1463" s="109"/>
      <c r="F1463" s="109"/>
      <c r="G1463" s="109"/>
      <c r="H1463" s="109"/>
      <c r="I1463" s="109"/>
      <c r="J1463" s="109"/>
      <c r="K1463" s="109"/>
      <c r="L1463" s="109"/>
      <c r="M1463" s="109"/>
      <c r="N1463" s="109"/>
      <c r="O1463" s="109"/>
    </row>
    <row r="1464" spans="1:15" ht="17.25" customHeight="1">
      <c r="A1464" s="108"/>
      <c r="B1464" s="108"/>
      <c r="C1464" s="109"/>
      <c r="D1464" s="109"/>
      <c r="E1464" s="109"/>
      <c r="F1464" s="109"/>
      <c r="G1464" s="109"/>
      <c r="H1464" s="109"/>
      <c r="I1464" s="109"/>
      <c r="J1464" s="109"/>
      <c r="K1464" s="109"/>
      <c r="L1464" s="109"/>
      <c r="M1464" s="109"/>
      <c r="N1464" s="109"/>
      <c r="O1464" s="109"/>
    </row>
    <row r="1465" spans="1:15" ht="17.25" customHeight="1">
      <c r="A1465" s="108"/>
      <c r="B1465" s="108"/>
      <c r="C1465" s="109"/>
      <c r="D1465" s="109"/>
      <c r="E1465" s="109"/>
      <c r="F1465" s="109"/>
      <c r="G1465" s="109"/>
      <c r="H1465" s="109"/>
      <c r="I1465" s="109"/>
      <c r="J1465" s="109"/>
      <c r="K1465" s="109"/>
      <c r="L1465" s="109"/>
      <c r="M1465" s="109"/>
      <c r="N1465" s="109"/>
      <c r="O1465" s="109"/>
    </row>
    <row r="1466" spans="1:15" ht="17.25" customHeight="1">
      <c r="A1466" s="108"/>
      <c r="B1466" s="108"/>
      <c r="C1466" s="109"/>
      <c r="D1466" s="109"/>
      <c r="E1466" s="109"/>
      <c r="F1466" s="109"/>
      <c r="G1466" s="109"/>
      <c r="H1466" s="109"/>
      <c r="I1466" s="109"/>
      <c r="J1466" s="109"/>
      <c r="K1466" s="109"/>
      <c r="L1466" s="109"/>
      <c r="M1466" s="109"/>
      <c r="N1466" s="109"/>
      <c r="O1466" s="109"/>
    </row>
    <row r="1467" spans="1:15" ht="17.25" customHeight="1">
      <c r="A1467" s="108"/>
      <c r="B1467" s="108"/>
      <c r="C1467" s="109"/>
      <c r="D1467" s="109"/>
      <c r="E1467" s="109"/>
      <c r="F1467" s="109"/>
      <c r="G1467" s="109"/>
      <c r="H1467" s="109"/>
      <c r="I1467" s="109"/>
      <c r="J1467" s="109"/>
      <c r="K1467" s="109"/>
      <c r="L1467" s="109"/>
      <c r="M1467" s="109"/>
      <c r="N1467" s="109"/>
      <c r="O1467" s="109"/>
    </row>
    <row r="1468" spans="1:15" ht="17.25" customHeight="1">
      <c r="A1468" s="108"/>
      <c r="B1468" s="108"/>
      <c r="C1468" s="109"/>
      <c r="D1468" s="109"/>
      <c r="E1468" s="109"/>
      <c r="F1468" s="109"/>
      <c r="G1468" s="109"/>
      <c r="H1468" s="109"/>
      <c r="I1468" s="109"/>
      <c r="J1468" s="109"/>
      <c r="K1468" s="109"/>
      <c r="L1468" s="109"/>
      <c r="M1468" s="109"/>
      <c r="N1468" s="109"/>
      <c r="O1468" s="109"/>
    </row>
    <row r="1469" spans="1:15" ht="17.25" customHeight="1">
      <c r="A1469" s="108"/>
      <c r="B1469" s="108"/>
      <c r="C1469" s="109"/>
      <c r="D1469" s="109"/>
      <c r="E1469" s="109"/>
      <c r="F1469" s="109"/>
      <c r="G1469" s="109"/>
      <c r="H1469" s="109"/>
      <c r="I1469" s="109"/>
      <c r="J1469" s="109"/>
      <c r="K1469" s="109"/>
      <c r="L1469" s="109"/>
      <c r="M1469" s="109"/>
      <c r="N1469" s="109"/>
      <c r="O1469" s="109"/>
    </row>
    <row r="1470" spans="1:15" ht="17.25" customHeight="1">
      <c r="A1470" s="108"/>
      <c r="B1470" s="108"/>
      <c r="C1470" s="109"/>
      <c r="D1470" s="109"/>
      <c r="E1470" s="109"/>
      <c r="F1470" s="109"/>
      <c r="G1470" s="109"/>
      <c r="H1470" s="109"/>
      <c r="I1470" s="109"/>
      <c r="J1470" s="109"/>
      <c r="K1470" s="109"/>
      <c r="L1470" s="109"/>
      <c r="M1470" s="109"/>
      <c r="N1470" s="109"/>
      <c r="O1470" s="109"/>
    </row>
    <row r="1471" spans="1:15" ht="17.25" customHeight="1">
      <c r="A1471" s="108"/>
      <c r="B1471" s="108"/>
      <c r="C1471" s="109"/>
      <c r="D1471" s="109"/>
      <c r="E1471" s="109"/>
      <c r="F1471" s="109"/>
      <c r="G1471" s="109"/>
      <c r="H1471" s="109"/>
      <c r="I1471" s="109"/>
      <c r="J1471" s="109"/>
      <c r="K1471" s="109"/>
      <c r="L1471" s="109"/>
      <c r="M1471" s="109"/>
      <c r="N1471" s="109"/>
      <c r="O1471" s="109"/>
    </row>
    <row r="1472" spans="1:15" ht="17.25" customHeight="1">
      <c r="A1472" s="108"/>
      <c r="B1472" s="108"/>
      <c r="C1472" s="109"/>
      <c r="D1472" s="109"/>
      <c r="E1472" s="109"/>
      <c r="F1472" s="109"/>
      <c r="G1472" s="109"/>
      <c r="H1472" s="109"/>
      <c r="I1472" s="109"/>
      <c r="J1472" s="109"/>
      <c r="K1472" s="109"/>
      <c r="L1472" s="109"/>
      <c r="M1472" s="109"/>
      <c r="N1472" s="109"/>
      <c r="O1472" s="109"/>
    </row>
    <row r="1473" spans="1:15" ht="17.25" customHeight="1">
      <c r="A1473" s="108"/>
      <c r="B1473" s="108"/>
      <c r="C1473" s="109"/>
      <c r="D1473" s="109"/>
      <c r="E1473" s="109"/>
      <c r="F1473" s="109"/>
      <c r="G1473" s="109"/>
      <c r="H1473" s="109"/>
      <c r="I1473" s="109"/>
      <c r="J1473" s="109"/>
      <c r="K1473" s="109"/>
      <c r="L1473" s="109"/>
      <c r="M1473" s="109"/>
      <c r="N1473" s="109"/>
      <c r="O1473" s="109"/>
    </row>
    <row r="1474" spans="1:15" ht="17.25" customHeight="1">
      <c r="A1474" s="108"/>
      <c r="B1474" s="108"/>
      <c r="C1474" s="109"/>
      <c r="D1474" s="109"/>
      <c r="E1474" s="109"/>
      <c r="F1474" s="109"/>
      <c r="G1474" s="109"/>
      <c r="H1474" s="109"/>
      <c r="I1474" s="109"/>
      <c r="J1474" s="109"/>
      <c r="K1474" s="109"/>
      <c r="L1474" s="109"/>
      <c r="M1474" s="109"/>
      <c r="N1474" s="109"/>
      <c r="O1474" s="109"/>
    </row>
    <row r="1475" spans="1:15" ht="17.25" customHeight="1">
      <c r="A1475" s="108"/>
      <c r="B1475" s="108"/>
      <c r="C1475" s="109"/>
      <c r="D1475" s="109"/>
      <c r="E1475" s="109"/>
      <c r="F1475" s="109"/>
      <c r="G1475" s="109"/>
      <c r="H1475" s="109"/>
      <c r="I1475" s="109"/>
      <c r="J1475" s="109"/>
      <c r="K1475" s="109"/>
      <c r="L1475" s="109"/>
      <c r="M1475" s="109"/>
      <c r="N1475" s="109"/>
      <c r="O1475" s="109"/>
    </row>
    <row r="1476" spans="1:15" ht="17.25" customHeight="1">
      <c r="A1476" s="108"/>
      <c r="B1476" s="108"/>
      <c r="C1476" s="109"/>
      <c r="D1476" s="109"/>
      <c r="E1476" s="109"/>
      <c r="F1476" s="109"/>
      <c r="G1476" s="109"/>
      <c r="H1476" s="109"/>
      <c r="I1476" s="109"/>
      <c r="J1476" s="109"/>
      <c r="K1476" s="109"/>
      <c r="L1476" s="109"/>
      <c r="M1476" s="109"/>
      <c r="N1476" s="109"/>
      <c r="O1476" s="109"/>
    </row>
    <row r="1477" spans="1:15" ht="17.25" customHeight="1">
      <c r="A1477" s="108"/>
      <c r="B1477" s="108"/>
      <c r="C1477" s="109"/>
      <c r="D1477" s="109"/>
      <c r="E1477" s="109"/>
      <c r="F1477" s="109"/>
      <c r="G1477" s="109"/>
      <c r="H1477" s="109"/>
      <c r="I1477" s="109"/>
      <c r="J1477" s="109"/>
      <c r="K1477" s="109"/>
      <c r="L1477" s="109"/>
      <c r="M1477" s="109"/>
      <c r="N1477" s="109"/>
      <c r="O1477" s="109"/>
    </row>
    <row r="1478" spans="1:15" ht="17.25" customHeight="1">
      <c r="A1478" s="108"/>
      <c r="B1478" s="108"/>
      <c r="C1478" s="109"/>
      <c r="D1478" s="109"/>
      <c r="E1478" s="109"/>
      <c r="F1478" s="109"/>
      <c r="G1478" s="109"/>
      <c r="H1478" s="109"/>
      <c r="I1478" s="109"/>
      <c r="J1478" s="109"/>
      <c r="K1478" s="109"/>
      <c r="L1478" s="109"/>
      <c r="M1478" s="109"/>
      <c r="N1478" s="109"/>
      <c r="O1478" s="109"/>
    </row>
    <row r="1479" spans="1:15" ht="17.25" customHeight="1">
      <c r="A1479" s="108"/>
      <c r="B1479" s="108"/>
      <c r="C1479" s="109"/>
      <c r="D1479" s="109"/>
      <c r="E1479" s="109"/>
      <c r="F1479" s="109"/>
      <c r="G1479" s="109"/>
      <c r="H1479" s="109"/>
      <c r="I1479" s="109"/>
      <c r="J1479" s="109"/>
      <c r="K1479" s="109"/>
      <c r="L1479" s="109"/>
      <c r="M1479" s="109"/>
      <c r="N1479" s="109"/>
      <c r="O1479" s="109"/>
    </row>
    <row r="1480" spans="1:15" ht="17.25" customHeight="1">
      <c r="A1480" s="108"/>
      <c r="B1480" s="108"/>
      <c r="C1480" s="109"/>
      <c r="D1480" s="109"/>
      <c r="E1480" s="109"/>
      <c r="F1480" s="109"/>
      <c r="G1480" s="109"/>
      <c r="H1480" s="109"/>
      <c r="I1480" s="109"/>
      <c r="J1480" s="109"/>
      <c r="K1480" s="109"/>
      <c r="L1480" s="109"/>
      <c r="M1480" s="109"/>
      <c r="N1480" s="109"/>
      <c r="O1480" s="109"/>
    </row>
    <row r="1481" spans="1:15" ht="17.25" customHeight="1">
      <c r="A1481" s="108"/>
      <c r="B1481" s="108"/>
      <c r="C1481" s="109"/>
      <c r="D1481" s="109"/>
      <c r="E1481" s="109"/>
      <c r="F1481" s="109"/>
      <c r="G1481" s="109"/>
      <c r="H1481" s="109"/>
      <c r="I1481" s="109"/>
      <c r="J1481" s="109"/>
      <c r="K1481" s="109"/>
      <c r="L1481" s="109"/>
      <c r="M1481" s="109"/>
      <c r="N1481" s="109"/>
      <c r="O1481" s="109"/>
    </row>
    <row r="1482" spans="1:15" ht="17.25" customHeight="1">
      <c r="A1482" s="108"/>
      <c r="B1482" s="108"/>
      <c r="C1482" s="109"/>
      <c r="D1482" s="109"/>
      <c r="E1482" s="109"/>
      <c r="F1482" s="109"/>
      <c r="G1482" s="109"/>
      <c r="H1482" s="109"/>
      <c r="I1482" s="109"/>
      <c r="J1482" s="109"/>
      <c r="K1482" s="109"/>
      <c r="L1482" s="109"/>
      <c r="M1482" s="109"/>
      <c r="N1482" s="109"/>
      <c r="O1482" s="109"/>
    </row>
    <row r="1483" spans="1:15" ht="17.25" customHeight="1">
      <c r="A1483" s="108"/>
      <c r="B1483" s="108"/>
      <c r="C1483" s="109"/>
      <c r="D1483" s="109"/>
      <c r="E1483" s="109"/>
      <c r="F1483" s="109"/>
      <c r="G1483" s="109"/>
      <c r="H1483" s="109"/>
      <c r="I1483" s="109"/>
      <c r="J1483" s="109"/>
      <c r="K1483" s="109"/>
      <c r="L1483" s="109"/>
      <c r="M1483" s="109"/>
      <c r="N1483" s="109"/>
      <c r="O1483" s="109"/>
    </row>
    <row r="1484" spans="1:15" ht="17.25" customHeight="1">
      <c r="A1484" s="108"/>
      <c r="B1484" s="108"/>
      <c r="C1484" s="109"/>
      <c r="D1484" s="109"/>
      <c r="E1484" s="109"/>
      <c r="F1484" s="109"/>
      <c r="G1484" s="109"/>
      <c r="H1484" s="109"/>
      <c r="I1484" s="109"/>
      <c r="J1484" s="109"/>
      <c r="K1484" s="109"/>
      <c r="L1484" s="109"/>
      <c r="M1484" s="109"/>
      <c r="N1484" s="109"/>
      <c r="O1484" s="109"/>
    </row>
    <row r="1485" spans="1:15" ht="17.25" customHeight="1">
      <c r="A1485" s="108"/>
      <c r="B1485" s="108"/>
      <c r="C1485" s="109"/>
      <c r="D1485" s="109"/>
      <c r="E1485" s="109"/>
      <c r="F1485" s="109"/>
      <c r="G1485" s="109"/>
      <c r="H1485" s="109"/>
      <c r="I1485" s="109"/>
      <c r="J1485" s="109"/>
      <c r="K1485" s="109"/>
      <c r="L1485" s="109"/>
      <c r="M1485" s="109"/>
      <c r="N1485" s="109"/>
      <c r="O1485" s="109"/>
    </row>
    <row r="1486" spans="1:15" ht="17.25" customHeight="1">
      <c r="A1486" s="108"/>
      <c r="B1486" s="108"/>
      <c r="C1486" s="109"/>
      <c r="D1486" s="109"/>
      <c r="E1486" s="109"/>
      <c r="F1486" s="109"/>
      <c r="G1486" s="109"/>
      <c r="H1486" s="109"/>
      <c r="I1486" s="109"/>
      <c r="J1486" s="109"/>
      <c r="K1486" s="109"/>
      <c r="L1486" s="109"/>
      <c r="M1486" s="109"/>
      <c r="N1486" s="109"/>
      <c r="O1486" s="109"/>
    </row>
    <row r="1487" spans="1:15" ht="17.25" customHeight="1">
      <c r="A1487" s="108"/>
      <c r="B1487" s="108"/>
      <c r="C1487" s="109"/>
      <c r="D1487" s="109"/>
      <c r="E1487" s="109"/>
      <c r="F1487" s="109"/>
      <c r="G1487" s="109"/>
      <c r="H1487" s="109"/>
      <c r="I1487" s="109"/>
      <c r="J1487" s="109"/>
      <c r="K1487" s="109"/>
      <c r="L1487" s="109"/>
      <c r="M1487" s="109"/>
      <c r="N1487" s="109"/>
      <c r="O1487" s="109"/>
    </row>
    <row r="1488" spans="1:15" ht="17.25" customHeight="1">
      <c r="A1488" s="108"/>
      <c r="B1488" s="108"/>
      <c r="C1488" s="109"/>
      <c r="D1488" s="109"/>
      <c r="E1488" s="109"/>
      <c r="F1488" s="109"/>
      <c r="G1488" s="109"/>
      <c r="H1488" s="109"/>
      <c r="I1488" s="109"/>
      <c r="J1488" s="109"/>
      <c r="K1488" s="109"/>
      <c r="L1488" s="109"/>
      <c r="M1488" s="109"/>
      <c r="N1488" s="109"/>
      <c r="O1488" s="109"/>
    </row>
    <row r="1489" spans="1:15" ht="17.25" customHeight="1">
      <c r="A1489" s="108"/>
      <c r="B1489" s="108"/>
      <c r="C1489" s="109"/>
      <c r="D1489" s="109"/>
      <c r="E1489" s="109"/>
      <c r="F1489" s="109"/>
      <c r="G1489" s="109"/>
      <c r="H1489" s="109"/>
      <c r="I1489" s="109"/>
      <c r="J1489" s="109"/>
      <c r="K1489" s="109"/>
      <c r="L1489" s="109"/>
      <c r="M1489" s="109"/>
      <c r="N1489" s="109"/>
      <c r="O1489" s="109"/>
    </row>
    <row r="1490" spans="1:15" ht="17.25" customHeight="1">
      <c r="A1490" s="108"/>
      <c r="B1490" s="108"/>
      <c r="C1490" s="109"/>
      <c r="D1490" s="109"/>
      <c r="E1490" s="109"/>
      <c r="F1490" s="109"/>
      <c r="G1490" s="109"/>
      <c r="H1490" s="109"/>
      <c r="I1490" s="109"/>
      <c r="J1490" s="109"/>
      <c r="K1490" s="109"/>
      <c r="L1490" s="109"/>
      <c r="M1490" s="109"/>
      <c r="N1490" s="109"/>
      <c r="O1490" s="109"/>
    </row>
    <row r="1491" spans="1:15" ht="17.25" customHeight="1">
      <c r="A1491" s="108"/>
      <c r="B1491" s="108"/>
      <c r="C1491" s="109"/>
      <c r="D1491" s="109"/>
      <c r="E1491" s="109"/>
      <c r="F1491" s="109"/>
      <c r="G1491" s="109"/>
      <c r="H1491" s="109"/>
      <c r="I1491" s="109"/>
      <c r="J1491" s="109"/>
      <c r="K1491" s="109"/>
      <c r="L1491" s="109"/>
      <c r="M1491" s="109"/>
      <c r="N1491" s="109"/>
      <c r="O1491" s="109"/>
    </row>
    <row r="1492" spans="1:15" ht="17.25" customHeight="1">
      <c r="A1492" s="108"/>
      <c r="B1492" s="108"/>
      <c r="C1492" s="109"/>
      <c r="D1492" s="109"/>
      <c r="E1492" s="109"/>
      <c r="F1492" s="109"/>
      <c r="G1492" s="109"/>
      <c r="H1492" s="109"/>
      <c r="I1492" s="109"/>
      <c r="J1492" s="109"/>
      <c r="K1492" s="109"/>
      <c r="L1492" s="109"/>
      <c r="M1492" s="109"/>
      <c r="N1492" s="109"/>
      <c r="O1492" s="109"/>
    </row>
    <row r="1493" spans="1:15" ht="17.25" customHeight="1">
      <c r="A1493" s="108"/>
      <c r="B1493" s="108"/>
      <c r="C1493" s="109"/>
      <c r="D1493" s="109"/>
      <c r="E1493" s="109"/>
      <c r="F1493" s="109"/>
      <c r="G1493" s="109"/>
      <c r="H1493" s="109"/>
      <c r="I1493" s="109"/>
      <c r="J1493" s="109"/>
      <c r="K1493" s="109"/>
      <c r="L1493" s="109"/>
      <c r="M1493" s="109"/>
      <c r="N1493" s="109"/>
      <c r="O1493" s="109"/>
    </row>
    <row r="1494" spans="1:15" ht="17.25" customHeight="1">
      <c r="A1494" s="108"/>
      <c r="B1494" s="108"/>
      <c r="C1494" s="109"/>
      <c r="D1494" s="109"/>
      <c r="E1494" s="109"/>
      <c r="F1494" s="109"/>
      <c r="G1494" s="109"/>
      <c r="H1494" s="109"/>
      <c r="I1494" s="109"/>
      <c r="J1494" s="109"/>
      <c r="K1494" s="109"/>
      <c r="L1494" s="109"/>
      <c r="M1494" s="109"/>
      <c r="N1494" s="109"/>
      <c r="O1494" s="109"/>
    </row>
    <row r="1495" spans="1:15" ht="17.25" customHeight="1">
      <c r="A1495" s="108"/>
      <c r="B1495" s="108"/>
      <c r="C1495" s="109"/>
      <c r="D1495" s="109"/>
      <c r="E1495" s="109"/>
      <c r="F1495" s="109"/>
      <c r="G1495" s="109"/>
      <c r="H1495" s="109"/>
      <c r="I1495" s="109"/>
      <c r="J1495" s="109"/>
      <c r="K1495" s="109"/>
      <c r="L1495" s="109"/>
      <c r="M1495" s="109"/>
      <c r="N1495" s="109"/>
      <c r="O1495" s="109"/>
    </row>
    <row r="1496" spans="1:15" ht="17.25" customHeight="1">
      <c r="A1496" s="108"/>
      <c r="B1496" s="108"/>
      <c r="C1496" s="109"/>
      <c r="D1496" s="109"/>
      <c r="E1496" s="109"/>
      <c r="F1496" s="109"/>
      <c r="G1496" s="109"/>
      <c r="H1496" s="109"/>
      <c r="I1496" s="109"/>
      <c r="J1496" s="109"/>
      <c r="K1496" s="109"/>
      <c r="L1496" s="109"/>
      <c r="M1496" s="109"/>
      <c r="N1496" s="109"/>
      <c r="O1496" s="109"/>
    </row>
    <row r="1497" spans="1:15" ht="17.25" customHeight="1">
      <c r="A1497" s="108"/>
      <c r="B1497" s="108"/>
      <c r="C1497" s="109"/>
      <c r="D1497" s="109"/>
      <c r="E1497" s="109"/>
      <c r="F1497" s="109"/>
      <c r="G1497" s="109"/>
      <c r="H1497" s="109"/>
      <c r="I1497" s="109"/>
      <c r="J1497" s="109"/>
      <c r="K1497" s="109"/>
      <c r="L1497" s="109"/>
      <c r="M1497" s="109"/>
      <c r="N1497" s="109"/>
      <c r="O1497" s="109"/>
    </row>
    <row r="1498" spans="1:15" ht="17.25" customHeight="1">
      <c r="A1498" s="108"/>
      <c r="B1498" s="108"/>
      <c r="C1498" s="109"/>
      <c r="D1498" s="109"/>
      <c r="E1498" s="109"/>
      <c r="F1498" s="109"/>
      <c r="G1498" s="109"/>
      <c r="H1498" s="109"/>
      <c r="I1498" s="109"/>
      <c r="J1498" s="109"/>
      <c r="K1498" s="109"/>
      <c r="L1498" s="109"/>
      <c r="M1498" s="109"/>
      <c r="N1498" s="109"/>
      <c r="O1498" s="109"/>
    </row>
    <row r="1499" spans="1:15" ht="17.25" customHeight="1">
      <c r="A1499" s="108"/>
      <c r="B1499" s="108"/>
      <c r="C1499" s="109"/>
      <c r="D1499" s="109"/>
      <c r="E1499" s="109"/>
      <c r="F1499" s="109"/>
      <c r="G1499" s="109"/>
      <c r="H1499" s="109"/>
      <c r="I1499" s="109"/>
      <c r="J1499" s="109"/>
      <c r="K1499" s="109"/>
      <c r="L1499" s="109"/>
      <c r="M1499" s="109"/>
      <c r="N1499" s="109"/>
      <c r="O1499" s="109"/>
    </row>
    <row r="1500" spans="1:15" ht="17.25" customHeight="1">
      <c r="A1500" s="108"/>
      <c r="B1500" s="108"/>
      <c r="C1500" s="109"/>
      <c r="D1500" s="109"/>
      <c r="E1500" s="109"/>
      <c r="F1500" s="109"/>
      <c r="G1500" s="109"/>
      <c r="H1500" s="109"/>
      <c r="I1500" s="109"/>
      <c r="J1500" s="109"/>
      <c r="K1500" s="109"/>
      <c r="L1500" s="109"/>
      <c r="M1500" s="109"/>
      <c r="N1500" s="109"/>
      <c r="O1500" s="109"/>
    </row>
    <row r="1501" spans="1:15" ht="17.25" customHeight="1">
      <c r="A1501" s="108"/>
      <c r="B1501" s="108"/>
      <c r="C1501" s="109"/>
      <c r="D1501" s="109"/>
      <c r="E1501" s="109"/>
      <c r="F1501" s="109"/>
      <c r="G1501" s="109"/>
      <c r="H1501" s="109"/>
      <c r="I1501" s="109"/>
      <c r="J1501" s="109"/>
      <c r="K1501" s="109"/>
      <c r="L1501" s="109"/>
      <c r="M1501" s="109"/>
      <c r="N1501" s="109"/>
      <c r="O1501" s="109"/>
    </row>
    <row r="1502" spans="1:15" ht="17.25" customHeight="1">
      <c r="A1502" s="108"/>
      <c r="B1502" s="108"/>
      <c r="C1502" s="109"/>
      <c r="D1502" s="109"/>
      <c r="E1502" s="109"/>
      <c r="F1502" s="109"/>
      <c r="G1502" s="109"/>
      <c r="H1502" s="109"/>
      <c r="I1502" s="109"/>
      <c r="J1502" s="109"/>
      <c r="K1502" s="109"/>
      <c r="L1502" s="109"/>
      <c r="M1502" s="109"/>
      <c r="N1502" s="109"/>
      <c r="O1502" s="109"/>
    </row>
    <row r="1503" spans="1:15" ht="17.25" customHeight="1">
      <c r="A1503" s="108"/>
      <c r="B1503" s="108"/>
      <c r="C1503" s="109"/>
      <c r="D1503" s="109"/>
      <c r="E1503" s="109"/>
      <c r="F1503" s="109"/>
      <c r="G1503" s="109"/>
      <c r="H1503" s="109"/>
      <c r="I1503" s="109"/>
      <c r="J1503" s="109"/>
      <c r="K1503" s="109"/>
      <c r="L1503" s="109"/>
      <c r="M1503" s="109"/>
      <c r="N1503" s="109"/>
      <c r="O1503" s="109"/>
    </row>
    <row r="1504" spans="1:15" ht="17.25" customHeight="1">
      <c r="A1504" s="108"/>
      <c r="B1504" s="108"/>
      <c r="C1504" s="109"/>
      <c r="D1504" s="109"/>
      <c r="E1504" s="109"/>
      <c r="F1504" s="109"/>
      <c r="G1504" s="109"/>
      <c r="H1504" s="109"/>
      <c r="I1504" s="109"/>
      <c r="J1504" s="109"/>
      <c r="K1504" s="109"/>
      <c r="L1504" s="109"/>
      <c r="M1504" s="109"/>
      <c r="N1504" s="109"/>
      <c r="O1504" s="109"/>
    </row>
    <row r="1505" spans="1:15" ht="17.25" customHeight="1">
      <c r="A1505" s="108"/>
      <c r="B1505" s="108"/>
      <c r="C1505" s="109"/>
      <c r="D1505" s="109"/>
      <c r="E1505" s="109"/>
      <c r="F1505" s="109"/>
      <c r="G1505" s="109"/>
      <c r="H1505" s="109"/>
      <c r="I1505" s="109"/>
      <c r="J1505" s="109"/>
      <c r="K1505" s="109"/>
      <c r="L1505" s="109"/>
      <c r="M1505" s="109"/>
      <c r="N1505" s="109"/>
      <c r="O1505" s="109"/>
    </row>
    <row r="1506" spans="1:15" ht="17.25" customHeight="1">
      <c r="A1506" s="108"/>
      <c r="B1506" s="108"/>
      <c r="C1506" s="109"/>
      <c r="D1506" s="109"/>
      <c r="E1506" s="109"/>
      <c r="F1506" s="109"/>
      <c r="G1506" s="109"/>
      <c r="H1506" s="109"/>
      <c r="I1506" s="109"/>
      <c r="J1506" s="109"/>
      <c r="K1506" s="109"/>
      <c r="L1506" s="109"/>
      <c r="M1506" s="109"/>
      <c r="N1506" s="109"/>
      <c r="O1506" s="109"/>
    </row>
    <row r="1507" spans="1:15" ht="17.25" customHeight="1">
      <c r="A1507" s="108"/>
      <c r="B1507" s="108"/>
      <c r="C1507" s="109"/>
      <c r="D1507" s="109"/>
      <c r="E1507" s="109"/>
      <c r="F1507" s="109"/>
      <c r="G1507" s="109"/>
      <c r="H1507" s="109"/>
      <c r="I1507" s="109"/>
      <c r="J1507" s="109"/>
      <c r="K1507" s="109"/>
      <c r="L1507" s="109"/>
      <c r="M1507" s="109"/>
      <c r="N1507" s="109"/>
      <c r="O1507" s="109"/>
    </row>
    <row r="1508" spans="1:15" ht="17.25" customHeight="1">
      <c r="A1508" s="108"/>
      <c r="B1508" s="108"/>
      <c r="C1508" s="109"/>
      <c r="D1508" s="109"/>
      <c r="E1508" s="109"/>
      <c r="F1508" s="109"/>
      <c r="G1508" s="109"/>
      <c r="H1508" s="109"/>
      <c r="I1508" s="109"/>
      <c r="J1508" s="109"/>
      <c r="K1508" s="109"/>
      <c r="L1508" s="109"/>
      <c r="M1508" s="109"/>
      <c r="N1508" s="109"/>
      <c r="O1508" s="109"/>
    </row>
    <row r="1509" spans="1:15" ht="17.25" customHeight="1">
      <c r="A1509" s="108"/>
      <c r="B1509" s="108"/>
      <c r="C1509" s="109"/>
      <c r="D1509" s="109"/>
      <c r="E1509" s="109"/>
      <c r="F1509" s="109"/>
      <c r="G1509" s="109"/>
      <c r="H1509" s="109"/>
      <c r="I1509" s="109"/>
      <c r="J1509" s="109"/>
      <c r="K1509" s="109"/>
      <c r="L1509" s="109"/>
      <c r="M1509" s="109"/>
      <c r="N1509" s="109"/>
      <c r="O1509" s="109"/>
    </row>
    <row r="1510" spans="1:15" ht="17.25" customHeight="1">
      <c r="A1510" s="108"/>
      <c r="B1510" s="108"/>
      <c r="C1510" s="109"/>
      <c r="D1510" s="109"/>
      <c r="E1510" s="109"/>
      <c r="F1510" s="109"/>
      <c r="G1510" s="109"/>
      <c r="H1510" s="109"/>
      <c r="I1510" s="109"/>
      <c r="J1510" s="109"/>
      <c r="K1510" s="109"/>
      <c r="L1510" s="109"/>
      <c r="M1510" s="109"/>
      <c r="N1510" s="109"/>
      <c r="O1510" s="109"/>
    </row>
    <row r="1511" spans="1:15" ht="17.25" customHeight="1">
      <c r="A1511" s="108"/>
      <c r="B1511" s="108"/>
      <c r="C1511" s="109"/>
      <c r="D1511" s="109"/>
      <c r="E1511" s="109"/>
      <c r="F1511" s="109"/>
      <c r="G1511" s="109"/>
      <c r="H1511" s="109"/>
      <c r="I1511" s="109"/>
      <c r="J1511" s="109"/>
      <c r="K1511" s="109"/>
      <c r="L1511" s="109"/>
      <c r="M1511" s="109"/>
      <c r="N1511" s="109"/>
      <c r="O1511" s="109"/>
    </row>
    <row r="1512" spans="1:15" ht="17.25" customHeight="1">
      <c r="A1512" s="108"/>
      <c r="B1512" s="108"/>
      <c r="C1512" s="109"/>
      <c r="D1512" s="109"/>
      <c r="E1512" s="109"/>
      <c r="F1512" s="109"/>
      <c r="G1512" s="109"/>
      <c r="H1512" s="109"/>
      <c r="I1512" s="109"/>
      <c r="J1512" s="109"/>
      <c r="K1512" s="109"/>
      <c r="L1512" s="109"/>
      <c r="M1512" s="109"/>
      <c r="N1512" s="109"/>
      <c r="O1512" s="109"/>
    </row>
    <row r="1513" spans="1:15" ht="17.25" customHeight="1">
      <c r="A1513" s="108"/>
      <c r="B1513" s="108"/>
      <c r="C1513" s="109"/>
      <c r="D1513" s="109"/>
      <c r="E1513" s="109"/>
      <c r="F1513" s="109"/>
      <c r="G1513" s="109"/>
      <c r="H1513" s="109"/>
      <c r="I1513" s="109"/>
      <c r="J1513" s="109"/>
      <c r="K1513" s="109"/>
      <c r="L1513" s="109"/>
      <c r="M1513" s="109"/>
      <c r="N1513" s="109"/>
      <c r="O1513" s="109"/>
    </row>
    <row r="1514" spans="1:15" ht="17.25" customHeight="1">
      <c r="A1514" s="108"/>
      <c r="B1514" s="108"/>
      <c r="C1514" s="109"/>
      <c r="D1514" s="109"/>
      <c r="E1514" s="109"/>
      <c r="F1514" s="109"/>
      <c r="G1514" s="109"/>
      <c r="H1514" s="109"/>
      <c r="I1514" s="109"/>
      <c r="J1514" s="109"/>
      <c r="K1514" s="109"/>
      <c r="L1514" s="109"/>
      <c r="M1514" s="109"/>
      <c r="N1514" s="109"/>
      <c r="O1514" s="109"/>
    </row>
    <row r="1515" spans="1:15" ht="17.25" customHeight="1">
      <c r="A1515" s="108"/>
      <c r="B1515" s="108"/>
      <c r="C1515" s="109"/>
      <c r="D1515" s="109"/>
      <c r="E1515" s="109"/>
      <c r="F1515" s="109"/>
      <c r="G1515" s="109"/>
      <c r="H1515" s="109"/>
      <c r="I1515" s="109"/>
      <c r="J1515" s="109"/>
      <c r="K1515" s="109"/>
      <c r="L1515" s="109"/>
      <c r="M1515" s="109"/>
      <c r="N1515" s="109"/>
      <c r="O1515" s="109"/>
    </row>
    <row r="1516" spans="1:15" ht="17.25" customHeight="1">
      <c r="A1516" s="108"/>
      <c r="B1516" s="108"/>
      <c r="C1516" s="109"/>
      <c r="D1516" s="109"/>
      <c r="E1516" s="109"/>
      <c r="F1516" s="109"/>
      <c r="G1516" s="109"/>
      <c r="H1516" s="109"/>
      <c r="I1516" s="109"/>
      <c r="J1516" s="109"/>
      <c r="K1516" s="109"/>
      <c r="L1516" s="109"/>
      <c r="M1516" s="109"/>
      <c r="N1516" s="109"/>
      <c r="O1516" s="109"/>
    </row>
    <row r="1517" spans="1:15" ht="17.25" customHeight="1">
      <c r="A1517" s="108"/>
      <c r="B1517" s="108"/>
      <c r="C1517" s="109"/>
      <c r="D1517" s="109"/>
      <c r="E1517" s="109"/>
      <c r="F1517" s="109"/>
      <c r="G1517" s="109"/>
      <c r="H1517" s="109"/>
      <c r="I1517" s="109"/>
      <c r="J1517" s="109"/>
      <c r="K1517" s="109"/>
      <c r="L1517" s="109"/>
      <c r="M1517" s="109"/>
      <c r="N1517" s="109"/>
      <c r="O1517" s="109"/>
    </row>
    <row r="1518" spans="1:15" ht="17.25" customHeight="1">
      <c r="A1518" s="108"/>
      <c r="B1518" s="108"/>
      <c r="C1518" s="109"/>
      <c r="D1518" s="109"/>
      <c r="E1518" s="109"/>
      <c r="F1518" s="109"/>
      <c r="G1518" s="109"/>
      <c r="H1518" s="109"/>
      <c r="I1518" s="109"/>
      <c r="J1518" s="109"/>
      <c r="K1518" s="109"/>
      <c r="L1518" s="109"/>
      <c r="M1518" s="109"/>
      <c r="N1518" s="109"/>
      <c r="O1518" s="109"/>
    </row>
    <row r="1519" spans="1:15" ht="17.25" customHeight="1">
      <c r="A1519" s="108"/>
      <c r="B1519" s="108"/>
      <c r="C1519" s="109"/>
      <c r="D1519" s="109"/>
      <c r="E1519" s="109"/>
      <c r="F1519" s="109"/>
      <c r="G1519" s="109"/>
      <c r="H1519" s="109"/>
      <c r="I1519" s="109"/>
      <c r="J1519" s="109"/>
      <c r="K1519" s="109"/>
      <c r="L1519" s="109"/>
      <c r="M1519" s="109"/>
      <c r="N1519" s="109"/>
      <c r="O1519" s="109"/>
    </row>
    <row r="1520" spans="1:15" ht="17.25" customHeight="1">
      <c r="A1520" s="108"/>
      <c r="B1520" s="108"/>
      <c r="C1520" s="109"/>
      <c r="D1520" s="109"/>
      <c r="E1520" s="109"/>
      <c r="F1520" s="109"/>
      <c r="G1520" s="109"/>
      <c r="H1520" s="109"/>
      <c r="I1520" s="109"/>
      <c r="J1520" s="109"/>
      <c r="K1520" s="109"/>
      <c r="L1520" s="109"/>
      <c r="M1520" s="109"/>
      <c r="N1520" s="109"/>
      <c r="O1520" s="109"/>
    </row>
    <row r="1521" spans="1:15" ht="17.25" customHeight="1">
      <c r="A1521" s="108"/>
      <c r="B1521" s="108"/>
      <c r="C1521" s="109"/>
      <c r="D1521" s="109"/>
      <c r="E1521" s="109"/>
      <c r="F1521" s="109"/>
      <c r="G1521" s="109"/>
      <c r="H1521" s="109"/>
      <c r="I1521" s="109"/>
      <c r="J1521" s="109"/>
      <c r="K1521" s="109"/>
      <c r="L1521" s="109"/>
      <c r="M1521" s="109"/>
      <c r="N1521" s="109"/>
      <c r="O1521" s="109"/>
    </row>
    <row r="1522" spans="1:15" ht="17.25" customHeight="1">
      <c r="A1522" s="108"/>
      <c r="B1522" s="108"/>
      <c r="C1522" s="109"/>
      <c r="D1522" s="109"/>
      <c r="E1522" s="109"/>
      <c r="F1522" s="109"/>
      <c r="G1522" s="109"/>
      <c r="H1522" s="109"/>
      <c r="I1522" s="109"/>
      <c r="J1522" s="109"/>
      <c r="K1522" s="109"/>
      <c r="L1522" s="109"/>
      <c r="M1522" s="109"/>
      <c r="N1522" s="109"/>
      <c r="O1522" s="109"/>
    </row>
    <row r="1523" spans="1:15" ht="17.25" customHeight="1">
      <c r="A1523" s="108"/>
      <c r="B1523" s="108"/>
      <c r="C1523" s="109"/>
      <c r="D1523" s="109"/>
      <c r="E1523" s="109"/>
      <c r="F1523" s="109"/>
      <c r="G1523" s="109"/>
      <c r="H1523" s="109"/>
      <c r="I1523" s="109"/>
      <c r="J1523" s="109"/>
      <c r="K1523" s="109"/>
      <c r="L1523" s="109"/>
      <c r="M1523" s="109"/>
      <c r="N1523" s="109"/>
      <c r="O1523" s="109"/>
    </row>
    <row r="1524" spans="1:15" ht="17.25" customHeight="1">
      <c r="A1524" s="108"/>
      <c r="B1524" s="108"/>
      <c r="C1524" s="109"/>
      <c r="D1524" s="109"/>
      <c r="E1524" s="109"/>
      <c r="F1524" s="109"/>
      <c r="G1524" s="109"/>
      <c r="H1524" s="109"/>
      <c r="I1524" s="109"/>
      <c r="J1524" s="109"/>
      <c r="K1524" s="109"/>
      <c r="L1524" s="109"/>
      <c r="M1524" s="109"/>
      <c r="N1524" s="109"/>
      <c r="O1524" s="109"/>
    </row>
    <row r="1525" spans="1:15" ht="17.25" customHeight="1">
      <c r="A1525" s="108"/>
      <c r="B1525" s="108"/>
      <c r="C1525" s="109"/>
      <c r="D1525" s="109"/>
      <c r="E1525" s="109"/>
      <c r="F1525" s="109"/>
      <c r="G1525" s="109"/>
      <c r="H1525" s="109"/>
      <c r="I1525" s="109"/>
      <c r="J1525" s="109"/>
      <c r="K1525" s="109"/>
      <c r="L1525" s="109"/>
      <c r="M1525" s="109"/>
      <c r="N1525" s="109"/>
      <c r="O1525" s="109"/>
    </row>
    <row r="1526" spans="1:15" ht="17.25" customHeight="1">
      <c r="A1526" s="108"/>
      <c r="B1526" s="108"/>
      <c r="C1526" s="109"/>
      <c r="D1526" s="109"/>
      <c r="E1526" s="109"/>
      <c r="F1526" s="109"/>
      <c r="G1526" s="109"/>
      <c r="H1526" s="109"/>
      <c r="I1526" s="109"/>
      <c r="J1526" s="109"/>
      <c r="K1526" s="109"/>
      <c r="L1526" s="109"/>
      <c r="M1526" s="109"/>
      <c r="N1526" s="109"/>
      <c r="O1526" s="109"/>
    </row>
    <row r="1527" spans="1:15" ht="17.25" customHeight="1">
      <c r="A1527" s="108"/>
      <c r="B1527" s="108"/>
      <c r="C1527" s="109"/>
      <c r="D1527" s="109"/>
      <c r="E1527" s="109"/>
      <c r="F1527" s="109"/>
      <c r="G1527" s="109"/>
      <c r="H1527" s="109"/>
      <c r="I1527" s="109"/>
      <c r="J1527" s="109"/>
      <c r="K1527" s="109"/>
      <c r="L1527" s="109"/>
      <c r="M1527" s="109"/>
      <c r="N1527" s="109"/>
      <c r="O1527" s="109"/>
    </row>
    <row r="1528" spans="1:15" ht="17.25" customHeight="1">
      <c r="A1528" s="108"/>
      <c r="B1528" s="108"/>
      <c r="C1528" s="109"/>
      <c r="D1528" s="109"/>
      <c r="E1528" s="109"/>
      <c r="F1528" s="109"/>
      <c r="G1528" s="109"/>
      <c r="H1528" s="109"/>
      <c r="I1528" s="109"/>
      <c r="J1528" s="109"/>
      <c r="K1528" s="109"/>
      <c r="L1528" s="109"/>
      <c r="M1528" s="109"/>
      <c r="N1528" s="109"/>
      <c r="O1528" s="109"/>
    </row>
    <row r="1529" spans="1:15" ht="17.25" customHeight="1">
      <c r="A1529" s="108"/>
      <c r="B1529" s="108"/>
      <c r="C1529" s="109"/>
      <c r="D1529" s="109"/>
      <c r="E1529" s="109"/>
      <c r="F1529" s="109"/>
      <c r="G1529" s="109"/>
      <c r="H1529" s="109"/>
      <c r="I1529" s="109"/>
      <c r="J1529" s="109"/>
      <c r="K1529" s="109"/>
      <c r="L1529" s="109"/>
      <c r="M1529" s="109"/>
      <c r="N1529" s="109"/>
      <c r="O1529" s="109"/>
    </row>
    <row r="1530" spans="1:15" ht="17.25" customHeight="1">
      <c r="A1530" s="108"/>
      <c r="B1530" s="108"/>
      <c r="C1530" s="109"/>
      <c r="D1530" s="109"/>
      <c r="E1530" s="109"/>
      <c r="F1530" s="109"/>
      <c r="G1530" s="109"/>
      <c r="H1530" s="109"/>
      <c r="I1530" s="109"/>
      <c r="J1530" s="109"/>
      <c r="K1530" s="109"/>
      <c r="L1530" s="109"/>
      <c r="M1530" s="109"/>
      <c r="N1530" s="109"/>
      <c r="O1530" s="109"/>
    </row>
    <row r="1531" spans="1:15" ht="17.25" customHeight="1">
      <c r="A1531" s="108"/>
      <c r="B1531" s="108"/>
      <c r="C1531" s="109"/>
      <c r="D1531" s="109"/>
      <c r="E1531" s="109"/>
      <c r="F1531" s="109"/>
      <c r="G1531" s="109"/>
      <c r="H1531" s="109"/>
      <c r="I1531" s="109"/>
      <c r="J1531" s="109"/>
      <c r="K1531" s="109"/>
      <c r="L1531" s="109"/>
      <c r="M1531" s="109"/>
      <c r="N1531" s="109"/>
      <c r="O1531" s="109"/>
    </row>
    <row r="1532" spans="1:15" ht="17.25" customHeight="1">
      <c r="A1532" s="108"/>
      <c r="B1532" s="108"/>
      <c r="C1532" s="109"/>
      <c r="D1532" s="109"/>
      <c r="E1532" s="109"/>
      <c r="F1532" s="109"/>
      <c r="G1532" s="109"/>
      <c r="H1532" s="109"/>
      <c r="I1532" s="109"/>
      <c r="J1532" s="109"/>
      <c r="K1532" s="109"/>
      <c r="L1532" s="109"/>
      <c r="M1532" s="109"/>
      <c r="N1532" s="109"/>
      <c r="O1532" s="109"/>
    </row>
    <row r="1533" spans="1:15" ht="17.25" customHeight="1">
      <c r="A1533" s="108"/>
      <c r="B1533" s="108"/>
      <c r="C1533" s="109"/>
      <c r="D1533" s="109"/>
      <c r="E1533" s="109"/>
      <c r="F1533" s="109"/>
      <c r="G1533" s="109"/>
      <c r="H1533" s="109"/>
      <c r="I1533" s="109"/>
      <c r="J1533" s="109"/>
      <c r="K1533" s="109"/>
      <c r="L1533" s="109"/>
      <c r="M1533" s="109"/>
      <c r="N1533" s="109"/>
      <c r="O1533" s="109"/>
    </row>
    <row r="1534" spans="1:15" ht="17.25" customHeight="1">
      <c r="A1534" s="108"/>
      <c r="B1534" s="108"/>
      <c r="C1534" s="109"/>
      <c r="D1534" s="109"/>
      <c r="E1534" s="109"/>
      <c r="F1534" s="109"/>
      <c r="G1534" s="109"/>
      <c r="H1534" s="109"/>
      <c r="I1534" s="109"/>
      <c r="J1534" s="109"/>
      <c r="K1534" s="109"/>
      <c r="L1534" s="109"/>
      <c r="M1534" s="109"/>
      <c r="N1534" s="109"/>
      <c r="O1534" s="109"/>
    </row>
    <row r="1535" spans="1:15" ht="17.25" customHeight="1">
      <c r="A1535" s="108"/>
      <c r="B1535" s="108"/>
      <c r="C1535" s="109"/>
      <c r="D1535" s="109"/>
      <c r="E1535" s="109"/>
      <c r="F1535" s="109"/>
      <c r="G1535" s="109"/>
      <c r="H1535" s="109"/>
      <c r="I1535" s="109"/>
      <c r="J1535" s="109"/>
      <c r="K1535" s="109"/>
      <c r="L1535" s="109"/>
      <c r="M1535" s="109"/>
      <c r="N1535" s="109"/>
      <c r="O1535" s="109"/>
    </row>
    <row r="1536" spans="1:15" ht="17.25" customHeight="1">
      <c r="A1536" s="108"/>
      <c r="B1536" s="108"/>
      <c r="C1536" s="109"/>
      <c r="D1536" s="109"/>
      <c r="E1536" s="109"/>
      <c r="F1536" s="109"/>
      <c r="G1536" s="109"/>
      <c r="H1536" s="109"/>
      <c r="I1536" s="109"/>
      <c r="J1536" s="109"/>
      <c r="K1536" s="109"/>
      <c r="L1536" s="109"/>
      <c r="M1536" s="109"/>
      <c r="N1536" s="109"/>
      <c r="O1536" s="109"/>
    </row>
    <row r="1537" spans="1:15" ht="17.25" customHeight="1">
      <c r="A1537" s="108"/>
      <c r="B1537" s="108"/>
      <c r="C1537" s="109"/>
      <c r="D1537" s="109"/>
      <c r="E1537" s="109"/>
      <c r="F1537" s="109"/>
      <c r="G1537" s="109"/>
      <c r="H1537" s="109"/>
      <c r="I1537" s="109"/>
      <c r="J1537" s="109"/>
      <c r="K1537" s="109"/>
      <c r="L1537" s="109"/>
      <c r="M1537" s="109"/>
      <c r="N1537" s="109"/>
      <c r="O1537" s="109"/>
    </row>
    <row r="1538" spans="1:15" ht="17.25" customHeight="1">
      <c r="A1538" s="108"/>
      <c r="B1538" s="108"/>
      <c r="C1538" s="109"/>
      <c r="D1538" s="109"/>
      <c r="E1538" s="109"/>
      <c r="F1538" s="109"/>
      <c r="G1538" s="109"/>
      <c r="H1538" s="109"/>
      <c r="I1538" s="109"/>
      <c r="J1538" s="109"/>
      <c r="K1538" s="109"/>
      <c r="L1538" s="109"/>
      <c r="M1538" s="109"/>
      <c r="N1538" s="109"/>
      <c r="O1538" s="109"/>
    </row>
    <row r="1539" spans="1:15" ht="17.25" customHeight="1">
      <c r="A1539" s="108"/>
      <c r="B1539" s="108"/>
      <c r="C1539" s="109"/>
      <c r="D1539" s="109"/>
      <c r="E1539" s="109"/>
      <c r="F1539" s="109"/>
      <c r="G1539" s="109"/>
      <c r="H1539" s="109"/>
      <c r="I1539" s="109"/>
      <c r="J1539" s="109"/>
      <c r="K1539" s="109"/>
      <c r="L1539" s="109"/>
      <c r="M1539" s="109"/>
      <c r="N1539" s="109"/>
      <c r="O1539" s="109"/>
    </row>
    <row r="1540" spans="1:15" ht="17.25" customHeight="1">
      <c r="A1540" s="108"/>
      <c r="B1540" s="108"/>
      <c r="C1540" s="109"/>
      <c r="D1540" s="109"/>
      <c r="E1540" s="109"/>
      <c r="F1540" s="109"/>
      <c r="G1540" s="109"/>
      <c r="H1540" s="109"/>
      <c r="I1540" s="109"/>
      <c r="J1540" s="109"/>
      <c r="K1540" s="109"/>
      <c r="L1540" s="109"/>
      <c r="M1540" s="109"/>
      <c r="N1540" s="109"/>
      <c r="O1540" s="109"/>
    </row>
    <row r="1541" spans="1:15" ht="17.25" customHeight="1">
      <c r="A1541" s="108"/>
      <c r="B1541" s="108"/>
      <c r="C1541" s="109"/>
      <c r="D1541" s="109"/>
      <c r="E1541" s="109"/>
      <c r="F1541" s="109"/>
      <c r="G1541" s="109"/>
      <c r="H1541" s="109"/>
      <c r="I1541" s="109"/>
      <c r="J1541" s="109"/>
      <c r="K1541" s="109"/>
      <c r="L1541" s="109"/>
      <c r="M1541" s="109"/>
      <c r="N1541" s="109"/>
      <c r="O1541" s="109"/>
    </row>
    <row r="1542" spans="1:15" ht="17.25" customHeight="1">
      <c r="A1542" s="108"/>
      <c r="B1542" s="108"/>
      <c r="C1542" s="109"/>
      <c r="D1542" s="109"/>
      <c r="E1542" s="109"/>
      <c r="F1542" s="109"/>
      <c r="G1542" s="109"/>
      <c r="H1542" s="109"/>
      <c r="I1542" s="109"/>
      <c r="J1542" s="109"/>
      <c r="K1542" s="109"/>
      <c r="L1542" s="109"/>
      <c r="M1542" s="109"/>
      <c r="N1542" s="109"/>
      <c r="O1542" s="109"/>
    </row>
    <row r="1543" spans="1:15" ht="17.25" customHeight="1">
      <c r="A1543" s="108"/>
      <c r="B1543" s="108"/>
      <c r="C1543" s="109"/>
      <c r="D1543" s="109"/>
      <c r="E1543" s="109"/>
      <c r="F1543" s="109"/>
      <c r="G1543" s="109"/>
      <c r="H1543" s="109"/>
      <c r="I1543" s="109"/>
      <c r="J1543" s="109"/>
      <c r="K1543" s="109"/>
      <c r="L1543" s="109"/>
      <c r="M1543" s="109"/>
      <c r="N1543" s="109"/>
      <c r="O1543" s="109"/>
    </row>
    <row r="1544" spans="1:15" ht="17.25" customHeight="1">
      <c r="A1544" s="108"/>
      <c r="B1544" s="108"/>
      <c r="C1544" s="109"/>
      <c r="D1544" s="109"/>
      <c r="E1544" s="109"/>
      <c r="F1544" s="109"/>
      <c r="G1544" s="109"/>
      <c r="H1544" s="109"/>
      <c r="I1544" s="109"/>
      <c r="J1544" s="109"/>
      <c r="K1544" s="109"/>
      <c r="L1544" s="109"/>
      <c r="M1544" s="109"/>
      <c r="N1544" s="109"/>
      <c r="O1544" s="109"/>
    </row>
    <row r="1545" spans="1:15" ht="17.25" customHeight="1">
      <c r="A1545" s="108"/>
      <c r="B1545" s="108"/>
      <c r="C1545" s="109"/>
      <c r="D1545" s="109"/>
      <c r="E1545" s="109"/>
      <c r="F1545" s="109"/>
      <c r="G1545" s="109"/>
      <c r="H1545" s="109"/>
      <c r="I1545" s="109"/>
      <c r="J1545" s="109"/>
      <c r="K1545" s="109"/>
      <c r="L1545" s="109"/>
      <c r="M1545" s="109"/>
      <c r="N1545" s="109"/>
      <c r="O1545" s="109"/>
    </row>
    <row r="1546" spans="1:15" ht="17.25" customHeight="1">
      <c r="A1546" s="108"/>
      <c r="B1546" s="108"/>
      <c r="C1546" s="109"/>
      <c r="D1546" s="109"/>
      <c r="E1546" s="109"/>
      <c r="F1546" s="109"/>
      <c r="G1546" s="109"/>
      <c r="H1546" s="109"/>
      <c r="I1546" s="109"/>
      <c r="J1546" s="109"/>
      <c r="K1546" s="109"/>
      <c r="L1546" s="109"/>
      <c r="M1546" s="109"/>
      <c r="N1546" s="109"/>
      <c r="O1546" s="109"/>
    </row>
    <row r="1547" spans="1:15" ht="17.25" customHeight="1">
      <c r="A1547" s="108"/>
      <c r="B1547" s="108"/>
      <c r="C1547" s="109"/>
      <c r="D1547" s="109"/>
      <c r="E1547" s="109"/>
      <c r="F1547" s="109"/>
      <c r="G1547" s="109"/>
      <c r="H1547" s="109"/>
      <c r="I1547" s="109"/>
      <c r="J1547" s="109"/>
      <c r="K1547" s="109"/>
      <c r="L1547" s="109"/>
      <c r="M1547" s="109"/>
      <c r="N1547" s="109"/>
      <c r="O1547" s="109"/>
    </row>
    <row r="1548" spans="1:15" ht="17.25" customHeight="1">
      <c r="A1548" s="108"/>
      <c r="B1548" s="108"/>
      <c r="C1548" s="109"/>
      <c r="D1548" s="109"/>
      <c r="E1548" s="109"/>
      <c r="F1548" s="109"/>
      <c r="G1548" s="109"/>
      <c r="H1548" s="109"/>
      <c r="I1548" s="109"/>
      <c r="J1548" s="109"/>
      <c r="K1548" s="109"/>
      <c r="L1548" s="109"/>
      <c r="M1548" s="109"/>
      <c r="N1548" s="109"/>
      <c r="O1548" s="109"/>
    </row>
    <row r="1549" spans="1:15" ht="17.25" customHeight="1">
      <c r="A1549" s="108"/>
      <c r="B1549" s="108"/>
      <c r="C1549" s="109"/>
      <c r="D1549" s="109"/>
      <c r="E1549" s="109"/>
      <c r="F1549" s="109"/>
      <c r="G1549" s="109"/>
      <c r="H1549" s="109"/>
      <c r="I1549" s="109"/>
      <c r="J1549" s="109"/>
      <c r="K1549" s="109"/>
      <c r="L1549" s="109"/>
      <c r="M1549" s="109"/>
      <c r="N1549" s="109"/>
      <c r="O1549" s="109"/>
    </row>
    <row r="1550" spans="1:15" ht="17.25" customHeight="1">
      <c r="A1550" s="108"/>
      <c r="B1550" s="108"/>
      <c r="C1550" s="109"/>
      <c r="D1550" s="109"/>
      <c r="E1550" s="109"/>
      <c r="F1550" s="109"/>
      <c r="G1550" s="109"/>
      <c r="H1550" s="109"/>
      <c r="I1550" s="109"/>
      <c r="J1550" s="109"/>
      <c r="K1550" s="109"/>
      <c r="L1550" s="109"/>
      <c r="M1550" s="109"/>
      <c r="N1550" s="109"/>
      <c r="O1550" s="109"/>
    </row>
    <row r="1551" spans="1:15" ht="17.25" customHeight="1">
      <c r="A1551" s="108"/>
      <c r="B1551" s="108"/>
      <c r="C1551" s="109"/>
      <c r="D1551" s="109"/>
      <c r="E1551" s="109"/>
      <c r="F1551" s="109"/>
      <c r="G1551" s="109"/>
      <c r="H1551" s="109"/>
      <c r="I1551" s="109"/>
      <c r="J1551" s="109"/>
      <c r="K1551" s="109"/>
      <c r="L1551" s="109"/>
      <c r="M1551" s="109"/>
      <c r="N1551" s="109"/>
      <c r="O1551" s="109"/>
    </row>
    <row r="1552" spans="1:15" ht="17.25" customHeight="1">
      <c r="A1552" s="108"/>
      <c r="B1552" s="108"/>
      <c r="C1552" s="109"/>
      <c r="D1552" s="109"/>
      <c r="E1552" s="109"/>
      <c r="F1552" s="109"/>
      <c r="G1552" s="109"/>
      <c r="H1552" s="109"/>
      <c r="I1552" s="109"/>
      <c r="J1552" s="109"/>
      <c r="K1552" s="109"/>
      <c r="L1552" s="109"/>
      <c r="M1552" s="109"/>
      <c r="N1552" s="109"/>
      <c r="O1552" s="109"/>
    </row>
    <row r="1553" spans="1:15" ht="17.25" customHeight="1">
      <c r="A1553" s="108"/>
      <c r="B1553" s="108"/>
      <c r="C1553" s="109"/>
      <c r="D1553" s="109"/>
      <c r="E1553" s="109"/>
      <c r="F1553" s="109"/>
      <c r="G1553" s="109"/>
      <c r="H1553" s="109"/>
      <c r="I1553" s="109"/>
      <c r="J1553" s="109"/>
      <c r="K1553" s="109"/>
      <c r="L1553" s="109"/>
      <c r="M1553" s="109"/>
      <c r="N1553" s="109"/>
      <c r="O1553" s="109"/>
    </row>
    <row r="1554" spans="1:15" ht="17.25" customHeight="1">
      <c r="A1554" s="108"/>
      <c r="B1554" s="108"/>
      <c r="C1554" s="109"/>
      <c r="D1554" s="109"/>
      <c r="E1554" s="109"/>
      <c r="F1554" s="109"/>
      <c r="G1554" s="109"/>
      <c r="H1554" s="109"/>
      <c r="I1554" s="109"/>
      <c r="J1554" s="109"/>
      <c r="K1554" s="109"/>
      <c r="L1554" s="109"/>
      <c r="M1554" s="109"/>
      <c r="N1554" s="109"/>
      <c r="O1554" s="109"/>
    </row>
    <row r="1555" spans="1:15" ht="17.25" customHeight="1">
      <c r="A1555" s="108"/>
      <c r="B1555" s="108"/>
      <c r="C1555" s="109"/>
      <c r="D1555" s="109"/>
      <c r="E1555" s="109"/>
      <c r="F1555" s="109"/>
      <c r="G1555" s="109"/>
      <c r="H1555" s="109"/>
      <c r="I1555" s="109"/>
      <c r="J1555" s="109"/>
      <c r="K1555" s="109"/>
      <c r="L1555" s="109"/>
      <c r="M1555" s="109"/>
      <c r="N1555" s="109"/>
      <c r="O1555" s="109"/>
    </row>
    <row r="1556" spans="1:15" ht="17.25" customHeight="1">
      <c r="A1556" s="108"/>
      <c r="B1556" s="108"/>
      <c r="C1556" s="109"/>
      <c r="D1556" s="109"/>
      <c r="E1556" s="109"/>
      <c r="F1556" s="109"/>
      <c r="G1556" s="109"/>
      <c r="H1556" s="109"/>
      <c r="I1556" s="109"/>
      <c r="J1556" s="109"/>
      <c r="K1556" s="109"/>
      <c r="L1556" s="109"/>
      <c r="M1556" s="109"/>
      <c r="N1556" s="109"/>
      <c r="O1556" s="109"/>
    </row>
    <row r="1557" spans="1:15" ht="17.25" customHeight="1">
      <c r="A1557" s="108"/>
      <c r="B1557" s="108"/>
      <c r="C1557" s="109"/>
      <c r="D1557" s="109"/>
      <c r="E1557" s="109"/>
      <c r="F1557" s="109"/>
      <c r="G1557" s="109"/>
      <c r="H1557" s="109"/>
      <c r="I1557" s="109"/>
      <c r="J1557" s="109"/>
      <c r="K1557" s="109"/>
      <c r="L1557" s="109"/>
      <c r="M1557" s="109"/>
      <c r="N1557" s="109"/>
      <c r="O1557" s="109"/>
    </row>
    <row r="1558" spans="1:15" ht="17.25" customHeight="1">
      <c r="A1558" s="108"/>
      <c r="B1558" s="108"/>
      <c r="C1558" s="109"/>
      <c r="D1558" s="109"/>
      <c r="E1558" s="109"/>
      <c r="F1558" s="109"/>
      <c r="G1558" s="109"/>
      <c r="H1558" s="109"/>
      <c r="I1558" s="109"/>
      <c r="J1558" s="109"/>
      <c r="K1558" s="109"/>
      <c r="L1558" s="109"/>
      <c r="M1558" s="109"/>
      <c r="N1558" s="109"/>
      <c r="O1558" s="109"/>
    </row>
    <row r="1559" spans="1:15" ht="17.25" customHeight="1">
      <c r="A1559" s="108"/>
      <c r="B1559" s="108"/>
      <c r="C1559" s="109"/>
      <c r="D1559" s="109"/>
      <c r="E1559" s="109"/>
      <c r="F1559" s="109"/>
      <c r="G1559" s="109"/>
      <c r="H1559" s="109"/>
      <c r="I1559" s="109"/>
      <c r="J1559" s="109"/>
      <c r="K1559" s="109"/>
      <c r="L1559" s="109"/>
      <c r="M1559" s="109"/>
      <c r="N1559" s="109"/>
      <c r="O1559" s="109"/>
    </row>
    <row r="1560" spans="1:15" ht="17.25" customHeight="1">
      <c r="A1560" s="108"/>
      <c r="B1560" s="108"/>
      <c r="C1560" s="109"/>
      <c r="D1560" s="109"/>
      <c r="E1560" s="109"/>
      <c r="F1560" s="109"/>
      <c r="G1560" s="109"/>
      <c r="H1560" s="109"/>
      <c r="I1560" s="109"/>
      <c r="J1560" s="109"/>
      <c r="K1560" s="109"/>
      <c r="L1560" s="109"/>
      <c r="M1560" s="109"/>
      <c r="N1560" s="109"/>
      <c r="O1560" s="109"/>
    </row>
    <row r="1561" spans="1:15" ht="17.25" customHeight="1">
      <c r="A1561" s="108"/>
      <c r="B1561" s="108"/>
      <c r="C1561" s="109"/>
      <c r="D1561" s="109"/>
      <c r="E1561" s="109"/>
      <c r="F1561" s="109"/>
      <c r="G1561" s="109"/>
      <c r="H1561" s="109"/>
      <c r="I1561" s="109"/>
      <c r="J1561" s="109"/>
      <c r="K1561" s="109"/>
      <c r="L1561" s="109"/>
      <c r="M1561" s="109"/>
      <c r="N1561" s="109"/>
      <c r="O1561" s="109"/>
    </row>
    <row r="1562" spans="1:15" ht="17.25" customHeight="1">
      <c r="A1562" s="108"/>
      <c r="B1562" s="108"/>
      <c r="C1562" s="109"/>
      <c r="D1562" s="109"/>
      <c r="E1562" s="109"/>
      <c r="F1562" s="109"/>
      <c r="G1562" s="109"/>
      <c r="H1562" s="109"/>
      <c r="I1562" s="109"/>
      <c r="J1562" s="109"/>
      <c r="K1562" s="109"/>
      <c r="L1562" s="109"/>
      <c r="M1562" s="109"/>
      <c r="N1562" s="109"/>
      <c r="O1562" s="109"/>
    </row>
    <row r="1563" spans="1:15" ht="17.25" customHeight="1">
      <c r="A1563" s="108"/>
      <c r="B1563" s="108"/>
      <c r="C1563" s="109"/>
      <c r="D1563" s="109"/>
      <c r="E1563" s="109"/>
      <c r="F1563" s="109"/>
      <c r="G1563" s="109"/>
      <c r="H1563" s="109"/>
      <c r="I1563" s="109"/>
      <c r="J1563" s="109"/>
      <c r="K1563" s="109"/>
      <c r="L1563" s="109"/>
      <c r="M1563" s="109"/>
      <c r="N1563" s="109"/>
      <c r="O1563" s="109"/>
    </row>
    <row r="1564" spans="1:15" ht="17.25" customHeight="1">
      <c r="A1564" s="108"/>
      <c r="B1564" s="108"/>
      <c r="C1564" s="109"/>
      <c r="D1564" s="109"/>
      <c r="E1564" s="109"/>
      <c r="F1564" s="109"/>
      <c r="G1564" s="109"/>
      <c r="H1564" s="109"/>
      <c r="I1564" s="109"/>
      <c r="J1564" s="109"/>
      <c r="K1564" s="109"/>
      <c r="L1564" s="109"/>
      <c r="M1564" s="109"/>
      <c r="N1564" s="109"/>
      <c r="O1564" s="109"/>
    </row>
    <row r="1565" spans="1:15" ht="17.25" customHeight="1">
      <c r="A1565" s="108"/>
      <c r="B1565" s="108"/>
      <c r="C1565" s="109"/>
      <c r="D1565" s="109"/>
      <c r="E1565" s="109"/>
      <c r="F1565" s="109"/>
      <c r="G1565" s="109"/>
      <c r="H1565" s="109"/>
      <c r="I1565" s="109"/>
      <c r="J1565" s="109"/>
      <c r="K1565" s="109"/>
      <c r="L1565" s="109"/>
      <c r="M1565" s="109"/>
      <c r="N1565" s="109"/>
      <c r="O1565" s="109"/>
    </row>
    <row r="1566" spans="1:15" ht="17.25" customHeight="1">
      <c r="A1566" s="108"/>
      <c r="B1566" s="108"/>
      <c r="C1566" s="109"/>
      <c r="D1566" s="109"/>
      <c r="E1566" s="109"/>
      <c r="F1566" s="109"/>
      <c r="G1566" s="109"/>
      <c r="H1566" s="109"/>
      <c r="I1566" s="109"/>
      <c r="J1566" s="109"/>
      <c r="K1566" s="109"/>
      <c r="L1566" s="109"/>
      <c r="M1566" s="109"/>
      <c r="N1566" s="109"/>
      <c r="O1566" s="109"/>
    </row>
    <row r="1567" spans="1:15" ht="17.25" customHeight="1">
      <c r="A1567" s="108"/>
      <c r="B1567" s="108"/>
      <c r="C1567" s="109"/>
      <c r="D1567" s="109"/>
      <c r="E1567" s="109"/>
      <c r="F1567" s="109"/>
      <c r="G1567" s="109"/>
      <c r="H1567" s="109"/>
      <c r="I1567" s="109"/>
      <c r="J1567" s="109"/>
      <c r="K1567" s="109"/>
      <c r="L1567" s="109"/>
      <c r="M1567" s="109"/>
      <c r="N1567" s="109"/>
      <c r="O1567" s="109"/>
    </row>
    <row r="1568" spans="1:15" ht="17.25" customHeight="1">
      <c r="A1568" s="108"/>
      <c r="B1568" s="108"/>
      <c r="C1568" s="109"/>
      <c r="D1568" s="109"/>
      <c r="E1568" s="109"/>
      <c r="F1568" s="109"/>
      <c r="G1568" s="109"/>
      <c r="H1568" s="109"/>
      <c r="I1568" s="109"/>
      <c r="J1568" s="109"/>
      <c r="K1568" s="109"/>
      <c r="L1568" s="109"/>
      <c r="M1568" s="109"/>
      <c r="N1568" s="109"/>
      <c r="O1568" s="109"/>
    </row>
    <row r="1569" spans="1:15" ht="17.25" customHeight="1">
      <c r="A1569" s="108"/>
      <c r="B1569" s="108"/>
      <c r="C1569" s="109"/>
      <c r="D1569" s="109"/>
      <c r="E1569" s="109"/>
      <c r="F1569" s="109"/>
      <c r="G1569" s="109"/>
      <c r="H1569" s="109"/>
      <c r="I1569" s="109"/>
      <c r="J1569" s="109"/>
      <c r="K1569" s="109"/>
      <c r="L1569" s="109"/>
      <c r="M1569" s="109"/>
      <c r="N1569" s="109"/>
      <c r="O1569" s="109"/>
    </row>
    <row r="1570" spans="1:15" ht="17.25" customHeight="1">
      <c r="A1570" s="108"/>
      <c r="B1570" s="108"/>
      <c r="C1570" s="109"/>
      <c r="D1570" s="109"/>
      <c r="E1570" s="109"/>
      <c r="F1570" s="109"/>
      <c r="G1570" s="109"/>
      <c r="H1570" s="109"/>
      <c r="I1570" s="109"/>
      <c r="J1570" s="109"/>
      <c r="K1570" s="109"/>
      <c r="L1570" s="109"/>
      <c r="M1570" s="109"/>
      <c r="N1570" s="109"/>
      <c r="O1570" s="109"/>
    </row>
    <row r="1571" spans="1:15" ht="17.25" customHeight="1">
      <c r="A1571" s="108"/>
      <c r="B1571" s="108"/>
      <c r="C1571" s="109"/>
      <c r="D1571" s="109"/>
      <c r="E1571" s="109"/>
      <c r="F1571" s="109"/>
      <c r="G1571" s="109"/>
      <c r="H1571" s="109"/>
      <c r="I1571" s="109"/>
      <c r="J1571" s="109"/>
      <c r="K1571" s="109"/>
      <c r="L1571" s="109"/>
      <c r="M1571" s="109"/>
      <c r="N1571" s="109"/>
      <c r="O1571" s="109"/>
    </row>
    <row r="1572" spans="1:15" ht="17.25" customHeight="1">
      <c r="A1572" s="108"/>
      <c r="B1572" s="108"/>
      <c r="C1572" s="109"/>
      <c r="D1572" s="109"/>
      <c r="E1572" s="109"/>
      <c r="F1572" s="109"/>
      <c r="G1572" s="109"/>
      <c r="H1572" s="109"/>
      <c r="I1572" s="109"/>
      <c r="J1572" s="109"/>
      <c r="K1572" s="109"/>
      <c r="L1572" s="109"/>
      <c r="M1572" s="109"/>
      <c r="N1572" s="109"/>
      <c r="O1572" s="109"/>
    </row>
    <row r="1573" spans="1:15" ht="17.25" customHeight="1">
      <c r="A1573" s="108"/>
      <c r="B1573" s="108"/>
      <c r="C1573" s="109"/>
      <c r="D1573" s="109"/>
      <c r="E1573" s="109"/>
      <c r="F1573" s="109"/>
      <c r="G1573" s="109"/>
      <c r="H1573" s="109"/>
      <c r="I1573" s="109"/>
      <c r="J1573" s="109"/>
      <c r="K1573" s="109"/>
      <c r="L1573" s="109"/>
      <c r="M1573" s="109"/>
      <c r="N1573" s="109"/>
      <c r="O1573" s="109"/>
    </row>
    <row r="1574" spans="1:15" ht="17.25" customHeight="1">
      <c r="A1574" s="108"/>
      <c r="B1574" s="108"/>
      <c r="C1574" s="109"/>
      <c r="D1574" s="109"/>
      <c r="E1574" s="109"/>
      <c r="F1574" s="109"/>
      <c r="G1574" s="109"/>
      <c r="H1574" s="109"/>
      <c r="I1574" s="109"/>
      <c r="J1574" s="109"/>
      <c r="K1574" s="109"/>
      <c r="L1574" s="109"/>
      <c r="M1574" s="109"/>
      <c r="N1574" s="109"/>
      <c r="O1574" s="109"/>
    </row>
    <row r="1575" spans="1:15" ht="17.25" customHeight="1">
      <c r="A1575" s="108"/>
      <c r="B1575" s="108"/>
      <c r="C1575" s="109"/>
      <c r="D1575" s="109"/>
      <c r="E1575" s="109"/>
      <c r="F1575" s="109"/>
      <c r="G1575" s="109"/>
      <c r="H1575" s="109"/>
      <c r="I1575" s="109"/>
      <c r="J1575" s="109"/>
      <c r="K1575" s="109"/>
      <c r="L1575" s="109"/>
      <c r="M1575" s="109"/>
      <c r="N1575" s="109"/>
      <c r="O1575" s="109"/>
    </row>
  </sheetData>
  <pageMargins left="0.511811024" right="0.511811024" top="0.78740157499999996" bottom="0.78740157499999996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AA1000"/>
  <sheetViews>
    <sheetView workbookViewId="0"/>
  </sheetViews>
  <sheetFormatPr defaultColWidth="12.625" defaultRowHeight="15" customHeight="1"/>
  <cols>
    <col min="1" max="1" width="21" customWidth="1"/>
    <col min="2" max="2" width="15.875" customWidth="1"/>
    <col min="3" max="3" width="21" customWidth="1"/>
    <col min="4" max="4" width="17.75" customWidth="1"/>
    <col min="5" max="5" width="13.75" customWidth="1"/>
    <col min="6" max="6" width="12.5" customWidth="1"/>
    <col min="7" max="7" width="17.625" customWidth="1"/>
    <col min="8" max="8" width="21" customWidth="1"/>
    <col min="9" max="9" width="17.75" customWidth="1"/>
    <col min="10" max="14" width="9" customWidth="1"/>
    <col min="15" max="15" width="8.625" customWidth="1"/>
    <col min="16" max="16" width="21" customWidth="1"/>
    <col min="17" max="17" width="17.75" customWidth="1"/>
    <col min="18" max="20" width="8.625" customWidth="1"/>
    <col min="21" max="21" width="9" customWidth="1"/>
    <col min="22" max="27" width="8.625" customWidth="1"/>
  </cols>
  <sheetData>
    <row r="1" spans="1:27" ht="17.25" customHeight="1">
      <c r="A1" s="112"/>
      <c r="B1" s="111"/>
      <c r="C1" s="111"/>
      <c r="D1" s="111"/>
      <c r="E1" s="111"/>
      <c r="F1" s="111"/>
      <c r="G1" s="112"/>
      <c r="H1" s="111"/>
      <c r="I1" s="111"/>
      <c r="J1" s="111"/>
      <c r="K1" s="111"/>
      <c r="L1" s="111"/>
      <c r="M1" s="111"/>
      <c r="N1" s="112"/>
      <c r="U1" s="112"/>
    </row>
    <row r="2" spans="1:27" ht="17.25" customHeight="1">
      <c r="A2" s="112"/>
      <c r="B2" s="111"/>
      <c r="C2" s="111"/>
      <c r="D2" s="111"/>
      <c r="E2" s="111"/>
      <c r="F2" s="111"/>
      <c r="G2" s="112"/>
      <c r="H2" s="111"/>
      <c r="I2" s="111"/>
      <c r="J2" s="111"/>
      <c r="K2" s="111"/>
      <c r="L2" s="111"/>
      <c r="M2" s="111"/>
      <c r="N2" s="112"/>
      <c r="U2" s="112"/>
    </row>
    <row r="3" spans="1:27" ht="17.25" customHeight="1">
      <c r="A3" s="145" t="s">
        <v>16</v>
      </c>
      <c r="B3" s="146"/>
      <c r="C3" s="146"/>
      <c r="D3" s="146"/>
      <c r="E3" s="146"/>
      <c r="F3" s="147"/>
      <c r="G3" s="148" t="s">
        <v>17</v>
      </c>
      <c r="H3" s="146"/>
      <c r="I3" s="146"/>
      <c r="J3" s="146"/>
      <c r="K3" s="146"/>
      <c r="L3" s="146"/>
      <c r="M3" s="146"/>
      <c r="N3" s="148" t="s">
        <v>18</v>
      </c>
      <c r="O3" s="146"/>
      <c r="P3" s="146"/>
      <c r="Q3" s="146"/>
      <c r="R3" s="146"/>
      <c r="S3" s="146"/>
      <c r="T3" s="146"/>
      <c r="U3" s="148"/>
      <c r="V3" s="146"/>
      <c r="W3" s="146"/>
      <c r="X3" s="146"/>
      <c r="Y3" s="146"/>
      <c r="Z3" s="146"/>
      <c r="AA3" s="146"/>
    </row>
    <row r="4" spans="1:27" ht="17.25" customHeight="1">
      <c r="A4" s="112"/>
      <c r="B4" s="111"/>
      <c r="C4" s="111"/>
      <c r="D4" s="111"/>
      <c r="E4" s="111"/>
      <c r="F4" s="111"/>
      <c r="G4" s="112"/>
      <c r="H4" s="111"/>
      <c r="I4" s="111"/>
      <c r="J4" s="111"/>
      <c r="K4" s="111"/>
      <c r="L4" s="111"/>
      <c r="M4" s="111"/>
      <c r="N4" s="112"/>
      <c r="U4" s="112"/>
    </row>
    <row r="5" spans="1:27" ht="17.25" customHeight="1">
      <c r="A5" s="111" t="s">
        <v>253</v>
      </c>
      <c r="B5" s="111"/>
      <c r="C5" s="112" t="s">
        <v>254</v>
      </c>
      <c r="D5" s="112" t="s">
        <v>255</v>
      </c>
      <c r="E5" s="111"/>
      <c r="F5" s="111"/>
      <c r="G5" s="112"/>
      <c r="H5" s="112" t="s">
        <v>254</v>
      </c>
      <c r="I5" s="112" t="s">
        <v>255</v>
      </c>
      <c r="J5" s="111"/>
      <c r="K5" s="111"/>
      <c r="L5" s="111"/>
      <c r="M5" s="111"/>
      <c r="N5" s="112"/>
      <c r="P5" s="111" t="s">
        <v>254</v>
      </c>
      <c r="Q5" s="107" t="s">
        <v>255</v>
      </c>
      <c r="U5" s="112"/>
    </row>
    <row r="6" spans="1:27" ht="17.25" customHeight="1">
      <c r="A6" s="111"/>
      <c r="B6" s="111"/>
      <c r="C6" s="113" t="s">
        <v>256</v>
      </c>
      <c r="D6" s="114">
        <v>0</v>
      </c>
      <c r="E6" s="111"/>
      <c r="F6" s="111"/>
      <c r="G6" s="112"/>
      <c r="H6" s="113" t="s">
        <v>256</v>
      </c>
      <c r="I6" s="112">
        <v>0</v>
      </c>
      <c r="J6" s="111"/>
      <c r="K6" s="111"/>
      <c r="L6" s="111"/>
      <c r="M6" s="111"/>
      <c r="N6" s="112"/>
      <c r="P6" s="115" t="s">
        <v>256</v>
      </c>
      <c r="Q6" s="111">
        <v>0</v>
      </c>
      <c r="U6" s="112"/>
    </row>
    <row r="7" spans="1:27" ht="17.25" customHeight="1">
      <c r="A7" s="111" t="s">
        <v>69</v>
      </c>
      <c r="B7" s="111"/>
      <c r="E7" s="111"/>
      <c r="F7" s="116"/>
      <c r="G7" s="112"/>
      <c r="J7" s="116"/>
      <c r="K7" s="116"/>
      <c r="L7" s="111"/>
      <c r="M7" s="111"/>
      <c r="N7" s="112"/>
      <c r="P7" s="115" t="s">
        <v>257</v>
      </c>
      <c r="Q7" s="111">
        <v>0</v>
      </c>
      <c r="U7" s="112"/>
    </row>
    <row r="8" spans="1:27" ht="17.25" customHeight="1">
      <c r="A8" s="111" t="s">
        <v>258</v>
      </c>
      <c r="B8" s="111"/>
      <c r="E8" s="111"/>
      <c r="F8" s="111"/>
      <c r="G8" s="112"/>
      <c r="J8" s="111"/>
      <c r="K8" s="111"/>
      <c r="L8" s="111"/>
      <c r="M8" s="111"/>
      <c r="N8" s="112"/>
      <c r="U8" s="112"/>
    </row>
    <row r="9" spans="1:27" ht="17.25" customHeight="1">
      <c r="A9" s="111" t="s">
        <v>259</v>
      </c>
      <c r="B9" s="111"/>
      <c r="E9" s="111"/>
      <c r="F9" s="111"/>
      <c r="G9" s="112"/>
      <c r="J9" s="111"/>
      <c r="K9" s="111"/>
      <c r="L9" s="111"/>
      <c r="M9" s="111"/>
      <c r="N9" s="112"/>
      <c r="U9" s="112"/>
    </row>
    <row r="10" spans="1:27" ht="17.25" customHeight="1">
      <c r="A10" s="111" t="s">
        <v>36</v>
      </c>
      <c r="B10" s="111"/>
      <c r="E10" s="111"/>
      <c r="F10" s="111"/>
      <c r="G10" s="112"/>
      <c r="H10" s="111"/>
      <c r="I10" s="111"/>
      <c r="J10" s="111"/>
      <c r="K10" s="111"/>
      <c r="L10" s="111"/>
      <c r="M10" s="111"/>
      <c r="N10" s="112"/>
      <c r="U10" s="112"/>
    </row>
    <row r="11" spans="1:27" ht="17.25" customHeight="1">
      <c r="A11" s="112"/>
      <c r="B11" s="111"/>
      <c r="E11" s="111"/>
      <c r="F11" s="111"/>
      <c r="G11" s="112"/>
      <c r="H11" s="111"/>
      <c r="I11" s="111"/>
      <c r="J11" s="111"/>
      <c r="K11" s="111"/>
      <c r="L11" s="111"/>
      <c r="M11" s="111"/>
      <c r="N11" s="112"/>
      <c r="U11" s="112"/>
    </row>
    <row r="12" spans="1:27" ht="17.25" customHeight="1">
      <c r="E12" s="111"/>
      <c r="F12" s="111"/>
      <c r="G12" s="112"/>
      <c r="H12" s="111"/>
      <c r="I12" s="111"/>
      <c r="J12" s="111"/>
      <c r="K12" s="111"/>
      <c r="L12" s="111"/>
      <c r="M12" s="111"/>
      <c r="N12" s="112"/>
      <c r="U12" s="112"/>
    </row>
    <row r="13" spans="1:27" ht="17.25" customHeight="1">
      <c r="A13" s="112"/>
      <c r="B13" s="111"/>
      <c r="E13" s="111"/>
      <c r="F13" s="111"/>
      <c r="G13" s="112"/>
      <c r="H13" s="111"/>
      <c r="I13" s="111"/>
      <c r="J13" s="111"/>
      <c r="K13" s="111"/>
      <c r="L13" s="111"/>
      <c r="M13" s="111"/>
      <c r="N13" s="112"/>
      <c r="U13" s="112"/>
    </row>
    <row r="14" spans="1:27" ht="17.25" customHeight="1">
      <c r="G14" s="112"/>
      <c r="H14" s="111"/>
      <c r="I14" s="111"/>
      <c r="J14" s="111"/>
      <c r="K14" s="111"/>
      <c r="L14" s="111"/>
      <c r="M14" s="111"/>
      <c r="N14" s="112"/>
      <c r="U14" s="112"/>
    </row>
    <row r="15" spans="1:27" ht="17.25" customHeight="1">
      <c r="G15" s="112"/>
      <c r="H15" s="111"/>
      <c r="I15" s="111"/>
      <c r="J15" s="111"/>
      <c r="K15" s="111"/>
      <c r="L15" s="111"/>
      <c r="M15" s="111"/>
      <c r="N15" s="112"/>
      <c r="U15" s="112"/>
    </row>
    <row r="16" spans="1:27" ht="17.25" customHeight="1">
      <c r="G16" s="112"/>
      <c r="H16" s="111"/>
      <c r="I16" s="111"/>
      <c r="J16" s="111"/>
      <c r="K16" s="111"/>
      <c r="L16" s="111"/>
      <c r="M16" s="111"/>
      <c r="N16" s="112"/>
      <c r="U16" s="112"/>
    </row>
    <row r="17" spans="2:21" ht="17.25" customHeight="1">
      <c r="G17" s="112"/>
      <c r="H17" s="111"/>
      <c r="I17" s="111"/>
      <c r="J17" s="111"/>
      <c r="K17" s="111"/>
      <c r="L17" s="111"/>
      <c r="M17" s="111"/>
      <c r="N17" s="112"/>
      <c r="U17" s="112"/>
    </row>
    <row r="18" spans="2:21" ht="17.25" customHeight="1">
      <c r="G18" s="112"/>
      <c r="N18" s="112"/>
      <c r="U18" s="112"/>
    </row>
    <row r="19" spans="2:21" ht="17.25" customHeight="1">
      <c r="E19" s="111"/>
      <c r="F19" s="111"/>
      <c r="G19" s="112"/>
      <c r="N19" s="112"/>
      <c r="U19" s="112"/>
    </row>
    <row r="20" spans="2:21" ht="17.25" customHeight="1">
      <c r="E20" s="111"/>
      <c r="F20" s="111"/>
      <c r="G20" s="112"/>
      <c r="H20" s="111"/>
      <c r="I20" s="111"/>
      <c r="J20" s="111"/>
      <c r="K20" s="111"/>
      <c r="L20" s="111"/>
      <c r="M20" s="111"/>
      <c r="N20" s="112"/>
      <c r="U20" s="112"/>
    </row>
    <row r="21" spans="2:21" ht="17.25" customHeight="1">
      <c r="D21" s="111"/>
      <c r="E21" s="111"/>
      <c r="F21" s="111"/>
      <c r="G21" s="112"/>
      <c r="H21" s="111"/>
      <c r="I21" s="111"/>
      <c r="J21" s="111"/>
      <c r="K21" s="111"/>
      <c r="L21" s="111"/>
      <c r="M21" s="111"/>
      <c r="N21" s="112"/>
      <c r="U21" s="112"/>
    </row>
    <row r="22" spans="2:21" ht="17.25" customHeight="1">
      <c r="D22" s="111"/>
      <c r="E22" s="111"/>
      <c r="F22" s="111"/>
      <c r="G22" s="112"/>
      <c r="H22" s="111"/>
      <c r="I22" s="111"/>
      <c r="J22" s="111"/>
      <c r="K22" s="111"/>
      <c r="L22" s="111"/>
      <c r="M22" s="111"/>
      <c r="N22" s="112"/>
      <c r="U22" s="112"/>
    </row>
    <row r="23" spans="2:21" ht="17.25" customHeight="1">
      <c r="D23" s="111"/>
      <c r="E23" s="111"/>
      <c r="F23" s="111"/>
      <c r="G23" s="112"/>
      <c r="H23" s="111"/>
      <c r="I23" s="111"/>
      <c r="J23" s="111"/>
      <c r="K23" s="111"/>
      <c r="L23" s="111"/>
      <c r="M23" s="111"/>
      <c r="N23" s="112"/>
      <c r="U23" s="112"/>
    </row>
    <row r="24" spans="2:21" ht="17.25" customHeight="1">
      <c r="D24" s="111"/>
      <c r="E24" s="111"/>
      <c r="F24" s="111"/>
      <c r="G24" s="112"/>
      <c r="H24" s="111"/>
      <c r="I24" s="111"/>
      <c r="J24" s="111"/>
      <c r="K24" s="111"/>
      <c r="L24" s="111"/>
      <c r="M24" s="111"/>
      <c r="N24" s="112"/>
      <c r="U24" s="112"/>
    </row>
    <row r="25" spans="2:21" ht="17.25" customHeight="1">
      <c r="D25" s="111"/>
      <c r="E25" s="111"/>
      <c r="F25" s="111"/>
      <c r="G25" s="112"/>
      <c r="H25" s="111"/>
      <c r="I25" s="111"/>
      <c r="J25" s="111"/>
      <c r="K25" s="111"/>
      <c r="L25" s="111"/>
      <c r="M25" s="111"/>
      <c r="N25" s="112"/>
      <c r="U25" s="112"/>
    </row>
    <row r="26" spans="2:21" ht="17.25" customHeight="1">
      <c r="D26" s="111"/>
      <c r="E26" s="111"/>
      <c r="F26" s="111"/>
      <c r="G26" s="112"/>
      <c r="H26" s="111"/>
      <c r="I26" s="111"/>
      <c r="J26" s="111"/>
      <c r="K26" s="111"/>
      <c r="L26" s="111"/>
      <c r="M26" s="111"/>
      <c r="N26" s="112"/>
      <c r="U26" s="112"/>
    </row>
    <row r="27" spans="2:21" ht="17.25" customHeight="1">
      <c r="D27" s="111"/>
      <c r="E27" s="111"/>
      <c r="F27" s="111"/>
      <c r="G27" s="112"/>
      <c r="H27" s="111"/>
      <c r="I27" s="111"/>
      <c r="J27" s="111"/>
      <c r="K27" s="111"/>
      <c r="L27" s="111"/>
      <c r="M27" s="111"/>
      <c r="N27" s="112"/>
      <c r="U27" s="112"/>
    </row>
    <row r="28" spans="2:21" ht="17.25" customHeight="1">
      <c r="D28" s="111"/>
      <c r="E28" s="111"/>
      <c r="F28" s="111"/>
      <c r="G28" s="112"/>
      <c r="H28" s="111"/>
      <c r="I28" s="111"/>
      <c r="J28" s="111"/>
      <c r="K28" s="111"/>
      <c r="L28" s="111"/>
      <c r="M28" s="111"/>
      <c r="N28" s="112"/>
      <c r="U28" s="112"/>
    </row>
    <row r="29" spans="2:21" ht="17.25" customHeight="1">
      <c r="D29" s="111"/>
      <c r="E29" s="111"/>
      <c r="F29" s="111"/>
      <c r="G29" s="112"/>
      <c r="H29" s="111"/>
      <c r="I29" s="111"/>
      <c r="J29" s="111"/>
      <c r="K29" s="111"/>
      <c r="L29" s="111"/>
      <c r="M29" s="111"/>
      <c r="N29" s="112"/>
      <c r="U29" s="112"/>
    </row>
    <row r="30" spans="2:21" ht="17.25" customHeight="1">
      <c r="D30" s="111"/>
      <c r="E30" s="111"/>
      <c r="F30" s="111"/>
      <c r="G30" s="112"/>
      <c r="H30" s="111"/>
      <c r="I30" s="111"/>
      <c r="J30" s="111"/>
      <c r="K30" s="111"/>
      <c r="L30" s="111"/>
      <c r="M30" s="111"/>
      <c r="N30" s="112"/>
      <c r="U30" s="112"/>
    </row>
    <row r="31" spans="2:21" ht="17.25" customHeight="1">
      <c r="D31" s="111"/>
      <c r="E31" s="111"/>
      <c r="F31" s="111"/>
      <c r="G31" s="112"/>
      <c r="H31" s="111"/>
      <c r="I31" s="111"/>
      <c r="J31" s="111"/>
      <c r="K31" s="111"/>
      <c r="L31" s="111"/>
      <c r="M31" s="111"/>
      <c r="N31" s="112"/>
      <c r="U31" s="112"/>
    </row>
    <row r="32" spans="2:21" ht="17.25" customHeight="1">
      <c r="B32" s="111"/>
      <c r="C32" s="111"/>
      <c r="D32" s="111"/>
      <c r="E32" s="111"/>
      <c r="F32" s="111"/>
      <c r="G32" s="112"/>
      <c r="H32" s="111"/>
      <c r="I32" s="111"/>
      <c r="J32" s="111"/>
      <c r="K32" s="111"/>
      <c r="L32" s="111"/>
      <c r="M32" s="111"/>
      <c r="N32" s="112"/>
      <c r="U32" s="112"/>
    </row>
    <row r="33" spans="1:21" ht="17.25" customHeight="1">
      <c r="B33" s="111"/>
      <c r="C33" s="111"/>
      <c r="D33" s="111"/>
      <c r="E33" s="111"/>
      <c r="F33" s="111"/>
      <c r="G33" s="112"/>
      <c r="H33" s="111"/>
      <c r="I33" s="111"/>
      <c r="J33" s="111"/>
      <c r="K33" s="111"/>
      <c r="L33" s="111"/>
      <c r="M33" s="111"/>
      <c r="N33" s="112"/>
      <c r="U33" s="112"/>
    </row>
    <row r="34" spans="1:21" ht="17.25" customHeight="1">
      <c r="B34" s="111"/>
      <c r="C34" s="111"/>
      <c r="D34" s="111"/>
      <c r="E34" s="111"/>
      <c r="F34" s="111"/>
      <c r="G34" s="112"/>
      <c r="H34" s="111"/>
      <c r="I34" s="111"/>
      <c r="J34" s="111"/>
      <c r="K34" s="111"/>
      <c r="L34" s="111"/>
      <c r="M34" s="111"/>
      <c r="N34" s="112"/>
      <c r="U34" s="112"/>
    </row>
    <row r="35" spans="1:21" ht="17.25" customHeight="1">
      <c r="B35" s="111"/>
      <c r="C35" s="111"/>
      <c r="D35" s="111"/>
      <c r="E35" s="111"/>
      <c r="F35" s="111"/>
      <c r="G35" s="112"/>
      <c r="H35" s="111"/>
      <c r="I35" s="111"/>
      <c r="J35" s="111"/>
      <c r="K35" s="111"/>
      <c r="L35" s="111"/>
      <c r="M35" s="111"/>
      <c r="N35" s="112"/>
      <c r="U35" s="112"/>
    </row>
    <row r="36" spans="1:21" ht="17.25" customHeight="1">
      <c r="B36" s="111"/>
      <c r="C36" s="111"/>
      <c r="D36" s="111"/>
      <c r="E36" s="111"/>
      <c r="F36" s="111"/>
      <c r="G36" s="112"/>
      <c r="H36" s="111"/>
      <c r="I36" s="111"/>
      <c r="J36" s="111"/>
      <c r="K36" s="111"/>
      <c r="L36" s="111"/>
      <c r="M36" s="111"/>
      <c r="N36" s="112"/>
      <c r="U36" s="112"/>
    </row>
    <row r="37" spans="1:21" ht="17.25" customHeight="1">
      <c r="B37" s="111"/>
      <c r="C37" s="111"/>
      <c r="D37" s="111"/>
      <c r="E37" s="111"/>
      <c r="F37" s="111"/>
      <c r="G37" s="112"/>
      <c r="H37" s="111"/>
      <c r="I37" s="111"/>
      <c r="J37" s="111"/>
      <c r="K37" s="111"/>
      <c r="L37" s="111"/>
      <c r="M37" s="111"/>
      <c r="N37" s="112"/>
      <c r="U37" s="112"/>
    </row>
    <row r="38" spans="1:21" ht="17.25" customHeight="1">
      <c r="B38" s="111"/>
      <c r="C38" s="111"/>
      <c r="D38" s="111"/>
      <c r="E38" s="111"/>
      <c r="F38" s="111"/>
      <c r="G38" s="112"/>
      <c r="H38" s="111"/>
      <c r="I38" s="111"/>
      <c r="J38" s="111"/>
      <c r="K38" s="111"/>
      <c r="L38" s="111"/>
      <c r="M38" s="111"/>
      <c r="N38" s="112"/>
      <c r="U38" s="112"/>
    </row>
    <row r="39" spans="1:21" ht="17.25" customHeight="1">
      <c r="B39" s="111"/>
      <c r="C39" s="111"/>
      <c r="D39" s="111"/>
      <c r="E39" s="111"/>
      <c r="F39" s="111"/>
      <c r="G39" s="112"/>
      <c r="H39" s="111"/>
      <c r="I39" s="111"/>
      <c r="J39" s="111"/>
      <c r="K39" s="111"/>
      <c r="L39" s="111"/>
      <c r="M39" s="111"/>
      <c r="N39" s="112"/>
      <c r="U39" s="112"/>
    </row>
    <row r="40" spans="1:21" ht="17.25" customHeight="1">
      <c r="A40" s="112"/>
      <c r="B40" s="111"/>
      <c r="C40" s="111"/>
      <c r="D40" s="111"/>
      <c r="E40" s="111"/>
      <c r="F40" s="111"/>
      <c r="G40" s="112"/>
      <c r="H40" s="111"/>
      <c r="I40" s="111"/>
      <c r="J40" s="111"/>
      <c r="K40" s="111"/>
      <c r="L40" s="111"/>
      <c r="M40" s="111"/>
      <c r="N40" s="112"/>
      <c r="U40" s="112"/>
    </row>
    <row r="41" spans="1:21" ht="17.25" customHeight="1">
      <c r="A41" s="112"/>
      <c r="B41" s="111"/>
      <c r="C41" s="111"/>
      <c r="D41" s="111"/>
      <c r="E41" s="111"/>
      <c r="F41" s="111"/>
      <c r="G41" s="112"/>
      <c r="H41" s="111"/>
      <c r="I41" s="111"/>
      <c r="J41" s="111"/>
      <c r="K41" s="111"/>
      <c r="L41" s="111"/>
      <c r="M41" s="111"/>
      <c r="N41" s="112"/>
      <c r="U41" s="112"/>
    </row>
    <row r="42" spans="1:21" ht="17.25" customHeight="1">
      <c r="A42" s="112"/>
      <c r="B42" s="111"/>
      <c r="C42" s="111"/>
      <c r="D42" s="111"/>
      <c r="E42" s="111"/>
      <c r="F42" s="111"/>
      <c r="G42" s="112"/>
      <c r="H42" s="111"/>
      <c r="I42" s="111"/>
      <c r="J42" s="111"/>
      <c r="K42" s="111"/>
      <c r="L42" s="111"/>
      <c r="M42" s="111"/>
      <c r="N42" s="112"/>
      <c r="U42" s="112"/>
    </row>
    <row r="43" spans="1:21" ht="17.25" customHeight="1">
      <c r="A43" s="112"/>
      <c r="B43" s="111"/>
      <c r="C43" s="111"/>
      <c r="D43" s="111"/>
      <c r="E43" s="111"/>
      <c r="F43" s="111"/>
      <c r="G43" s="112"/>
      <c r="H43" s="111"/>
      <c r="I43" s="111"/>
      <c r="J43" s="111"/>
      <c r="K43" s="111"/>
      <c r="L43" s="111"/>
      <c r="M43" s="111"/>
      <c r="N43" s="112"/>
      <c r="U43" s="112"/>
    </row>
    <row r="44" spans="1:21" ht="17.25" customHeight="1">
      <c r="A44" s="112"/>
      <c r="B44" s="111"/>
      <c r="C44" s="111"/>
      <c r="D44" s="111"/>
      <c r="E44" s="111"/>
      <c r="F44" s="111"/>
      <c r="G44" s="112"/>
      <c r="H44" s="111"/>
      <c r="I44" s="111"/>
      <c r="J44" s="111"/>
      <c r="K44" s="111"/>
      <c r="L44" s="111"/>
      <c r="M44" s="111"/>
      <c r="N44" s="112"/>
      <c r="U44" s="112"/>
    </row>
    <row r="45" spans="1:21" ht="17.25" customHeight="1">
      <c r="A45" s="112"/>
      <c r="B45" s="111"/>
      <c r="C45" s="111"/>
      <c r="D45" s="111"/>
      <c r="E45" s="111"/>
      <c r="F45" s="111"/>
      <c r="G45" s="112"/>
      <c r="H45" s="111"/>
      <c r="I45" s="111"/>
      <c r="J45" s="111"/>
      <c r="K45" s="111"/>
      <c r="L45" s="111"/>
      <c r="M45" s="111"/>
      <c r="N45" s="112"/>
      <c r="U45" s="112"/>
    </row>
    <row r="46" spans="1:21" ht="17.25" customHeight="1">
      <c r="A46" s="112"/>
      <c r="B46" s="111"/>
      <c r="C46" s="111"/>
      <c r="D46" s="111"/>
      <c r="E46" s="111"/>
      <c r="F46" s="111"/>
      <c r="G46" s="112"/>
      <c r="H46" s="111"/>
      <c r="I46" s="111"/>
      <c r="J46" s="111"/>
      <c r="K46" s="111"/>
      <c r="L46" s="111"/>
      <c r="M46" s="111"/>
      <c r="N46" s="112"/>
      <c r="U46" s="112"/>
    </row>
    <row r="47" spans="1:21" ht="17.25" customHeight="1">
      <c r="A47" s="112"/>
      <c r="B47" s="111"/>
      <c r="C47" s="111"/>
      <c r="D47" s="111"/>
      <c r="E47" s="111"/>
      <c r="F47" s="111"/>
      <c r="G47" s="112"/>
      <c r="H47" s="111"/>
      <c r="I47" s="111"/>
      <c r="J47" s="111"/>
      <c r="K47" s="111"/>
      <c r="L47" s="111"/>
      <c r="M47" s="111"/>
      <c r="N47" s="112"/>
      <c r="U47" s="112"/>
    </row>
    <row r="48" spans="1:21" ht="17.25" customHeight="1">
      <c r="A48" s="112"/>
      <c r="B48" s="111"/>
      <c r="C48" s="111"/>
      <c r="D48" s="111"/>
      <c r="E48" s="111"/>
      <c r="F48" s="111"/>
      <c r="G48" s="112"/>
      <c r="H48" s="111"/>
      <c r="I48" s="111"/>
      <c r="J48" s="111"/>
      <c r="K48" s="111"/>
      <c r="L48" s="111"/>
      <c r="M48" s="111"/>
      <c r="N48" s="112"/>
      <c r="U48" s="112"/>
    </row>
    <row r="49" spans="1:21" ht="17.25" customHeight="1">
      <c r="A49" s="112"/>
      <c r="B49" s="111"/>
      <c r="C49" s="111"/>
      <c r="D49" s="111"/>
      <c r="E49" s="111"/>
      <c r="F49" s="111"/>
      <c r="G49" s="112"/>
      <c r="H49" s="111"/>
      <c r="I49" s="111"/>
      <c r="J49" s="111"/>
      <c r="K49" s="111"/>
      <c r="L49" s="111"/>
      <c r="M49" s="111"/>
      <c r="N49" s="112"/>
      <c r="U49" s="112"/>
    </row>
    <row r="50" spans="1:21" ht="17.25" customHeight="1">
      <c r="A50" s="112"/>
      <c r="B50" s="111"/>
      <c r="C50" s="111"/>
      <c r="D50" s="111"/>
      <c r="E50" s="111"/>
      <c r="F50" s="111"/>
      <c r="G50" s="112"/>
      <c r="H50" s="111"/>
      <c r="I50" s="111"/>
      <c r="J50" s="111"/>
      <c r="K50" s="111"/>
      <c r="L50" s="111"/>
      <c r="M50" s="111"/>
      <c r="N50" s="112"/>
      <c r="U50" s="112"/>
    </row>
    <row r="51" spans="1:21" ht="17.25" customHeight="1">
      <c r="A51" s="112"/>
      <c r="B51" s="111"/>
      <c r="C51" s="111"/>
      <c r="D51" s="111"/>
      <c r="E51" s="111"/>
      <c r="F51" s="111"/>
      <c r="G51" s="112"/>
      <c r="H51" s="111"/>
      <c r="I51" s="111"/>
      <c r="J51" s="111"/>
      <c r="K51" s="111"/>
      <c r="L51" s="111"/>
      <c r="M51" s="111"/>
      <c r="N51" s="112"/>
      <c r="U51" s="112"/>
    </row>
    <row r="52" spans="1:21" ht="17.25" customHeight="1">
      <c r="A52" s="112"/>
      <c r="B52" s="111"/>
      <c r="C52" s="111"/>
      <c r="D52" s="111"/>
      <c r="E52" s="111"/>
      <c r="F52" s="111"/>
      <c r="G52" s="112"/>
      <c r="H52" s="111"/>
      <c r="I52" s="111"/>
      <c r="J52" s="111"/>
      <c r="K52" s="111"/>
      <c r="L52" s="111"/>
      <c r="M52" s="111"/>
      <c r="N52" s="112"/>
      <c r="U52" s="112"/>
    </row>
    <row r="53" spans="1:21" ht="17.25" customHeight="1">
      <c r="A53" s="112"/>
      <c r="B53" s="111"/>
      <c r="C53" s="111"/>
      <c r="D53" s="111"/>
      <c r="E53" s="111"/>
      <c r="F53" s="111"/>
      <c r="G53" s="112"/>
      <c r="H53" s="111"/>
      <c r="I53" s="111"/>
      <c r="J53" s="111"/>
      <c r="K53" s="111"/>
      <c r="L53" s="111"/>
      <c r="M53" s="111"/>
      <c r="N53" s="112"/>
      <c r="U53" s="112"/>
    </row>
    <row r="54" spans="1:21" ht="17.25" customHeight="1">
      <c r="A54" s="112"/>
      <c r="B54" s="111"/>
      <c r="C54" s="111"/>
      <c r="D54" s="111"/>
      <c r="E54" s="111"/>
      <c r="F54" s="111"/>
      <c r="G54" s="112"/>
      <c r="H54" s="111"/>
      <c r="I54" s="111"/>
      <c r="J54" s="111"/>
      <c r="K54" s="111"/>
      <c r="L54" s="111"/>
      <c r="M54" s="111"/>
      <c r="N54" s="112"/>
      <c r="U54" s="112"/>
    </row>
    <row r="55" spans="1:21" ht="17.25" customHeight="1">
      <c r="A55" s="112"/>
      <c r="B55" s="111"/>
      <c r="C55" s="111"/>
      <c r="D55" s="111"/>
      <c r="E55" s="111"/>
      <c r="F55" s="111"/>
      <c r="G55" s="112"/>
      <c r="H55" s="111"/>
      <c r="I55" s="111"/>
      <c r="J55" s="111"/>
      <c r="K55" s="111"/>
      <c r="L55" s="111"/>
      <c r="M55" s="111"/>
      <c r="N55" s="112"/>
      <c r="U55" s="112"/>
    </row>
    <row r="56" spans="1:21" ht="17.25" customHeight="1">
      <c r="A56" s="112"/>
      <c r="B56" s="111"/>
      <c r="C56" s="111"/>
      <c r="D56" s="111"/>
      <c r="E56" s="111"/>
      <c r="F56" s="111"/>
      <c r="G56" s="112"/>
      <c r="H56" s="111"/>
      <c r="I56" s="111"/>
      <c r="J56" s="111"/>
      <c r="K56" s="111"/>
      <c r="L56" s="111"/>
      <c r="M56" s="111"/>
      <c r="N56" s="112"/>
      <c r="U56" s="112"/>
    </row>
    <row r="57" spans="1:21" ht="17.25" customHeight="1">
      <c r="A57" s="112"/>
      <c r="B57" s="111"/>
      <c r="C57" s="111"/>
      <c r="D57" s="111"/>
      <c r="E57" s="111"/>
      <c r="F57" s="111"/>
      <c r="G57" s="112"/>
      <c r="H57" s="111"/>
      <c r="I57" s="111"/>
      <c r="J57" s="111"/>
      <c r="K57" s="111"/>
      <c r="L57" s="111"/>
      <c r="M57" s="111"/>
      <c r="N57" s="112"/>
      <c r="U57" s="112"/>
    </row>
    <row r="58" spans="1:21" ht="17.25" customHeight="1">
      <c r="A58" s="112"/>
      <c r="B58" s="111"/>
      <c r="C58" s="111"/>
      <c r="D58" s="111"/>
      <c r="E58" s="111"/>
      <c r="F58" s="111"/>
      <c r="G58" s="112"/>
      <c r="H58" s="111"/>
      <c r="I58" s="111"/>
      <c r="J58" s="111"/>
      <c r="K58" s="111"/>
      <c r="L58" s="111"/>
      <c r="M58" s="111"/>
      <c r="N58" s="112"/>
      <c r="U58" s="112"/>
    </row>
    <row r="59" spans="1:21" ht="17.25" customHeight="1">
      <c r="A59" s="112"/>
      <c r="B59" s="111"/>
      <c r="C59" s="111"/>
      <c r="D59" s="111"/>
      <c r="E59" s="111"/>
      <c r="F59" s="111"/>
      <c r="G59" s="112"/>
      <c r="H59" s="111"/>
      <c r="I59" s="111"/>
      <c r="J59" s="111"/>
      <c r="K59" s="111"/>
      <c r="L59" s="111"/>
      <c r="M59" s="111"/>
      <c r="N59" s="112"/>
      <c r="U59" s="112"/>
    </row>
    <row r="60" spans="1:21" ht="17.25" customHeight="1">
      <c r="A60" s="112"/>
      <c r="B60" s="111"/>
      <c r="C60" s="111"/>
      <c r="D60" s="111"/>
      <c r="E60" s="111"/>
      <c r="F60" s="111"/>
      <c r="G60" s="112"/>
      <c r="H60" s="111"/>
      <c r="I60" s="111"/>
      <c r="J60" s="111"/>
      <c r="K60" s="111"/>
      <c r="L60" s="111"/>
      <c r="M60" s="111"/>
      <c r="N60" s="112"/>
      <c r="U60" s="112"/>
    </row>
    <row r="61" spans="1:21" ht="17.25" customHeight="1">
      <c r="A61" s="112"/>
      <c r="B61" s="111"/>
      <c r="C61" s="111"/>
      <c r="D61" s="111"/>
      <c r="E61" s="111"/>
      <c r="F61" s="111"/>
      <c r="G61" s="112"/>
      <c r="H61" s="111"/>
      <c r="I61" s="111"/>
      <c r="J61" s="111"/>
      <c r="K61" s="111"/>
      <c r="L61" s="111"/>
      <c r="M61" s="111"/>
      <c r="N61" s="112"/>
      <c r="U61" s="112"/>
    </row>
    <row r="62" spans="1:21" ht="17.25" customHeight="1">
      <c r="A62" s="112"/>
      <c r="B62" s="111"/>
      <c r="C62" s="111"/>
      <c r="D62" s="111"/>
      <c r="E62" s="111"/>
      <c r="F62" s="111"/>
      <c r="G62" s="112"/>
      <c r="H62" s="111"/>
      <c r="I62" s="111"/>
      <c r="J62" s="111"/>
      <c r="K62" s="111"/>
      <c r="L62" s="111"/>
      <c r="M62" s="111"/>
      <c r="N62" s="112"/>
      <c r="U62" s="112"/>
    </row>
    <row r="63" spans="1:21" ht="17.25" customHeight="1">
      <c r="A63" s="112"/>
      <c r="B63" s="111"/>
      <c r="C63" s="111"/>
      <c r="D63" s="111"/>
      <c r="E63" s="111"/>
      <c r="F63" s="111"/>
      <c r="G63" s="112"/>
      <c r="H63" s="111"/>
      <c r="I63" s="111"/>
      <c r="J63" s="111"/>
      <c r="K63" s="111"/>
      <c r="L63" s="111"/>
      <c r="M63" s="111"/>
      <c r="N63" s="112"/>
      <c r="U63" s="112"/>
    </row>
    <row r="64" spans="1:21" ht="17.25" customHeight="1">
      <c r="A64" s="112"/>
      <c r="B64" s="111"/>
      <c r="C64" s="111"/>
      <c r="D64" s="111"/>
      <c r="E64" s="111"/>
      <c r="F64" s="111"/>
      <c r="G64" s="112"/>
      <c r="H64" s="111"/>
      <c r="I64" s="111"/>
      <c r="J64" s="111"/>
      <c r="K64" s="111"/>
      <c r="L64" s="111"/>
      <c r="M64" s="111"/>
      <c r="N64" s="112"/>
      <c r="U64" s="112"/>
    </row>
    <row r="65" spans="1:21" ht="17.25" customHeight="1">
      <c r="A65" s="112"/>
      <c r="B65" s="111"/>
      <c r="C65" s="111"/>
      <c r="D65" s="111"/>
      <c r="E65" s="111"/>
      <c r="F65" s="111"/>
      <c r="G65" s="112"/>
      <c r="H65" s="111"/>
      <c r="I65" s="111"/>
      <c r="J65" s="111"/>
      <c r="K65" s="111"/>
      <c r="L65" s="111"/>
      <c r="M65" s="111"/>
      <c r="N65" s="112"/>
      <c r="U65" s="112"/>
    </row>
    <row r="66" spans="1:21" ht="17.25" customHeight="1">
      <c r="A66" s="112"/>
      <c r="B66" s="111"/>
      <c r="C66" s="111"/>
      <c r="D66" s="111"/>
      <c r="E66" s="111"/>
      <c r="F66" s="111"/>
      <c r="G66" s="112"/>
      <c r="H66" s="111"/>
      <c r="I66" s="111"/>
      <c r="J66" s="111"/>
      <c r="K66" s="111"/>
      <c r="L66" s="111"/>
      <c r="M66" s="111"/>
      <c r="N66" s="112"/>
      <c r="U66" s="112"/>
    </row>
    <row r="67" spans="1:21" ht="17.25" customHeight="1">
      <c r="A67" s="112"/>
      <c r="B67" s="111"/>
      <c r="C67" s="111"/>
      <c r="D67" s="111"/>
      <c r="E67" s="111"/>
      <c r="F67" s="111"/>
      <c r="G67" s="112"/>
      <c r="H67" s="111"/>
      <c r="I67" s="111"/>
      <c r="J67" s="111"/>
      <c r="K67" s="111"/>
      <c r="L67" s="111"/>
      <c r="M67" s="111"/>
      <c r="N67" s="112"/>
      <c r="U67" s="112"/>
    </row>
    <row r="68" spans="1:21" ht="17.25" customHeight="1">
      <c r="A68" s="112"/>
      <c r="B68" s="111"/>
      <c r="C68" s="111"/>
      <c r="D68" s="111"/>
      <c r="E68" s="111"/>
      <c r="F68" s="111"/>
      <c r="G68" s="112"/>
      <c r="H68" s="111"/>
      <c r="I68" s="111"/>
      <c r="J68" s="111"/>
      <c r="K68" s="111"/>
      <c r="L68" s="111"/>
      <c r="M68" s="111"/>
      <c r="N68" s="112"/>
      <c r="U68" s="112"/>
    </row>
    <row r="69" spans="1:21" ht="17.25" customHeight="1">
      <c r="A69" s="112"/>
      <c r="B69" s="111"/>
      <c r="C69" s="111"/>
      <c r="D69" s="111"/>
      <c r="E69" s="111"/>
      <c r="F69" s="111"/>
      <c r="G69" s="112"/>
      <c r="H69" s="111"/>
      <c r="I69" s="111"/>
      <c r="J69" s="111"/>
      <c r="K69" s="111"/>
      <c r="L69" s="111"/>
      <c r="M69" s="111"/>
      <c r="N69" s="112"/>
      <c r="U69" s="112"/>
    </row>
    <row r="70" spans="1:21" ht="17.25" customHeight="1">
      <c r="A70" s="112"/>
      <c r="B70" s="111"/>
      <c r="C70" s="111"/>
      <c r="D70" s="111"/>
      <c r="E70" s="111"/>
      <c r="F70" s="111"/>
      <c r="G70" s="112"/>
      <c r="H70" s="111"/>
      <c r="I70" s="111"/>
      <c r="J70" s="111"/>
      <c r="K70" s="111"/>
      <c r="L70" s="111"/>
      <c r="M70" s="111"/>
      <c r="N70" s="112"/>
      <c r="U70" s="112"/>
    </row>
    <row r="71" spans="1:21" ht="17.25" customHeight="1">
      <c r="A71" s="112"/>
      <c r="B71" s="111"/>
      <c r="C71" s="111"/>
      <c r="D71" s="111"/>
      <c r="E71" s="111"/>
      <c r="F71" s="111"/>
      <c r="G71" s="112"/>
      <c r="H71" s="111"/>
      <c r="I71" s="111"/>
      <c r="J71" s="111"/>
      <c r="K71" s="111"/>
      <c r="L71" s="111"/>
      <c r="M71" s="111"/>
      <c r="N71" s="112"/>
      <c r="U71" s="112"/>
    </row>
    <row r="72" spans="1:21" ht="17.25" customHeight="1">
      <c r="A72" s="112"/>
      <c r="B72" s="111"/>
      <c r="C72" s="111"/>
      <c r="D72" s="111"/>
      <c r="E72" s="111"/>
      <c r="F72" s="111"/>
      <c r="G72" s="112"/>
      <c r="H72" s="111"/>
      <c r="I72" s="111"/>
      <c r="J72" s="111"/>
      <c r="K72" s="111"/>
      <c r="L72" s="111"/>
      <c r="M72" s="111"/>
      <c r="N72" s="112"/>
      <c r="U72" s="112"/>
    </row>
    <row r="73" spans="1:21" ht="17.25" customHeight="1">
      <c r="A73" s="112"/>
      <c r="B73" s="111"/>
      <c r="C73" s="111"/>
      <c r="D73" s="111"/>
      <c r="E73" s="111"/>
      <c r="F73" s="111"/>
      <c r="G73" s="112"/>
      <c r="H73" s="111"/>
      <c r="I73" s="111"/>
      <c r="J73" s="111"/>
      <c r="K73" s="111"/>
      <c r="L73" s="111"/>
      <c r="M73" s="111"/>
      <c r="N73" s="112"/>
      <c r="U73" s="112"/>
    </row>
    <row r="74" spans="1:21" ht="17.25" customHeight="1">
      <c r="A74" s="112"/>
      <c r="B74" s="111"/>
      <c r="C74" s="111"/>
      <c r="D74" s="111"/>
      <c r="E74" s="111"/>
      <c r="F74" s="111"/>
      <c r="G74" s="112"/>
      <c r="H74" s="111"/>
      <c r="I74" s="111"/>
      <c r="J74" s="111"/>
      <c r="K74" s="111"/>
      <c r="L74" s="111"/>
      <c r="M74" s="111"/>
      <c r="N74" s="112"/>
      <c r="U74" s="112"/>
    </row>
    <row r="75" spans="1:21" ht="17.25" customHeight="1">
      <c r="A75" s="112"/>
      <c r="B75" s="111"/>
      <c r="C75" s="111"/>
      <c r="D75" s="111"/>
      <c r="E75" s="111"/>
      <c r="F75" s="111"/>
      <c r="G75" s="112"/>
      <c r="H75" s="111"/>
      <c r="I75" s="111"/>
      <c r="J75" s="111"/>
      <c r="K75" s="111"/>
      <c r="L75" s="111"/>
      <c r="M75" s="111"/>
      <c r="N75" s="112"/>
      <c r="U75" s="112"/>
    </row>
    <row r="76" spans="1:21" ht="17.25" customHeight="1">
      <c r="A76" s="112"/>
      <c r="B76" s="111"/>
      <c r="C76" s="111"/>
      <c r="D76" s="111"/>
      <c r="E76" s="111"/>
      <c r="F76" s="111"/>
      <c r="G76" s="112"/>
      <c r="H76" s="111"/>
      <c r="I76" s="111"/>
      <c r="J76" s="111"/>
      <c r="K76" s="111"/>
      <c r="L76" s="111"/>
      <c r="M76" s="111"/>
      <c r="N76" s="112"/>
      <c r="U76" s="112"/>
    </row>
    <row r="77" spans="1:21" ht="17.25" customHeight="1">
      <c r="A77" s="112"/>
      <c r="B77" s="111"/>
      <c r="C77" s="111"/>
      <c r="D77" s="111"/>
      <c r="E77" s="111"/>
      <c r="F77" s="111"/>
      <c r="G77" s="112"/>
      <c r="H77" s="111"/>
      <c r="I77" s="111"/>
      <c r="J77" s="111"/>
      <c r="K77" s="111"/>
      <c r="L77" s="111"/>
      <c r="M77" s="111"/>
      <c r="N77" s="112"/>
      <c r="U77" s="112"/>
    </row>
    <row r="78" spans="1:21" ht="17.25" customHeight="1">
      <c r="A78" s="112"/>
      <c r="B78" s="111"/>
      <c r="C78" s="111"/>
      <c r="D78" s="111"/>
      <c r="E78" s="111"/>
      <c r="F78" s="111"/>
      <c r="G78" s="112"/>
      <c r="H78" s="111"/>
      <c r="I78" s="111"/>
      <c r="J78" s="111"/>
      <c r="K78" s="111"/>
      <c r="L78" s="111"/>
      <c r="M78" s="111"/>
      <c r="N78" s="112"/>
      <c r="U78" s="112"/>
    </row>
    <row r="79" spans="1:21" ht="17.25" customHeight="1">
      <c r="A79" s="112"/>
      <c r="B79" s="111"/>
      <c r="C79" s="111"/>
      <c r="D79" s="111"/>
      <c r="E79" s="111"/>
      <c r="F79" s="111"/>
      <c r="G79" s="112"/>
      <c r="H79" s="111"/>
      <c r="I79" s="111"/>
      <c r="J79" s="111"/>
      <c r="K79" s="111"/>
      <c r="L79" s="111"/>
      <c r="M79" s="111"/>
      <c r="N79" s="112"/>
      <c r="U79" s="112"/>
    </row>
    <row r="80" spans="1:21" ht="17.25" customHeight="1">
      <c r="A80" s="112"/>
      <c r="B80" s="111"/>
      <c r="C80" s="111"/>
      <c r="D80" s="111"/>
      <c r="E80" s="111"/>
      <c r="F80" s="111"/>
      <c r="G80" s="112"/>
      <c r="H80" s="111"/>
      <c r="I80" s="111"/>
      <c r="J80" s="111"/>
      <c r="K80" s="111"/>
      <c r="L80" s="111"/>
      <c r="M80" s="111"/>
      <c r="N80" s="112"/>
      <c r="U80" s="112"/>
    </row>
    <row r="81" spans="1:21" ht="17.25" customHeight="1">
      <c r="A81" s="112"/>
      <c r="B81" s="111"/>
      <c r="C81" s="111"/>
      <c r="D81" s="111"/>
      <c r="E81" s="111"/>
      <c r="F81" s="111"/>
      <c r="G81" s="112"/>
      <c r="H81" s="111"/>
      <c r="I81" s="111"/>
      <c r="J81" s="111"/>
      <c r="K81" s="111"/>
      <c r="L81" s="111"/>
      <c r="M81" s="111"/>
      <c r="N81" s="112"/>
      <c r="U81" s="112"/>
    </row>
    <row r="82" spans="1:21" ht="17.25" customHeight="1">
      <c r="A82" s="112"/>
      <c r="B82" s="111"/>
      <c r="C82" s="111"/>
      <c r="D82" s="111"/>
      <c r="E82" s="111"/>
      <c r="F82" s="111"/>
      <c r="G82" s="112"/>
      <c r="H82" s="111"/>
      <c r="I82" s="111"/>
      <c r="J82" s="111"/>
      <c r="K82" s="111"/>
      <c r="L82" s="111"/>
      <c r="M82" s="111"/>
      <c r="N82" s="112"/>
      <c r="U82" s="112"/>
    </row>
    <row r="83" spans="1:21" ht="17.25" customHeight="1">
      <c r="A83" s="112"/>
      <c r="B83" s="111"/>
      <c r="C83" s="111"/>
      <c r="D83" s="111"/>
      <c r="E83" s="111"/>
      <c r="F83" s="111"/>
      <c r="G83" s="112"/>
      <c r="H83" s="111"/>
      <c r="I83" s="111"/>
      <c r="J83" s="111"/>
      <c r="K83" s="111"/>
      <c r="L83" s="111"/>
      <c r="M83" s="111"/>
      <c r="N83" s="112"/>
      <c r="U83" s="112"/>
    </row>
    <row r="84" spans="1:21" ht="17.25" customHeight="1">
      <c r="A84" s="112"/>
      <c r="B84" s="111"/>
      <c r="C84" s="111"/>
      <c r="D84" s="111"/>
      <c r="E84" s="111"/>
      <c r="F84" s="111"/>
      <c r="G84" s="112"/>
      <c r="H84" s="111"/>
      <c r="I84" s="111"/>
      <c r="J84" s="111"/>
      <c r="K84" s="111"/>
      <c r="L84" s="111"/>
      <c r="M84" s="111"/>
      <c r="N84" s="112"/>
      <c r="U84" s="112"/>
    </row>
    <row r="85" spans="1:21" ht="17.25" customHeight="1">
      <c r="A85" s="112"/>
      <c r="B85" s="111"/>
      <c r="C85" s="111"/>
      <c r="D85" s="111"/>
      <c r="E85" s="111"/>
      <c r="F85" s="111"/>
      <c r="G85" s="112"/>
      <c r="H85" s="111"/>
      <c r="I85" s="111"/>
      <c r="J85" s="111"/>
      <c r="K85" s="111"/>
      <c r="L85" s="111"/>
      <c r="M85" s="111"/>
      <c r="N85" s="112"/>
      <c r="U85" s="112"/>
    </row>
    <row r="86" spans="1:21" ht="17.25" customHeight="1">
      <c r="A86" s="112"/>
      <c r="B86" s="111"/>
      <c r="C86" s="111"/>
      <c r="D86" s="111"/>
      <c r="E86" s="111"/>
      <c r="F86" s="111"/>
      <c r="G86" s="112"/>
      <c r="H86" s="111"/>
      <c r="I86" s="111"/>
      <c r="J86" s="111"/>
      <c r="K86" s="111"/>
      <c r="L86" s="111"/>
      <c r="M86" s="111"/>
      <c r="N86" s="112"/>
      <c r="U86" s="112"/>
    </row>
    <row r="87" spans="1:21" ht="17.25" customHeight="1">
      <c r="A87" s="112"/>
      <c r="B87" s="111"/>
      <c r="C87" s="111"/>
      <c r="D87" s="111"/>
      <c r="E87" s="111"/>
      <c r="F87" s="111"/>
      <c r="G87" s="112"/>
      <c r="H87" s="111"/>
      <c r="I87" s="111"/>
      <c r="J87" s="111"/>
      <c r="K87" s="111"/>
      <c r="L87" s="111"/>
      <c r="M87" s="111"/>
      <c r="N87" s="112"/>
      <c r="U87" s="112"/>
    </row>
    <row r="88" spans="1:21" ht="17.25" customHeight="1">
      <c r="A88" s="112"/>
      <c r="B88" s="111"/>
      <c r="C88" s="111"/>
      <c r="D88" s="111"/>
      <c r="E88" s="111"/>
      <c r="F88" s="111"/>
      <c r="G88" s="112"/>
      <c r="H88" s="111"/>
      <c r="I88" s="111"/>
      <c r="J88" s="111"/>
      <c r="K88" s="111"/>
      <c r="L88" s="111"/>
      <c r="M88" s="111"/>
      <c r="N88" s="112"/>
      <c r="U88" s="112"/>
    </row>
    <row r="89" spans="1:21" ht="17.25" customHeight="1">
      <c r="A89" s="112"/>
      <c r="B89" s="111"/>
      <c r="C89" s="111"/>
      <c r="D89" s="111"/>
      <c r="E89" s="111"/>
      <c r="F89" s="111"/>
      <c r="G89" s="112"/>
      <c r="H89" s="111"/>
      <c r="I89" s="111"/>
      <c r="J89" s="111"/>
      <c r="K89" s="111"/>
      <c r="L89" s="111"/>
      <c r="M89" s="111"/>
      <c r="N89" s="112"/>
      <c r="U89" s="112"/>
    </row>
    <row r="90" spans="1:21" ht="17.25" customHeight="1">
      <c r="A90" s="112"/>
      <c r="B90" s="111"/>
      <c r="C90" s="111"/>
      <c r="D90" s="111"/>
      <c r="E90" s="111"/>
      <c r="F90" s="111"/>
      <c r="G90" s="112"/>
      <c r="H90" s="111"/>
      <c r="I90" s="111"/>
      <c r="J90" s="111"/>
      <c r="K90" s="111"/>
      <c r="L90" s="111"/>
      <c r="M90" s="111"/>
      <c r="N90" s="112"/>
      <c r="U90" s="112"/>
    </row>
    <row r="91" spans="1:21" ht="17.25" customHeight="1">
      <c r="A91" s="112"/>
      <c r="B91" s="111"/>
      <c r="C91" s="111"/>
      <c r="D91" s="111"/>
      <c r="E91" s="111"/>
      <c r="F91" s="111"/>
      <c r="G91" s="112"/>
      <c r="H91" s="111"/>
      <c r="I91" s="111"/>
      <c r="J91" s="111"/>
      <c r="K91" s="111"/>
      <c r="L91" s="111"/>
      <c r="M91" s="111"/>
      <c r="N91" s="112"/>
      <c r="U91" s="112"/>
    </row>
    <row r="92" spans="1:21" ht="17.25" customHeight="1">
      <c r="A92" s="112"/>
      <c r="B92" s="111"/>
      <c r="C92" s="111"/>
      <c r="D92" s="111"/>
      <c r="E92" s="111"/>
      <c r="F92" s="111"/>
      <c r="G92" s="112"/>
      <c r="H92" s="111"/>
      <c r="I92" s="111"/>
      <c r="J92" s="111"/>
      <c r="K92" s="111"/>
      <c r="L92" s="111"/>
      <c r="M92" s="111"/>
      <c r="N92" s="112"/>
      <c r="U92" s="112"/>
    </row>
    <row r="93" spans="1:21" ht="17.25" customHeight="1">
      <c r="A93" s="112"/>
      <c r="B93" s="111"/>
      <c r="C93" s="111"/>
      <c r="D93" s="111"/>
      <c r="E93" s="111"/>
      <c r="F93" s="111"/>
      <c r="G93" s="112"/>
      <c r="H93" s="111"/>
      <c r="I93" s="111"/>
      <c r="J93" s="111"/>
      <c r="K93" s="111"/>
      <c r="L93" s="111"/>
      <c r="M93" s="111"/>
      <c r="N93" s="112"/>
      <c r="U93" s="112"/>
    </row>
    <row r="94" spans="1:21" ht="17.25" customHeight="1">
      <c r="A94" s="112"/>
      <c r="B94" s="111"/>
      <c r="C94" s="111"/>
      <c r="D94" s="111"/>
      <c r="E94" s="111"/>
      <c r="F94" s="111"/>
      <c r="G94" s="112"/>
      <c r="H94" s="111"/>
      <c r="I94" s="111"/>
      <c r="J94" s="111"/>
      <c r="K94" s="111"/>
      <c r="L94" s="111"/>
      <c r="M94" s="111"/>
      <c r="N94" s="112"/>
      <c r="U94" s="112"/>
    </row>
    <row r="95" spans="1:21" ht="17.25" customHeight="1">
      <c r="A95" s="112"/>
      <c r="B95" s="111"/>
      <c r="C95" s="111"/>
      <c r="D95" s="111"/>
      <c r="E95" s="111"/>
      <c r="F95" s="111"/>
      <c r="G95" s="112"/>
      <c r="H95" s="111"/>
      <c r="I95" s="111"/>
      <c r="J95" s="111"/>
      <c r="K95" s="111"/>
      <c r="L95" s="111"/>
      <c r="M95" s="111"/>
      <c r="N95" s="112"/>
      <c r="U95" s="112"/>
    </row>
    <row r="96" spans="1:21" ht="17.25" customHeight="1">
      <c r="A96" s="112"/>
      <c r="B96" s="111"/>
      <c r="C96" s="111"/>
      <c r="D96" s="111"/>
      <c r="E96" s="111"/>
      <c r="F96" s="111"/>
      <c r="G96" s="112"/>
      <c r="H96" s="111"/>
      <c r="I96" s="111"/>
      <c r="J96" s="111"/>
      <c r="K96" s="111"/>
      <c r="L96" s="111"/>
      <c r="M96" s="111"/>
      <c r="N96" s="112"/>
      <c r="U96" s="112"/>
    </row>
    <row r="97" spans="1:21" ht="17.25" customHeight="1">
      <c r="A97" s="112"/>
      <c r="B97" s="111"/>
      <c r="C97" s="111"/>
      <c r="D97" s="111"/>
      <c r="E97" s="111"/>
      <c r="F97" s="111"/>
      <c r="G97" s="112"/>
      <c r="H97" s="111"/>
      <c r="I97" s="111"/>
      <c r="J97" s="111"/>
      <c r="K97" s="111"/>
      <c r="L97" s="111"/>
      <c r="M97" s="111"/>
      <c r="N97" s="112"/>
      <c r="U97" s="112"/>
    </row>
    <row r="98" spans="1:21" ht="17.25" customHeight="1">
      <c r="A98" s="112"/>
      <c r="B98" s="111"/>
      <c r="C98" s="111"/>
      <c r="D98" s="111"/>
      <c r="E98" s="111"/>
      <c r="F98" s="111"/>
      <c r="G98" s="112"/>
      <c r="H98" s="111"/>
      <c r="I98" s="111"/>
      <c r="J98" s="111"/>
      <c r="K98" s="111"/>
      <c r="L98" s="111"/>
      <c r="M98" s="111"/>
      <c r="N98" s="112"/>
      <c r="U98" s="112"/>
    </row>
    <row r="99" spans="1:21" ht="17.25" customHeight="1">
      <c r="A99" s="112"/>
      <c r="B99" s="111"/>
      <c r="C99" s="111"/>
      <c r="D99" s="111"/>
      <c r="E99" s="111"/>
      <c r="F99" s="111"/>
      <c r="G99" s="112"/>
      <c r="H99" s="111"/>
      <c r="I99" s="111"/>
      <c r="J99" s="111"/>
      <c r="K99" s="111"/>
      <c r="L99" s="111"/>
      <c r="M99" s="111"/>
      <c r="N99" s="112"/>
      <c r="U99" s="112"/>
    </row>
    <row r="100" spans="1:21" ht="17.25" customHeight="1">
      <c r="A100" s="112"/>
      <c r="B100" s="111"/>
      <c r="C100" s="111"/>
      <c r="D100" s="111"/>
      <c r="E100" s="111"/>
      <c r="F100" s="111"/>
      <c r="G100" s="112"/>
      <c r="H100" s="111"/>
      <c r="I100" s="111"/>
      <c r="J100" s="111"/>
      <c r="K100" s="111"/>
      <c r="L100" s="111"/>
      <c r="M100" s="111"/>
      <c r="N100" s="112"/>
      <c r="U100" s="112"/>
    </row>
    <row r="101" spans="1:21" ht="17.25" customHeight="1">
      <c r="A101" s="112"/>
      <c r="B101" s="111"/>
      <c r="C101" s="111"/>
      <c r="D101" s="111"/>
      <c r="E101" s="111"/>
      <c r="F101" s="111"/>
      <c r="G101" s="112"/>
      <c r="H101" s="111"/>
      <c r="I101" s="111"/>
      <c r="J101" s="111"/>
      <c r="K101" s="111"/>
      <c r="L101" s="111"/>
      <c r="M101" s="111"/>
      <c r="N101" s="112"/>
      <c r="U101" s="112"/>
    </row>
    <row r="102" spans="1:21" ht="17.25" customHeight="1">
      <c r="A102" s="112"/>
      <c r="B102" s="111"/>
      <c r="C102" s="111"/>
      <c r="D102" s="111"/>
      <c r="E102" s="111"/>
      <c r="F102" s="111"/>
      <c r="G102" s="112"/>
      <c r="H102" s="111"/>
      <c r="I102" s="111"/>
      <c r="J102" s="111"/>
      <c r="K102" s="111"/>
      <c r="L102" s="111"/>
      <c r="M102" s="111"/>
      <c r="N102" s="112"/>
      <c r="U102" s="112"/>
    </row>
    <row r="103" spans="1:21" ht="17.25" customHeight="1">
      <c r="A103" s="112"/>
      <c r="B103" s="111"/>
      <c r="C103" s="111"/>
      <c r="D103" s="111"/>
      <c r="E103" s="111"/>
      <c r="F103" s="111"/>
      <c r="G103" s="112"/>
      <c r="H103" s="111"/>
      <c r="I103" s="111"/>
      <c r="J103" s="111"/>
      <c r="K103" s="111"/>
      <c r="L103" s="111"/>
      <c r="M103" s="111"/>
      <c r="N103" s="112"/>
      <c r="U103" s="112"/>
    </row>
    <row r="104" spans="1:21" ht="17.25" customHeight="1">
      <c r="A104" s="112"/>
      <c r="B104" s="111"/>
      <c r="C104" s="111"/>
      <c r="D104" s="111"/>
      <c r="E104" s="111"/>
      <c r="F104" s="111"/>
      <c r="G104" s="112"/>
      <c r="H104" s="111"/>
      <c r="I104" s="111"/>
      <c r="J104" s="111"/>
      <c r="K104" s="111"/>
      <c r="L104" s="111"/>
      <c r="M104" s="111"/>
      <c r="N104" s="112"/>
      <c r="U104" s="112"/>
    </row>
    <row r="105" spans="1:21" ht="17.25" customHeight="1">
      <c r="A105" s="112"/>
      <c r="B105" s="111"/>
      <c r="C105" s="111"/>
      <c r="D105" s="111"/>
      <c r="E105" s="111"/>
      <c r="F105" s="111"/>
      <c r="G105" s="112"/>
      <c r="H105" s="111"/>
      <c r="I105" s="111"/>
      <c r="J105" s="111"/>
      <c r="K105" s="111"/>
      <c r="L105" s="111"/>
      <c r="M105" s="111"/>
      <c r="N105" s="112"/>
      <c r="U105" s="112"/>
    </row>
    <row r="106" spans="1:21" ht="17.25" customHeight="1">
      <c r="A106" s="112"/>
      <c r="B106" s="111"/>
      <c r="C106" s="111"/>
      <c r="D106" s="111"/>
      <c r="E106" s="111"/>
      <c r="F106" s="111"/>
      <c r="G106" s="112"/>
      <c r="H106" s="111"/>
      <c r="I106" s="111"/>
      <c r="J106" s="111"/>
      <c r="K106" s="111"/>
      <c r="L106" s="111"/>
      <c r="M106" s="111"/>
      <c r="N106" s="112"/>
      <c r="U106" s="112"/>
    </row>
    <row r="107" spans="1:21" ht="17.25" customHeight="1">
      <c r="A107" s="112"/>
      <c r="B107" s="111"/>
      <c r="C107" s="111"/>
      <c r="D107" s="111"/>
      <c r="E107" s="111"/>
      <c r="F107" s="111"/>
      <c r="G107" s="112"/>
      <c r="H107" s="111"/>
      <c r="I107" s="111"/>
      <c r="J107" s="111"/>
      <c r="K107" s="111"/>
      <c r="L107" s="111"/>
      <c r="M107" s="111"/>
      <c r="N107" s="112"/>
      <c r="U107" s="112"/>
    </row>
    <row r="108" spans="1:21" ht="17.25" customHeight="1">
      <c r="A108" s="112"/>
      <c r="B108" s="111"/>
      <c r="C108" s="111"/>
      <c r="D108" s="111"/>
      <c r="E108" s="111"/>
      <c r="F108" s="111"/>
      <c r="G108" s="112"/>
      <c r="H108" s="111"/>
      <c r="I108" s="111"/>
      <c r="J108" s="111"/>
      <c r="K108" s="111"/>
      <c r="L108" s="111"/>
      <c r="M108" s="111"/>
      <c r="N108" s="112"/>
      <c r="U108" s="112"/>
    </row>
    <row r="109" spans="1:21" ht="17.25" customHeight="1">
      <c r="A109" s="112"/>
      <c r="B109" s="111"/>
      <c r="C109" s="111"/>
      <c r="D109" s="111"/>
      <c r="E109" s="111"/>
      <c r="F109" s="111"/>
      <c r="G109" s="112"/>
      <c r="H109" s="111"/>
      <c r="I109" s="111"/>
      <c r="J109" s="111"/>
      <c r="K109" s="111"/>
      <c r="L109" s="111"/>
      <c r="M109" s="111"/>
      <c r="N109" s="112"/>
      <c r="U109" s="112"/>
    </row>
    <row r="110" spans="1:21" ht="17.25" customHeight="1">
      <c r="A110" s="112"/>
      <c r="B110" s="111"/>
      <c r="C110" s="111"/>
      <c r="D110" s="111"/>
      <c r="E110" s="111"/>
      <c r="F110" s="111"/>
      <c r="G110" s="112"/>
      <c r="H110" s="111"/>
      <c r="I110" s="111"/>
      <c r="J110" s="111"/>
      <c r="K110" s="111"/>
      <c r="L110" s="111"/>
      <c r="M110" s="111"/>
      <c r="N110" s="112"/>
      <c r="U110" s="112"/>
    </row>
    <row r="111" spans="1:21" ht="17.25" customHeight="1">
      <c r="A111" s="112"/>
      <c r="B111" s="111"/>
      <c r="C111" s="111"/>
      <c r="D111" s="111"/>
      <c r="E111" s="111"/>
      <c r="F111" s="111"/>
      <c r="G111" s="112"/>
      <c r="H111" s="111"/>
      <c r="I111" s="111"/>
      <c r="J111" s="111"/>
      <c r="K111" s="111"/>
      <c r="L111" s="111"/>
      <c r="M111" s="111"/>
      <c r="N111" s="112"/>
      <c r="U111" s="112"/>
    </row>
    <row r="112" spans="1:21" ht="17.25" customHeight="1">
      <c r="A112" s="112"/>
      <c r="B112" s="111"/>
      <c r="C112" s="111"/>
      <c r="D112" s="111"/>
      <c r="E112" s="111"/>
      <c r="F112" s="111"/>
      <c r="G112" s="112"/>
      <c r="H112" s="111"/>
      <c r="I112" s="111"/>
      <c r="J112" s="111"/>
      <c r="K112" s="111"/>
      <c r="L112" s="111"/>
      <c r="M112" s="111"/>
      <c r="N112" s="112"/>
      <c r="U112" s="112"/>
    </row>
    <row r="113" spans="1:21" ht="17.25" customHeight="1">
      <c r="A113" s="112"/>
      <c r="B113" s="111"/>
      <c r="C113" s="111"/>
      <c r="D113" s="111"/>
      <c r="E113" s="111"/>
      <c r="F113" s="111"/>
      <c r="G113" s="112"/>
      <c r="H113" s="111"/>
      <c r="I113" s="111"/>
      <c r="J113" s="111"/>
      <c r="K113" s="111"/>
      <c r="L113" s="111"/>
      <c r="M113" s="111"/>
      <c r="N113" s="112"/>
      <c r="U113" s="112"/>
    </row>
    <row r="114" spans="1:21" ht="17.25" customHeight="1">
      <c r="A114" s="112"/>
      <c r="B114" s="111"/>
      <c r="C114" s="111"/>
      <c r="D114" s="111"/>
      <c r="E114" s="111"/>
      <c r="F114" s="111"/>
      <c r="G114" s="112"/>
      <c r="H114" s="111"/>
      <c r="I114" s="111"/>
      <c r="J114" s="111"/>
      <c r="K114" s="111"/>
      <c r="L114" s="111"/>
      <c r="M114" s="111"/>
      <c r="N114" s="112"/>
      <c r="U114" s="112"/>
    </row>
    <row r="115" spans="1:21" ht="17.25" customHeight="1">
      <c r="A115" s="112"/>
      <c r="B115" s="111"/>
      <c r="C115" s="111"/>
      <c r="D115" s="111"/>
      <c r="E115" s="111"/>
      <c r="F115" s="111"/>
      <c r="G115" s="112"/>
      <c r="H115" s="111"/>
      <c r="I115" s="111"/>
      <c r="J115" s="111"/>
      <c r="K115" s="111"/>
      <c r="L115" s="111"/>
      <c r="M115" s="111"/>
      <c r="N115" s="112"/>
      <c r="U115" s="112"/>
    </row>
    <row r="116" spans="1:21" ht="17.25" customHeight="1">
      <c r="A116" s="112"/>
      <c r="B116" s="111"/>
      <c r="C116" s="111"/>
      <c r="D116" s="111"/>
      <c r="E116" s="111"/>
      <c r="F116" s="111"/>
      <c r="G116" s="112"/>
      <c r="H116" s="111"/>
      <c r="I116" s="111"/>
      <c r="J116" s="111"/>
      <c r="K116" s="111"/>
      <c r="L116" s="111"/>
      <c r="M116" s="111"/>
      <c r="N116" s="112"/>
      <c r="U116" s="112"/>
    </row>
    <row r="117" spans="1:21" ht="17.25" customHeight="1">
      <c r="A117" s="112"/>
      <c r="B117" s="111"/>
      <c r="C117" s="111"/>
      <c r="D117" s="111"/>
      <c r="E117" s="111"/>
      <c r="F117" s="111"/>
      <c r="G117" s="112"/>
      <c r="H117" s="111"/>
      <c r="I117" s="111"/>
      <c r="J117" s="111"/>
      <c r="K117" s="111"/>
      <c r="L117" s="111"/>
      <c r="M117" s="111"/>
      <c r="N117" s="112"/>
      <c r="U117" s="112"/>
    </row>
    <row r="118" spans="1:21" ht="17.25" customHeight="1">
      <c r="A118" s="112"/>
      <c r="B118" s="111"/>
      <c r="C118" s="111"/>
      <c r="D118" s="111"/>
      <c r="E118" s="111"/>
      <c r="F118" s="111"/>
      <c r="G118" s="112"/>
      <c r="H118" s="111"/>
      <c r="I118" s="111"/>
      <c r="J118" s="111"/>
      <c r="K118" s="111"/>
      <c r="L118" s="111"/>
      <c r="M118" s="111"/>
      <c r="N118" s="112"/>
      <c r="U118" s="112"/>
    </row>
    <row r="119" spans="1:21" ht="17.25" customHeight="1">
      <c r="A119" s="112"/>
      <c r="B119" s="111"/>
      <c r="C119" s="111"/>
      <c r="D119" s="111"/>
      <c r="E119" s="111"/>
      <c r="F119" s="111"/>
      <c r="G119" s="112"/>
      <c r="H119" s="111"/>
      <c r="I119" s="111"/>
      <c r="J119" s="111"/>
      <c r="K119" s="111"/>
      <c r="L119" s="111"/>
      <c r="M119" s="111"/>
      <c r="N119" s="112"/>
      <c r="U119" s="112"/>
    </row>
    <row r="120" spans="1:21" ht="17.25" customHeight="1">
      <c r="A120" s="112"/>
      <c r="B120" s="111"/>
      <c r="C120" s="111"/>
      <c r="D120" s="111"/>
      <c r="E120" s="111"/>
      <c r="F120" s="111"/>
      <c r="G120" s="112"/>
      <c r="H120" s="111"/>
      <c r="I120" s="111"/>
      <c r="J120" s="111"/>
      <c r="K120" s="111"/>
      <c r="L120" s="111"/>
      <c r="M120" s="111"/>
      <c r="N120" s="112"/>
      <c r="U120" s="112"/>
    </row>
    <row r="121" spans="1:21" ht="17.25" customHeight="1">
      <c r="A121" s="112"/>
      <c r="B121" s="111"/>
      <c r="C121" s="111"/>
      <c r="D121" s="111"/>
      <c r="E121" s="111"/>
      <c r="F121" s="111"/>
      <c r="G121" s="112"/>
      <c r="H121" s="111"/>
      <c r="I121" s="111"/>
      <c r="J121" s="111"/>
      <c r="K121" s="111"/>
      <c r="L121" s="111"/>
      <c r="M121" s="111"/>
      <c r="N121" s="112"/>
      <c r="U121" s="112"/>
    </row>
    <row r="122" spans="1:21" ht="17.25" customHeight="1">
      <c r="A122" s="112"/>
      <c r="B122" s="111"/>
      <c r="C122" s="111"/>
      <c r="D122" s="111"/>
      <c r="E122" s="111"/>
      <c r="F122" s="111"/>
      <c r="G122" s="112"/>
      <c r="H122" s="111"/>
      <c r="I122" s="111"/>
      <c r="J122" s="111"/>
      <c r="K122" s="111"/>
      <c r="L122" s="111"/>
      <c r="M122" s="111"/>
      <c r="N122" s="112"/>
      <c r="U122" s="112"/>
    </row>
    <row r="123" spans="1:21" ht="17.25" customHeight="1">
      <c r="A123" s="112"/>
      <c r="B123" s="111"/>
      <c r="C123" s="111"/>
      <c r="D123" s="111"/>
      <c r="E123" s="111"/>
      <c r="F123" s="111"/>
      <c r="G123" s="112"/>
      <c r="H123" s="111"/>
      <c r="I123" s="111"/>
      <c r="J123" s="111"/>
      <c r="K123" s="111"/>
      <c r="L123" s="111"/>
      <c r="M123" s="111"/>
      <c r="N123" s="112"/>
      <c r="U123" s="112"/>
    </row>
    <row r="124" spans="1:21" ht="17.25" customHeight="1">
      <c r="A124" s="112"/>
      <c r="B124" s="111"/>
      <c r="C124" s="111"/>
      <c r="D124" s="111"/>
      <c r="E124" s="111"/>
      <c r="F124" s="111"/>
      <c r="G124" s="112"/>
      <c r="H124" s="111"/>
      <c r="I124" s="111"/>
      <c r="J124" s="111"/>
      <c r="K124" s="111"/>
      <c r="L124" s="111"/>
      <c r="M124" s="111"/>
      <c r="N124" s="112"/>
      <c r="U124" s="112"/>
    </row>
    <row r="125" spans="1:21" ht="17.25" customHeight="1">
      <c r="A125" s="112"/>
      <c r="B125" s="111"/>
      <c r="C125" s="111"/>
      <c r="D125" s="111"/>
      <c r="E125" s="111"/>
      <c r="F125" s="111"/>
      <c r="G125" s="112"/>
      <c r="H125" s="111"/>
      <c r="I125" s="111"/>
      <c r="J125" s="111"/>
      <c r="K125" s="111"/>
      <c r="L125" s="111"/>
      <c r="M125" s="111"/>
      <c r="N125" s="112"/>
      <c r="U125" s="112"/>
    </row>
    <row r="126" spans="1:21" ht="17.25" customHeight="1">
      <c r="A126" s="112"/>
      <c r="B126" s="111"/>
      <c r="C126" s="111"/>
      <c r="D126" s="111"/>
      <c r="E126" s="111"/>
      <c r="F126" s="111"/>
      <c r="G126" s="112"/>
      <c r="H126" s="111"/>
      <c r="I126" s="111"/>
      <c r="J126" s="111"/>
      <c r="K126" s="111"/>
      <c r="L126" s="111"/>
      <c r="M126" s="111"/>
      <c r="N126" s="112"/>
      <c r="U126" s="112"/>
    </row>
    <row r="127" spans="1:21" ht="17.25" customHeight="1">
      <c r="A127" s="112"/>
      <c r="B127" s="111"/>
      <c r="C127" s="111"/>
      <c r="D127" s="111"/>
      <c r="E127" s="111"/>
      <c r="F127" s="111"/>
      <c r="G127" s="112"/>
      <c r="H127" s="111"/>
      <c r="I127" s="111"/>
      <c r="J127" s="111"/>
      <c r="K127" s="111"/>
      <c r="L127" s="111"/>
      <c r="M127" s="111"/>
      <c r="N127" s="112"/>
      <c r="U127" s="112"/>
    </row>
    <row r="128" spans="1:21" ht="17.25" customHeight="1">
      <c r="A128" s="112"/>
      <c r="B128" s="111"/>
      <c r="C128" s="111"/>
      <c r="D128" s="111"/>
      <c r="E128" s="111"/>
      <c r="F128" s="111"/>
      <c r="G128" s="112"/>
      <c r="H128" s="111"/>
      <c r="I128" s="111"/>
      <c r="J128" s="111"/>
      <c r="K128" s="111"/>
      <c r="L128" s="111"/>
      <c r="M128" s="111"/>
      <c r="N128" s="112"/>
      <c r="U128" s="112"/>
    </row>
    <row r="129" spans="1:21" ht="17.25" customHeight="1">
      <c r="A129" s="112"/>
      <c r="B129" s="111"/>
      <c r="C129" s="111"/>
      <c r="D129" s="111"/>
      <c r="E129" s="111"/>
      <c r="F129" s="111"/>
      <c r="G129" s="112"/>
      <c r="H129" s="111"/>
      <c r="I129" s="111"/>
      <c r="J129" s="111"/>
      <c r="K129" s="111"/>
      <c r="L129" s="111"/>
      <c r="M129" s="111"/>
      <c r="N129" s="112"/>
      <c r="U129" s="112"/>
    </row>
    <row r="130" spans="1:21" ht="17.25" customHeight="1">
      <c r="A130" s="112"/>
      <c r="B130" s="111"/>
      <c r="C130" s="111"/>
      <c r="D130" s="111"/>
      <c r="E130" s="111"/>
      <c r="F130" s="111"/>
      <c r="G130" s="112"/>
      <c r="H130" s="111"/>
      <c r="I130" s="111"/>
      <c r="J130" s="111"/>
      <c r="K130" s="111"/>
      <c r="L130" s="111"/>
      <c r="M130" s="111"/>
      <c r="N130" s="112"/>
      <c r="U130" s="112"/>
    </row>
    <row r="131" spans="1:21" ht="17.25" customHeight="1">
      <c r="A131" s="112"/>
      <c r="B131" s="111"/>
      <c r="C131" s="111"/>
      <c r="D131" s="111"/>
      <c r="E131" s="111"/>
      <c r="F131" s="111"/>
      <c r="G131" s="112"/>
      <c r="H131" s="111"/>
      <c r="I131" s="111"/>
      <c r="J131" s="111"/>
      <c r="K131" s="111"/>
      <c r="L131" s="111"/>
      <c r="M131" s="111"/>
      <c r="N131" s="112"/>
      <c r="U131" s="112"/>
    </row>
    <row r="132" spans="1:21" ht="17.25" customHeight="1">
      <c r="A132" s="112"/>
      <c r="B132" s="111"/>
      <c r="C132" s="111"/>
      <c r="D132" s="111"/>
      <c r="E132" s="111"/>
      <c r="F132" s="111"/>
      <c r="G132" s="112"/>
      <c r="H132" s="111"/>
      <c r="I132" s="111"/>
      <c r="J132" s="111"/>
      <c r="K132" s="111"/>
      <c r="L132" s="111"/>
      <c r="M132" s="111"/>
      <c r="N132" s="112"/>
      <c r="U132" s="112"/>
    </row>
    <row r="133" spans="1:21" ht="17.25" customHeight="1">
      <c r="A133" s="112"/>
      <c r="B133" s="111"/>
      <c r="C133" s="111"/>
      <c r="D133" s="111"/>
      <c r="E133" s="111"/>
      <c r="F133" s="111"/>
      <c r="G133" s="112"/>
      <c r="H133" s="111"/>
      <c r="I133" s="111"/>
      <c r="J133" s="111"/>
      <c r="K133" s="111"/>
      <c r="L133" s="111"/>
      <c r="M133" s="111"/>
      <c r="N133" s="112"/>
      <c r="U133" s="112"/>
    </row>
    <row r="134" spans="1:21" ht="17.25" customHeight="1">
      <c r="A134" s="112"/>
      <c r="B134" s="111"/>
      <c r="C134" s="111"/>
      <c r="D134" s="111"/>
      <c r="E134" s="111"/>
      <c r="F134" s="111"/>
      <c r="G134" s="112"/>
      <c r="H134" s="111"/>
      <c r="I134" s="111"/>
      <c r="J134" s="111"/>
      <c r="K134" s="111"/>
      <c r="L134" s="111"/>
      <c r="M134" s="111"/>
      <c r="N134" s="112"/>
      <c r="U134" s="112"/>
    </row>
    <row r="135" spans="1:21" ht="17.25" customHeight="1">
      <c r="A135" s="112"/>
      <c r="B135" s="111"/>
      <c r="C135" s="111"/>
      <c r="D135" s="111"/>
      <c r="E135" s="111"/>
      <c r="F135" s="111"/>
      <c r="G135" s="112"/>
      <c r="H135" s="111"/>
      <c r="I135" s="111"/>
      <c r="J135" s="111"/>
      <c r="K135" s="111"/>
      <c r="L135" s="111"/>
      <c r="M135" s="111"/>
      <c r="N135" s="112"/>
      <c r="U135" s="112"/>
    </row>
    <row r="136" spans="1:21" ht="17.25" customHeight="1">
      <c r="A136" s="112"/>
      <c r="B136" s="111"/>
      <c r="C136" s="111"/>
      <c r="D136" s="111"/>
      <c r="E136" s="111"/>
      <c r="F136" s="111"/>
      <c r="G136" s="112"/>
      <c r="H136" s="111"/>
      <c r="I136" s="111"/>
      <c r="J136" s="111"/>
      <c r="K136" s="111"/>
      <c r="L136" s="111"/>
      <c r="M136" s="111"/>
      <c r="N136" s="112"/>
      <c r="U136" s="112"/>
    </row>
    <row r="137" spans="1:21" ht="17.25" customHeight="1">
      <c r="A137" s="112"/>
      <c r="B137" s="111"/>
      <c r="C137" s="111"/>
      <c r="D137" s="111"/>
      <c r="E137" s="111"/>
      <c r="F137" s="111"/>
      <c r="G137" s="112"/>
      <c r="H137" s="111"/>
      <c r="I137" s="111"/>
      <c r="J137" s="111"/>
      <c r="K137" s="111"/>
      <c r="L137" s="111"/>
      <c r="M137" s="111"/>
      <c r="N137" s="112"/>
      <c r="U137" s="112"/>
    </row>
    <row r="138" spans="1:21" ht="17.25" customHeight="1">
      <c r="A138" s="112"/>
      <c r="B138" s="111"/>
      <c r="C138" s="111"/>
      <c r="D138" s="111"/>
      <c r="E138" s="111"/>
      <c r="F138" s="111"/>
      <c r="G138" s="112"/>
      <c r="H138" s="111"/>
      <c r="I138" s="111"/>
      <c r="J138" s="111"/>
      <c r="K138" s="111"/>
      <c r="L138" s="111"/>
      <c r="M138" s="111"/>
      <c r="N138" s="112"/>
      <c r="U138" s="112"/>
    </row>
    <row r="139" spans="1:21" ht="17.25" customHeight="1">
      <c r="A139" s="112"/>
      <c r="B139" s="111"/>
      <c r="C139" s="111"/>
      <c r="D139" s="111"/>
      <c r="E139" s="111"/>
      <c r="F139" s="111"/>
      <c r="G139" s="112"/>
      <c r="H139" s="111"/>
      <c r="I139" s="111"/>
      <c r="J139" s="111"/>
      <c r="K139" s="111"/>
      <c r="L139" s="111"/>
      <c r="M139" s="111"/>
      <c r="N139" s="112"/>
      <c r="U139" s="112"/>
    </row>
    <row r="140" spans="1:21" ht="17.25" customHeight="1">
      <c r="A140" s="112"/>
      <c r="B140" s="111"/>
      <c r="C140" s="111"/>
      <c r="D140" s="111"/>
      <c r="E140" s="111"/>
      <c r="F140" s="111"/>
      <c r="G140" s="112"/>
      <c r="H140" s="111"/>
      <c r="I140" s="111"/>
      <c r="J140" s="111"/>
      <c r="K140" s="111"/>
      <c r="L140" s="111"/>
      <c r="M140" s="111"/>
      <c r="N140" s="112"/>
      <c r="U140" s="112"/>
    </row>
    <row r="141" spans="1:21" ht="17.25" customHeight="1">
      <c r="A141" s="112"/>
      <c r="B141" s="111"/>
      <c r="C141" s="111"/>
      <c r="D141" s="111"/>
      <c r="E141" s="111"/>
      <c r="F141" s="111"/>
      <c r="G141" s="112"/>
      <c r="H141" s="111"/>
      <c r="I141" s="111"/>
      <c r="J141" s="111"/>
      <c r="K141" s="111"/>
      <c r="L141" s="111"/>
      <c r="M141" s="111"/>
      <c r="N141" s="112"/>
      <c r="U141" s="112"/>
    </row>
    <row r="142" spans="1:21" ht="17.25" customHeight="1">
      <c r="A142" s="112"/>
      <c r="B142" s="111"/>
      <c r="C142" s="111"/>
      <c r="D142" s="111"/>
      <c r="E142" s="111"/>
      <c r="F142" s="111"/>
      <c r="G142" s="112"/>
      <c r="H142" s="111"/>
      <c r="I142" s="111"/>
      <c r="J142" s="111"/>
      <c r="K142" s="111"/>
      <c r="L142" s="111"/>
      <c r="M142" s="111"/>
      <c r="N142" s="112"/>
      <c r="U142" s="112"/>
    </row>
    <row r="143" spans="1:21" ht="17.25" customHeight="1">
      <c r="A143" s="112"/>
      <c r="B143" s="111"/>
      <c r="C143" s="111"/>
      <c r="D143" s="111"/>
      <c r="E143" s="111"/>
      <c r="F143" s="111"/>
      <c r="G143" s="112"/>
      <c r="H143" s="111"/>
      <c r="I143" s="111"/>
      <c r="J143" s="111"/>
      <c r="K143" s="111"/>
      <c r="L143" s="111"/>
      <c r="M143" s="111"/>
      <c r="N143" s="112"/>
      <c r="U143" s="112"/>
    </row>
    <row r="144" spans="1:21" ht="17.25" customHeight="1">
      <c r="A144" s="112"/>
      <c r="B144" s="111"/>
      <c r="C144" s="111"/>
      <c r="D144" s="111"/>
      <c r="E144" s="111"/>
      <c r="F144" s="111"/>
      <c r="G144" s="112"/>
      <c r="H144" s="111"/>
      <c r="I144" s="111"/>
      <c r="J144" s="111"/>
      <c r="K144" s="111"/>
      <c r="L144" s="111"/>
      <c r="M144" s="111"/>
      <c r="N144" s="112"/>
      <c r="U144" s="112"/>
    </row>
    <row r="145" spans="1:21" ht="17.25" customHeight="1">
      <c r="A145" s="112"/>
      <c r="B145" s="111"/>
      <c r="C145" s="111"/>
      <c r="D145" s="111"/>
      <c r="E145" s="111"/>
      <c r="F145" s="111"/>
      <c r="G145" s="112"/>
      <c r="H145" s="111"/>
      <c r="I145" s="111"/>
      <c r="J145" s="111"/>
      <c r="K145" s="111"/>
      <c r="L145" s="111"/>
      <c r="M145" s="111"/>
      <c r="N145" s="112"/>
      <c r="U145" s="112"/>
    </row>
    <row r="146" spans="1:21" ht="17.25" customHeight="1">
      <c r="A146" s="112"/>
      <c r="B146" s="111"/>
      <c r="C146" s="111"/>
      <c r="D146" s="111"/>
      <c r="E146" s="111"/>
      <c r="F146" s="111"/>
      <c r="G146" s="112"/>
      <c r="H146" s="111"/>
      <c r="I146" s="111"/>
      <c r="J146" s="111"/>
      <c r="K146" s="111"/>
      <c r="L146" s="111"/>
      <c r="M146" s="111"/>
      <c r="N146" s="112"/>
      <c r="U146" s="112"/>
    </row>
    <row r="147" spans="1:21" ht="17.25" customHeight="1">
      <c r="A147" s="112"/>
      <c r="B147" s="111"/>
      <c r="C147" s="111"/>
      <c r="D147" s="111"/>
      <c r="E147" s="111"/>
      <c r="F147" s="111"/>
      <c r="G147" s="112"/>
      <c r="H147" s="111"/>
      <c r="I147" s="111"/>
      <c r="J147" s="111"/>
      <c r="K147" s="111"/>
      <c r="L147" s="111"/>
      <c r="M147" s="111"/>
      <c r="N147" s="112"/>
      <c r="U147" s="112"/>
    </row>
    <row r="148" spans="1:21" ht="17.25" customHeight="1">
      <c r="A148" s="112"/>
      <c r="B148" s="111"/>
      <c r="C148" s="111"/>
      <c r="D148" s="111"/>
      <c r="E148" s="111"/>
      <c r="F148" s="111"/>
      <c r="G148" s="112"/>
      <c r="H148" s="111"/>
      <c r="I148" s="111"/>
      <c r="J148" s="111"/>
      <c r="K148" s="111"/>
      <c r="L148" s="111"/>
      <c r="M148" s="111"/>
      <c r="N148" s="112"/>
      <c r="U148" s="112"/>
    </row>
    <row r="149" spans="1:21" ht="17.25" customHeight="1">
      <c r="A149" s="112"/>
      <c r="B149" s="111"/>
      <c r="C149" s="111"/>
      <c r="D149" s="111"/>
      <c r="E149" s="111"/>
      <c r="F149" s="111"/>
      <c r="G149" s="112"/>
      <c r="H149" s="111"/>
      <c r="I149" s="111"/>
      <c r="J149" s="111"/>
      <c r="K149" s="111"/>
      <c r="L149" s="111"/>
      <c r="M149" s="111"/>
      <c r="N149" s="112"/>
      <c r="U149" s="112"/>
    </row>
    <row r="150" spans="1:21" ht="17.25" customHeight="1">
      <c r="A150" s="112"/>
      <c r="B150" s="111"/>
      <c r="C150" s="111"/>
      <c r="D150" s="111"/>
      <c r="E150" s="111"/>
      <c r="F150" s="111"/>
      <c r="G150" s="112"/>
      <c r="H150" s="111"/>
      <c r="I150" s="111"/>
      <c r="J150" s="111"/>
      <c r="K150" s="111"/>
      <c r="L150" s="111"/>
      <c r="M150" s="111"/>
      <c r="N150" s="112"/>
      <c r="U150" s="112"/>
    </row>
    <row r="151" spans="1:21" ht="17.25" customHeight="1">
      <c r="A151" s="112"/>
      <c r="B151" s="111"/>
      <c r="C151" s="111"/>
      <c r="D151" s="111"/>
      <c r="E151" s="111"/>
      <c r="F151" s="111"/>
      <c r="G151" s="112"/>
      <c r="H151" s="111"/>
      <c r="I151" s="111"/>
      <c r="J151" s="111"/>
      <c r="K151" s="111"/>
      <c r="L151" s="111"/>
      <c r="M151" s="111"/>
      <c r="N151" s="112"/>
      <c r="U151" s="112"/>
    </row>
    <row r="152" spans="1:21" ht="17.25" customHeight="1">
      <c r="A152" s="112"/>
      <c r="B152" s="111"/>
      <c r="C152" s="111"/>
      <c r="D152" s="111"/>
      <c r="E152" s="111"/>
      <c r="F152" s="111"/>
      <c r="G152" s="112"/>
      <c r="H152" s="111"/>
      <c r="I152" s="111"/>
      <c r="J152" s="111"/>
      <c r="K152" s="111"/>
      <c r="L152" s="111"/>
      <c r="M152" s="111"/>
      <c r="N152" s="112"/>
      <c r="U152" s="112"/>
    </row>
    <row r="153" spans="1:21" ht="17.25" customHeight="1">
      <c r="A153" s="112"/>
      <c r="B153" s="111"/>
      <c r="C153" s="111"/>
      <c r="D153" s="111"/>
      <c r="E153" s="111"/>
      <c r="F153" s="111"/>
      <c r="G153" s="112"/>
      <c r="H153" s="111"/>
      <c r="I153" s="111"/>
      <c r="J153" s="111"/>
      <c r="K153" s="111"/>
      <c r="L153" s="111"/>
      <c r="M153" s="111"/>
      <c r="N153" s="112"/>
      <c r="U153" s="112"/>
    </row>
    <row r="154" spans="1:21" ht="17.25" customHeight="1">
      <c r="A154" s="112"/>
      <c r="B154" s="111"/>
      <c r="C154" s="111"/>
      <c r="D154" s="111"/>
      <c r="E154" s="111"/>
      <c r="F154" s="111"/>
      <c r="G154" s="112"/>
      <c r="H154" s="111"/>
      <c r="I154" s="111"/>
      <c r="J154" s="111"/>
      <c r="K154" s="111"/>
      <c r="L154" s="111"/>
      <c r="M154" s="111"/>
      <c r="N154" s="112"/>
      <c r="U154" s="112"/>
    </row>
    <row r="155" spans="1:21" ht="17.25" customHeight="1">
      <c r="A155" s="112"/>
      <c r="B155" s="111"/>
      <c r="C155" s="111"/>
      <c r="D155" s="111"/>
      <c r="E155" s="111"/>
      <c r="F155" s="111"/>
      <c r="G155" s="112"/>
      <c r="H155" s="111"/>
      <c r="I155" s="111"/>
      <c r="J155" s="111"/>
      <c r="K155" s="111"/>
      <c r="L155" s="111"/>
      <c r="M155" s="111"/>
      <c r="N155" s="112"/>
      <c r="U155" s="112"/>
    </row>
    <row r="156" spans="1:21" ht="17.25" customHeight="1">
      <c r="A156" s="112"/>
      <c r="B156" s="111"/>
      <c r="C156" s="111"/>
      <c r="D156" s="111"/>
      <c r="E156" s="111"/>
      <c r="F156" s="111"/>
      <c r="G156" s="112"/>
      <c r="H156" s="111"/>
      <c r="I156" s="111"/>
      <c r="J156" s="111"/>
      <c r="K156" s="111"/>
      <c r="L156" s="111"/>
      <c r="M156" s="111"/>
      <c r="N156" s="112"/>
      <c r="U156" s="112"/>
    </row>
    <row r="157" spans="1:21" ht="17.25" customHeight="1">
      <c r="A157" s="112"/>
      <c r="B157" s="111"/>
      <c r="C157" s="111"/>
      <c r="D157" s="111"/>
      <c r="E157" s="111"/>
      <c r="F157" s="111"/>
      <c r="G157" s="112"/>
      <c r="H157" s="111"/>
      <c r="I157" s="111"/>
      <c r="J157" s="111"/>
      <c r="K157" s="111"/>
      <c r="L157" s="111"/>
      <c r="M157" s="111"/>
      <c r="N157" s="112"/>
      <c r="U157" s="112"/>
    </row>
    <row r="158" spans="1:21" ht="17.25" customHeight="1">
      <c r="A158" s="112"/>
      <c r="B158" s="111"/>
      <c r="C158" s="111"/>
      <c r="D158" s="111"/>
      <c r="E158" s="111"/>
      <c r="F158" s="111"/>
      <c r="G158" s="112"/>
      <c r="H158" s="111"/>
      <c r="I158" s="111"/>
      <c r="J158" s="111"/>
      <c r="K158" s="111"/>
      <c r="L158" s="111"/>
      <c r="M158" s="111"/>
      <c r="N158" s="112"/>
      <c r="U158" s="112"/>
    </row>
    <row r="159" spans="1:21" ht="17.25" customHeight="1">
      <c r="A159" s="112"/>
      <c r="B159" s="111"/>
      <c r="C159" s="111"/>
      <c r="D159" s="111"/>
      <c r="E159" s="111"/>
      <c r="F159" s="111"/>
      <c r="G159" s="112"/>
      <c r="H159" s="111"/>
      <c r="I159" s="111"/>
      <c r="J159" s="111"/>
      <c r="K159" s="111"/>
      <c r="L159" s="111"/>
      <c r="M159" s="111"/>
      <c r="N159" s="112"/>
      <c r="U159" s="112"/>
    </row>
    <row r="160" spans="1:21" ht="17.25" customHeight="1">
      <c r="A160" s="112"/>
      <c r="B160" s="111"/>
      <c r="C160" s="111"/>
      <c r="D160" s="111"/>
      <c r="E160" s="111"/>
      <c r="F160" s="111"/>
      <c r="G160" s="112"/>
      <c r="H160" s="111"/>
      <c r="I160" s="111"/>
      <c r="J160" s="111"/>
      <c r="K160" s="111"/>
      <c r="L160" s="111"/>
      <c r="M160" s="111"/>
      <c r="N160" s="112"/>
      <c r="U160" s="112"/>
    </row>
    <row r="161" spans="1:21" ht="17.25" customHeight="1">
      <c r="A161" s="112"/>
      <c r="B161" s="111"/>
      <c r="C161" s="111"/>
      <c r="D161" s="111"/>
      <c r="E161" s="111"/>
      <c r="F161" s="111"/>
      <c r="G161" s="112"/>
      <c r="H161" s="111"/>
      <c r="I161" s="111"/>
      <c r="J161" s="111"/>
      <c r="K161" s="111"/>
      <c r="L161" s="111"/>
      <c r="M161" s="111"/>
      <c r="N161" s="112"/>
      <c r="U161" s="112"/>
    </row>
    <row r="162" spans="1:21" ht="17.25" customHeight="1">
      <c r="A162" s="112"/>
      <c r="B162" s="111"/>
      <c r="C162" s="111"/>
      <c r="D162" s="111"/>
      <c r="E162" s="111"/>
      <c r="F162" s="111"/>
      <c r="G162" s="112"/>
      <c r="H162" s="111"/>
      <c r="I162" s="111"/>
      <c r="J162" s="111"/>
      <c r="K162" s="111"/>
      <c r="L162" s="111"/>
      <c r="M162" s="111"/>
      <c r="N162" s="112"/>
      <c r="U162" s="112"/>
    </row>
    <row r="163" spans="1:21" ht="17.25" customHeight="1">
      <c r="A163" s="112"/>
      <c r="B163" s="111"/>
      <c r="C163" s="111"/>
      <c r="D163" s="111"/>
      <c r="E163" s="111"/>
      <c r="F163" s="111"/>
      <c r="G163" s="112"/>
      <c r="H163" s="111"/>
      <c r="I163" s="111"/>
      <c r="J163" s="111"/>
      <c r="K163" s="111"/>
      <c r="L163" s="111"/>
      <c r="M163" s="111"/>
      <c r="N163" s="112"/>
      <c r="U163" s="112"/>
    </row>
    <row r="164" spans="1:21" ht="17.25" customHeight="1">
      <c r="A164" s="112"/>
      <c r="B164" s="111"/>
      <c r="C164" s="111"/>
      <c r="D164" s="111"/>
      <c r="E164" s="111"/>
      <c r="F164" s="111"/>
      <c r="G164" s="112"/>
      <c r="H164" s="111"/>
      <c r="I164" s="111"/>
      <c r="J164" s="111"/>
      <c r="K164" s="111"/>
      <c r="L164" s="111"/>
      <c r="M164" s="111"/>
      <c r="N164" s="112"/>
      <c r="U164" s="112"/>
    </row>
    <row r="165" spans="1:21" ht="17.25" customHeight="1">
      <c r="A165" s="112"/>
      <c r="B165" s="111"/>
      <c r="C165" s="111"/>
      <c r="D165" s="111"/>
      <c r="E165" s="111"/>
      <c r="F165" s="111"/>
      <c r="G165" s="112"/>
      <c r="H165" s="111"/>
      <c r="I165" s="111"/>
      <c r="J165" s="111"/>
      <c r="K165" s="111"/>
      <c r="L165" s="111"/>
      <c r="M165" s="111"/>
      <c r="N165" s="112"/>
      <c r="U165" s="112"/>
    </row>
    <row r="166" spans="1:21" ht="17.25" customHeight="1">
      <c r="A166" s="112"/>
      <c r="B166" s="111"/>
      <c r="C166" s="111"/>
      <c r="D166" s="111"/>
      <c r="E166" s="111"/>
      <c r="F166" s="111"/>
      <c r="G166" s="112"/>
      <c r="H166" s="111"/>
      <c r="I166" s="111"/>
      <c r="J166" s="111"/>
      <c r="K166" s="111"/>
      <c r="L166" s="111"/>
      <c r="M166" s="111"/>
      <c r="N166" s="112"/>
      <c r="U166" s="112"/>
    </row>
    <row r="167" spans="1:21" ht="17.25" customHeight="1">
      <c r="A167" s="112"/>
      <c r="B167" s="111"/>
      <c r="C167" s="111"/>
      <c r="D167" s="111"/>
      <c r="E167" s="111"/>
      <c r="F167" s="111"/>
      <c r="G167" s="112"/>
      <c r="H167" s="111"/>
      <c r="I167" s="111"/>
      <c r="J167" s="111"/>
      <c r="K167" s="111"/>
      <c r="L167" s="111"/>
      <c r="M167" s="111"/>
      <c r="N167" s="112"/>
      <c r="U167" s="112"/>
    </row>
    <row r="168" spans="1:21" ht="17.25" customHeight="1">
      <c r="A168" s="112"/>
      <c r="B168" s="111"/>
      <c r="C168" s="111"/>
      <c r="D168" s="111"/>
      <c r="E168" s="111"/>
      <c r="F168" s="111"/>
      <c r="G168" s="112"/>
      <c r="H168" s="111"/>
      <c r="I168" s="111"/>
      <c r="J168" s="111"/>
      <c r="K168" s="111"/>
      <c r="L168" s="111"/>
      <c r="M168" s="111"/>
      <c r="N168" s="112"/>
      <c r="U168" s="112"/>
    </row>
    <row r="169" spans="1:21" ht="17.25" customHeight="1">
      <c r="A169" s="112"/>
      <c r="B169" s="111"/>
      <c r="C169" s="111"/>
      <c r="D169" s="111"/>
      <c r="E169" s="111"/>
      <c r="F169" s="111"/>
      <c r="G169" s="112"/>
      <c r="H169" s="111"/>
      <c r="I169" s="111"/>
      <c r="J169" s="111"/>
      <c r="K169" s="111"/>
      <c r="L169" s="111"/>
      <c r="M169" s="111"/>
      <c r="N169" s="112"/>
      <c r="U169" s="112"/>
    </row>
    <row r="170" spans="1:21" ht="17.25" customHeight="1">
      <c r="A170" s="112"/>
      <c r="B170" s="111"/>
      <c r="C170" s="111"/>
      <c r="D170" s="111"/>
      <c r="E170" s="111"/>
      <c r="F170" s="111"/>
      <c r="G170" s="112"/>
      <c r="H170" s="111"/>
      <c r="I170" s="111"/>
      <c r="J170" s="111"/>
      <c r="K170" s="111"/>
      <c r="L170" s="111"/>
      <c r="M170" s="111"/>
      <c r="N170" s="112"/>
      <c r="U170" s="112"/>
    </row>
    <row r="171" spans="1:21" ht="17.25" customHeight="1">
      <c r="A171" s="112"/>
      <c r="B171" s="111"/>
      <c r="C171" s="111"/>
      <c r="D171" s="111"/>
      <c r="E171" s="111"/>
      <c r="F171" s="111"/>
      <c r="G171" s="112"/>
      <c r="H171" s="111"/>
      <c r="I171" s="111"/>
      <c r="J171" s="111"/>
      <c r="K171" s="111"/>
      <c r="L171" s="111"/>
      <c r="M171" s="111"/>
      <c r="N171" s="112"/>
      <c r="U171" s="112"/>
    </row>
    <row r="172" spans="1:21" ht="17.25" customHeight="1">
      <c r="A172" s="112"/>
      <c r="B172" s="111"/>
      <c r="C172" s="111"/>
      <c r="D172" s="111"/>
      <c r="E172" s="111"/>
      <c r="F172" s="111"/>
      <c r="G172" s="112"/>
      <c r="H172" s="111"/>
      <c r="I172" s="111"/>
      <c r="J172" s="111"/>
      <c r="K172" s="111"/>
      <c r="L172" s="111"/>
      <c r="M172" s="111"/>
      <c r="N172" s="112"/>
      <c r="U172" s="112"/>
    </row>
    <row r="173" spans="1:21" ht="17.25" customHeight="1">
      <c r="A173" s="112"/>
      <c r="B173" s="111"/>
      <c r="C173" s="111"/>
      <c r="D173" s="111"/>
      <c r="E173" s="111"/>
      <c r="F173" s="111"/>
      <c r="G173" s="112"/>
      <c r="H173" s="111"/>
      <c r="I173" s="111"/>
      <c r="J173" s="111"/>
      <c r="K173" s="111"/>
      <c r="L173" s="111"/>
      <c r="M173" s="111"/>
      <c r="N173" s="112"/>
      <c r="U173" s="112"/>
    </row>
    <row r="174" spans="1:21" ht="17.25" customHeight="1">
      <c r="A174" s="112"/>
      <c r="B174" s="111"/>
      <c r="C174" s="111"/>
      <c r="D174" s="111"/>
      <c r="E174" s="111"/>
      <c r="F174" s="111"/>
      <c r="G174" s="112"/>
      <c r="H174" s="111"/>
      <c r="I174" s="111"/>
      <c r="J174" s="111"/>
      <c r="K174" s="111"/>
      <c r="L174" s="111"/>
      <c r="M174" s="111"/>
      <c r="N174" s="112"/>
      <c r="U174" s="112"/>
    </row>
    <row r="175" spans="1:21" ht="17.25" customHeight="1">
      <c r="A175" s="112"/>
      <c r="B175" s="111"/>
      <c r="C175" s="111"/>
      <c r="D175" s="111"/>
      <c r="E175" s="111"/>
      <c r="F175" s="111"/>
      <c r="G175" s="112"/>
      <c r="H175" s="111"/>
      <c r="I175" s="111"/>
      <c r="J175" s="111"/>
      <c r="K175" s="111"/>
      <c r="L175" s="111"/>
      <c r="M175" s="111"/>
      <c r="N175" s="112"/>
      <c r="U175" s="112"/>
    </row>
    <row r="176" spans="1:21" ht="17.25" customHeight="1">
      <c r="A176" s="112"/>
      <c r="B176" s="111"/>
      <c r="C176" s="111"/>
      <c r="D176" s="111"/>
      <c r="E176" s="111"/>
      <c r="F176" s="111"/>
      <c r="G176" s="112"/>
      <c r="H176" s="111"/>
      <c r="I176" s="111"/>
      <c r="J176" s="111"/>
      <c r="K176" s="111"/>
      <c r="L176" s="111"/>
      <c r="M176" s="111"/>
      <c r="N176" s="112"/>
      <c r="U176" s="112"/>
    </row>
    <row r="177" spans="1:21" ht="17.25" customHeight="1">
      <c r="A177" s="112"/>
      <c r="B177" s="111"/>
      <c r="C177" s="111"/>
      <c r="D177" s="111"/>
      <c r="E177" s="111"/>
      <c r="F177" s="111"/>
      <c r="G177" s="112"/>
      <c r="H177" s="111"/>
      <c r="I177" s="111"/>
      <c r="J177" s="111"/>
      <c r="K177" s="111"/>
      <c r="L177" s="111"/>
      <c r="M177" s="111"/>
      <c r="N177" s="112"/>
      <c r="U177" s="112"/>
    </row>
    <row r="178" spans="1:21" ht="17.25" customHeight="1">
      <c r="A178" s="112"/>
      <c r="B178" s="111"/>
      <c r="C178" s="111"/>
      <c r="D178" s="111"/>
      <c r="E178" s="111"/>
      <c r="F178" s="111"/>
      <c r="G178" s="112"/>
      <c r="H178" s="111"/>
      <c r="I178" s="111"/>
      <c r="J178" s="111"/>
      <c r="K178" s="111"/>
      <c r="L178" s="111"/>
      <c r="M178" s="111"/>
      <c r="N178" s="112"/>
      <c r="U178" s="112"/>
    </row>
    <row r="179" spans="1:21" ht="17.25" customHeight="1">
      <c r="A179" s="112"/>
      <c r="B179" s="111"/>
      <c r="C179" s="111"/>
      <c r="D179" s="111"/>
      <c r="E179" s="111"/>
      <c r="F179" s="111"/>
      <c r="G179" s="112"/>
      <c r="H179" s="111"/>
      <c r="I179" s="111"/>
      <c r="J179" s="111"/>
      <c r="K179" s="111"/>
      <c r="L179" s="111"/>
      <c r="M179" s="111"/>
      <c r="N179" s="112"/>
      <c r="U179" s="112"/>
    </row>
    <row r="180" spans="1:21" ht="17.25" customHeight="1">
      <c r="A180" s="112"/>
      <c r="B180" s="111"/>
      <c r="C180" s="111"/>
      <c r="D180" s="111"/>
      <c r="E180" s="111"/>
      <c r="F180" s="111"/>
      <c r="G180" s="112"/>
      <c r="H180" s="111"/>
      <c r="I180" s="111"/>
      <c r="J180" s="111"/>
      <c r="K180" s="111"/>
      <c r="L180" s="111"/>
      <c r="M180" s="111"/>
      <c r="N180" s="112"/>
      <c r="U180" s="112"/>
    </row>
    <row r="181" spans="1:21" ht="17.25" customHeight="1">
      <c r="A181" s="112"/>
      <c r="B181" s="111"/>
      <c r="C181" s="111"/>
      <c r="D181" s="111"/>
      <c r="E181" s="111"/>
      <c r="F181" s="111"/>
      <c r="G181" s="112"/>
      <c r="H181" s="111"/>
      <c r="I181" s="111"/>
      <c r="J181" s="111"/>
      <c r="K181" s="111"/>
      <c r="L181" s="111"/>
      <c r="M181" s="111"/>
      <c r="N181" s="112"/>
      <c r="U181" s="112"/>
    </row>
    <row r="182" spans="1:21" ht="17.25" customHeight="1">
      <c r="A182" s="112"/>
      <c r="B182" s="111"/>
      <c r="C182" s="111"/>
      <c r="D182" s="111"/>
      <c r="E182" s="111"/>
      <c r="F182" s="111"/>
      <c r="G182" s="112"/>
      <c r="H182" s="111"/>
      <c r="I182" s="111"/>
      <c r="J182" s="111"/>
      <c r="K182" s="111"/>
      <c r="L182" s="111"/>
      <c r="M182" s="111"/>
      <c r="N182" s="112"/>
      <c r="U182" s="112"/>
    </row>
    <row r="183" spans="1:21" ht="17.25" customHeight="1">
      <c r="A183" s="112"/>
      <c r="B183" s="111"/>
      <c r="C183" s="111"/>
      <c r="D183" s="111"/>
      <c r="E183" s="111"/>
      <c r="F183" s="111"/>
      <c r="G183" s="112"/>
      <c r="H183" s="111"/>
      <c r="I183" s="111"/>
      <c r="J183" s="111"/>
      <c r="K183" s="111"/>
      <c r="L183" s="111"/>
      <c r="M183" s="111"/>
      <c r="N183" s="112"/>
      <c r="U183" s="112"/>
    </row>
    <row r="184" spans="1:21" ht="17.25" customHeight="1">
      <c r="A184" s="112"/>
      <c r="B184" s="111"/>
      <c r="C184" s="111"/>
      <c r="D184" s="111"/>
      <c r="E184" s="111"/>
      <c r="F184" s="111"/>
      <c r="G184" s="112"/>
      <c r="H184" s="111"/>
      <c r="I184" s="111"/>
      <c r="J184" s="111"/>
      <c r="K184" s="111"/>
      <c r="L184" s="111"/>
      <c r="M184" s="111"/>
      <c r="N184" s="112"/>
      <c r="U184" s="112"/>
    </row>
    <row r="185" spans="1:21" ht="17.25" customHeight="1">
      <c r="A185" s="112"/>
      <c r="B185" s="111"/>
      <c r="C185" s="111"/>
      <c r="D185" s="111"/>
      <c r="E185" s="111"/>
      <c r="F185" s="111"/>
      <c r="G185" s="112"/>
      <c r="H185" s="111"/>
      <c r="I185" s="111"/>
      <c r="J185" s="111"/>
      <c r="K185" s="111"/>
      <c r="L185" s="111"/>
      <c r="M185" s="111"/>
      <c r="N185" s="112"/>
      <c r="U185" s="112"/>
    </row>
    <row r="186" spans="1:21" ht="17.25" customHeight="1">
      <c r="A186" s="112"/>
      <c r="B186" s="111"/>
      <c r="C186" s="111"/>
      <c r="D186" s="111"/>
      <c r="E186" s="111"/>
      <c r="F186" s="111"/>
      <c r="G186" s="112"/>
      <c r="H186" s="111"/>
      <c r="I186" s="111"/>
      <c r="J186" s="111"/>
      <c r="K186" s="111"/>
      <c r="L186" s="111"/>
      <c r="M186" s="111"/>
      <c r="N186" s="112"/>
      <c r="U186" s="112"/>
    </row>
    <row r="187" spans="1:21" ht="17.25" customHeight="1">
      <c r="A187" s="112"/>
      <c r="B187" s="111"/>
      <c r="C187" s="111"/>
      <c r="D187" s="111"/>
      <c r="E187" s="111"/>
      <c r="F187" s="111"/>
      <c r="G187" s="112"/>
      <c r="H187" s="111"/>
      <c r="I187" s="111"/>
      <c r="J187" s="111"/>
      <c r="K187" s="111"/>
      <c r="L187" s="111"/>
      <c r="M187" s="111"/>
      <c r="N187" s="112"/>
      <c r="U187" s="112"/>
    </row>
    <row r="188" spans="1:21" ht="17.25" customHeight="1">
      <c r="A188" s="112"/>
      <c r="B188" s="111"/>
      <c r="C188" s="111"/>
      <c r="D188" s="111"/>
      <c r="E188" s="111"/>
      <c r="F188" s="111"/>
      <c r="G188" s="112"/>
      <c r="H188" s="111"/>
      <c r="I188" s="111"/>
      <c r="J188" s="111"/>
      <c r="K188" s="111"/>
      <c r="L188" s="111"/>
      <c r="M188" s="111"/>
      <c r="N188" s="112"/>
      <c r="U188" s="112"/>
    </row>
    <row r="189" spans="1:21" ht="17.25" customHeight="1">
      <c r="A189" s="112"/>
      <c r="B189" s="111"/>
      <c r="C189" s="111"/>
      <c r="D189" s="111"/>
      <c r="E189" s="111"/>
      <c r="F189" s="111"/>
      <c r="G189" s="112"/>
      <c r="H189" s="111"/>
      <c r="I189" s="111"/>
      <c r="J189" s="111"/>
      <c r="K189" s="111"/>
      <c r="L189" s="111"/>
      <c r="M189" s="111"/>
      <c r="N189" s="112"/>
      <c r="U189" s="112"/>
    </row>
    <row r="190" spans="1:21" ht="17.25" customHeight="1">
      <c r="A190" s="112"/>
      <c r="B190" s="111"/>
      <c r="C190" s="111"/>
      <c r="D190" s="111"/>
      <c r="E190" s="111"/>
      <c r="F190" s="111"/>
      <c r="G190" s="112"/>
      <c r="H190" s="111"/>
      <c r="I190" s="111"/>
      <c r="J190" s="111"/>
      <c r="K190" s="111"/>
      <c r="L190" s="111"/>
      <c r="M190" s="111"/>
      <c r="N190" s="112"/>
      <c r="U190" s="112"/>
    </row>
    <row r="191" spans="1:21" ht="17.25" customHeight="1">
      <c r="A191" s="112"/>
      <c r="B191" s="111"/>
      <c r="C191" s="111"/>
      <c r="D191" s="111"/>
      <c r="E191" s="111"/>
      <c r="F191" s="111"/>
      <c r="G191" s="112"/>
      <c r="H191" s="111"/>
      <c r="I191" s="111"/>
      <c r="J191" s="111"/>
      <c r="K191" s="111"/>
      <c r="L191" s="111"/>
      <c r="M191" s="111"/>
      <c r="N191" s="112"/>
      <c r="U191" s="112"/>
    </row>
    <row r="192" spans="1:21" ht="17.25" customHeight="1">
      <c r="A192" s="112"/>
      <c r="B192" s="111"/>
      <c r="C192" s="111"/>
      <c r="D192" s="111"/>
      <c r="E192" s="111"/>
      <c r="F192" s="111"/>
      <c r="G192" s="112"/>
      <c r="H192" s="111"/>
      <c r="I192" s="111"/>
      <c r="J192" s="111"/>
      <c r="K192" s="111"/>
      <c r="L192" s="111"/>
      <c r="M192" s="111"/>
      <c r="N192" s="112"/>
      <c r="U192" s="112"/>
    </row>
    <row r="193" spans="1:21" ht="17.25" customHeight="1">
      <c r="A193" s="112"/>
      <c r="B193" s="111"/>
      <c r="C193" s="111"/>
      <c r="D193" s="111"/>
      <c r="E193" s="111"/>
      <c r="F193" s="111"/>
      <c r="G193" s="112"/>
      <c r="H193" s="111"/>
      <c r="I193" s="111"/>
      <c r="J193" s="111"/>
      <c r="K193" s="111"/>
      <c r="L193" s="111"/>
      <c r="M193" s="111"/>
      <c r="N193" s="112"/>
      <c r="U193" s="112"/>
    </row>
    <row r="194" spans="1:21" ht="17.25" customHeight="1">
      <c r="A194" s="112"/>
      <c r="B194" s="111"/>
      <c r="C194" s="111"/>
      <c r="D194" s="111"/>
      <c r="E194" s="111"/>
      <c r="F194" s="111"/>
      <c r="G194" s="112"/>
      <c r="H194" s="111"/>
      <c r="I194" s="111"/>
      <c r="J194" s="111"/>
      <c r="K194" s="111"/>
      <c r="L194" s="111"/>
      <c r="M194" s="111"/>
      <c r="N194" s="112"/>
      <c r="U194" s="112"/>
    </row>
    <row r="195" spans="1:21" ht="17.25" customHeight="1">
      <c r="A195" s="112"/>
      <c r="B195" s="111"/>
      <c r="C195" s="111"/>
      <c r="D195" s="111"/>
      <c r="E195" s="111"/>
      <c r="F195" s="111"/>
      <c r="G195" s="112"/>
      <c r="H195" s="111"/>
      <c r="I195" s="111"/>
      <c r="J195" s="111"/>
      <c r="K195" s="111"/>
      <c r="L195" s="111"/>
      <c r="M195" s="111"/>
      <c r="N195" s="112"/>
      <c r="U195" s="112"/>
    </row>
    <row r="196" spans="1:21" ht="17.25" customHeight="1">
      <c r="A196" s="112"/>
      <c r="B196" s="111"/>
      <c r="C196" s="111"/>
      <c r="D196" s="111"/>
      <c r="E196" s="111"/>
      <c r="F196" s="111"/>
      <c r="G196" s="112"/>
      <c r="H196" s="111"/>
      <c r="I196" s="111"/>
      <c r="J196" s="111"/>
      <c r="K196" s="111"/>
      <c r="L196" s="111"/>
      <c r="M196" s="111"/>
      <c r="N196" s="112"/>
      <c r="U196" s="112"/>
    </row>
    <row r="197" spans="1:21" ht="17.25" customHeight="1">
      <c r="A197" s="112"/>
      <c r="B197" s="111"/>
      <c r="C197" s="111"/>
      <c r="D197" s="111"/>
      <c r="E197" s="111"/>
      <c r="F197" s="111"/>
      <c r="G197" s="112"/>
      <c r="H197" s="111"/>
      <c r="I197" s="111"/>
      <c r="J197" s="111"/>
      <c r="K197" s="111"/>
      <c r="L197" s="111"/>
      <c r="M197" s="111"/>
      <c r="N197" s="112"/>
      <c r="U197" s="112"/>
    </row>
    <row r="198" spans="1:21" ht="17.25" customHeight="1">
      <c r="A198" s="112"/>
      <c r="B198" s="111"/>
      <c r="C198" s="111"/>
      <c r="D198" s="111"/>
      <c r="E198" s="111"/>
      <c r="F198" s="111"/>
      <c r="G198" s="112"/>
      <c r="H198" s="111"/>
      <c r="I198" s="111"/>
      <c r="J198" s="111"/>
      <c r="K198" s="111"/>
      <c r="L198" s="111"/>
      <c r="M198" s="111"/>
      <c r="N198" s="112"/>
      <c r="U198" s="112"/>
    </row>
    <row r="199" spans="1:21" ht="17.25" customHeight="1">
      <c r="A199" s="112"/>
      <c r="B199" s="111"/>
      <c r="C199" s="111"/>
      <c r="D199" s="111"/>
      <c r="E199" s="111"/>
      <c r="F199" s="111"/>
      <c r="G199" s="112"/>
      <c r="H199" s="111"/>
      <c r="I199" s="111"/>
      <c r="J199" s="111"/>
      <c r="K199" s="111"/>
      <c r="L199" s="111"/>
      <c r="M199" s="111"/>
      <c r="N199" s="112"/>
      <c r="U199" s="112"/>
    </row>
    <row r="200" spans="1:21" ht="17.25" customHeight="1">
      <c r="A200" s="112"/>
      <c r="B200" s="111"/>
      <c r="C200" s="111"/>
      <c r="D200" s="111"/>
      <c r="E200" s="111"/>
      <c r="F200" s="111"/>
      <c r="G200" s="112"/>
      <c r="H200" s="111"/>
      <c r="I200" s="111"/>
      <c r="J200" s="111"/>
      <c r="K200" s="111"/>
      <c r="L200" s="111"/>
      <c r="M200" s="111"/>
      <c r="N200" s="112"/>
      <c r="U200" s="112"/>
    </row>
    <row r="201" spans="1:21" ht="17.25" customHeight="1">
      <c r="A201" s="112"/>
      <c r="B201" s="111"/>
      <c r="C201" s="111"/>
      <c r="D201" s="111"/>
      <c r="E201" s="111"/>
      <c r="F201" s="111"/>
      <c r="G201" s="112"/>
      <c r="H201" s="111"/>
      <c r="I201" s="111"/>
      <c r="J201" s="111"/>
      <c r="K201" s="111"/>
      <c r="L201" s="111"/>
      <c r="M201" s="111"/>
      <c r="N201" s="112"/>
      <c r="U201" s="112"/>
    </row>
    <row r="202" spans="1:21" ht="17.25" customHeight="1">
      <c r="A202" s="112"/>
      <c r="B202" s="111"/>
      <c r="C202" s="111"/>
      <c r="D202" s="111"/>
      <c r="E202" s="111"/>
      <c r="F202" s="111"/>
      <c r="G202" s="112"/>
      <c r="H202" s="111"/>
      <c r="I202" s="111"/>
      <c r="J202" s="111"/>
      <c r="K202" s="111"/>
      <c r="L202" s="111"/>
      <c r="M202" s="111"/>
      <c r="N202" s="112"/>
      <c r="U202" s="112"/>
    </row>
    <row r="203" spans="1:21" ht="17.25" customHeight="1">
      <c r="A203" s="112"/>
      <c r="B203" s="111"/>
      <c r="C203" s="111"/>
      <c r="D203" s="111"/>
      <c r="E203" s="111"/>
      <c r="F203" s="111"/>
      <c r="G203" s="112"/>
      <c r="H203" s="111"/>
      <c r="I203" s="111"/>
      <c r="J203" s="111"/>
      <c r="K203" s="111"/>
      <c r="L203" s="111"/>
      <c r="M203" s="111"/>
      <c r="N203" s="112"/>
      <c r="U203" s="112"/>
    </row>
    <row r="204" spans="1:21" ht="17.25" customHeight="1">
      <c r="A204" s="112"/>
      <c r="B204" s="111"/>
      <c r="C204" s="111"/>
      <c r="D204" s="111"/>
      <c r="E204" s="111"/>
      <c r="F204" s="111"/>
      <c r="G204" s="112"/>
      <c r="H204" s="111"/>
      <c r="I204" s="111"/>
      <c r="J204" s="111"/>
      <c r="K204" s="111"/>
      <c r="L204" s="111"/>
      <c r="M204" s="111"/>
      <c r="N204" s="112"/>
      <c r="U204" s="112"/>
    </row>
    <row r="205" spans="1:21" ht="17.25" customHeight="1">
      <c r="A205" s="112"/>
      <c r="B205" s="111"/>
      <c r="C205" s="111"/>
      <c r="D205" s="111"/>
      <c r="E205" s="111"/>
      <c r="F205" s="111"/>
      <c r="G205" s="112"/>
      <c r="H205" s="111"/>
      <c r="I205" s="111"/>
      <c r="J205" s="111"/>
      <c r="K205" s="111"/>
      <c r="L205" s="111"/>
      <c r="M205" s="111"/>
      <c r="N205" s="112"/>
      <c r="U205" s="112"/>
    </row>
    <row r="206" spans="1:21" ht="17.25" customHeight="1">
      <c r="A206" s="112"/>
      <c r="B206" s="111"/>
      <c r="C206" s="111"/>
      <c r="D206" s="111"/>
      <c r="E206" s="111"/>
      <c r="F206" s="111"/>
      <c r="G206" s="112"/>
      <c r="H206" s="111"/>
      <c r="I206" s="111"/>
      <c r="J206" s="111"/>
      <c r="K206" s="111"/>
      <c r="L206" s="111"/>
      <c r="M206" s="111"/>
      <c r="N206" s="112"/>
      <c r="U206" s="112"/>
    </row>
    <row r="207" spans="1:21" ht="17.25" customHeight="1">
      <c r="A207" s="112"/>
      <c r="B207" s="111"/>
      <c r="C207" s="111"/>
      <c r="D207" s="111"/>
      <c r="E207" s="111"/>
      <c r="F207" s="111"/>
      <c r="G207" s="112"/>
      <c r="H207" s="111"/>
      <c r="I207" s="111"/>
      <c r="J207" s="111"/>
      <c r="K207" s="111"/>
      <c r="L207" s="111"/>
      <c r="M207" s="111"/>
      <c r="N207" s="112"/>
      <c r="U207" s="112"/>
    </row>
    <row r="208" spans="1:21" ht="17.25" customHeight="1">
      <c r="A208" s="112"/>
      <c r="B208" s="111"/>
      <c r="C208" s="111"/>
      <c r="D208" s="111"/>
      <c r="E208" s="111"/>
      <c r="F208" s="111"/>
      <c r="G208" s="112"/>
      <c r="H208" s="111"/>
      <c r="I208" s="111"/>
      <c r="J208" s="111"/>
      <c r="K208" s="111"/>
      <c r="L208" s="111"/>
      <c r="M208" s="111"/>
      <c r="N208" s="112"/>
      <c r="U208" s="112"/>
    </row>
    <row r="209" spans="1:21" ht="17.25" customHeight="1">
      <c r="A209" s="112"/>
      <c r="B209" s="111"/>
      <c r="C209" s="111"/>
      <c r="D209" s="111"/>
      <c r="E209" s="111"/>
      <c r="F209" s="111"/>
      <c r="G209" s="112"/>
      <c r="H209" s="111"/>
      <c r="I209" s="111"/>
      <c r="J209" s="111"/>
      <c r="K209" s="111"/>
      <c r="L209" s="111"/>
      <c r="M209" s="111"/>
      <c r="N209" s="112"/>
      <c r="U209" s="112"/>
    </row>
    <row r="210" spans="1:21" ht="17.25" customHeight="1">
      <c r="A210" s="112"/>
      <c r="B210" s="111"/>
      <c r="C210" s="111"/>
      <c r="D210" s="111"/>
      <c r="E210" s="111"/>
      <c r="F210" s="111"/>
      <c r="G210" s="112"/>
      <c r="H210" s="111"/>
      <c r="I210" s="111"/>
      <c r="J210" s="111"/>
      <c r="K210" s="111"/>
      <c r="L210" s="111"/>
      <c r="M210" s="111"/>
      <c r="N210" s="112"/>
      <c r="U210" s="112"/>
    </row>
    <row r="211" spans="1:21" ht="17.25" customHeight="1">
      <c r="A211" s="112"/>
      <c r="B211" s="111"/>
      <c r="C211" s="111"/>
      <c r="D211" s="111"/>
      <c r="E211" s="111"/>
      <c r="F211" s="111"/>
      <c r="G211" s="112"/>
      <c r="H211" s="111"/>
      <c r="I211" s="111"/>
      <c r="J211" s="111"/>
      <c r="K211" s="111"/>
      <c r="L211" s="111"/>
      <c r="M211" s="111"/>
      <c r="N211" s="112"/>
      <c r="U211" s="112"/>
    </row>
    <row r="212" spans="1:21" ht="17.25" customHeight="1">
      <c r="A212" s="112"/>
      <c r="B212" s="111"/>
      <c r="C212" s="111"/>
      <c r="D212" s="111"/>
      <c r="E212" s="111"/>
      <c r="F212" s="111"/>
      <c r="G212" s="112"/>
      <c r="H212" s="111"/>
      <c r="I212" s="111"/>
      <c r="J212" s="111"/>
      <c r="K212" s="111"/>
      <c r="L212" s="111"/>
      <c r="M212" s="111"/>
      <c r="N212" s="112"/>
      <c r="U212" s="112"/>
    </row>
    <row r="213" spans="1:21" ht="17.25" customHeight="1">
      <c r="A213" s="112"/>
      <c r="B213" s="111"/>
      <c r="C213" s="111"/>
      <c r="D213" s="111"/>
      <c r="E213" s="111"/>
      <c r="F213" s="111"/>
      <c r="G213" s="112"/>
      <c r="H213" s="111"/>
      <c r="I213" s="111"/>
      <c r="J213" s="111"/>
      <c r="K213" s="111"/>
      <c r="L213" s="111"/>
      <c r="M213" s="111"/>
      <c r="N213" s="112"/>
      <c r="U213" s="112"/>
    </row>
    <row r="214" spans="1:21" ht="17.25" customHeight="1">
      <c r="A214" s="112"/>
      <c r="B214" s="111"/>
      <c r="C214" s="111"/>
      <c r="D214" s="111"/>
      <c r="E214" s="111"/>
      <c r="F214" s="111"/>
      <c r="G214" s="112"/>
      <c r="H214" s="111"/>
      <c r="I214" s="111"/>
      <c r="J214" s="111"/>
      <c r="K214" s="111"/>
      <c r="L214" s="111"/>
      <c r="M214" s="111"/>
      <c r="N214" s="112"/>
      <c r="U214" s="112"/>
    </row>
    <row r="215" spans="1:21" ht="17.25" customHeight="1">
      <c r="A215" s="112"/>
      <c r="B215" s="111"/>
      <c r="C215" s="111"/>
      <c r="D215" s="111"/>
      <c r="E215" s="111"/>
      <c r="F215" s="111"/>
      <c r="G215" s="112"/>
      <c r="H215" s="111"/>
      <c r="I215" s="111"/>
      <c r="J215" s="111"/>
      <c r="K215" s="111"/>
      <c r="L215" s="111"/>
      <c r="M215" s="111"/>
      <c r="N215" s="112"/>
      <c r="U215" s="112"/>
    </row>
    <row r="216" spans="1:21" ht="17.25" customHeight="1">
      <c r="A216" s="112"/>
      <c r="B216" s="111"/>
      <c r="C216" s="111"/>
      <c r="D216" s="111"/>
      <c r="E216" s="111"/>
      <c r="F216" s="111"/>
      <c r="G216" s="112"/>
      <c r="H216" s="111"/>
      <c r="I216" s="111"/>
      <c r="J216" s="111"/>
      <c r="K216" s="111"/>
      <c r="L216" s="111"/>
      <c r="M216" s="111"/>
      <c r="N216" s="112"/>
      <c r="U216" s="112"/>
    </row>
    <row r="217" spans="1:21" ht="17.25" customHeight="1">
      <c r="A217" s="112"/>
      <c r="B217" s="111"/>
      <c r="C217" s="111"/>
      <c r="D217" s="111"/>
      <c r="E217" s="111"/>
      <c r="F217" s="111"/>
      <c r="G217" s="112"/>
      <c r="H217" s="111"/>
      <c r="I217" s="111"/>
      <c r="J217" s="111"/>
      <c r="K217" s="111"/>
      <c r="L217" s="111"/>
      <c r="M217" s="111"/>
      <c r="N217" s="112"/>
      <c r="U217" s="112"/>
    </row>
    <row r="218" spans="1:21" ht="17.25" customHeight="1">
      <c r="A218" s="112"/>
      <c r="B218" s="111"/>
      <c r="C218" s="111"/>
      <c r="D218" s="111"/>
      <c r="E218" s="111"/>
      <c r="F218" s="111"/>
      <c r="G218" s="112"/>
      <c r="H218" s="111"/>
      <c r="I218" s="111"/>
      <c r="J218" s="111"/>
      <c r="K218" s="111"/>
      <c r="L218" s="111"/>
      <c r="M218" s="111"/>
      <c r="N218" s="112"/>
      <c r="U218" s="112"/>
    </row>
    <row r="219" spans="1:21" ht="17.25" customHeight="1">
      <c r="A219" s="112"/>
      <c r="B219" s="111"/>
      <c r="C219" s="111"/>
      <c r="D219" s="111"/>
      <c r="E219" s="111"/>
      <c r="F219" s="111"/>
      <c r="G219" s="112"/>
      <c r="H219" s="111"/>
      <c r="I219" s="111"/>
      <c r="J219" s="111"/>
      <c r="K219" s="111"/>
      <c r="L219" s="111"/>
      <c r="M219" s="111"/>
      <c r="N219" s="112"/>
      <c r="U219" s="112"/>
    </row>
    <row r="220" spans="1:21" ht="17.25" customHeight="1">
      <c r="A220" s="112"/>
      <c r="B220" s="111"/>
      <c r="C220" s="111"/>
      <c r="D220" s="111"/>
      <c r="E220" s="111"/>
      <c r="F220" s="111"/>
      <c r="G220" s="112"/>
      <c r="H220" s="111"/>
      <c r="I220" s="111"/>
      <c r="J220" s="111"/>
      <c r="K220" s="111"/>
      <c r="L220" s="111"/>
      <c r="M220" s="111"/>
      <c r="N220" s="112"/>
      <c r="U220" s="112"/>
    </row>
    <row r="221" spans="1:21" ht="17.25" customHeight="1">
      <c r="A221" s="112"/>
      <c r="B221" s="111"/>
      <c r="C221" s="111"/>
      <c r="D221" s="111"/>
      <c r="E221" s="111"/>
      <c r="F221" s="111"/>
      <c r="G221" s="112"/>
      <c r="H221" s="111"/>
      <c r="I221" s="111"/>
      <c r="J221" s="111"/>
      <c r="K221" s="111"/>
      <c r="L221" s="111"/>
      <c r="M221" s="111"/>
      <c r="N221" s="112"/>
      <c r="U221" s="112"/>
    </row>
    <row r="222" spans="1:21" ht="17.25" customHeight="1">
      <c r="A222" s="112"/>
      <c r="B222" s="111"/>
      <c r="C222" s="111"/>
      <c r="D222" s="111"/>
      <c r="E222" s="111"/>
      <c r="F222" s="111"/>
      <c r="G222" s="112"/>
      <c r="H222" s="111"/>
      <c r="I222" s="111"/>
      <c r="J222" s="111"/>
      <c r="K222" s="111"/>
      <c r="L222" s="111"/>
      <c r="M222" s="111"/>
      <c r="N222" s="112"/>
      <c r="U222" s="112"/>
    </row>
    <row r="223" spans="1:21" ht="17.25" customHeight="1">
      <c r="A223" s="112"/>
      <c r="B223" s="111"/>
      <c r="C223" s="111"/>
      <c r="D223" s="111"/>
      <c r="E223" s="111"/>
      <c r="F223" s="111"/>
      <c r="G223" s="112"/>
      <c r="H223" s="111"/>
      <c r="I223" s="111"/>
      <c r="J223" s="111"/>
      <c r="K223" s="111"/>
      <c r="L223" s="111"/>
      <c r="M223" s="111"/>
      <c r="N223" s="112"/>
      <c r="U223" s="112"/>
    </row>
    <row r="224" spans="1:21" ht="17.25" customHeight="1">
      <c r="A224" s="112"/>
      <c r="B224" s="111"/>
      <c r="C224" s="111"/>
      <c r="D224" s="111"/>
      <c r="E224" s="111"/>
      <c r="F224" s="111"/>
      <c r="G224" s="112"/>
      <c r="H224" s="111"/>
      <c r="I224" s="111"/>
      <c r="J224" s="111"/>
      <c r="K224" s="111"/>
      <c r="L224" s="111"/>
      <c r="M224" s="111"/>
      <c r="N224" s="112"/>
      <c r="U224" s="112"/>
    </row>
    <row r="225" spans="1:21" ht="17.25" customHeight="1">
      <c r="A225" s="112"/>
      <c r="B225" s="111"/>
      <c r="C225" s="111"/>
      <c r="D225" s="111"/>
      <c r="E225" s="111"/>
      <c r="F225" s="111"/>
      <c r="G225" s="112"/>
      <c r="H225" s="111"/>
      <c r="I225" s="111"/>
      <c r="J225" s="111"/>
      <c r="K225" s="111"/>
      <c r="L225" s="111"/>
      <c r="M225" s="111"/>
      <c r="N225" s="112"/>
      <c r="U225" s="112"/>
    </row>
    <row r="226" spans="1:21" ht="17.25" customHeight="1">
      <c r="A226" s="112"/>
      <c r="B226" s="111"/>
      <c r="C226" s="111"/>
      <c r="D226" s="111"/>
      <c r="E226" s="111"/>
      <c r="F226" s="111"/>
      <c r="G226" s="112"/>
      <c r="H226" s="111"/>
      <c r="I226" s="111"/>
      <c r="J226" s="111"/>
      <c r="K226" s="111"/>
      <c r="L226" s="111"/>
      <c r="M226" s="111"/>
      <c r="N226" s="112"/>
      <c r="U226" s="112"/>
    </row>
    <row r="227" spans="1:21" ht="17.25" customHeight="1">
      <c r="A227" s="112"/>
      <c r="B227" s="111"/>
      <c r="C227" s="111"/>
      <c r="D227" s="111"/>
      <c r="E227" s="111"/>
      <c r="F227" s="111"/>
      <c r="G227" s="112"/>
      <c r="H227" s="111"/>
      <c r="I227" s="111"/>
      <c r="J227" s="111"/>
      <c r="K227" s="111"/>
      <c r="L227" s="111"/>
      <c r="M227" s="111"/>
      <c r="N227" s="112"/>
      <c r="U227" s="112"/>
    </row>
    <row r="228" spans="1:21" ht="17.25" customHeight="1">
      <c r="A228" s="112"/>
      <c r="B228" s="111"/>
      <c r="C228" s="111"/>
      <c r="D228" s="111"/>
      <c r="E228" s="111"/>
      <c r="F228" s="111"/>
      <c r="G228" s="112"/>
      <c r="H228" s="111"/>
      <c r="I228" s="111"/>
      <c r="J228" s="111"/>
      <c r="K228" s="111"/>
      <c r="L228" s="111"/>
      <c r="M228" s="111"/>
      <c r="N228" s="112"/>
      <c r="U228" s="112"/>
    </row>
    <row r="229" spans="1:21" ht="17.25" customHeight="1">
      <c r="A229" s="112"/>
      <c r="B229" s="111"/>
      <c r="C229" s="111"/>
      <c r="D229" s="111"/>
      <c r="E229" s="111"/>
      <c r="F229" s="111"/>
      <c r="G229" s="112"/>
      <c r="H229" s="111"/>
      <c r="I229" s="111"/>
      <c r="J229" s="111"/>
      <c r="K229" s="111"/>
      <c r="L229" s="111"/>
      <c r="M229" s="111"/>
      <c r="N229" s="112"/>
      <c r="U229" s="112"/>
    </row>
    <row r="230" spans="1:21" ht="17.25" customHeight="1">
      <c r="A230" s="112"/>
      <c r="B230" s="111"/>
      <c r="C230" s="111"/>
      <c r="D230" s="111"/>
      <c r="E230" s="111"/>
      <c r="F230" s="111"/>
      <c r="G230" s="112"/>
      <c r="H230" s="111"/>
      <c r="I230" s="111"/>
      <c r="J230" s="111"/>
      <c r="K230" s="111"/>
      <c r="L230" s="111"/>
      <c r="M230" s="111"/>
      <c r="N230" s="112"/>
      <c r="U230" s="112"/>
    </row>
    <row r="231" spans="1:21" ht="17.25" customHeight="1">
      <c r="A231" s="112"/>
      <c r="B231" s="111"/>
      <c r="C231" s="111"/>
      <c r="D231" s="111"/>
      <c r="E231" s="111"/>
      <c r="F231" s="111"/>
      <c r="G231" s="112"/>
      <c r="H231" s="111"/>
      <c r="I231" s="111"/>
      <c r="J231" s="111"/>
      <c r="K231" s="111"/>
      <c r="L231" s="111"/>
      <c r="M231" s="111"/>
      <c r="N231" s="112"/>
      <c r="U231" s="112"/>
    </row>
    <row r="232" spans="1:21" ht="17.25" customHeight="1">
      <c r="A232" s="112"/>
      <c r="B232" s="111"/>
      <c r="C232" s="111"/>
      <c r="D232" s="111"/>
      <c r="E232" s="111"/>
      <c r="F232" s="111"/>
      <c r="G232" s="112"/>
      <c r="H232" s="111"/>
      <c r="I232" s="111"/>
      <c r="J232" s="111"/>
      <c r="K232" s="111"/>
      <c r="L232" s="111"/>
      <c r="M232" s="111"/>
      <c r="N232" s="112"/>
      <c r="U232" s="112"/>
    </row>
    <row r="233" spans="1:21" ht="17.25" customHeight="1">
      <c r="A233" s="112"/>
      <c r="B233" s="111"/>
      <c r="C233" s="111"/>
      <c r="D233" s="111"/>
      <c r="E233" s="111"/>
      <c r="F233" s="111"/>
      <c r="G233" s="112"/>
      <c r="H233" s="111"/>
      <c r="I233" s="111"/>
      <c r="J233" s="111"/>
      <c r="K233" s="111"/>
      <c r="L233" s="111"/>
      <c r="M233" s="111"/>
      <c r="N233" s="112"/>
      <c r="U233" s="112"/>
    </row>
    <row r="234" spans="1:21" ht="17.25" customHeight="1">
      <c r="A234" s="112"/>
      <c r="B234" s="111"/>
      <c r="C234" s="111"/>
      <c r="D234" s="111"/>
      <c r="E234" s="111"/>
      <c r="F234" s="111"/>
      <c r="G234" s="112"/>
      <c r="H234" s="111"/>
      <c r="I234" s="111"/>
      <c r="J234" s="111"/>
      <c r="K234" s="111"/>
      <c r="L234" s="111"/>
      <c r="M234" s="111"/>
      <c r="N234" s="112"/>
      <c r="U234" s="112"/>
    </row>
    <row r="235" spans="1:21" ht="17.25" customHeight="1">
      <c r="A235" s="112"/>
      <c r="B235" s="111"/>
      <c r="C235" s="111"/>
      <c r="D235" s="111"/>
      <c r="E235" s="111"/>
      <c r="F235" s="111"/>
      <c r="G235" s="112"/>
      <c r="H235" s="111"/>
      <c r="I235" s="111"/>
      <c r="J235" s="111"/>
      <c r="K235" s="111"/>
      <c r="L235" s="111"/>
      <c r="M235" s="111"/>
      <c r="N235" s="112"/>
      <c r="U235" s="112"/>
    </row>
    <row r="236" spans="1:21" ht="17.25" customHeight="1">
      <c r="A236" s="112"/>
      <c r="B236" s="111"/>
      <c r="C236" s="111"/>
      <c r="D236" s="111"/>
      <c r="E236" s="111"/>
      <c r="F236" s="111"/>
      <c r="G236" s="112"/>
      <c r="H236" s="111"/>
      <c r="I236" s="111"/>
      <c r="J236" s="111"/>
      <c r="K236" s="111"/>
      <c r="L236" s="111"/>
      <c r="M236" s="111"/>
      <c r="N236" s="112"/>
      <c r="U236" s="112"/>
    </row>
    <row r="237" spans="1:21" ht="17.25" customHeight="1">
      <c r="A237" s="112"/>
      <c r="B237" s="111"/>
      <c r="C237" s="111"/>
      <c r="D237" s="111"/>
      <c r="E237" s="111"/>
      <c r="F237" s="111"/>
      <c r="G237" s="112"/>
      <c r="H237" s="111"/>
      <c r="I237" s="111"/>
      <c r="J237" s="111"/>
      <c r="K237" s="111"/>
      <c r="L237" s="111"/>
      <c r="M237" s="111"/>
      <c r="N237" s="112"/>
      <c r="U237" s="112"/>
    </row>
    <row r="238" spans="1:21" ht="17.25" customHeight="1">
      <c r="A238" s="112"/>
      <c r="B238" s="111"/>
      <c r="C238" s="111"/>
      <c r="D238" s="111"/>
      <c r="E238" s="111"/>
      <c r="F238" s="111"/>
      <c r="G238" s="112"/>
      <c r="H238" s="111"/>
      <c r="I238" s="111"/>
      <c r="J238" s="111"/>
      <c r="K238" s="111"/>
      <c r="L238" s="111"/>
      <c r="M238" s="111"/>
      <c r="N238" s="112"/>
      <c r="U238" s="112"/>
    </row>
    <row r="239" spans="1:21" ht="17.25" customHeight="1">
      <c r="A239" s="112"/>
      <c r="B239" s="111"/>
      <c r="C239" s="111"/>
      <c r="D239" s="111"/>
      <c r="E239" s="111"/>
      <c r="F239" s="111"/>
      <c r="G239" s="112"/>
      <c r="H239" s="111"/>
      <c r="I239" s="111"/>
      <c r="J239" s="111"/>
      <c r="K239" s="111"/>
      <c r="L239" s="111"/>
      <c r="M239" s="111"/>
      <c r="N239" s="112"/>
      <c r="U239" s="112"/>
    </row>
    <row r="240" spans="1:21" ht="17.25" customHeight="1">
      <c r="A240" s="112"/>
      <c r="B240" s="111"/>
      <c r="C240" s="111"/>
      <c r="D240" s="111"/>
      <c r="E240" s="111"/>
      <c r="F240" s="111"/>
      <c r="G240" s="112"/>
      <c r="H240" s="111"/>
      <c r="I240" s="111"/>
      <c r="J240" s="111"/>
      <c r="K240" s="111"/>
      <c r="L240" s="111"/>
      <c r="M240" s="111"/>
      <c r="N240" s="112"/>
      <c r="U240" s="112"/>
    </row>
    <row r="241" spans="1:21" ht="17.25" customHeight="1">
      <c r="A241" s="112"/>
      <c r="B241" s="111"/>
      <c r="C241" s="111"/>
      <c r="D241" s="111"/>
      <c r="E241" s="111"/>
      <c r="F241" s="111"/>
      <c r="G241" s="112"/>
      <c r="H241" s="111"/>
      <c r="I241" s="111"/>
      <c r="J241" s="111"/>
      <c r="K241" s="111"/>
      <c r="L241" s="111"/>
      <c r="M241" s="111"/>
      <c r="N241" s="112"/>
      <c r="U241" s="112"/>
    </row>
    <row r="242" spans="1:21" ht="17.25" customHeight="1">
      <c r="A242" s="112"/>
      <c r="B242" s="111"/>
      <c r="C242" s="111"/>
      <c r="D242" s="111"/>
      <c r="E242" s="111"/>
      <c r="F242" s="111"/>
      <c r="G242" s="112"/>
      <c r="H242" s="111"/>
      <c r="I242" s="111"/>
      <c r="J242" s="111"/>
      <c r="K242" s="111"/>
      <c r="L242" s="111"/>
      <c r="M242" s="111"/>
      <c r="N242" s="112"/>
      <c r="U242" s="112"/>
    </row>
    <row r="243" spans="1:21" ht="17.25" customHeight="1">
      <c r="A243" s="112"/>
      <c r="B243" s="111"/>
      <c r="C243" s="111"/>
      <c r="D243" s="111"/>
      <c r="E243" s="111"/>
      <c r="F243" s="111"/>
      <c r="G243" s="112"/>
      <c r="H243" s="111"/>
      <c r="I243" s="111"/>
      <c r="J243" s="111"/>
      <c r="K243" s="111"/>
      <c r="L243" s="111"/>
      <c r="M243" s="111"/>
      <c r="N243" s="112"/>
      <c r="U243" s="112"/>
    </row>
    <row r="244" spans="1:21" ht="17.25" customHeight="1">
      <c r="A244" s="112"/>
      <c r="B244" s="111"/>
      <c r="C244" s="111"/>
      <c r="D244" s="111"/>
      <c r="E244" s="111"/>
      <c r="F244" s="111"/>
      <c r="G244" s="112"/>
      <c r="H244" s="111"/>
      <c r="I244" s="111"/>
      <c r="J244" s="111"/>
      <c r="K244" s="111"/>
      <c r="L244" s="111"/>
      <c r="M244" s="111"/>
      <c r="N244" s="112"/>
      <c r="U244" s="112"/>
    </row>
    <row r="245" spans="1:21" ht="17.25" customHeight="1">
      <c r="A245" s="112"/>
      <c r="B245" s="111"/>
      <c r="C245" s="111"/>
      <c r="D245" s="111"/>
      <c r="E245" s="111"/>
      <c r="F245" s="111"/>
      <c r="G245" s="112"/>
      <c r="H245" s="111"/>
      <c r="I245" s="111"/>
      <c r="J245" s="111"/>
      <c r="K245" s="111"/>
      <c r="L245" s="111"/>
      <c r="M245" s="111"/>
      <c r="N245" s="112"/>
      <c r="U245" s="112"/>
    </row>
    <row r="246" spans="1:21" ht="17.25" customHeight="1">
      <c r="A246" s="112"/>
      <c r="B246" s="111"/>
      <c r="C246" s="111"/>
      <c r="D246" s="111"/>
      <c r="E246" s="111"/>
      <c r="F246" s="111"/>
      <c r="G246" s="112"/>
      <c r="H246" s="111"/>
      <c r="I246" s="111"/>
      <c r="J246" s="111"/>
      <c r="K246" s="111"/>
      <c r="L246" s="111"/>
      <c r="M246" s="111"/>
      <c r="N246" s="112"/>
      <c r="U246" s="112"/>
    </row>
    <row r="247" spans="1:21" ht="17.25" customHeight="1">
      <c r="A247" s="112"/>
      <c r="B247" s="111"/>
      <c r="C247" s="111"/>
      <c r="D247" s="111"/>
      <c r="E247" s="111"/>
      <c r="F247" s="111"/>
      <c r="G247" s="112"/>
      <c r="H247" s="111"/>
      <c r="I247" s="111"/>
      <c r="J247" s="111"/>
      <c r="K247" s="111"/>
      <c r="L247" s="111"/>
      <c r="M247" s="111"/>
      <c r="N247" s="112"/>
      <c r="U247" s="112"/>
    </row>
    <row r="248" spans="1:21" ht="17.25" customHeight="1">
      <c r="A248" s="112"/>
      <c r="B248" s="111"/>
      <c r="C248" s="111"/>
      <c r="D248" s="111"/>
      <c r="E248" s="111"/>
      <c r="F248" s="111"/>
      <c r="G248" s="112"/>
      <c r="H248" s="111"/>
      <c r="I248" s="111"/>
      <c r="J248" s="111"/>
      <c r="K248" s="111"/>
      <c r="L248" s="111"/>
      <c r="M248" s="111"/>
      <c r="N248" s="112"/>
      <c r="U248" s="112"/>
    </row>
    <row r="249" spans="1:21" ht="17.25" customHeight="1">
      <c r="A249" s="112"/>
      <c r="B249" s="111"/>
      <c r="C249" s="111"/>
      <c r="D249" s="111"/>
      <c r="E249" s="111"/>
      <c r="F249" s="111"/>
      <c r="G249" s="112"/>
      <c r="H249" s="111"/>
      <c r="I249" s="111"/>
      <c r="J249" s="111"/>
      <c r="K249" s="111"/>
      <c r="L249" s="111"/>
      <c r="M249" s="111"/>
      <c r="N249" s="112"/>
      <c r="U249" s="112"/>
    </row>
    <row r="250" spans="1:21" ht="17.25" customHeight="1">
      <c r="A250" s="112"/>
      <c r="B250" s="111"/>
      <c r="C250" s="111"/>
      <c r="D250" s="111"/>
      <c r="E250" s="111"/>
      <c r="F250" s="111"/>
      <c r="G250" s="112"/>
      <c r="H250" s="111"/>
      <c r="I250" s="111"/>
      <c r="J250" s="111"/>
      <c r="K250" s="111"/>
      <c r="L250" s="111"/>
      <c r="M250" s="111"/>
      <c r="N250" s="112"/>
      <c r="U250" s="112"/>
    </row>
    <row r="251" spans="1:21" ht="17.25" customHeight="1">
      <c r="A251" s="112"/>
      <c r="B251" s="111"/>
      <c r="C251" s="111"/>
      <c r="D251" s="111"/>
      <c r="E251" s="111"/>
      <c r="F251" s="111"/>
      <c r="G251" s="112"/>
      <c r="H251" s="111"/>
      <c r="I251" s="111"/>
      <c r="J251" s="111"/>
      <c r="K251" s="111"/>
      <c r="L251" s="111"/>
      <c r="M251" s="111"/>
      <c r="N251" s="112"/>
      <c r="U251" s="112"/>
    </row>
    <row r="252" spans="1:21" ht="17.25" customHeight="1">
      <c r="A252" s="112"/>
      <c r="B252" s="111"/>
      <c r="C252" s="111"/>
      <c r="D252" s="111"/>
      <c r="E252" s="111"/>
      <c r="F252" s="111"/>
      <c r="G252" s="112"/>
      <c r="H252" s="111"/>
      <c r="I252" s="111"/>
      <c r="J252" s="111"/>
      <c r="K252" s="111"/>
      <c r="L252" s="111"/>
      <c r="M252" s="111"/>
      <c r="N252" s="112"/>
      <c r="U252" s="112"/>
    </row>
    <row r="253" spans="1:21" ht="17.25" customHeight="1">
      <c r="A253" s="112"/>
      <c r="B253" s="111"/>
      <c r="C253" s="111"/>
      <c r="D253" s="111"/>
      <c r="E253" s="111"/>
      <c r="F253" s="111"/>
      <c r="G253" s="112"/>
      <c r="H253" s="111"/>
      <c r="I253" s="111"/>
      <c r="J253" s="111"/>
      <c r="K253" s="111"/>
      <c r="L253" s="111"/>
      <c r="M253" s="111"/>
      <c r="N253" s="112"/>
      <c r="U253" s="112"/>
    </row>
    <row r="254" spans="1:21" ht="17.25" customHeight="1">
      <c r="A254" s="112"/>
      <c r="B254" s="111"/>
      <c r="C254" s="111"/>
      <c r="D254" s="111"/>
      <c r="E254" s="111"/>
      <c r="F254" s="111"/>
      <c r="G254" s="112"/>
      <c r="H254" s="111"/>
      <c r="I254" s="111"/>
      <c r="J254" s="111"/>
      <c r="K254" s="111"/>
      <c r="L254" s="111"/>
      <c r="M254" s="111"/>
      <c r="N254" s="112"/>
      <c r="U254" s="112"/>
    </row>
    <row r="255" spans="1:21" ht="17.25" customHeight="1">
      <c r="A255" s="112"/>
      <c r="B255" s="111"/>
      <c r="C255" s="111"/>
      <c r="D255" s="111"/>
      <c r="E255" s="111"/>
      <c r="F255" s="111"/>
      <c r="G255" s="112"/>
      <c r="H255" s="111"/>
      <c r="I255" s="111"/>
      <c r="J255" s="111"/>
      <c r="K255" s="111"/>
      <c r="L255" s="111"/>
      <c r="M255" s="111"/>
      <c r="N255" s="112"/>
      <c r="U255" s="112"/>
    </row>
    <row r="256" spans="1:21" ht="17.25" customHeight="1">
      <c r="A256" s="112"/>
      <c r="B256" s="111"/>
      <c r="C256" s="111"/>
      <c r="D256" s="111"/>
      <c r="E256" s="111"/>
      <c r="F256" s="111"/>
      <c r="G256" s="112"/>
      <c r="H256" s="111"/>
      <c r="I256" s="111"/>
      <c r="J256" s="111"/>
      <c r="K256" s="111"/>
      <c r="L256" s="111"/>
      <c r="M256" s="111"/>
      <c r="N256" s="112"/>
      <c r="U256" s="112"/>
    </row>
    <row r="257" spans="1:21" ht="17.25" customHeight="1">
      <c r="A257" s="112"/>
      <c r="B257" s="111"/>
      <c r="C257" s="111"/>
      <c r="D257" s="111"/>
      <c r="E257" s="111"/>
      <c r="F257" s="111"/>
      <c r="G257" s="112"/>
      <c r="H257" s="111"/>
      <c r="I257" s="111"/>
      <c r="J257" s="111"/>
      <c r="K257" s="111"/>
      <c r="L257" s="111"/>
      <c r="M257" s="111"/>
      <c r="N257" s="112"/>
      <c r="U257" s="112"/>
    </row>
    <row r="258" spans="1:21" ht="17.25" customHeight="1">
      <c r="A258" s="112"/>
      <c r="B258" s="111"/>
      <c r="C258" s="111"/>
      <c r="D258" s="111"/>
      <c r="E258" s="111"/>
      <c r="F258" s="111"/>
      <c r="G258" s="112"/>
      <c r="H258" s="111"/>
      <c r="I258" s="111"/>
      <c r="J258" s="111"/>
      <c r="K258" s="111"/>
      <c r="L258" s="111"/>
      <c r="M258" s="111"/>
      <c r="N258" s="112"/>
      <c r="U258" s="112"/>
    </row>
    <row r="259" spans="1:21" ht="17.25" customHeight="1">
      <c r="A259" s="112"/>
      <c r="B259" s="111"/>
      <c r="C259" s="111"/>
      <c r="D259" s="111"/>
      <c r="E259" s="111"/>
      <c r="F259" s="111"/>
      <c r="G259" s="112"/>
      <c r="H259" s="111"/>
      <c r="I259" s="111"/>
      <c r="J259" s="111"/>
      <c r="K259" s="111"/>
      <c r="L259" s="111"/>
      <c r="M259" s="111"/>
      <c r="N259" s="112"/>
      <c r="U259" s="112"/>
    </row>
    <row r="260" spans="1:21" ht="17.25" customHeight="1">
      <c r="A260" s="112"/>
      <c r="B260" s="111"/>
      <c r="C260" s="111"/>
      <c r="D260" s="111"/>
      <c r="E260" s="111"/>
      <c r="F260" s="111"/>
      <c r="G260" s="112"/>
      <c r="H260" s="111"/>
      <c r="I260" s="111"/>
      <c r="J260" s="111"/>
      <c r="K260" s="111"/>
      <c r="L260" s="111"/>
      <c r="M260" s="111"/>
      <c r="N260" s="112"/>
      <c r="U260" s="112"/>
    </row>
    <row r="261" spans="1:21" ht="17.25" customHeight="1">
      <c r="A261" s="112"/>
      <c r="B261" s="111"/>
      <c r="C261" s="111"/>
      <c r="D261" s="111"/>
      <c r="E261" s="111"/>
      <c r="F261" s="111"/>
      <c r="G261" s="112"/>
      <c r="H261" s="111"/>
      <c r="I261" s="111"/>
      <c r="J261" s="111"/>
      <c r="K261" s="111"/>
      <c r="L261" s="111"/>
      <c r="M261" s="111"/>
      <c r="N261" s="112"/>
      <c r="U261" s="112"/>
    </row>
    <row r="262" spans="1:21" ht="17.25" customHeight="1">
      <c r="A262" s="112"/>
      <c r="B262" s="111"/>
      <c r="C262" s="111"/>
      <c r="D262" s="111"/>
      <c r="E262" s="111"/>
      <c r="F262" s="111"/>
      <c r="G262" s="112"/>
      <c r="H262" s="111"/>
      <c r="I262" s="111"/>
      <c r="J262" s="111"/>
      <c r="K262" s="111"/>
      <c r="L262" s="111"/>
      <c r="M262" s="111"/>
      <c r="N262" s="112"/>
      <c r="U262" s="112"/>
    </row>
    <row r="263" spans="1:21" ht="17.25" customHeight="1">
      <c r="A263" s="112"/>
      <c r="B263" s="111"/>
      <c r="C263" s="111"/>
      <c r="D263" s="111"/>
      <c r="E263" s="111"/>
      <c r="F263" s="111"/>
      <c r="G263" s="112"/>
      <c r="H263" s="111"/>
      <c r="I263" s="111"/>
      <c r="J263" s="111"/>
      <c r="K263" s="111"/>
      <c r="L263" s="111"/>
      <c r="M263" s="111"/>
      <c r="N263" s="112"/>
      <c r="U263" s="112"/>
    </row>
    <row r="264" spans="1:21" ht="17.25" customHeight="1">
      <c r="A264" s="112"/>
      <c r="B264" s="111"/>
      <c r="C264" s="111"/>
      <c r="D264" s="111"/>
      <c r="E264" s="111"/>
      <c r="F264" s="111"/>
      <c r="G264" s="112"/>
      <c r="H264" s="111"/>
      <c r="I264" s="111"/>
      <c r="J264" s="111"/>
      <c r="K264" s="111"/>
      <c r="L264" s="111"/>
      <c r="M264" s="111"/>
      <c r="N264" s="112"/>
      <c r="U264" s="112"/>
    </row>
    <row r="265" spans="1:21" ht="17.25" customHeight="1">
      <c r="A265" s="112"/>
      <c r="B265" s="111"/>
      <c r="C265" s="111"/>
      <c r="D265" s="111"/>
      <c r="E265" s="111"/>
      <c r="F265" s="111"/>
      <c r="G265" s="112"/>
      <c r="H265" s="111"/>
      <c r="I265" s="111"/>
      <c r="J265" s="111"/>
      <c r="K265" s="111"/>
      <c r="L265" s="111"/>
      <c r="M265" s="111"/>
      <c r="N265" s="112"/>
      <c r="U265" s="112"/>
    </row>
    <row r="266" spans="1:21" ht="17.25" customHeight="1">
      <c r="A266" s="112"/>
      <c r="B266" s="111"/>
      <c r="C266" s="111"/>
      <c r="D266" s="111"/>
      <c r="E266" s="111"/>
      <c r="F266" s="111"/>
      <c r="G266" s="112"/>
      <c r="H266" s="111"/>
      <c r="I266" s="111"/>
      <c r="J266" s="111"/>
      <c r="K266" s="111"/>
      <c r="L266" s="111"/>
      <c r="M266" s="111"/>
      <c r="N266" s="112"/>
      <c r="U266" s="112"/>
    </row>
    <row r="267" spans="1:21" ht="17.25" customHeight="1">
      <c r="A267" s="112"/>
      <c r="B267" s="111"/>
      <c r="C267" s="111"/>
      <c r="D267" s="111"/>
      <c r="E267" s="111"/>
      <c r="F267" s="111"/>
      <c r="G267" s="112"/>
      <c r="H267" s="111"/>
      <c r="I267" s="111"/>
      <c r="J267" s="111"/>
      <c r="K267" s="111"/>
      <c r="L267" s="111"/>
      <c r="M267" s="111"/>
      <c r="N267" s="112"/>
      <c r="U267" s="112"/>
    </row>
    <row r="268" spans="1:21" ht="17.25" customHeight="1">
      <c r="A268" s="112"/>
      <c r="B268" s="111"/>
      <c r="C268" s="111"/>
      <c r="D268" s="111"/>
      <c r="E268" s="111"/>
      <c r="F268" s="111"/>
      <c r="G268" s="112"/>
      <c r="H268" s="111"/>
      <c r="I268" s="111"/>
      <c r="J268" s="111"/>
      <c r="K268" s="111"/>
      <c r="L268" s="111"/>
      <c r="M268" s="111"/>
      <c r="N268" s="112"/>
      <c r="U268" s="112"/>
    </row>
    <row r="269" spans="1:21" ht="17.25" customHeight="1">
      <c r="A269" s="112"/>
      <c r="B269" s="111"/>
      <c r="C269" s="111"/>
      <c r="D269" s="111"/>
      <c r="E269" s="111"/>
      <c r="F269" s="111"/>
      <c r="G269" s="112"/>
      <c r="H269" s="111"/>
      <c r="I269" s="111"/>
      <c r="J269" s="111"/>
      <c r="K269" s="111"/>
      <c r="L269" s="111"/>
      <c r="M269" s="111"/>
      <c r="N269" s="112"/>
      <c r="U269" s="112"/>
    </row>
    <row r="270" spans="1:21" ht="17.25" customHeight="1">
      <c r="A270" s="112"/>
      <c r="B270" s="111"/>
      <c r="C270" s="111"/>
      <c r="D270" s="111"/>
      <c r="E270" s="111"/>
      <c r="F270" s="111"/>
      <c r="G270" s="112"/>
      <c r="H270" s="111"/>
      <c r="I270" s="111"/>
      <c r="J270" s="111"/>
      <c r="K270" s="111"/>
      <c r="L270" s="111"/>
      <c r="M270" s="111"/>
      <c r="N270" s="112"/>
      <c r="U270" s="112"/>
    </row>
    <row r="271" spans="1:21" ht="17.25" customHeight="1">
      <c r="A271" s="112"/>
      <c r="B271" s="111"/>
      <c r="C271" s="111"/>
      <c r="D271" s="111"/>
      <c r="E271" s="111"/>
      <c r="F271" s="111"/>
      <c r="G271" s="112"/>
      <c r="H271" s="111"/>
      <c r="I271" s="111"/>
      <c r="J271" s="111"/>
      <c r="K271" s="111"/>
      <c r="L271" s="111"/>
      <c r="M271" s="111"/>
      <c r="N271" s="112"/>
      <c r="U271" s="112"/>
    </row>
    <row r="272" spans="1:21" ht="17.25" customHeight="1">
      <c r="A272" s="112"/>
      <c r="B272" s="111"/>
      <c r="C272" s="111"/>
      <c r="D272" s="111"/>
      <c r="E272" s="111"/>
      <c r="F272" s="111"/>
      <c r="G272" s="112"/>
      <c r="H272" s="111"/>
      <c r="I272" s="111"/>
      <c r="J272" s="111"/>
      <c r="K272" s="111"/>
      <c r="L272" s="111"/>
      <c r="M272" s="111"/>
      <c r="N272" s="112"/>
      <c r="U272" s="112"/>
    </row>
    <row r="273" spans="1:21" ht="17.25" customHeight="1">
      <c r="A273" s="112"/>
      <c r="B273" s="111"/>
      <c r="C273" s="111"/>
      <c r="D273" s="111"/>
      <c r="E273" s="111"/>
      <c r="F273" s="111"/>
      <c r="G273" s="112"/>
      <c r="H273" s="111"/>
      <c r="I273" s="111"/>
      <c r="J273" s="111"/>
      <c r="K273" s="111"/>
      <c r="L273" s="111"/>
      <c r="M273" s="111"/>
      <c r="N273" s="112"/>
      <c r="U273" s="112"/>
    </row>
    <row r="274" spans="1:21" ht="17.25" customHeight="1">
      <c r="A274" s="112"/>
      <c r="B274" s="111"/>
      <c r="C274" s="111"/>
      <c r="D274" s="111"/>
      <c r="E274" s="111"/>
      <c r="F274" s="111"/>
      <c r="G274" s="112"/>
      <c r="H274" s="111"/>
      <c r="I274" s="111"/>
      <c r="J274" s="111"/>
      <c r="K274" s="111"/>
      <c r="L274" s="111"/>
      <c r="M274" s="111"/>
      <c r="N274" s="112"/>
      <c r="U274" s="112"/>
    </row>
    <row r="275" spans="1:21" ht="17.25" customHeight="1">
      <c r="A275" s="112"/>
      <c r="B275" s="111"/>
      <c r="C275" s="111"/>
      <c r="D275" s="111"/>
      <c r="E275" s="111"/>
      <c r="F275" s="111"/>
      <c r="G275" s="112"/>
      <c r="H275" s="111"/>
      <c r="I275" s="111"/>
      <c r="J275" s="111"/>
      <c r="K275" s="111"/>
      <c r="L275" s="111"/>
      <c r="M275" s="111"/>
      <c r="N275" s="112"/>
      <c r="U275" s="112"/>
    </row>
    <row r="276" spans="1:21" ht="17.25" customHeight="1">
      <c r="A276" s="112"/>
      <c r="B276" s="111"/>
      <c r="C276" s="111"/>
      <c r="D276" s="111"/>
      <c r="E276" s="111"/>
      <c r="F276" s="111"/>
      <c r="G276" s="112"/>
      <c r="H276" s="111"/>
      <c r="I276" s="111"/>
      <c r="J276" s="111"/>
      <c r="K276" s="111"/>
      <c r="L276" s="111"/>
      <c r="M276" s="111"/>
      <c r="N276" s="112"/>
      <c r="U276" s="112"/>
    </row>
    <row r="277" spans="1:21" ht="17.25" customHeight="1">
      <c r="A277" s="112"/>
      <c r="B277" s="111"/>
      <c r="C277" s="111"/>
      <c r="D277" s="111"/>
      <c r="E277" s="111"/>
      <c r="F277" s="111"/>
      <c r="G277" s="112"/>
      <c r="H277" s="111"/>
      <c r="I277" s="111"/>
      <c r="J277" s="111"/>
      <c r="K277" s="111"/>
      <c r="L277" s="111"/>
      <c r="M277" s="111"/>
      <c r="N277" s="112"/>
      <c r="U277" s="112"/>
    </row>
    <row r="278" spans="1:21" ht="17.25" customHeight="1">
      <c r="A278" s="112"/>
      <c r="B278" s="111"/>
      <c r="C278" s="111"/>
      <c r="D278" s="111"/>
      <c r="E278" s="111"/>
      <c r="F278" s="111"/>
      <c r="G278" s="112"/>
      <c r="H278" s="111"/>
      <c r="I278" s="111"/>
      <c r="J278" s="111"/>
      <c r="K278" s="111"/>
      <c r="L278" s="111"/>
      <c r="M278" s="111"/>
      <c r="N278" s="112"/>
      <c r="U278" s="112"/>
    </row>
    <row r="279" spans="1:21" ht="17.25" customHeight="1">
      <c r="A279" s="112"/>
      <c r="B279" s="111"/>
      <c r="C279" s="111"/>
      <c r="D279" s="111"/>
      <c r="E279" s="111"/>
      <c r="F279" s="111"/>
      <c r="G279" s="112"/>
      <c r="H279" s="111"/>
      <c r="I279" s="111"/>
      <c r="J279" s="111"/>
      <c r="K279" s="111"/>
      <c r="L279" s="111"/>
      <c r="M279" s="111"/>
      <c r="N279" s="112"/>
      <c r="U279" s="112"/>
    </row>
    <row r="280" spans="1:21" ht="17.25" customHeight="1">
      <c r="A280" s="112"/>
      <c r="B280" s="111"/>
      <c r="C280" s="111"/>
      <c r="D280" s="111"/>
      <c r="E280" s="111"/>
      <c r="F280" s="111"/>
      <c r="G280" s="112"/>
      <c r="H280" s="111"/>
      <c r="I280" s="111"/>
      <c r="J280" s="111"/>
      <c r="K280" s="111"/>
      <c r="L280" s="111"/>
      <c r="M280" s="111"/>
      <c r="N280" s="112"/>
      <c r="U280" s="112"/>
    </row>
    <row r="281" spans="1:21" ht="17.25" customHeight="1">
      <c r="A281" s="112"/>
      <c r="B281" s="111"/>
      <c r="C281" s="111"/>
      <c r="D281" s="111"/>
      <c r="E281" s="111"/>
      <c r="F281" s="111"/>
      <c r="G281" s="112"/>
      <c r="H281" s="111"/>
      <c r="I281" s="111"/>
      <c r="J281" s="111"/>
      <c r="K281" s="111"/>
      <c r="L281" s="111"/>
      <c r="M281" s="111"/>
      <c r="N281" s="112"/>
      <c r="U281" s="112"/>
    </row>
    <row r="282" spans="1:21" ht="17.25" customHeight="1">
      <c r="A282" s="112"/>
      <c r="B282" s="111"/>
      <c r="C282" s="111"/>
      <c r="D282" s="111"/>
      <c r="E282" s="111"/>
      <c r="F282" s="111"/>
      <c r="G282" s="112"/>
      <c r="H282" s="111"/>
      <c r="I282" s="111"/>
      <c r="J282" s="111"/>
      <c r="K282" s="111"/>
      <c r="L282" s="111"/>
      <c r="M282" s="111"/>
      <c r="N282" s="112"/>
      <c r="U282" s="112"/>
    </row>
    <row r="283" spans="1:21" ht="17.25" customHeight="1">
      <c r="A283" s="112"/>
      <c r="B283" s="111"/>
      <c r="C283" s="111"/>
      <c r="D283" s="111"/>
      <c r="E283" s="111"/>
      <c r="F283" s="111"/>
      <c r="G283" s="112"/>
      <c r="H283" s="111"/>
      <c r="I283" s="111"/>
      <c r="J283" s="111"/>
      <c r="K283" s="111"/>
      <c r="L283" s="111"/>
      <c r="M283" s="111"/>
      <c r="N283" s="112"/>
      <c r="U283" s="112"/>
    </row>
    <row r="284" spans="1:21" ht="17.25" customHeight="1">
      <c r="A284" s="112"/>
      <c r="B284" s="111"/>
      <c r="C284" s="111"/>
      <c r="D284" s="111"/>
      <c r="E284" s="111"/>
      <c r="F284" s="111"/>
      <c r="G284" s="112"/>
      <c r="H284" s="111"/>
      <c r="I284" s="111"/>
      <c r="J284" s="111"/>
      <c r="K284" s="111"/>
      <c r="L284" s="111"/>
      <c r="M284" s="111"/>
      <c r="N284" s="112"/>
      <c r="U284" s="112"/>
    </row>
    <row r="285" spans="1:21" ht="17.25" customHeight="1">
      <c r="A285" s="112"/>
      <c r="B285" s="111"/>
      <c r="C285" s="111"/>
      <c r="D285" s="111"/>
      <c r="E285" s="111"/>
      <c r="F285" s="111"/>
      <c r="G285" s="112"/>
      <c r="H285" s="111"/>
      <c r="I285" s="111"/>
      <c r="J285" s="111"/>
      <c r="K285" s="111"/>
      <c r="L285" s="111"/>
      <c r="M285" s="111"/>
      <c r="N285" s="112"/>
      <c r="U285" s="112"/>
    </row>
    <row r="286" spans="1:21" ht="17.25" customHeight="1">
      <c r="A286" s="112"/>
      <c r="B286" s="111"/>
      <c r="C286" s="111"/>
      <c r="D286" s="111"/>
      <c r="E286" s="111"/>
      <c r="F286" s="111"/>
      <c r="G286" s="112"/>
      <c r="H286" s="111"/>
      <c r="I286" s="111"/>
      <c r="J286" s="111"/>
      <c r="K286" s="111"/>
      <c r="L286" s="111"/>
      <c r="M286" s="111"/>
      <c r="N286" s="112"/>
      <c r="U286" s="112"/>
    </row>
    <row r="287" spans="1:21" ht="17.25" customHeight="1">
      <c r="A287" s="112"/>
      <c r="B287" s="111"/>
      <c r="C287" s="111"/>
      <c r="D287" s="111"/>
      <c r="E287" s="111"/>
      <c r="F287" s="111"/>
      <c r="G287" s="112"/>
      <c r="H287" s="111"/>
      <c r="I287" s="111"/>
      <c r="J287" s="111"/>
      <c r="K287" s="111"/>
      <c r="L287" s="111"/>
      <c r="M287" s="111"/>
      <c r="N287" s="112"/>
      <c r="U287" s="112"/>
    </row>
    <row r="288" spans="1:21" ht="17.25" customHeight="1">
      <c r="A288" s="112"/>
      <c r="B288" s="111"/>
      <c r="C288" s="111"/>
      <c r="D288" s="111"/>
      <c r="E288" s="111"/>
      <c r="F288" s="111"/>
      <c r="G288" s="112"/>
      <c r="H288" s="111"/>
      <c r="I288" s="111"/>
      <c r="J288" s="111"/>
      <c r="K288" s="111"/>
      <c r="L288" s="111"/>
      <c r="M288" s="111"/>
      <c r="N288" s="112"/>
      <c r="U288" s="112"/>
    </row>
    <row r="289" spans="1:21" ht="17.25" customHeight="1">
      <c r="A289" s="112"/>
      <c r="B289" s="111"/>
      <c r="C289" s="111"/>
      <c r="D289" s="111"/>
      <c r="E289" s="111"/>
      <c r="F289" s="111"/>
      <c r="G289" s="112"/>
      <c r="H289" s="111"/>
      <c r="I289" s="111"/>
      <c r="J289" s="111"/>
      <c r="K289" s="111"/>
      <c r="L289" s="111"/>
      <c r="M289" s="111"/>
      <c r="N289" s="112"/>
      <c r="U289" s="112"/>
    </row>
    <row r="290" spans="1:21" ht="17.25" customHeight="1">
      <c r="A290" s="112"/>
      <c r="B290" s="111"/>
      <c r="C290" s="111"/>
      <c r="D290" s="111"/>
      <c r="E290" s="111"/>
      <c r="F290" s="111"/>
      <c r="G290" s="112"/>
      <c r="H290" s="111"/>
      <c r="I290" s="111"/>
      <c r="J290" s="111"/>
      <c r="K290" s="111"/>
      <c r="L290" s="111"/>
      <c r="M290" s="111"/>
      <c r="N290" s="112"/>
      <c r="U290" s="112"/>
    </row>
    <row r="291" spans="1:21" ht="17.25" customHeight="1">
      <c r="A291" s="112"/>
      <c r="B291" s="111"/>
      <c r="C291" s="111"/>
      <c r="D291" s="111"/>
      <c r="E291" s="111"/>
      <c r="F291" s="111"/>
      <c r="G291" s="112"/>
      <c r="H291" s="111"/>
      <c r="I291" s="111"/>
      <c r="J291" s="111"/>
      <c r="K291" s="111"/>
      <c r="L291" s="111"/>
      <c r="M291" s="111"/>
      <c r="N291" s="112"/>
      <c r="U291" s="112"/>
    </row>
    <row r="292" spans="1:21" ht="17.25" customHeight="1">
      <c r="A292" s="112"/>
      <c r="B292" s="111"/>
      <c r="C292" s="111"/>
      <c r="D292" s="111"/>
      <c r="E292" s="111"/>
      <c r="F292" s="111"/>
      <c r="G292" s="112"/>
      <c r="H292" s="111"/>
      <c r="I292" s="111"/>
      <c r="J292" s="111"/>
      <c r="K292" s="111"/>
      <c r="L292" s="111"/>
      <c r="M292" s="111"/>
      <c r="N292" s="112"/>
      <c r="U292" s="112"/>
    </row>
    <row r="293" spans="1:21" ht="17.25" customHeight="1">
      <c r="A293" s="112"/>
      <c r="B293" s="111"/>
      <c r="C293" s="111"/>
      <c r="D293" s="111"/>
      <c r="E293" s="111"/>
      <c r="F293" s="111"/>
      <c r="G293" s="112"/>
      <c r="H293" s="111"/>
      <c r="I293" s="111"/>
      <c r="J293" s="111"/>
      <c r="K293" s="111"/>
      <c r="L293" s="111"/>
      <c r="M293" s="111"/>
      <c r="N293" s="112"/>
      <c r="U293" s="112"/>
    </row>
    <row r="294" spans="1:21" ht="17.25" customHeight="1">
      <c r="A294" s="112"/>
      <c r="B294" s="111"/>
      <c r="C294" s="111"/>
      <c r="D294" s="111"/>
      <c r="E294" s="111"/>
      <c r="F294" s="111"/>
      <c r="G294" s="112"/>
      <c r="H294" s="111"/>
      <c r="I294" s="111"/>
      <c r="J294" s="111"/>
      <c r="K294" s="111"/>
      <c r="L294" s="111"/>
      <c r="M294" s="111"/>
      <c r="N294" s="112"/>
      <c r="U294" s="112"/>
    </row>
    <row r="295" spans="1:21" ht="17.25" customHeight="1">
      <c r="A295" s="112"/>
      <c r="B295" s="111"/>
      <c r="C295" s="111"/>
      <c r="D295" s="111"/>
      <c r="E295" s="111"/>
      <c r="F295" s="111"/>
      <c r="G295" s="112"/>
      <c r="H295" s="111"/>
      <c r="I295" s="111"/>
      <c r="J295" s="111"/>
      <c r="K295" s="111"/>
      <c r="L295" s="111"/>
      <c r="M295" s="111"/>
      <c r="N295" s="112"/>
      <c r="U295" s="112"/>
    </row>
    <row r="296" spans="1:21" ht="17.25" customHeight="1">
      <c r="A296" s="112"/>
      <c r="B296" s="111"/>
      <c r="C296" s="111"/>
      <c r="D296" s="111"/>
      <c r="E296" s="111"/>
      <c r="F296" s="111"/>
      <c r="G296" s="112"/>
      <c r="H296" s="111"/>
      <c r="I296" s="111"/>
      <c r="J296" s="111"/>
      <c r="K296" s="111"/>
      <c r="L296" s="111"/>
      <c r="M296" s="111"/>
      <c r="N296" s="112"/>
      <c r="U296" s="112"/>
    </row>
    <row r="297" spans="1:21" ht="17.25" customHeight="1">
      <c r="A297" s="112"/>
      <c r="B297" s="111"/>
      <c r="C297" s="111"/>
      <c r="D297" s="111"/>
      <c r="E297" s="111"/>
      <c r="F297" s="111"/>
      <c r="G297" s="112"/>
      <c r="H297" s="111"/>
      <c r="I297" s="111"/>
      <c r="J297" s="111"/>
      <c r="K297" s="111"/>
      <c r="L297" s="111"/>
      <c r="M297" s="111"/>
      <c r="N297" s="112"/>
      <c r="U297" s="112"/>
    </row>
    <row r="298" spans="1:21" ht="17.25" customHeight="1">
      <c r="A298" s="112"/>
      <c r="B298" s="111"/>
      <c r="C298" s="111"/>
      <c r="D298" s="111"/>
      <c r="E298" s="111"/>
      <c r="F298" s="111"/>
      <c r="G298" s="112"/>
      <c r="H298" s="111"/>
      <c r="I298" s="111"/>
      <c r="J298" s="111"/>
      <c r="K298" s="111"/>
      <c r="L298" s="111"/>
      <c r="M298" s="111"/>
      <c r="N298" s="112"/>
      <c r="U298" s="112"/>
    </row>
    <row r="299" spans="1:21" ht="17.25" customHeight="1">
      <c r="A299" s="112"/>
      <c r="B299" s="111"/>
      <c r="C299" s="111"/>
      <c r="D299" s="111"/>
      <c r="E299" s="111"/>
      <c r="F299" s="111"/>
      <c r="G299" s="112"/>
      <c r="H299" s="111"/>
      <c r="I299" s="111"/>
      <c r="J299" s="111"/>
      <c r="K299" s="111"/>
      <c r="L299" s="111"/>
      <c r="M299" s="111"/>
      <c r="N299" s="112"/>
      <c r="U299" s="112"/>
    </row>
    <row r="300" spans="1:21" ht="17.25" customHeight="1">
      <c r="A300" s="112"/>
      <c r="B300" s="111"/>
      <c r="C300" s="111"/>
      <c r="D300" s="111"/>
      <c r="E300" s="111"/>
      <c r="F300" s="111"/>
      <c r="G300" s="112"/>
      <c r="H300" s="111"/>
      <c r="I300" s="111"/>
      <c r="J300" s="111"/>
      <c r="K300" s="111"/>
      <c r="L300" s="111"/>
      <c r="M300" s="111"/>
      <c r="N300" s="112"/>
      <c r="U300" s="112"/>
    </row>
    <row r="301" spans="1:21" ht="17.25" customHeight="1">
      <c r="A301" s="112"/>
      <c r="B301" s="111"/>
      <c r="C301" s="111"/>
      <c r="D301" s="111"/>
      <c r="E301" s="111"/>
      <c r="F301" s="111"/>
      <c r="G301" s="112"/>
      <c r="H301" s="111"/>
      <c r="I301" s="111"/>
      <c r="J301" s="111"/>
      <c r="K301" s="111"/>
      <c r="L301" s="111"/>
      <c r="M301" s="111"/>
      <c r="N301" s="112"/>
      <c r="U301" s="112"/>
    </row>
    <row r="302" spans="1:21" ht="17.25" customHeight="1">
      <c r="A302" s="112"/>
      <c r="B302" s="111"/>
      <c r="C302" s="111"/>
      <c r="D302" s="111"/>
      <c r="E302" s="111"/>
      <c r="F302" s="111"/>
      <c r="G302" s="112"/>
      <c r="H302" s="111"/>
      <c r="I302" s="111"/>
      <c r="J302" s="111"/>
      <c r="K302" s="111"/>
      <c r="L302" s="111"/>
      <c r="M302" s="111"/>
      <c r="N302" s="112"/>
      <c r="U302" s="112"/>
    </row>
    <row r="303" spans="1:21" ht="17.25" customHeight="1">
      <c r="A303" s="112"/>
      <c r="B303" s="111"/>
      <c r="C303" s="111"/>
      <c r="D303" s="111"/>
      <c r="E303" s="111"/>
      <c r="F303" s="111"/>
      <c r="G303" s="112"/>
      <c r="H303" s="111"/>
      <c r="I303" s="111"/>
      <c r="J303" s="111"/>
      <c r="K303" s="111"/>
      <c r="L303" s="111"/>
      <c r="M303" s="111"/>
      <c r="N303" s="112"/>
      <c r="U303" s="112"/>
    </row>
    <row r="304" spans="1:21" ht="17.25" customHeight="1">
      <c r="A304" s="112"/>
      <c r="B304" s="111"/>
      <c r="C304" s="111"/>
      <c r="D304" s="111"/>
      <c r="E304" s="111"/>
      <c r="F304" s="111"/>
      <c r="G304" s="112"/>
      <c r="H304" s="111"/>
      <c r="I304" s="111"/>
      <c r="J304" s="111"/>
      <c r="K304" s="111"/>
      <c r="L304" s="111"/>
      <c r="M304" s="111"/>
      <c r="N304" s="112"/>
      <c r="U304" s="112"/>
    </row>
    <row r="305" spans="1:21" ht="17.25" customHeight="1">
      <c r="A305" s="112"/>
      <c r="B305" s="111"/>
      <c r="C305" s="111"/>
      <c r="D305" s="111"/>
      <c r="E305" s="111"/>
      <c r="F305" s="111"/>
      <c r="G305" s="112"/>
      <c r="H305" s="111"/>
      <c r="I305" s="111"/>
      <c r="J305" s="111"/>
      <c r="K305" s="111"/>
      <c r="L305" s="111"/>
      <c r="M305" s="111"/>
      <c r="N305" s="112"/>
      <c r="U305" s="112"/>
    </row>
    <row r="306" spans="1:21" ht="17.25" customHeight="1">
      <c r="A306" s="112"/>
      <c r="B306" s="111"/>
      <c r="C306" s="111"/>
      <c r="D306" s="111"/>
      <c r="E306" s="111"/>
      <c r="F306" s="111"/>
      <c r="G306" s="112"/>
      <c r="H306" s="111"/>
      <c r="I306" s="111"/>
      <c r="J306" s="111"/>
      <c r="K306" s="111"/>
      <c r="L306" s="111"/>
      <c r="M306" s="111"/>
      <c r="N306" s="112"/>
      <c r="U306" s="112"/>
    </row>
    <row r="307" spans="1:21" ht="17.25" customHeight="1">
      <c r="A307" s="112"/>
      <c r="B307" s="111"/>
      <c r="C307" s="111"/>
      <c r="D307" s="111"/>
      <c r="E307" s="111"/>
      <c r="F307" s="111"/>
      <c r="G307" s="112"/>
      <c r="H307" s="111"/>
      <c r="I307" s="111"/>
      <c r="J307" s="111"/>
      <c r="K307" s="111"/>
      <c r="L307" s="111"/>
      <c r="M307" s="111"/>
      <c r="N307" s="112"/>
      <c r="U307" s="112"/>
    </row>
    <row r="308" spans="1:21" ht="17.25" customHeight="1">
      <c r="A308" s="112"/>
      <c r="B308" s="111"/>
      <c r="C308" s="111"/>
      <c r="D308" s="111"/>
      <c r="E308" s="111"/>
      <c r="F308" s="111"/>
      <c r="G308" s="112"/>
      <c r="H308" s="111"/>
      <c r="I308" s="111"/>
      <c r="J308" s="111"/>
      <c r="K308" s="111"/>
      <c r="L308" s="111"/>
      <c r="M308" s="111"/>
      <c r="N308" s="112"/>
      <c r="U308" s="112"/>
    </row>
    <row r="309" spans="1:21" ht="17.25" customHeight="1">
      <c r="A309" s="112"/>
      <c r="B309" s="111"/>
      <c r="C309" s="111"/>
      <c r="D309" s="111"/>
      <c r="E309" s="111"/>
      <c r="F309" s="111"/>
      <c r="G309" s="112"/>
      <c r="H309" s="111"/>
      <c r="I309" s="111"/>
      <c r="J309" s="111"/>
      <c r="K309" s="111"/>
      <c r="L309" s="111"/>
      <c r="M309" s="111"/>
      <c r="N309" s="112"/>
      <c r="U309" s="112"/>
    </row>
    <row r="310" spans="1:21" ht="17.25" customHeight="1">
      <c r="A310" s="112"/>
      <c r="B310" s="111"/>
      <c r="C310" s="111"/>
      <c r="D310" s="111"/>
      <c r="E310" s="111"/>
      <c r="F310" s="111"/>
      <c r="G310" s="112"/>
      <c r="H310" s="111"/>
      <c r="I310" s="111"/>
      <c r="J310" s="111"/>
      <c r="K310" s="111"/>
      <c r="L310" s="111"/>
      <c r="M310" s="111"/>
      <c r="N310" s="112"/>
      <c r="U310" s="112"/>
    </row>
    <row r="311" spans="1:21" ht="17.25" customHeight="1">
      <c r="A311" s="112"/>
      <c r="B311" s="111"/>
      <c r="C311" s="111"/>
      <c r="D311" s="111"/>
      <c r="E311" s="111"/>
      <c r="F311" s="111"/>
      <c r="G311" s="112"/>
      <c r="H311" s="111"/>
      <c r="I311" s="111"/>
      <c r="J311" s="111"/>
      <c r="K311" s="111"/>
      <c r="L311" s="111"/>
      <c r="M311" s="111"/>
      <c r="N311" s="112"/>
      <c r="U311" s="112"/>
    </row>
    <row r="312" spans="1:21" ht="17.25" customHeight="1">
      <c r="A312" s="112"/>
      <c r="B312" s="111"/>
      <c r="C312" s="111"/>
      <c r="D312" s="111"/>
      <c r="E312" s="111"/>
      <c r="F312" s="111"/>
      <c r="G312" s="112"/>
      <c r="H312" s="111"/>
      <c r="I312" s="111"/>
      <c r="J312" s="111"/>
      <c r="K312" s="111"/>
      <c r="L312" s="111"/>
      <c r="M312" s="111"/>
      <c r="N312" s="112"/>
      <c r="U312" s="112"/>
    </row>
    <row r="313" spans="1:21" ht="17.25" customHeight="1">
      <c r="A313" s="112"/>
      <c r="B313" s="111"/>
      <c r="C313" s="111"/>
      <c r="D313" s="111"/>
      <c r="E313" s="111"/>
      <c r="F313" s="111"/>
      <c r="G313" s="112"/>
      <c r="H313" s="111"/>
      <c r="I313" s="111"/>
      <c r="J313" s="111"/>
      <c r="K313" s="111"/>
      <c r="L313" s="111"/>
      <c r="M313" s="111"/>
      <c r="N313" s="112"/>
      <c r="U313" s="112"/>
    </row>
    <row r="314" spans="1:21" ht="17.25" customHeight="1">
      <c r="A314" s="112"/>
      <c r="B314" s="111"/>
      <c r="C314" s="111"/>
      <c r="D314" s="111"/>
      <c r="E314" s="111"/>
      <c r="F314" s="111"/>
      <c r="G314" s="112"/>
      <c r="H314" s="111"/>
      <c r="I314" s="111"/>
      <c r="J314" s="111"/>
      <c r="K314" s="111"/>
      <c r="L314" s="111"/>
      <c r="M314" s="111"/>
      <c r="N314" s="112"/>
      <c r="U314" s="112"/>
    </row>
    <row r="315" spans="1:21" ht="17.25" customHeight="1">
      <c r="A315" s="112"/>
      <c r="B315" s="111"/>
      <c r="C315" s="111"/>
      <c r="D315" s="111"/>
      <c r="E315" s="111"/>
      <c r="F315" s="111"/>
      <c r="G315" s="112"/>
      <c r="H315" s="111"/>
      <c r="I315" s="111"/>
      <c r="J315" s="111"/>
      <c r="K315" s="111"/>
      <c r="L315" s="111"/>
      <c r="M315" s="111"/>
      <c r="N315" s="112"/>
      <c r="U315" s="112"/>
    </row>
    <row r="316" spans="1:21" ht="17.25" customHeight="1">
      <c r="A316" s="112"/>
      <c r="B316" s="111"/>
      <c r="C316" s="111"/>
      <c r="D316" s="111"/>
      <c r="E316" s="111"/>
      <c r="F316" s="111"/>
      <c r="G316" s="112"/>
      <c r="H316" s="111"/>
      <c r="I316" s="111"/>
      <c r="J316" s="111"/>
      <c r="K316" s="111"/>
      <c r="L316" s="111"/>
      <c r="M316" s="111"/>
      <c r="N316" s="112"/>
      <c r="U316" s="112"/>
    </row>
    <row r="317" spans="1:21" ht="17.25" customHeight="1">
      <c r="A317" s="112"/>
      <c r="B317" s="111"/>
      <c r="C317" s="111"/>
      <c r="D317" s="111"/>
      <c r="E317" s="111"/>
      <c r="F317" s="111"/>
      <c r="G317" s="112"/>
      <c r="H317" s="111"/>
      <c r="I317" s="111"/>
      <c r="J317" s="111"/>
      <c r="K317" s="111"/>
      <c r="L317" s="111"/>
      <c r="M317" s="111"/>
      <c r="N317" s="112"/>
      <c r="U317" s="112"/>
    </row>
    <row r="318" spans="1:21" ht="17.25" customHeight="1">
      <c r="A318" s="112"/>
      <c r="B318" s="111"/>
      <c r="C318" s="111"/>
      <c r="D318" s="111"/>
      <c r="E318" s="111"/>
      <c r="F318" s="111"/>
      <c r="G318" s="112"/>
      <c r="H318" s="111"/>
      <c r="I318" s="111"/>
      <c r="J318" s="111"/>
      <c r="K318" s="111"/>
      <c r="L318" s="111"/>
      <c r="M318" s="111"/>
      <c r="N318" s="112"/>
      <c r="U318" s="112"/>
    </row>
    <row r="319" spans="1:21" ht="17.25" customHeight="1">
      <c r="A319" s="112"/>
      <c r="B319" s="111"/>
      <c r="C319" s="111"/>
      <c r="D319" s="111"/>
      <c r="E319" s="111"/>
      <c r="F319" s="111"/>
      <c r="G319" s="112"/>
      <c r="H319" s="111"/>
      <c r="I319" s="111"/>
      <c r="J319" s="111"/>
      <c r="K319" s="111"/>
      <c r="L319" s="111"/>
      <c r="M319" s="111"/>
      <c r="N319" s="112"/>
      <c r="U319" s="112"/>
    </row>
    <row r="320" spans="1:21" ht="17.25" customHeight="1">
      <c r="A320" s="112"/>
      <c r="B320" s="111"/>
      <c r="C320" s="111"/>
      <c r="D320" s="111"/>
      <c r="E320" s="111"/>
      <c r="F320" s="111"/>
      <c r="G320" s="112"/>
      <c r="H320" s="111"/>
      <c r="I320" s="111"/>
      <c r="J320" s="111"/>
      <c r="K320" s="111"/>
      <c r="L320" s="111"/>
      <c r="M320" s="111"/>
      <c r="N320" s="112"/>
      <c r="U320" s="112"/>
    </row>
    <row r="321" spans="1:21" ht="17.25" customHeight="1">
      <c r="A321" s="112"/>
      <c r="B321" s="111"/>
      <c r="C321" s="111"/>
      <c r="D321" s="111"/>
      <c r="E321" s="111"/>
      <c r="F321" s="111"/>
      <c r="G321" s="112"/>
      <c r="H321" s="111"/>
      <c r="I321" s="111"/>
      <c r="J321" s="111"/>
      <c r="K321" s="111"/>
      <c r="L321" s="111"/>
      <c r="M321" s="111"/>
      <c r="N321" s="112"/>
      <c r="U321" s="112"/>
    </row>
    <row r="322" spans="1:21" ht="17.25" customHeight="1">
      <c r="A322" s="112"/>
      <c r="B322" s="111"/>
      <c r="C322" s="111"/>
      <c r="D322" s="111"/>
      <c r="E322" s="111"/>
      <c r="F322" s="111"/>
      <c r="G322" s="112"/>
      <c r="H322" s="111"/>
      <c r="I322" s="111"/>
      <c r="J322" s="111"/>
      <c r="K322" s="111"/>
      <c r="L322" s="111"/>
      <c r="M322" s="111"/>
      <c r="N322" s="112"/>
      <c r="U322" s="112"/>
    </row>
    <row r="323" spans="1:21" ht="17.25" customHeight="1">
      <c r="A323" s="112"/>
      <c r="B323" s="111"/>
      <c r="C323" s="111"/>
      <c r="D323" s="111"/>
      <c r="E323" s="111"/>
      <c r="F323" s="111"/>
      <c r="G323" s="112"/>
      <c r="H323" s="111"/>
      <c r="I323" s="111"/>
      <c r="J323" s="111"/>
      <c r="K323" s="111"/>
      <c r="L323" s="111"/>
      <c r="M323" s="111"/>
      <c r="N323" s="112"/>
      <c r="U323" s="112"/>
    </row>
    <row r="324" spans="1:21" ht="17.25" customHeight="1">
      <c r="A324" s="112"/>
      <c r="B324" s="111"/>
      <c r="C324" s="111"/>
      <c r="D324" s="111"/>
      <c r="E324" s="111"/>
      <c r="F324" s="111"/>
      <c r="G324" s="112"/>
      <c r="H324" s="111"/>
      <c r="I324" s="111"/>
      <c r="J324" s="111"/>
      <c r="K324" s="111"/>
      <c r="L324" s="111"/>
      <c r="M324" s="111"/>
      <c r="N324" s="112"/>
      <c r="U324" s="112"/>
    </row>
    <row r="325" spans="1:21" ht="17.25" customHeight="1">
      <c r="A325" s="112"/>
      <c r="B325" s="111"/>
      <c r="C325" s="111"/>
      <c r="D325" s="111"/>
      <c r="E325" s="111"/>
      <c r="F325" s="111"/>
      <c r="G325" s="112"/>
      <c r="H325" s="111"/>
      <c r="I325" s="111"/>
      <c r="J325" s="111"/>
      <c r="K325" s="111"/>
      <c r="L325" s="111"/>
      <c r="M325" s="111"/>
      <c r="N325" s="112"/>
      <c r="U325" s="112"/>
    </row>
    <row r="326" spans="1:21" ht="17.25" customHeight="1">
      <c r="A326" s="112"/>
      <c r="B326" s="111"/>
      <c r="C326" s="111"/>
      <c r="D326" s="111"/>
      <c r="E326" s="111"/>
      <c r="F326" s="111"/>
      <c r="G326" s="112"/>
      <c r="H326" s="111"/>
      <c r="I326" s="111"/>
      <c r="J326" s="111"/>
      <c r="K326" s="111"/>
      <c r="L326" s="111"/>
      <c r="M326" s="111"/>
      <c r="N326" s="112"/>
      <c r="U326" s="112"/>
    </row>
    <row r="327" spans="1:21" ht="17.25" customHeight="1">
      <c r="A327" s="112"/>
      <c r="B327" s="111"/>
      <c r="C327" s="111"/>
      <c r="D327" s="111"/>
      <c r="E327" s="111"/>
      <c r="F327" s="111"/>
      <c r="G327" s="112"/>
      <c r="H327" s="111"/>
      <c r="I327" s="111"/>
      <c r="J327" s="111"/>
      <c r="K327" s="111"/>
      <c r="L327" s="111"/>
      <c r="M327" s="111"/>
      <c r="N327" s="112"/>
      <c r="U327" s="112"/>
    </row>
    <row r="328" spans="1:21" ht="17.25" customHeight="1">
      <c r="A328" s="112"/>
      <c r="B328" s="111"/>
      <c r="C328" s="111"/>
      <c r="D328" s="111"/>
      <c r="E328" s="111"/>
      <c r="F328" s="111"/>
      <c r="G328" s="112"/>
      <c r="H328" s="111"/>
      <c r="I328" s="111"/>
      <c r="J328" s="111"/>
      <c r="K328" s="111"/>
      <c r="L328" s="111"/>
      <c r="M328" s="111"/>
      <c r="N328" s="112"/>
      <c r="U328" s="112"/>
    </row>
    <row r="329" spans="1:21" ht="17.25" customHeight="1">
      <c r="A329" s="112"/>
      <c r="B329" s="111"/>
      <c r="C329" s="111"/>
      <c r="D329" s="111"/>
      <c r="E329" s="111"/>
      <c r="F329" s="111"/>
      <c r="G329" s="112"/>
      <c r="H329" s="111"/>
      <c r="I329" s="111"/>
      <c r="J329" s="111"/>
      <c r="K329" s="111"/>
      <c r="L329" s="111"/>
      <c r="M329" s="111"/>
      <c r="N329" s="112"/>
      <c r="U329" s="112"/>
    </row>
    <row r="330" spans="1:21" ht="17.25" customHeight="1">
      <c r="A330" s="112"/>
      <c r="B330" s="111"/>
      <c r="C330" s="111"/>
      <c r="D330" s="111"/>
      <c r="E330" s="111"/>
      <c r="F330" s="111"/>
      <c r="G330" s="112"/>
      <c r="H330" s="111"/>
      <c r="I330" s="111"/>
      <c r="J330" s="111"/>
      <c r="K330" s="111"/>
      <c r="L330" s="111"/>
      <c r="M330" s="111"/>
      <c r="N330" s="112"/>
      <c r="U330" s="112"/>
    </row>
    <row r="331" spans="1:21" ht="17.25" customHeight="1">
      <c r="A331" s="112"/>
      <c r="B331" s="111"/>
      <c r="C331" s="111"/>
      <c r="D331" s="111"/>
      <c r="E331" s="111"/>
      <c r="F331" s="111"/>
      <c r="G331" s="112"/>
      <c r="H331" s="111"/>
      <c r="I331" s="111"/>
      <c r="J331" s="111"/>
      <c r="K331" s="111"/>
      <c r="L331" s="111"/>
      <c r="M331" s="111"/>
      <c r="N331" s="112"/>
      <c r="U331" s="112"/>
    </row>
    <row r="332" spans="1:21" ht="17.25" customHeight="1">
      <c r="A332" s="112"/>
      <c r="B332" s="111"/>
      <c r="C332" s="111"/>
      <c r="D332" s="111"/>
      <c r="E332" s="111"/>
      <c r="F332" s="111"/>
      <c r="G332" s="112"/>
      <c r="H332" s="111"/>
      <c r="I332" s="111"/>
      <c r="J332" s="111"/>
      <c r="K332" s="111"/>
      <c r="L332" s="111"/>
      <c r="M332" s="111"/>
      <c r="N332" s="112"/>
      <c r="U332" s="112"/>
    </row>
    <row r="333" spans="1:21" ht="17.25" customHeight="1">
      <c r="A333" s="112"/>
      <c r="B333" s="111"/>
      <c r="C333" s="111"/>
      <c r="D333" s="111"/>
      <c r="E333" s="111"/>
      <c r="F333" s="111"/>
      <c r="G333" s="112"/>
      <c r="H333" s="111"/>
      <c r="I333" s="111"/>
      <c r="J333" s="111"/>
      <c r="K333" s="111"/>
      <c r="L333" s="111"/>
      <c r="M333" s="111"/>
      <c r="N333" s="112"/>
      <c r="U333" s="112"/>
    </row>
    <row r="334" spans="1:21" ht="17.25" customHeight="1">
      <c r="A334" s="112"/>
      <c r="B334" s="111"/>
      <c r="C334" s="111"/>
      <c r="D334" s="111"/>
      <c r="E334" s="111"/>
      <c r="F334" s="111"/>
      <c r="G334" s="112"/>
      <c r="H334" s="111"/>
      <c r="I334" s="111"/>
      <c r="J334" s="111"/>
      <c r="K334" s="111"/>
      <c r="L334" s="111"/>
      <c r="M334" s="111"/>
      <c r="N334" s="112"/>
      <c r="U334" s="112"/>
    </row>
    <row r="335" spans="1:21" ht="17.25" customHeight="1">
      <c r="A335" s="112"/>
      <c r="B335" s="111"/>
      <c r="C335" s="111"/>
      <c r="D335" s="111"/>
      <c r="E335" s="111"/>
      <c r="F335" s="111"/>
      <c r="G335" s="112"/>
      <c r="H335" s="111"/>
      <c r="I335" s="111"/>
      <c r="J335" s="111"/>
      <c r="K335" s="111"/>
      <c r="L335" s="111"/>
      <c r="M335" s="111"/>
      <c r="N335" s="112"/>
      <c r="U335" s="112"/>
    </row>
    <row r="336" spans="1:21" ht="17.25" customHeight="1">
      <c r="A336" s="112"/>
      <c r="B336" s="111"/>
      <c r="C336" s="111"/>
      <c r="D336" s="111"/>
      <c r="E336" s="111"/>
      <c r="F336" s="111"/>
      <c r="G336" s="112"/>
      <c r="H336" s="111"/>
      <c r="I336" s="111"/>
      <c r="J336" s="111"/>
      <c r="K336" s="111"/>
      <c r="L336" s="111"/>
      <c r="M336" s="111"/>
      <c r="N336" s="112"/>
      <c r="U336" s="112"/>
    </row>
    <row r="337" spans="1:21" ht="17.25" customHeight="1">
      <c r="A337" s="112"/>
      <c r="B337" s="111"/>
      <c r="C337" s="111"/>
      <c r="D337" s="111"/>
      <c r="E337" s="111"/>
      <c r="F337" s="111"/>
      <c r="G337" s="112"/>
      <c r="H337" s="111"/>
      <c r="I337" s="111"/>
      <c r="J337" s="111"/>
      <c r="K337" s="111"/>
      <c r="L337" s="111"/>
      <c r="M337" s="111"/>
      <c r="N337" s="112"/>
      <c r="U337" s="112"/>
    </row>
    <row r="338" spans="1:21" ht="17.25" customHeight="1">
      <c r="A338" s="112"/>
      <c r="B338" s="111"/>
      <c r="C338" s="111"/>
      <c r="D338" s="111"/>
      <c r="E338" s="111"/>
      <c r="F338" s="111"/>
      <c r="G338" s="112"/>
      <c r="H338" s="111"/>
      <c r="I338" s="111"/>
      <c r="J338" s="111"/>
      <c r="K338" s="111"/>
      <c r="L338" s="111"/>
      <c r="M338" s="111"/>
      <c r="N338" s="112"/>
      <c r="U338" s="112"/>
    </row>
    <row r="339" spans="1:21" ht="17.25" customHeight="1">
      <c r="A339" s="112"/>
      <c r="B339" s="111"/>
      <c r="C339" s="111"/>
      <c r="D339" s="111"/>
      <c r="E339" s="111"/>
      <c r="F339" s="111"/>
      <c r="G339" s="112"/>
      <c r="H339" s="111"/>
      <c r="I339" s="111"/>
      <c r="J339" s="111"/>
      <c r="K339" s="111"/>
      <c r="L339" s="111"/>
      <c r="M339" s="111"/>
      <c r="N339" s="112"/>
      <c r="U339" s="112"/>
    </row>
    <row r="340" spans="1:21" ht="17.25" customHeight="1">
      <c r="A340" s="112"/>
      <c r="B340" s="111"/>
      <c r="C340" s="111"/>
      <c r="D340" s="111"/>
      <c r="E340" s="111"/>
      <c r="F340" s="111"/>
      <c r="G340" s="112"/>
      <c r="H340" s="111"/>
      <c r="I340" s="111"/>
      <c r="J340" s="111"/>
      <c r="K340" s="111"/>
      <c r="L340" s="111"/>
      <c r="M340" s="111"/>
      <c r="N340" s="112"/>
      <c r="U340" s="112"/>
    </row>
    <row r="341" spans="1:21" ht="17.25" customHeight="1">
      <c r="A341" s="112"/>
      <c r="B341" s="111"/>
      <c r="C341" s="111"/>
      <c r="D341" s="111"/>
      <c r="E341" s="111"/>
      <c r="F341" s="111"/>
      <c r="G341" s="112"/>
      <c r="H341" s="111"/>
      <c r="I341" s="111"/>
      <c r="J341" s="111"/>
      <c r="K341" s="111"/>
      <c r="L341" s="111"/>
      <c r="M341" s="111"/>
      <c r="N341" s="112"/>
      <c r="U341" s="112"/>
    </row>
    <row r="342" spans="1:21" ht="17.25" customHeight="1">
      <c r="A342" s="112"/>
      <c r="B342" s="111"/>
      <c r="C342" s="111"/>
      <c r="D342" s="111"/>
      <c r="E342" s="111"/>
      <c r="F342" s="111"/>
      <c r="G342" s="112"/>
      <c r="H342" s="111"/>
      <c r="I342" s="111"/>
      <c r="J342" s="111"/>
      <c r="K342" s="111"/>
      <c r="L342" s="111"/>
      <c r="M342" s="111"/>
      <c r="N342" s="112"/>
      <c r="U342" s="112"/>
    </row>
    <row r="343" spans="1:21" ht="17.25" customHeight="1">
      <c r="A343" s="112"/>
      <c r="B343" s="111"/>
      <c r="C343" s="111"/>
      <c r="D343" s="111"/>
      <c r="E343" s="111"/>
      <c r="F343" s="111"/>
      <c r="G343" s="112"/>
      <c r="H343" s="111"/>
      <c r="I343" s="111"/>
      <c r="J343" s="111"/>
      <c r="K343" s="111"/>
      <c r="L343" s="111"/>
      <c r="M343" s="111"/>
      <c r="N343" s="112"/>
      <c r="U343" s="112"/>
    </row>
    <row r="344" spans="1:21" ht="17.25" customHeight="1">
      <c r="A344" s="112"/>
      <c r="B344" s="111"/>
      <c r="C344" s="111"/>
      <c r="D344" s="111"/>
      <c r="E344" s="111"/>
      <c r="F344" s="111"/>
      <c r="G344" s="112"/>
      <c r="H344" s="111"/>
      <c r="I344" s="111"/>
      <c r="J344" s="111"/>
      <c r="K344" s="111"/>
      <c r="L344" s="111"/>
      <c r="M344" s="111"/>
      <c r="N344" s="112"/>
      <c r="U344" s="112"/>
    </row>
    <row r="345" spans="1:21" ht="17.25" customHeight="1">
      <c r="A345" s="112"/>
      <c r="B345" s="111"/>
      <c r="C345" s="111"/>
      <c r="D345" s="111"/>
      <c r="E345" s="111"/>
      <c r="F345" s="111"/>
      <c r="G345" s="112"/>
      <c r="H345" s="111"/>
      <c r="I345" s="111"/>
      <c r="J345" s="111"/>
      <c r="K345" s="111"/>
      <c r="L345" s="111"/>
      <c r="M345" s="111"/>
      <c r="N345" s="112"/>
      <c r="U345" s="112"/>
    </row>
    <row r="346" spans="1:21" ht="17.25" customHeight="1">
      <c r="A346" s="112"/>
      <c r="B346" s="111"/>
      <c r="C346" s="111"/>
      <c r="D346" s="111"/>
      <c r="E346" s="111"/>
      <c r="F346" s="111"/>
      <c r="G346" s="112"/>
      <c r="H346" s="111"/>
      <c r="I346" s="111"/>
      <c r="J346" s="111"/>
      <c r="K346" s="111"/>
      <c r="L346" s="111"/>
      <c r="M346" s="111"/>
      <c r="N346" s="112"/>
      <c r="U346" s="112"/>
    </row>
    <row r="347" spans="1:21" ht="17.25" customHeight="1">
      <c r="A347" s="112"/>
      <c r="B347" s="111"/>
      <c r="C347" s="111"/>
      <c r="D347" s="111"/>
      <c r="E347" s="111"/>
      <c r="F347" s="111"/>
      <c r="G347" s="112"/>
      <c r="H347" s="111"/>
      <c r="I347" s="111"/>
      <c r="J347" s="111"/>
      <c r="K347" s="111"/>
      <c r="L347" s="111"/>
      <c r="M347" s="111"/>
      <c r="N347" s="112"/>
      <c r="U347" s="112"/>
    </row>
    <row r="348" spans="1:21" ht="17.25" customHeight="1">
      <c r="A348" s="112"/>
      <c r="B348" s="111"/>
      <c r="C348" s="111"/>
      <c r="D348" s="111"/>
      <c r="E348" s="111"/>
      <c r="F348" s="111"/>
      <c r="G348" s="112"/>
      <c r="H348" s="111"/>
      <c r="I348" s="111"/>
      <c r="J348" s="111"/>
      <c r="K348" s="111"/>
      <c r="L348" s="111"/>
      <c r="M348" s="111"/>
      <c r="N348" s="112"/>
      <c r="U348" s="112"/>
    </row>
    <row r="349" spans="1:21" ht="17.25" customHeight="1">
      <c r="A349" s="112"/>
      <c r="B349" s="111"/>
      <c r="C349" s="111"/>
      <c r="D349" s="111"/>
      <c r="E349" s="111"/>
      <c r="F349" s="111"/>
      <c r="G349" s="112"/>
      <c r="H349" s="111"/>
      <c r="I349" s="111"/>
      <c r="J349" s="111"/>
      <c r="K349" s="111"/>
      <c r="L349" s="111"/>
      <c r="M349" s="111"/>
      <c r="N349" s="112"/>
      <c r="U349" s="112"/>
    </row>
    <row r="350" spans="1:21" ht="17.25" customHeight="1">
      <c r="A350" s="112"/>
      <c r="B350" s="111"/>
      <c r="C350" s="111"/>
      <c r="D350" s="111"/>
      <c r="E350" s="111"/>
      <c r="F350" s="111"/>
      <c r="G350" s="112"/>
      <c r="H350" s="111"/>
      <c r="I350" s="111"/>
      <c r="J350" s="111"/>
      <c r="K350" s="111"/>
      <c r="L350" s="111"/>
      <c r="M350" s="111"/>
      <c r="N350" s="112"/>
      <c r="U350" s="112"/>
    </row>
    <row r="351" spans="1:21" ht="17.25" customHeight="1">
      <c r="A351" s="112"/>
      <c r="B351" s="111"/>
      <c r="C351" s="111"/>
      <c r="D351" s="111"/>
      <c r="E351" s="111"/>
      <c r="F351" s="111"/>
      <c r="G351" s="112"/>
      <c r="H351" s="111"/>
      <c r="I351" s="111"/>
      <c r="J351" s="111"/>
      <c r="K351" s="111"/>
      <c r="L351" s="111"/>
      <c r="M351" s="111"/>
      <c r="N351" s="112"/>
      <c r="U351" s="112"/>
    </row>
    <row r="352" spans="1:21" ht="17.25" customHeight="1">
      <c r="A352" s="112"/>
      <c r="B352" s="111"/>
      <c r="C352" s="111"/>
      <c r="D352" s="111"/>
      <c r="E352" s="111"/>
      <c r="F352" s="111"/>
      <c r="G352" s="112"/>
      <c r="H352" s="111"/>
      <c r="I352" s="111"/>
      <c r="J352" s="111"/>
      <c r="K352" s="111"/>
      <c r="L352" s="111"/>
      <c r="M352" s="111"/>
      <c r="N352" s="112"/>
      <c r="U352" s="112"/>
    </row>
    <row r="353" spans="1:21" ht="17.25" customHeight="1">
      <c r="A353" s="112"/>
      <c r="B353" s="111"/>
      <c r="C353" s="111"/>
      <c r="D353" s="111"/>
      <c r="E353" s="111"/>
      <c r="F353" s="111"/>
      <c r="G353" s="112"/>
      <c r="H353" s="111"/>
      <c r="I353" s="111"/>
      <c r="J353" s="111"/>
      <c r="K353" s="111"/>
      <c r="L353" s="111"/>
      <c r="M353" s="111"/>
      <c r="N353" s="112"/>
      <c r="U353" s="112"/>
    </row>
    <row r="354" spans="1:21" ht="17.25" customHeight="1">
      <c r="A354" s="112"/>
      <c r="B354" s="111"/>
      <c r="C354" s="111"/>
      <c r="D354" s="111"/>
      <c r="E354" s="111"/>
      <c r="F354" s="111"/>
      <c r="G354" s="112"/>
      <c r="H354" s="111"/>
      <c r="I354" s="111"/>
      <c r="J354" s="111"/>
      <c r="K354" s="111"/>
      <c r="L354" s="111"/>
      <c r="M354" s="111"/>
      <c r="N354" s="112"/>
      <c r="U354" s="112"/>
    </row>
    <row r="355" spans="1:21" ht="17.25" customHeight="1">
      <c r="A355" s="112"/>
      <c r="B355" s="111"/>
      <c r="C355" s="111"/>
      <c r="D355" s="111"/>
      <c r="E355" s="111"/>
      <c r="F355" s="111"/>
      <c r="G355" s="112"/>
      <c r="H355" s="111"/>
      <c r="I355" s="111"/>
      <c r="J355" s="111"/>
      <c r="K355" s="111"/>
      <c r="L355" s="111"/>
      <c r="M355" s="111"/>
      <c r="N355" s="112"/>
      <c r="U355" s="112"/>
    </row>
    <row r="356" spans="1:21" ht="17.25" customHeight="1">
      <c r="A356" s="112"/>
      <c r="B356" s="111"/>
      <c r="C356" s="111"/>
      <c r="D356" s="111"/>
      <c r="E356" s="111"/>
      <c r="F356" s="111"/>
      <c r="G356" s="112"/>
      <c r="H356" s="111"/>
      <c r="I356" s="111"/>
      <c r="J356" s="111"/>
      <c r="K356" s="111"/>
      <c r="L356" s="111"/>
      <c r="M356" s="111"/>
      <c r="N356" s="112"/>
      <c r="U356" s="112"/>
    </row>
    <row r="357" spans="1:21" ht="17.25" customHeight="1">
      <c r="A357" s="112"/>
      <c r="B357" s="111"/>
      <c r="C357" s="111"/>
      <c r="D357" s="111"/>
      <c r="E357" s="111"/>
      <c r="F357" s="111"/>
      <c r="G357" s="112"/>
      <c r="H357" s="111"/>
      <c r="I357" s="111"/>
      <c r="J357" s="111"/>
      <c r="K357" s="111"/>
      <c r="L357" s="111"/>
      <c r="M357" s="111"/>
      <c r="N357" s="112"/>
      <c r="U357" s="112"/>
    </row>
    <row r="358" spans="1:21" ht="17.25" customHeight="1">
      <c r="A358" s="112"/>
      <c r="B358" s="111"/>
      <c r="C358" s="111"/>
      <c r="D358" s="111"/>
      <c r="E358" s="111"/>
      <c r="F358" s="111"/>
      <c r="G358" s="112"/>
      <c r="H358" s="111"/>
      <c r="I358" s="111"/>
      <c r="J358" s="111"/>
      <c r="K358" s="111"/>
      <c r="L358" s="111"/>
      <c r="M358" s="111"/>
      <c r="N358" s="112"/>
      <c r="U358" s="112"/>
    </row>
    <row r="359" spans="1:21" ht="17.25" customHeight="1">
      <c r="A359" s="112"/>
      <c r="B359" s="111"/>
      <c r="C359" s="111"/>
      <c r="D359" s="111"/>
      <c r="E359" s="111"/>
      <c r="F359" s="111"/>
      <c r="G359" s="112"/>
      <c r="H359" s="111"/>
      <c r="I359" s="111"/>
      <c r="J359" s="111"/>
      <c r="K359" s="111"/>
      <c r="L359" s="111"/>
      <c r="M359" s="111"/>
      <c r="N359" s="112"/>
      <c r="U359" s="112"/>
    </row>
    <row r="360" spans="1:21" ht="17.25" customHeight="1">
      <c r="A360" s="112"/>
      <c r="B360" s="111"/>
      <c r="C360" s="111"/>
      <c r="D360" s="111"/>
      <c r="E360" s="111"/>
      <c r="F360" s="111"/>
      <c r="G360" s="112"/>
      <c r="H360" s="111"/>
      <c r="I360" s="111"/>
      <c r="J360" s="111"/>
      <c r="K360" s="111"/>
      <c r="L360" s="111"/>
      <c r="M360" s="111"/>
      <c r="N360" s="112"/>
      <c r="U360" s="112"/>
    </row>
    <row r="361" spans="1:21" ht="17.25" customHeight="1">
      <c r="A361" s="112"/>
      <c r="B361" s="111"/>
      <c r="C361" s="111"/>
      <c r="D361" s="111"/>
      <c r="E361" s="111"/>
      <c r="F361" s="111"/>
      <c r="G361" s="112"/>
      <c r="H361" s="111"/>
      <c r="I361" s="111"/>
      <c r="J361" s="111"/>
      <c r="K361" s="111"/>
      <c r="L361" s="111"/>
      <c r="M361" s="111"/>
      <c r="N361" s="112"/>
      <c r="U361" s="112"/>
    </row>
    <row r="362" spans="1:21" ht="17.25" customHeight="1">
      <c r="A362" s="112"/>
      <c r="B362" s="111"/>
      <c r="C362" s="111"/>
      <c r="D362" s="111"/>
      <c r="E362" s="111"/>
      <c r="F362" s="111"/>
      <c r="G362" s="112"/>
      <c r="H362" s="111"/>
      <c r="I362" s="111"/>
      <c r="J362" s="111"/>
      <c r="K362" s="111"/>
      <c r="L362" s="111"/>
      <c r="M362" s="111"/>
      <c r="N362" s="112"/>
      <c r="U362" s="112"/>
    </row>
    <row r="363" spans="1:21" ht="17.25" customHeight="1">
      <c r="A363" s="112"/>
      <c r="B363" s="111"/>
      <c r="C363" s="111"/>
      <c r="D363" s="111"/>
      <c r="E363" s="111"/>
      <c r="F363" s="111"/>
      <c r="G363" s="112"/>
      <c r="H363" s="111"/>
      <c r="I363" s="111"/>
      <c r="J363" s="111"/>
      <c r="K363" s="111"/>
      <c r="L363" s="111"/>
      <c r="M363" s="111"/>
      <c r="N363" s="112"/>
      <c r="U363" s="112"/>
    </row>
    <row r="364" spans="1:21" ht="17.25" customHeight="1">
      <c r="A364" s="112"/>
      <c r="B364" s="111"/>
      <c r="C364" s="111"/>
      <c r="D364" s="111"/>
      <c r="E364" s="111"/>
      <c r="F364" s="111"/>
      <c r="G364" s="112"/>
      <c r="H364" s="111"/>
      <c r="I364" s="111"/>
      <c r="J364" s="111"/>
      <c r="K364" s="111"/>
      <c r="L364" s="111"/>
      <c r="M364" s="111"/>
      <c r="N364" s="112"/>
      <c r="U364" s="112"/>
    </row>
    <row r="365" spans="1:21" ht="17.25" customHeight="1">
      <c r="A365" s="112"/>
      <c r="B365" s="111"/>
      <c r="C365" s="111"/>
      <c r="D365" s="111"/>
      <c r="E365" s="111"/>
      <c r="F365" s="111"/>
      <c r="G365" s="112"/>
      <c r="H365" s="111"/>
      <c r="I365" s="111"/>
      <c r="J365" s="111"/>
      <c r="K365" s="111"/>
      <c r="L365" s="111"/>
      <c r="M365" s="111"/>
      <c r="N365" s="112"/>
      <c r="U365" s="112"/>
    </row>
    <row r="366" spans="1:21" ht="17.25" customHeight="1">
      <c r="A366" s="112"/>
      <c r="B366" s="111"/>
      <c r="C366" s="111"/>
      <c r="D366" s="111"/>
      <c r="E366" s="111"/>
      <c r="F366" s="111"/>
      <c r="G366" s="112"/>
      <c r="H366" s="111"/>
      <c r="I366" s="111"/>
      <c r="J366" s="111"/>
      <c r="K366" s="111"/>
      <c r="L366" s="111"/>
      <c r="M366" s="111"/>
      <c r="N366" s="112"/>
      <c r="U366" s="112"/>
    </row>
    <row r="367" spans="1:21" ht="17.25" customHeight="1">
      <c r="A367" s="112"/>
      <c r="B367" s="111"/>
      <c r="C367" s="111"/>
      <c r="D367" s="111"/>
      <c r="E367" s="111"/>
      <c r="F367" s="111"/>
      <c r="G367" s="112"/>
      <c r="H367" s="111"/>
      <c r="I367" s="111"/>
      <c r="J367" s="111"/>
      <c r="K367" s="111"/>
      <c r="L367" s="111"/>
      <c r="M367" s="111"/>
      <c r="N367" s="112"/>
      <c r="U367" s="112"/>
    </row>
    <row r="368" spans="1:21" ht="17.25" customHeight="1">
      <c r="A368" s="112"/>
      <c r="B368" s="111"/>
      <c r="C368" s="111"/>
      <c r="D368" s="111"/>
      <c r="E368" s="111"/>
      <c r="F368" s="111"/>
      <c r="G368" s="112"/>
      <c r="H368" s="111"/>
      <c r="I368" s="111"/>
      <c r="J368" s="111"/>
      <c r="K368" s="111"/>
      <c r="L368" s="111"/>
      <c r="M368" s="111"/>
      <c r="N368" s="112"/>
      <c r="U368" s="112"/>
    </row>
    <row r="369" spans="1:21" ht="17.25" customHeight="1">
      <c r="A369" s="112"/>
      <c r="B369" s="111"/>
      <c r="C369" s="111"/>
      <c r="D369" s="111"/>
      <c r="E369" s="111"/>
      <c r="F369" s="111"/>
      <c r="G369" s="112"/>
      <c r="H369" s="111"/>
      <c r="I369" s="111"/>
      <c r="J369" s="111"/>
      <c r="K369" s="111"/>
      <c r="L369" s="111"/>
      <c r="M369" s="111"/>
      <c r="N369" s="112"/>
      <c r="U369" s="112"/>
    </row>
    <row r="370" spans="1:21" ht="17.25" customHeight="1">
      <c r="A370" s="112"/>
      <c r="B370" s="111"/>
      <c r="C370" s="111"/>
      <c r="D370" s="111"/>
      <c r="E370" s="111"/>
      <c r="F370" s="111"/>
      <c r="G370" s="112"/>
      <c r="H370" s="111"/>
      <c r="I370" s="111"/>
      <c r="J370" s="111"/>
      <c r="K370" s="111"/>
      <c r="L370" s="111"/>
      <c r="M370" s="111"/>
      <c r="N370" s="112"/>
      <c r="U370" s="112"/>
    </row>
    <row r="371" spans="1:21" ht="17.25" customHeight="1">
      <c r="A371" s="112"/>
      <c r="B371" s="111"/>
      <c r="C371" s="111"/>
      <c r="D371" s="111"/>
      <c r="E371" s="111"/>
      <c r="F371" s="111"/>
      <c r="G371" s="112"/>
      <c r="H371" s="111"/>
      <c r="I371" s="111"/>
      <c r="J371" s="111"/>
      <c r="K371" s="111"/>
      <c r="L371" s="111"/>
      <c r="M371" s="111"/>
      <c r="N371" s="112"/>
      <c r="U371" s="112"/>
    </row>
    <row r="372" spans="1:21" ht="17.25" customHeight="1">
      <c r="A372" s="112"/>
      <c r="B372" s="111"/>
      <c r="C372" s="111"/>
      <c r="D372" s="111"/>
      <c r="E372" s="111"/>
      <c r="F372" s="111"/>
      <c r="G372" s="112"/>
      <c r="H372" s="111"/>
      <c r="I372" s="111"/>
      <c r="J372" s="111"/>
      <c r="K372" s="111"/>
      <c r="L372" s="111"/>
      <c r="M372" s="111"/>
      <c r="N372" s="112"/>
      <c r="U372" s="112"/>
    </row>
    <row r="373" spans="1:21" ht="17.25" customHeight="1">
      <c r="A373" s="112"/>
      <c r="B373" s="111"/>
      <c r="C373" s="111"/>
      <c r="D373" s="111"/>
      <c r="E373" s="111"/>
      <c r="F373" s="111"/>
      <c r="G373" s="112"/>
      <c r="H373" s="111"/>
      <c r="I373" s="111"/>
      <c r="J373" s="111"/>
      <c r="K373" s="111"/>
      <c r="L373" s="111"/>
      <c r="M373" s="111"/>
      <c r="N373" s="112"/>
      <c r="U373" s="112"/>
    </row>
    <row r="374" spans="1:21" ht="17.25" customHeight="1">
      <c r="A374" s="112"/>
      <c r="B374" s="111"/>
      <c r="C374" s="111"/>
      <c r="D374" s="111"/>
      <c r="E374" s="111"/>
      <c r="F374" s="111"/>
      <c r="G374" s="112"/>
      <c r="H374" s="111"/>
      <c r="I374" s="111"/>
      <c r="J374" s="111"/>
      <c r="K374" s="111"/>
      <c r="L374" s="111"/>
      <c r="M374" s="111"/>
      <c r="N374" s="112"/>
      <c r="U374" s="112"/>
    </row>
    <row r="375" spans="1:21" ht="17.25" customHeight="1">
      <c r="A375" s="112"/>
      <c r="B375" s="111"/>
      <c r="C375" s="111"/>
      <c r="D375" s="111"/>
      <c r="E375" s="111"/>
      <c r="F375" s="111"/>
      <c r="G375" s="112"/>
      <c r="H375" s="111"/>
      <c r="I375" s="111"/>
      <c r="J375" s="111"/>
      <c r="K375" s="111"/>
      <c r="L375" s="111"/>
      <c r="M375" s="111"/>
      <c r="N375" s="112"/>
      <c r="U375" s="112"/>
    </row>
    <row r="376" spans="1:21" ht="17.25" customHeight="1">
      <c r="A376" s="112"/>
      <c r="B376" s="111"/>
      <c r="C376" s="111"/>
      <c r="D376" s="111"/>
      <c r="E376" s="111"/>
      <c r="F376" s="111"/>
      <c r="G376" s="112"/>
      <c r="H376" s="111"/>
      <c r="I376" s="111"/>
      <c r="J376" s="111"/>
      <c r="K376" s="111"/>
      <c r="L376" s="111"/>
      <c r="M376" s="111"/>
      <c r="N376" s="112"/>
      <c r="U376" s="112"/>
    </row>
    <row r="377" spans="1:21" ht="17.25" customHeight="1">
      <c r="A377" s="112"/>
      <c r="B377" s="111"/>
      <c r="C377" s="111"/>
      <c r="D377" s="111"/>
      <c r="E377" s="111"/>
      <c r="F377" s="111"/>
      <c r="G377" s="112"/>
      <c r="H377" s="111"/>
      <c r="I377" s="111"/>
      <c r="J377" s="111"/>
      <c r="K377" s="111"/>
      <c r="L377" s="111"/>
      <c r="M377" s="111"/>
      <c r="N377" s="112"/>
      <c r="U377" s="112"/>
    </row>
    <row r="378" spans="1:21" ht="17.25" customHeight="1">
      <c r="A378" s="112"/>
      <c r="B378" s="111"/>
      <c r="C378" s="111"/>
      <c r="D378" s="111"/>
      <c r="E378" s="111"/>
      <c r="F378" s="111"/>
      <c r="G378" s="112"/>
      <c r="H378" s="111"/>
      <c r="I378" s="111"/>
      <c r="J378" s="111"/>
      <c r="K378" s="111"/>
      <c r="L378" s="111"/>
      <c r="M378" s="111"/>
      <c r="N378" s="112"/>
      <c r="U378" s="112"/>
    </row>
    <row r="379" spans="1:21" ht="17.25" customHeight="1">
      <c r="A379" s="112"/>
      <c r="B379" s="111"/>
      <c r="C379" s="111"/>
      <c r="D379" s="111"/>
      <c r="E379" s="111"/>
      <c r="F379" s="111"/>
      <c r="G379" s="112"/>
      <c r="H379" s="111"/>
      <c r="I379" s="111"/>
      <c r="J379" s="111"/>
      <c r="K379" s="111"/>
      <c r="L379" s="111"/>
      <c r="M379" s="111"/>
      <c r="N379" s="112"/>
      <c r="U379" s="112"/>
    </row>
    <row r="380" spans="1:21" ht="17.25" customHeight="1">
      <c r="A380" s="112"/>
      <c r="B380" s="111"/>
      <c r="C380" s="111"/>
      <c r="D380" s="111"/>
      <c r="E380" s="111"/>
      <c r="F380" s="111"/>
      <c r="G380" s="112"/>
      <c r="H380" s="111"/>
      <c r="I380" s="111"/>
      <c r="J380" s="111"/>
      <c r="K380" s="111"/>
      <c r="L380" s="111"/>
      <c r="M380" s="111"/>
      <c r="N380" s="112"/>
      <c r="U380" s="112"/>
    </row>
    <row r="381" spans="1:21" ht="17.25" customHeight="1">
      <c r="A381" s="112"/>
      <c r="B381" s="111"/>
      <c r="C381" s="111"/>
      <c r="D381" s="111"/>
      <c r="E381" s="111"/>
      <c r="F381" s="111"/>
      <c r="G381" s="112"/>
      <c r="H381" s="111"/>
      <c r="I381" s="111"/>
      <c r="J381" s="111"/>
      <c r="K381" s="111"/>
      <c r="L381" s="111"/>
      <c r="M381" s="111"/>
      <c r="N381" s="112"/>
      <c r="U381" s="112"/>
    </row>
    <row r="382" spans="1:21" ht="17.25" customHeight="1">
      <c r="A382" s="112"/>
      <c r="B382" s="111"/>
      <c r="C382" s="111"/>
      <c r="D382" s="111"/>
      <c r="E382" s="111"/>
      <c r="F382" s="111"/>
      <c r="G382" s="112"/>
      <c r="H382" s="111"/>
      <c r="I382" s="111"/>
      <c r="J382" s="111"/>
      <c r="K382" s="111"/>
      <c r="L382" s="111"/>
      <c r="M382" s="111"/>
      <c r="N382" s="112"/>
      <c r="U382" s="112"/>
    </row>
    <row r="383" spans="1:21" ht="17.25" customHeight="1">
      <c r="A383" s="112"/>
      <c r="B383" s="111"/>
      <c r="C383" s="111"/>
      <c r="D383" s="111"/>
      <c r="E383" s="111"/>
      <c r="F383" s="111"/>
      <c r="G383" s="112"/>
      <c r="H383" s="111"/>
      <c r="I383" s="111"/>
      <c r="J383" s="111"/>
      <c r="K383" s="111"/>
      <c r="L383" s="111"/>
      <c r="M383" s="111"/>
      <c r="N383" s="112"/>
      <c r="U383" s="112"/>
    </row>
    <row r="384" spans="1:21" ht="17.25" customHeight="1">
      <c r="A384" s="112"/>
      <c r="B384" s="111"/>
      <c r="C384" s="111"/>
      <c r="D384" s="111"/>
      <c r="E384" s="111"/>
      <c r="F384" s="111"/>
      <c r="G384" s="112"/>
      <c r="H384" s="111"/>
      <c r="I384" s="111"/>
      <c r="J384" s="111"/>
      <c r="K384" s="111"/>
      <c r="L384" s="111"/>
      <c r="M384" s="111"/>
      <c r="N384" s="112"/>
      <c r="U384" s="112"/>
    </row>
    <row r="385" spans="1:21" ht="17.25" customHeight="1">
      <c r="A385" s="112"/>
      <c r="B385" s="111"/>
      <c r="C385" s="111"/>
      <c r="D385" s="111"/>
      <c r="E385" s="111"/>
      <c r="F385" s="111"/>
      <c r="G385" s="112"/>
      <c r="H385" s="111"/>
      <c r="I385" s="111"/>
      <c r="J385" s="111"/>
      <c r="K385" s="111"/>
      <c r="L385" s="111"/>
      <c r="M385" s="111"/>
      <c r="N385" s="112"/>
      <c r="U385" s="112"/>
    </row>
    <row r="386" spans="1:21" ht="17.25" customHeight="1">
      <c r="A386" s="112"/>
      <c r="B386" s="111"/>
      <c r="C386" s="111"/>
      <c r="D386" s="111"/>
      <c r="E386" s="111"/>
      <c r="F386" s="111"/>
      <c r="G386" s="112"/>
      <c r="H386" s="111"/>
      <c r="I386" s="111"/>
      <c r="J386" s="111"/>
      <c r="K386" s="111"/>
      <c r="L386" s="111"/>
      <c r="M386" s="111"/>
      <c r="N386" s="112"/>
      <c r="U386" s="112"/>
    </row>
    <row r="387" spans="1:21" ht="17.25" customHeight="1">
      <c r="A387" s="112"/>
      <c r="B387" s="111"/>
      <c r="C387" s="111"/>
      <c r="D387" s="111"/>
      <c r="E387" s="111"/>
      <c r="F387" s="111"/>
      <c r="G387" s="112"/>
      <c r="H387" s="111"/>
      <c r="I387" s="111"/>
      <c r="J387" s="111"/>
      <c r="K387" s="111"/>
      <c r="L387" s="111"/>
      <c r="M387" s="111"/>
      <c r="N387" s="112"/>
      <c r="U387" s="112"/>
    </row>
    <row r="388" spans="1:21" ht="17.25" customHeight="1">
      <c r="A388" s="112"/>
      <c r="B388" s="111"/>
      <c r="C388" s="111"/>
      <c r="D388" s="111"/>
      <c r="E388" s="111"/>
      <c r="F388" s="111"/>
      <c r="G388" s="112"/>
      <c r="H388" s="111"/>
      <c r="I388" s="111"/>
      <c r="J388" s="111"/>
      <c r="K388" s="111"/>
      <c r="L388" s="111"/>
      <c r="M388" s="111"/>
      <c r="N388" s="112"/>
      <c r="U388" s="112"/>
    </row>
    <row r="389" spans="1:21" ht="17.25" customHeight="1">
      <c r="A389" s="112"/>
      <c r="B389" s="111"/>
      <c r="C389" s="111"/>
      <c r="D389" s="111"/>
      <c r="E389" s="111"/>
      <c r="F389" s="111"/>
      <c r="G389" s="112"/>
      <c r="H389" s="111"/>
      <c r="I389" s="111"/>
      <c r="J389" s="111"/>
      <c r="K389" s="111"/>
      <c r="L389" s="111"/>
      <c r="M389" s="111"/>
      <c r="N389" s="112"/>
      <c r="U389" s="112"/>
    </row>
    <row r="390" spans="1:21" ht="17.25" customHeight="1">
      <c r="A390" s="112"/>
      <c r="B390" s="111"/>
      <c r="C390" s="111"/>
      <c r="D390" s="111"/>
      <c r="E390" s="111"/>
      <c r="F390" s="111"/>
      <c r="G390" s="112"/>
      <c r="H390" s="111"/>
      <c r="I390" s="111"/>
      <c r="J390" s="111"/>
      <c r="K390" s="111"/>
      <c r="L390" s="111"/>
      <c r="M390" s="111"/>
      <c r="N390" s="112"/>
      <c r="U390" s="112"/>
    </row>
    <row r="391" spans="1:21" ht="17.25" customHeight="1">
      <c r="A391" s="112"/>
      <c r="B391" s="111"/>
      <c r="C391" s="111"/>
      <c r="D391" s="111"/>
      <c r="E391" s="111"/>
      <c r="F391" s="111"/>
      <c r="G391" s="112"/>
      <c r="H391" s="111"/>
      <c r="I391" s="111"/>
      <c r="J391" s="111"/>
      <c r="K391" s="111"/>
      <c r="L391" s="111"/>
      <c r="M391" s="111"/>
      <c r="N391" s="112"/>
      <c r="U391" s="112"/>
    </row>
    <row r="392" spans="1:21" ht="17.25" customHeight="1">
      <c r="A392" s="112"/>
      <c r="B392" s="111"/>
      <c r="C392" s="111"/>
      <c r="D392" s="111"/>
      <c r="E392" s="111"/>
      <c r="F392" s="111"/>
      <c r="G392" s="112"/>
      <c r="H392" s="111"/>
      <c r="I392" s="111"/>
      <c r="J392" s="111"/>
      <c r="K392" s="111"/>
      <c r="L392" s="111"/>
      <c r="M392" s="111"/>
      <c r="N392" s="112"/>
      <c r="U392" s="112"/>
    </row>
    <row r="393" spans="1:21" ht="17.25" customHeight="1">
      <c r="A393" s="112"/>
      <c r="B393" s="111"/>
      <c r="C393" s="111"/>
      <c r="D393" s="111"/>
      <c r="E393" s="111"/>
      <c r="F393" s="111"/>
      <c r="G393" s="112"/>
      <c r="H393" s="111"/>
      <c r="I393" s="111"/>
      <c r="J393" s="111"/>
      <c r="K393" s="111"/>
      <c r="L393" s="111"/>
      <c r="M393" s="111"/>
      <c r="N393" s="112"/>
      <c r="U393" s="112"/>
    </row>
    <row r="394" spans="1:21" ht="17.25" customHeight="1">
      <c r="A394" s="112"/>
      <c r="B394" s="111"/>
      <c r="C394" s="111"/>
      <c r="D394" s="111"/>
      <c r="E394" s="111"/>
      <c r="F394" s="111"/>
      <c r="G394" s="112"/>
      <c r="H394" s="111"/>
      <c r="I394" s="111"/>
      <c r="J394" s="111"/>
      <c r="K394" s="111"/>
      <c r="L394" s="111"/>
      <c r="M394" s="111"/>
      <c r="N394" s="112"/>
      <c r="U394" s="112"/>
    </row>
    <row r="395" spans="1:21" ht="17.25" customHeight="1">
      <c r="A395" s="112"/>
      <c r="B395" s="111"/>
      <c r="C395" s="111"/>
      <c r="D395" s="111"/>
      <c r="E395" s="111"/>
      <c r="F395" s="111"/>
      <c r="G395" s="112"/>
      <c r="H395" s="111"/>
      <c r="I395" s="111"/>
      <c r="J395" s="111"/>
      <c r="K395" s="111"/>
      <c r="L395" s="111"/>
      <c r="M395" s="111"/>
      <c r="N395" s="112"/>
      <c r="U395" s="112"/>
    </row>
    <row r="396" spans="1:21" ht="17.25" customHeight="1">
      <c r="A396" s="112"/>
      <c r="B396" s="111"/>
      <c r="C396" s="111"/>
      <c r="D396" s="111"/>
      <c r="E396" s="111"/>
      <c r="F396" s="111"/>
      <c r="G396" s="112"/>
      <c r="H396" s="111"/>
      <c r="I396" s="111"/>
      <c r="J396" s="111"/>
      <c r="K396" s="111"/>
      <c r="L396" s="111"/>
      <c r="M396" s="111"/>
      <c r="N396" s="112"/>
      <c r="U396" s="112"/>
    </row>
    <row r="397" spans="1:21" ht="17.25" customHeight="1">
      <c r="A397" s="112"/>
      <c r="B397" s="111"/>
      <c r="C397" s="111"/>
      <c r="D397" s="111"/>
      <c r="E397" s="111"/>
      <c r="F397" s="111"/>
      <c r="G397" s="112"/>
      <c r="H397" s="111"/>
      <c r="I397" s="111"/>
      <c r="J397" s="111"/>
      <c r="K397" s="111"/>
      <c r="L397" s="111"/>
      <c r="M397" s="111"/>
      <c r="N397" s="112"/>
      <c r="U397" s="112"/>
    </row>
    <row r="398" spans="1:21" ht="17.25" customHeight="1">
      <c r="A398" s="112"/>
      <c r="B398" s="111"/>
      <c r="C398" s="111"/>
      <c r="D398" s="111"/>
      <c r="E398" s="111"/>
      <c r="F398" s="111"/>
      <c r="G398" s="112"/>
      <c r="H398" s="111"/>
      <c r="I398" s="111"/>
      <c r="J398" s="111"/>
      <c r="K398" s="111"/>
      <c r="L398" s="111"/>
      <c r="M398" s="111"/>
      <c r="N398" s="112"/>
      <c r="U398" s="112"/>
    </row>
    <row r="399" spans="1:21" ht="17.25" customHeight="1">
      <c r="A399" s="112"/>
      <c r="B399" s="111"/>
      <c r="C399" s="111"/>
      <c r="D399" s="111"/>
      <c r="E399" s="111"/>
      <c r="F399" s="111"/>
      <c r="G399" s="112"/>
      <c r="H399" s="111"/>
      <c r="I399" s="111"/>
      <c r="J399" s="111"/>
      <c r="K399" s="111"/>
      <c r="L399" s="111"/>
      <c r="M399" s="111"/>
      <c r="N399" s="112"/>
      <c r="U399" s="112"/>
    </row>
    <row r="400" spans="1:21" ht="17.25" customHeight="1">
      <c r="A400" s="112"/>
      <c r="B400" s="111"/>
      <c r="C400" s="111"/>
      <c r="D400" s="111"/>
      <c r="E400" s="111"/>
      <c r="F400" s="111"/>
      <c r="G400" s="112"/>
      <c r="H400" s="111"/>
      <c r="I400" s="111"/>
      <c r="J400" s="111"/>
      <c r="K400" s="111"/>
      <c r="L400" s="111"/>
      <c r="M400" s="111"/>
      <c r="N400" s="112"/>
      <c r="U400" s="112"/>
    </row>
    <row r="401" spans="1:21" ht="17.25" customHeight="1">
      <c r="A401" s="112"/>
      <c r="B401" s="111"/>
      <c r="C401" s="111"/>
      <c r="D401" s="111"/>
      <c r="E401" s="111"/>
      <c r="F401" s="111"/>
      <c r="G401" s="112"/>
      <c r="H401" s="111"/>
      <c r="I401" s="111"/>
      <c r="J401" s="111"/>
      <c r="K401" s="111"/>
      <c r="L401" s="111"/>
      <c r="M401" s="111"/>
      <c r="N401" s="112"/>
      <c r="U401" s="112"/>
    </row>
    <row r="402" spans="1:21" ht="17.25" customHeight="1">
      <c r="A402" s="112"/>
      <c r="B402" s="111"/>
      <c r="C402" s="111"/>
      <c r="D402" s="111"/>
      <c r="E402" s="111"/>
      <c r="F402" s="111"/>
      <c r="G402" s="112"/>
      <c r="H402" s="111"/>
      <c r="I402" s="111"/>
      <c r="J402" s="111"/>
      <c r="K402" s="111"/>
      <c r="L402" s="111"/>
      <c r="M402" s="111"/>
      <c r="N402" s="112"/>
      <c r="U402" s="112"/>
    </row>
    <row r="403" spans="1:21" ht="17.25" customHeight="1">
      <c r="A403" s="112"/>
      <c r="B403" s="111"/>
      <c r="C403" s="111"/>
      <c r="D403" s="111"/>
      <c r="E403" s="111"/>
      <c r="F403" s="111"/>
      <c r="G403" s="112"/>
      <c r="H403" s="111"/>
      <c r="I403" s="111"/>
      <c r="J403" s="111"/>
      <c r="K403" s="111"/>
      <c r="L403" s="111"/>
      <c r="M403" s="111"/>
      <c r="N403" s="112"/>
      <c r="U403" s="112"/>
    </row>
    <row r="404" spans="1:21" ht="17.25" customHeight="1">
      <c r="A404" s="112"/>
      <c r="B404" s="111"/>
      <c r="C404" s="111"/>
      <c r="D404" s="111"/>
      <c r="E404" s="111"/>
      <c r="F404" s="111"/>
      <c r="G404" s="112"/>
      <c r="H404" s="111"/>
      <c r="I404" s="111"/>
      <c r="J404" s="111"/>
      <c r="K404" s="111"/>
      <c r="L404" s="111"/>
      <c r="M404" s="111"/>
      <c r="N404" s="112"/>
      <c r="U404" s="112"/>
    </row>
    <row r="405" spans="1:21" ht="17.25" customHeight="1">
      <c r="A405" s="112"/>
      <c r="B405" s="111"/>
      <c r="C405" s="111"/>
      <c r="D405" s="111"/>
      <c r="E405" s="111"/>
      <c r="F405" s="111"/>
      <c r="G405" s="112"/>
      <c r="H405" s="111"/>
      <c r="I405" s="111"/>
      <c r="J405" s="111"/>
      <c r="K405" s="111"/>
      <c r="L405" s="111"/>
      <c r="M405" s="111"/>
      <c r="N405" s="112"/>
      <c r="U405" s="112"/>
    </row>
    <row r="406" spans="1:21" ht="17.25" customHeight="1">
      <c r="A406" s="112"/>
      <c r="B406" s="111"/>
      <c r="C406" s="111"/>
      <c r="D406" s="111"/>
      <c r="E406" s="111"/>
      <c r="F406" s="111"/>
      <c r="G406" s="112"/>
      <c r="H406" s="111"/>
      <c r="I406" s="111"/>
      <c r="J406" s="111"/>
      <c r="K406" s="111"/>
      <c r="L406" s="111"/>
      <c r="M406" s="111"/>
      <c r="N406" s="112"/>
      <c r="U406" s="112"/>
    </row>
    <row r="407" spans="1:21" ht="17.25" customHeight="1">
      <c r="A407" s="112"/>
      <c r="B407" s="111"/>
      <c r="C407" s="111"/>
      <c r="D407" s="111"/>
      <c r="E407" s="111"/>
      <c r="F407" s="111"/>
      <c r="G407" s="112"/>
      <c r="H407" s="111"/>
      <c r="I407" s="111"/>
      <c r="J407" s="111"/>
      <c r="K407" s="111"/>
      <c r="L407" s="111"/>
      <c r="M407" s="111"/>
      <c r="N407" s="112"/>
      <c r="U407" s="112"/>
    </row>
    <row r="408" spans="1:21" ht="17.25" customHeight="1">
      <c r="A408" s="112"/>
      <c r="B408" s="111"/>
      <c r="C408" s="111"/>
      <c r="D408" s="111"/>
      <c r="E408" s="111"/>
      <c r="F408" s="111"/>
      <c r="G408" s="112"/>
      <c r="H408" s="111"/>
      <c r="I408" s="111"/>
      <c r="J408" s="111"/>
      <c r="K408" s="111"/>
      <c r="L408" s="111"/>
      <c r="M408" s="111"/>
      <c r="N408" s="112"/>
      <c r="U408" s="112"/>
    </row>
    <row r="409" spans="1:21" ht="17.25" customHeight="1">
      <c r="A409" s="112"/>
      <c r="B409" s="111"/>
      <c r="C409" s="111"/>
      <c r="D409" s="111"/>
      <c r="E409" s="111"/>
      <c r="F409" s="111"/>
      <c r="G409" s="112"/>
      <c r="H409" s="111"/>
      <c r="I409" s="111"/>
      <c r="J409" s="111"/>
      <c r="K409" s="111"/>
      <c r="L409" s="111"/>
      <c r="M409" s="111"/>
      <c r="N409" s="112"/>
      <c r="U409" s="112"/>
    </row>
    <row r="410" spans="1:21" ht="17.25" customHeight="1">
      <c r="A410" s="112"/>
      <c r="B410" s="111"/>
      <c r="C410" s="111"/>
      <c r="D410" s="111"/>
      <c r="E410" s="111"/>
      <c r="F410" s="111"/>
      <c r="G410" s="112"/>
      <c r="H410" s="111"/>
      <c r="I410" s="111"/>
      <c r="J410" s="111"/>
      <c r="K410" s="111"/>
      <c r="L410" s="111"/>
      <c r="M410" s="111"/>
      <c r="N410" s="112"/>
      <c r="U410" s="112"/>
    </row>
    <row r="411" spans="1:21" ht="17.25" customHeight="1">
      <c r="A411" s="112"/>
      <c r="B411" s="111"/>
      <c r="C411" s="111"/>
      <c r="D411" s="111"/>
      <c r="E411" s="111"/>
      <c r="F411" s="111"/>
      <c r="G411" s="112"/>
      <c r="H411" s="111"/>
      <c r="I411" s="111"/>
      <c r="J411" s="111"/>
      <c r="K411" s="111"/>
      <c r="L411" s="111"/>
      <c r="M411" s="111"/>
      <c r="N411" s="112"/>
      <c r="U411" s="112"/>
    </row>
    <row r="412" spans="1:21" ht="17.25" customHeight="1">
      <c r="A412" s="112"/>
      <c r="B412" s="111"/>
      <c r="C412" s="111"/>
      <c r="D412" s="111"/>
      <c r="E412" s="111"/>
      <c r="F412" s="111"/>
      <c r="G412" s="112"/>
      <c r="H412" s="111"/>
      <c r="I412" s="111"/>
      <c r="J412" s="111"/>
      <c r="K412" s="111"/>
      <c r="L412" s="111"/>
      <c r="M412" s="111"/>
      <c r="N412" s="112"/>
      <c r="U412" s="112"/>
    </row>
    <row r="413" spans="1:21" ht="17.25" customHeight="1">
      <c r="A413" s="112"/>
      <c r="B413" s="111"/>
      <c r="C413" s="111"/>
      <c r="D413" s="111"/>
      <c r="E413" s="111"/>
      <c r="F413" s="111"/>
      <c r="G413" s="112"/>
      <c r="H413" s="111"/>
      <c r="I413" s="111"/>
      <c r="J413" s="111"/>
      <c r="K413" s="111"/>
      <c r="L413" s="111"/>
      <c r="M413" s="111"/>
      <c r="N413" s="112"/>
      <c r="U413" s="112"/>
    </row>
    <row r="414" spans="1:21" ht="17.25" customHeight="1">
      <c r="A414" s="112"/>
      <c r="B414" s="111"/>
      <c r="C414" s="111"/>
      <c r="D414" s="111"/>
      <c r="E414" s="111"/>
      <c r="F414" s="111"/>
      <c r="G414" s="112"/>
      <c r="H414" s="111"/>
      <c r="I414" s="111"/>
      <c r="J414" s="111"/>
      <c r="K414" s="111"/>
      <c r="L414" s="111"/>
      <c r="M414" s="111"/>
      <c r="N414" s="112"/>
      <c r="U414" s="112"/>
    </row>
    <row r="415" spans="1:21" ht="17.25" customHeight="1">
      <c r="A415" s="112"/>
      <c r="B415" s="111"/>
      <c r="C415" s="111"/>
      <c r="D415" s="111"/>
      <c r="E415" s="111"/>
      <c r="F415" s="111"/>
      <c r="G415" s="112"/>
      <c r="H415" s="111"/>
      <c r="I415" s="111"/>
      <c r="J415" s="111"/>
      <c r="K415" s="111"/>
      <c r="L415" s="111"/>
      <c r="M415" s="111"/>
      <c r="N415" s="112"/>
      <c r="U415" s="112"/>
    </row>
    <row r="416" spans="1:21" ht="17.25" customHeight="1">
      <c r="A416" s="112"/>
      <c r="B416" s="111"/>
      <c r="C416" s="111"/>
      <c r="D416" s="111"/>
      <c r="E416" s="111"/>
      <c r="F416" s="111"/>
      <c r="G416" s="112"/>
      <c r="H416" s="111"/>
      <c r="I416" s="111"/>
      <c r="J416" s="111"/>
      <c r="K416" s="111"/>
      <c r="L416" s="111"/>
      <c r="M416" s="111"/>
      <c r="N416" s="112"/>
      <c r="U416" s="112"/>
    </row>
    <row r="417" spans="1:21" ht="17.25" customHeight="1">
      <c r="A417" s="112"/>
      <c r="B417" s="111"/>
      <c r="C417" s="111"/>
      <c r="D417" s="111"/>
      <c r="E417" s="111"/>
      <c r="F417" s="111"/>
      <c r="G417" s="112"/>
      <c r="H417" s="111"/>
      <c r="I417" s="111"/>
      <c r="J417" s="111"/>
      <c r="K417" s="111"/>
      <c r="L417" s="111"/>
      <c r="M417" s="111"/>
      <c r="N417" s="112"/>
      <c r="U417" s="112"/>
    </row>
    <row r="418" spans="1:21" ht="17.25" customHeight="1">
      <c r="A418" s="112"/>
      <c r="B418" s="111"/>
      <c r="C418" s="111"/>
      <c r="D418" s="111"/>
      <c r="E418" s="111"/>
      <c r="F418" s="111"/>
      <c r="G418" s="112"/>
      <c r="H418" s="111"/>
      <c r="I418" s="111"/>
      <c r="J418" s="111"/>
      <c r="K418" s="111"/>
      <c r="L418" s="111"/>
      <c r="M418" s="111"/>
      <c r="N418" s="112"/>
      <c r="U418" s="112"/>
    </row>
    <row r="419" spans="1:21" ht="17.25" customHeight="1">
      <c r="A419" s="112"/>
      <c r="B419" s="111"/>
      <c r="C419" s="111"/>
      <c r="D419" s="111"/>
      <c r="E419" s="111"/>
      <c r="F419" s="111"/>
      <c r="G419" s="112"/>
      <c r="H419" s="111"/>
      <c r="I419" s="111"/>
      <c r="J419" s="111"/>
      <c r="K419" s="111"/>
      <c r="L419" s="111"/>
      <c r="M419" s="111"/>
      <c r="N419" s="112"/>
      <c r="U419" s="112"/>
    </row>
    <row r="420" spans="1:21" ht="17.25" customHeight="1">
      <c r="A420" s="112"/>
      <c r="B420" s="111"/>
      <c r="C420" s="111"/>
      <c r="D420" s="111"/>
      <c r="E420" s="111"/>
      <c r="F420" s="111"/>
      <c r="G420" s="112"/>
      <c r="H420" s="111"/>
      <c r="I420" s="111"/>
      <c r="J420" s="111"/>
      <c r="K420" s="111"/>
      <c r="L420" s="111"/>
      <c r="M420" s="111"/>
      <c r="N420" s="112"/>
      <c r="U420" s="112"/>
    </row>
    <row r="421" spans="1:21" ht="17.25" customHeight="1">
      <c r="A421" s="112"/>
      <c r="B421" s="111"/>
      <c r="C421" s="111"/>
      <c r="D421" s="111"/>
      <c r="E421" s="111"/>
      <c r="F421" s="111"/>
      <c r="G421" s="112"/>
      <c r="H421" s="111"/>
      <c r="I421" s="111"/>
      <c r="J421" s="111"/>
      <c r="K421" s="111"/>
      <c r="L421" s="111"/>
      <c r="M421" s="111"/>
      <c r="N421" s="112"/>
      <c r="U421" s="112"/>
    </row>
    <row r="422" spans="1:21" ht="17.25" customHeight="1">
      <c r="A422" s="112"/>
      <c r="B422" s="111"/>
      <c r="C422" s="111"/>
      <c r="D422" s="111"/>
      <c r="E422" s="111"/>
      <c r="F422" s="111"/>
      <c r="G422" s="112"/>
      <c r="H422" s="111"/>
      <c r="I422" s="111"/>
      <c r="J422" s="111"/>
      <c r="K422" s="111"/>
      <c r="L422" s="111"/>
      <c r="M422" s="111"/>
      <c r="N422" s="112"/>
      <c r="U422" s="112"/>
    </row>
    <row r="423" spans="1:21" ht="17.25" customHeight="1">
      <c r="A423" s="112"/>
      <c r="B423" s="111"/>
      <c r="C423" s="111"/>
      <c r="D423" s="111"/>
      <c r="E423" s="111"/>
      <c r="F423" s="111"/>
      <c r="G423" s="112"/>
      <c r="H423" s="111"/>
      <c r="I423" s="111"/>
      <c r="J423" s="111"/>
      <c r="K423" s="111"/>
      <c r="L423" s="111"/>
      <c r="M423" s="111"/>
      <c r="N423" s="112"/>
      <c r="U423" s="112"/>
    </row>
    <row r="424" spans="1:21" ht="17.25" customHeight="1">
      <c r="A424" s="112"/>
      <c r="B424" s="111"/>
      <c r="C424" s="111"/>
      <c r="D424" s="111"/>
      <c r="E424" s="111"/>
      <c r="F424" s="111"/>
      <c r="G424" s="112"/>
      <c r="H424" s="111"/>
      <c r="I424" s="111"/>
      <c r="J424" s="111"/>
      <c r="K424" s="111"/>
      <c r="L424" s="111"/>
      <c r="M424" s="111"/>
      <c r="N424" s="112"/>
      <c r="U424" s="112"/>
    </row>
    <row r="425" spans="1:21" ht="17.25" customHeight="1">
      <c r="A425" s="112"/>
      <c r="B425" s="111"/>
      <c r="C425" s="111"/>
      <c r="D425" s="111"/>
      <c r="E425" s="111"/>
      <c r="F425" s="111"/>
      <c r="G425" s="112"/>
      <c r="H425" s="111"/>
      <c r="I425" s="111"/>
      <c r="J425" s="111"/>
      <c r="K425" s="111"/>
      <c r="L425" s="111"/>
      <c r="M425" s="111"/>
      <c r="N425" s="112"/>
      <c r="U425" s="112"/>
    </row>
    <row r="426" spans="1:21" ht="17.25" customHeight="1">
      <c r="A426" s="112"/>
      <c r="B426" s="111"/>
      <c r="C426" s="111"/>
      <c r="D426" s="111"/>
      <c r="E426" s="111"/>
      <c r="F426" s="111"/>
      <c r="G426" s="112"/>
      <c r="H426" s="111"/>
      <c r="I426" s="111"/>
      <c r="J426" s="111"/>
      <c r="K426" s="111"/>
      <c r="L426" s="111"/>
      <c r="M426" s="111"/>
      <c r="N426" s="112"/>
      <c r="U426" s="112"/>
    </row>
    <row r="427" spans="1:21" ht="17.25" customHeight="1">
      <c r="A427" s="112"/>
      <c r="B427" s="111"/>
      <c r="C427" s="111"/>
      <c r="D427" s="111"/>
      <c r="E427" s="111"/>
      <c r="F427" s="111"/>
      <c r="G427" s="112"/>
      <c r="H427" s="111"/>
      <c r="I427" s="111"/>
      <c r="J427" s="111"/>
      <c r="K427" s="111"/>
      <c r="L427" s="111"/>
      <c r="M427" s="111"/>
      <c r="N427" s="112"/>
      <c r="U427" s="112"/>
    </row>
    <row r="428" spans="1:21" ht="17.25" customHeight="1">
      <c r="A428" s="112"/>
      <c r="B428" s="111"/>
      <c r="C428" s="111"/>
      <c r="D428" s="111"/>
      <c r="E428" s="111"/>
      <c r="F428" s="111"/>
      <c r="G428" s="112"/>
      <c r="H428" s="111"/>
      <c r="I428" s="111"/>
      <c r="J428" s="111"/>
      <c r="K428" s="111"/>
      <c r="L428" s="111"/>
      <c r="M428" s="111"/>
      <c r="N428" s="112"/>
      <c r="U428" s="112"/>
    </row>
    <row r="429" spans="1:21" ht="17.25" customHeight="1">
      <c r="A429" s="112"/>
      <c r="B429" s="111"/>
      <c r="C429" s="111"/>
      <c r="D429" s="111"/>
      <c r="E429" s="111"/>
      <c r="F429" s="111"/>
      <c r="G429" s="112"/>
      <c r="H429" s="111"/>
      <c r="I429" s="111"/>
      <c r="J429" s="111"/>
      <c r="K429" s="111"/>
      <c r="L429" s="111"/>
      <c r="M429" s="111"/>
      <c r="N429" s="112"/>
      <c r="U429" s="112"/>
    </row>
    <row r="430" spans="1:21" ht="17.25" customHeight="1">
      <c r="A430" s="112"/>
      <c r="B430" s="111"/>
      <c r="C430" s="111"/>
      <c r="D430" s="111"/>
      <c r="E430" s="111"/>
      <c r="F430" s="111"/>
      <c r="G430" s="112"/>
      <c r="H430" s="111"/>
      <c r="I430" s="111"/>
      <c r="J430" s="111"/>
      <c r="K430" s="111"/>
      <c r="L430" s="111"/>
      <c r="M430" s="111"/>
      <c r="N430" s="112"/>
      <c r="U430" s="112"/>
    </row>
    <row r="431" spans="1:21" ht="17.25" customHeight="1">
      <c r="A431" s="112"/>
      <c r="B431" s="111"/>
      <c r="C431" s="111"/>
      <c r="D431" s="111"/>
      <c r="E431" s="111"/>
      <c r="F431" s="111"/>
      <c r="G431" s="112"/>
      <c r="H431" s="111"/>
      <c r="I431" s="111"/>
      <c r="J431" s="111"/>
      <c r="K431" s="111"/>
      <c r="L431" s="111"/>
      <c r="M431" s="111"/>
      <c r="N431" s="112"/>
      <c r="U431" s="112"/>
    </row>
    <row r="432" spans="1:21" ht="17.25" customHeight="1">
      <c r="A432" s="112"/>
      <c r="B432" s="111"/>
      <c r="C432" s="111"/>
      <c r="D432" s="111"/>
      <c r="E432" s="111"/>
      <c r="F432" s="111"/>
      <c r="G432" s="112"/>
      <c r="H432" s="111"/>
      <c r="I432" s="111"/>
      <c r="J432" s="111"/>
      <c r="K432" s="111"/>
      <c r="L432" s="111"/>
      <c r="M432" s="111"/>
      <c r="N432" s="112"/>
      <c r="U432" s="112"/>
    </row>
    <row r="433" spans="1:21" ht="17.25" customHeight="1">
      <c r="A433" s="112"/>
      <c r="B433" s="111"/>
      <c r="C433" s="111"/>
      <c r="D433" s="111"/>
      <c r="E433" s="111"/>
      <c r="F433" s="111"/>
      <c r="G433" s="112"/>
      <c r="H433" s="111"/>
      <c r="I433" s="111"/>
      <c r="J433" s="111"/>
      <c r="K433" s="111"/>
      <c r="L433" s="111"/>
      <c r="M433" s="111"/>
      <c r="N433" s="112"/>
      <c r="U433" s="112"/>
    </row>
    <row r="434" spans="1:21" ht="17.25" customHeight="1">
      <c r="A434" s="112"/>
      <c r="B434" s="111"/>
      <c r="C434" s="111"/>
      <c r="D434" s="111"/>
      <c r="E434" s="111"/>
      <c r="F434" s="111"/>
      <c r="G434" s="112"/>
      <c r="H434" s="111"/>
      <c r="I434" s="111"/>
      <c r="J434" s="111"/>
      <c r="K434" s="111"/>
      <c r="L434" s="111"/>
      <c r="M434" s="111"/>
      <c r="N434" s="112"/>
      <c r="U434" s="112"/>
    </row>
    <row r="435" spans="1:21" ht="17.25" customHeight="1">
      <c r="A435" s="112"/>
      <c r="B435" s="111"/>
      <c r="C435" s="111"/>
      <c r="D435" s="111"/>
      <c r="E435" s="111"/>
      <c r="F435" s="111"/>
      <c r="G435" s="112"/>
      <c r="H435" s="111"/>
      <c r="I435" s="111"/>
      <c r="J435" s="111"/>
      <c r="K435" s="111"/>
      <c r="L435" s="111"/>
      <c r="M435" s="111"/>
      <c r="N435" s="112"/>
      <c r="U435" s="112"/>
    </row>
    <row r="436" spans="1:21" ht="17.25" customHeight="1">
      <c r="A436" s="112"/>
      <c r="B436" s="111"/>
      <c r="C436" s="111"/>
      <c r="D436" s="111"/>
      <c r="E436" s="111"/>
      <c r="F436" s="111"/>
      <c r="G436" s="112"/>
      <c r="H436" s="111"/>
      <c r="I436" s="111"/>
      <c r="J436" s="111"/>
      <c r="K436" s="111"/>
      <c r="L436" s="111"/>
      <c r="M436" s="111"/>
      <c r="N436" s="112"/>
      <c r="U436" s="112"/>
    </row>
    <row r="437" spans="1:21" ht="17.25" customHeight="1">
      <c r="A437" s="112"/>
      <c r="B437" s="111"/>
      <c r="C437" s="111"/>
      <c r="D437" s="111"/>
      <c r="E437" s="111"/>
      <c r="F437" s="111"/>
      <c r="G437" s="112"/>
      <c r="H437" s="111"/>
      <c r="I437" s="111"/>
      <c r="J437" s="111"/>
      <c r="K437" s="111"/>
      <c r="L437" s="111"/>
      <c r="M437" s="111"/>
      <c r="N437" s="112"/>
      <c r="U437" s="112"/>
    </row>
    <row r="438" spans="1:21" ht="17.25" customHeight="1">
      <c r="A438" s="112"/>
      <c r="B438" s="111"/>
      <c r="C438" s="111"/>
      <c r="D438" s="111"/>
      <c r="E438" s="111"/>
      <c r="F438" s="111"/>
      <c r="G438" s="112"/>
      <c r="H438" s="111"/>
      <c r="I438" s="111"/>
      <c r="J438" s="111"/>
      <c r="K438" s="111"/>
      <c r="L438" s="111"/>
      <c r="M438" s="111"/>
      <c r="N438" s="112"/>
      <c r="U438" s="112"/>
    </row>
    <row r="439" spans="1:21" ht="17.25" customHeight="1">
      <c r="A439" s="112"/>
      <c r="B439" s="111"/>
      <c r="C439" s="111"/>
      <c r="D439" s="111"/>
      <c r="E439" s="111"/>
      <c r="F439" s="111"/>
      <c r="G439" s="112"/>
      <c r="H439" s="111"/>
      <c r="I439" s="111"/>
      <c r="J439" s="111"/>
      <c r="K439" s="111"/>
      <c r="L439" s="111"/>
      <c r="M439" s="111"/>
      <c r="N439" s="112"/>
      <c r="U439" s="112"/>
    </row>
    <row r="440" spans="1:21" ht="17.25" customHeight="1">
      <c r="A440" s="112"/>
      <c r="B440" s="111"/>
      <c r="C440" s="111"/>
      <c r="D440" s="111"/>
      <c r="E440" s="111"/>
      <c r="F440" s="111"/>
      <c r="G440" s="112"/>
      <c r="H440" s="111"/>
      <c r="I440" s="111"/>
      <c r="J440" s="111"/>
      <c r="K440" s="111"/>
      <c r="L440" s="111"/>
      <c r="M440" s="111"/>
      <c r="N440" s="112"/>
      <c r="U440" s="112"/>
    </row>
    <row r="441" spans="1:21" ht="17.25" customHeight="1">
      <c r="A441" s="112"/>
      <c r="B441" s="111"/>
      <c r="C441" s="111"/>
      <c r="D441" s="111"/>
      <c r="E441" s="111"/>
      <c r="F441" s="111"/>
      <c r="G441" s="112"/>
      <c r="H441" s="111"/>
      <c r="I441" s="111"/>
      <c r="J441" s="111"/>
      <c r="K441" s="111"/>
      <c r="L441" s="111"/>
      <c r="M441" s="111"/>
      <c r="N441" s="112"/>
      <c r="U441" s="112"/>
    </row>
    <row r="442" spans="1:21" ht="17.25" customHeight="1">
      <c r="A442" s="112"/>
      <c r="B442" s="111"/>
      <c r="C442" s="111"/>
      <c r="D442" s="111"/>
      <c r="E442" s="111"/>
      <c r="F442" s="111"/>
      <c r="G442" s="112"/>
      <c r="H442" s="111"/>
      <c r="I442" s="111"/>
      <c r="J442" s="111"/>
      <c r="K442" s="111"/>
      <c r="L442" s="111"/>
      <c r="M442" s="111"/>
      <c r="N442" s="112"/>
      <c r="U442" s="112"/>
    </row>
    <row r="443" spans="1:21" ht="17.25" customHeight="1">
      <c r="A443" s="112"/>
      <c r="B443" s="111"/>
      <c r="C443" s="111"/>
      <c r="D443" s="111"/>
      <c r="E443" s="111"/>
      <c r="F443" s="111"/>
      <c r="G443" s="112"/>
      <c r="H443" s="111"/>
      <c r="I443" s="111"/>
      <c r="J443" s="111"/>
      <c r="K443" s="111"/>
      <c r="L443" s="111"/>
      <c r="M443" s="111"/>
      <c r="N443" s="112"/>
      <c r="U443" s="112"/>
    </row>
    <row r="444" spans="1:21" ht="17.25" customHeight="1">
      <c r="A444" s="112"/>
      <c r="B444" s="111"/>
      <c r="C444" s="111"/>
      <c r="D444" s="111"/>
      <c r="E444" s="111"/>
      <c r="F444" s="111"/>
      <c r="G444" s="112"/>
      <c r="H444" s="111"/>
      <c r="I444" s="111"/>
      <c r="J444" s="111"/>
      <c r="K444" s="111"/>
      <c r="L444" s="111"/>
      <c r="M444" s="111"/>
      <c r="N444" s="112"/>
      <c r="U444" s="112"/>
    </row>
    <row r="445" spans="1:21" ht="17.25" customHeight="1">
      <c r="A445" s="112"/>
      <c r="B445" s="111"/>
      <c r="C445" s="111"/>
      <c r="D445" s="111"/>
      <c r="E445" s="111"/>
      <c r="F445" s="111"/>
      <c r="G445" s="112"/>
      <c r="H445" s="111"/>
      <c r="I445" s="111"/>
      <c r="J445" s="111"/>
      <c r="K445" s="111"/>
      <c r="L445" s="111"/>
      <c r="M445" s="111"/>
      <c r="N445" s="112"/>
      <c r="U445" s="112"/>
    </row>
    <row r="446" spans="1:21" ht="17.25" customHeight="1">
      <c r="A446" s="112"/>
      <c r="B446" s="111"/>
      <c r="C446" s="111"/>
      <c r="D446" s="111"/>
      <c r="E446" s="111"/>
      <c r="F446" s="111"/>
      <c r="G446" s="112"/>
      <c r="H446" s="111"/>
      <c r="I446" s="111"/>
      <c r="J446" s="111"/>
      <c r="K446" s="111"/>
      <c r="L446" s="111"/>
      <c r="M446" s="111"/>
      <c r="N446" s="112"/>
      <c r="U446" s="112"/>
    </row>
    <row r="447" spans="1:21" ht="17.25" customHeight="1">
      <c r="A447" s="112"/>
      <c r="B447" s="111"/>
      <c r="C447" s="111"/>
      <c r="D447" s="111"/>
      <c r="E447" s="111"/>
      <c r="F447" s="111"/>
      <c r="G447" s="112"/>
      <c r="H447" s="111"/>
      <c r="I447" s="111"/>
      <c r="J447" s="111"/>
      <c r="K447" s="111"/>
      <c r="L447" s="111"/>
      <c r="M447" s="111"/>
      <c r="N447" s="112"/>
      <c r="U447" s="112"/>
    </row>
    <row r="448" spans="1:21" ht="17.25" customHeight="1">
      <c r="A448" s="112"/>
      <c r="B448" s="111"/>
      <c r="C448" s="111"/>
      <c r="D448" s="111"/>
      <c r="E448" s="111"/>
      <c r="F448" s="111"/>
      <c r="G448" s="112"/>
      <c r="H448" s="111"/>
      <c r="I448" s="111"/>
      <c r="J448" s="111"/>
      <c r="K448" s="111"/>
      <c r="L448" s="111"/>
      <c r="M448" s="111"/>
      <c r="N448" s="112"/>
      <c r="U448" s="112"/>
    </row>
    <row r="449" spans="1:21" ht="17.25" customHeight="1">
      <c r="A449" s="112"/>
      <c r="B449" s="111"/>
      <c r="C449" s="111"/>
      <c r="D449" s="111"/>
      <c r="E449" s="111"/>
      <c r="F449" s="111"/>
      <c r="G449" s="112"/>
      <c r="H449" s="111"/>
      <c r="I449" s="111"/>
      <c r="J449" s="111"/>
      <c r="K449" s="111"/>
      <c r="L449" s="111"/>
      <c r="M449" s="111"/>
      <c r="N449" s="112"/>
      <c r="U449" s="112"/>
    </row>
    <row r="450" spans="1:21" ht="17.25" customHeight="1">
      <c r="A450" s="112"/>
      <c r="B450" s="111"/>
      <c r="C450" s="111"/>
      <c r="D450" s="111"/>
      <c r="E450" s="111"/>
      <c r="F450" s="111"/>
      <c r="G450" s="112"/>
      <c r="H450" s="111"/>
      <c r="I450" s="111"/>
      <c r="J450" s="111"/>
      <c r="K450" s="111"/>
      <c r="L450" s="111"/>
      <c r="M450" s="111"/>
      <c r="N450" s="112"/>
      <c r="U450" s="112"/>
    </row>
    <row r="451" spans="1:21" ht="17.25" customHeight="1">
      <c r="A451" s="112"/>
      <c r="B451" s="111"/>
      <c r="C451" s="111"/>
      <c r="D451" s="111"/>
      <c r="E451" s="111"/>
      <c r="F451" s="111"/>
      <c r="G451" s="112"/>
      <c r="H451" s="111"/>
      <c r="I451" s="111"/>
      <c r="J451" s="111"/>
      <c r="K451" s="111"/>
      <c r="L451" s="111"/>
      <c r="M451" s="111"/>
      <c r="N451" s="112"/>
      <c r="U451" s="112"/>
    </row>
    <row r="452" spans="1:21" ht="17.25" customHeight="1">
      <c r="A452" s="112"/>
      <c r="B452" s="111"/>
      <c r="C452" s="111"/>
      <c r="D452" s="111"/>
      <c r="E452" s="111"/>
      <c r="F452" s="111"/>
      <c r="G452" s="112"/>
      <c r="H452" s="111"/>
      <c r="I452" s="111"/>
      <c r="J452" s="111"/>
      <c r="K452" s="111"/>
      <c r="L452" s="111"/>
      <c r="M452" s="111"/>
      <c r="N452" s="112"/>
      <c r="U452" s="112"/>
    </row>
    <row r="453" spans="1:21" ht="17.25" customHeight="1">
      <c r="A453" s="112"/>
      <c r="B453" s="111"/>
      <c r="C453" s="111"/>
      <c r="D453" s="111"/>
      <c r="E453" s="111"/>
      <c r="F453" s="111"/>
      <c r="G453" s="112"/>
      <c r="H453" s="111"/>
      <c r="I453" s="111"/>
      <c r="J453" s="111"/>
      <c r="K453" s="111"/>
      <c r="L453" s="111"/>
      <c r="M453" s="111"/>
      <c r="N453" s="112"/>
      <c r="U453" s="112"/>
    </row>
    <row r="454" spans="1:21" ht="17.25" customHeight="1">
      <c r="A454" s="112"/>
      <c r="B454" s="111"/>
      <c r="C454" s="111"/>
      <c r="D454" s="111"/>
      <c r="E454" s="111"/>
      <c r="F454" s="111"/>
      <c r="G454" s="112"/>
      <c r="H454" s="111"/>
      <c r="I454" s="111"/>
      <c r="J454" s="111"/>
      <c r="K454" s="111"/>
      <c r="L454" s="111"/>
      <c r="M454" s="111"/>
      <c r="N454" s="112"/>
      <c r="U454" s="112"/>
    </row>
    <row r="455" spans="1:21" ht="17.25" customHeight="1">
      <c r="A455" s="112"/>
      <c r="B455" s="111"/>
      <c r="C455" s="111"/>
      <c r="D455" s="111"/>
      <c r="E455" s="111"/>
      <c r="F455" s="111"/>
      <c r="G455" s="112"/>
      <c r="H455" s="111"/>
      <c r="I455" s="111"/>
      <c r="J455" s="111"/>
      <c r="K455" s="111"/>
      <c r="L455" s="111"/>
      <c r="M455" s="111"/>
      <c r="N455" s="112"/>
      <c r="U455" s="112"/>
    </row>
    <row r="456" spans="1:21" ht="17.25" customHeight="1">
      <c r="A456" s="112"/>
      <c r="B456" s="111"/>
      <c r="C456" s="111"/>
      <c r="D456" s="111"/>
      <c r="E456" s="111"/>
      <c r="F456" s="111"/>
      <c r="G456" s="112"/>
      <c r="H456" s="111"/>
      <c r="I456" s="111"/>
      <c r="J456" s="111"/>
      <c r="K456" s="111"/>
      <c r="L456" s="111"/>
      <c r="M456" s="111"/>
      <c r="N456" s="112"/>
      <c r="U456" s="112"/>
    </row>
    <row r="457" spans="1:21" ht="17.25" customHeight="1">
      <c r="A457" s="112"/>
      <c r="B457" s="111"/>
      <c r="C457" s="111"/>
      <c r="D457" s="111"/>
      <c r="E457" s="111"/>
      <c r="F457" s="111"/>
      <c r="G457" s="112"/>
      <c r="H457" s="111"/>
      <c r="I457" s="111"/>
      <c r="J457" s="111"/>
      <c r="K457" s="111"/>
      <c r="L457" s="111"/>
      <c r="M457" s="111"/>
      <c r="N457" s="112"/>
      <c r="U457" s="112"/>
    </row>
    <row r="458" spans="1:21" ht="17.25" customHeight="1">
      <c r="A458" s="112"/>
      <c r="B458" s="111"/>
      <c r="C458" s="111"/>
      <c r="D458" s="111"/>
      <c r="E458" s="111"/>
      <c r="F458" s="111"/>
      <c r="G458" s="112"/>
      <c r="H458" s="111"/>
      <c r="I458" s="111"/>
      <c r="J458" s="111"/>
      <c r="K458" s="111"/>
      <c r="L458" s="111"/>
      <c r="M458" s="111"/>
      <c r="N458" s="112"/>
      <c r="U458" s="112"/>
    </row>
    <row r="459" spans="1:21" ht="17.25" customHeight="1">
      <c r="A459" s="112"/>
      <c r="B459" s="111"/>
      <c r="C459" s="111"/>
      <c r="D459" s="111"/>
      <c r="E459" s="111"/>
      <c r="F459" s="111"/>
      <c r="G459" s="112"/>
      <c r="H459" s="111"/>
      <c r="I459" s="111"/>
      <c r="J459" s="111"/>
      <c r="K459" s="111"/>
      <c r="L459" s="111"/>
      <c r="M459" s="111"/>
      <c r="N459" s="112"/>
      <c r="U459" s="112"/>
    </row>
    <row r="460" spans="1:21" ht="17.25" customHeight="1">
      <c r="A460" s="112"/>
      <c r="B460" s="111"/>
      <c r="C460" s="111"/>
      <c r="D460" s="111"/>
      <c r="E460" s="111"/>
      <c r="F460" s="111"/>
      <c r="G460" s="112"/>
      <c r="H460" s="111"/>
      <c r="I460" s="111"/>
      <c r="J460" s="111"/>
      <c r="K460" s="111"/>
      <c r="L460" s="111"/>
      <c r="M460" s="111"/>
      <c r="N460" s="112"/>
      <c r="U460" s="112"/>
    </row>
    <row r="461" spans="1:21" ht="17.25" customHeight="1">
      <c r="A461" s="112"/>
      <c r="B461" s="111"/>
      <c r="C461" s="111"/>
      <c r="D461" s="111"/>
      <c r="E461" s="111"/>
      <c r="F461" s="111"/>
      <c r="G461" s="112"/>
      <c r="H461" s="111"/>
      <c r="I461" s="111"/>
      <c r="J461" s="111"/>
      <c r="K461" s="111"/>
      <c r="L461" s="111"/>
      <c r="M461" s="111"/>
      <c r="N461" s="112"/>
      <c r="U461" s="112"/>
    </row>
    <row r="462" spans="1:21" ht="17.25" customHeight="1">
      <c r="A462" s="112"/>
      <c r="B462" s="111"/>
      <c r="C462" s="111"/>
      <c r="D462" s="111"/>
      <c r="E462" s="111"/>
      <c r="F462" s="111"/>
      <c r="G462" s="112"/>
      <c r="H462" s="111"/>
      <c r="I462" s="111"/>
      <c r="J462" s="111"/>
      <c r="K462" s="111"/>
      <c r="L462" s="111"/>
      <c r="M462" s="111"/>
      <c r="N462" s="112"/>
      <c r="U462" s="112"/>
    </row>
    <row r="463" spans="1:21" ht="17.25" customHeight="1">
      <c r="A463" s="112"/>
      <c r="B463" s="111"/>
      <c r="C463" s="111"/>
      <c r="D463" s="111"/>
      <c r="E463" s="111"/>
      <c r="F463" s="111"/>
      <c r="G463" s="112"/>
      <c r="H463" s="111"/>
      <c r="I463" s="111"/>
      <c r="J463" s="111"/>
      <c r="K463" s="111"/>
      <c r="L463" s="111"/>
      <c r="M463" s="111"/>
      <c r="N463" s="112"/>
      <c r="U463" s="112"/>
    </row>
    <row r="464" spans="1:21" ht="17.25" customHeight="1">
      <c r="A464" s="112"/>
      <c r="B464" s="111"/>
      <c r="C464" s="111"/>
      <c r="D464" s="111"/>
      <c r="E464" s="111"/>
      <c r="F464" s="111"/>
      <c r="G464" s="112"/>
      <c r="H464" s="111"/>
      <c r="I464" s="111"/>
      <c r="J464" s="111"/>
      <c r="K464" s="111"/>
      <c r="L464" s="111"/>
      <c r="M464" s="111"/>
      <c r="N464" s="112"/>
      <c r="U464" s="112"/>
    </row>
    <row r="465" spans="1:21" ht="17.25" customHeight="1">
      <c r="A465" s="112"/>
      <c r="B465" s="111"/>
      <c r="C465" s="111"/>
      <c r="D465" s="111"/>
      <c r="E465" s="111"/>
      <c r="F465" s="111"/>
      <c r="G465" s="112"/>
      <c r="H465" s="111"/>
      <c r="I465" s="111"/>
      <c r="J465" s="111"/>
      <c r="K465" s="111"/>
      <c r="L465" s="111"/>
      <c r="M465" s="111"/>
      <c r="N465" s="112"/>
      <c r="U465" s="112"/>
    </row>
    <row r="466" spans="1:21" ht="17.25" customHeight="1">
      <c r="A466" s="112"/>
      <c r="B466" s="111"/>
      <c r="C466" s="111"/>
      <c r="D466" s="111"/>
      <c r="E466" s="111"/>
      <c r="F466" s="111"/>
      <c r="G466" s="112"/>
      <c r="H466" s="111"/>
      <c r="I466" s="111"/>
      <c r="J466" s="111"/>
      <c r="K466" s="111"/>
      <c r="L466" s="111"/>
      <c r="M466" s="111"/>
      <c r="N466" s="112"/>
      <c r="U466" s="112"/>
    </row>
    <row r="467" spans="1:21" ht="17.25" customHeight="1">
      <c r="A467" s="112"/>
      <c r="B467" s="111"/>
      <c r="C467" s="111"/>
      <c r="D467" s="111"/>
      <c r="E467" s="111"/>
      <c r="F467" s="111"/>
      <c r="G467" s="112"/>
      <c r="H467" s="111"/>
      <c r="I467" s="111"/>
      <c r="J467" s="111"/>
      <c r="K467" s="111"/>
      <c r="L467" s="111"/>
      <c r="M467" s="111"/>
      <c r="N467" s="112"/>
      <c r="U467" s="112"/>
    </row>
    <row r="468" spans="1:21" ht="17.25" customHeight="1">
      <c r="A468" s="112"/>
      <c r="B468" s="111"/>
      <c r="C468" s="111"/>
      <c r="D468" s="111"/>
      <c r="E468" s="111"/>
      <c r="F468" s="111"/>
      <c r="G468" s="112"/>
      <c r="H468" s="111"/>
      <c r="I468" s="111"/>
      <c r="J468" s="111"/>
      <c r="K468" s="111"/>
      <c r="L468" s="111"/>
      <c r="M468" s="111"/>
      <c r="N468" s="112"/>
      <c r="U468" s="112"/>
    </row>
    <row r="469" spans="1:21" ht="17.25" customHeight="1">
      <c r="A469" s="112"/>
      <c r="B469" s="111"/>
      <c r="C469" s="111"/>
      <c r="D469" s="111"/>
      <c r="E469" s="111"/>
      <c r="F469" s="111"/>
      <c r="G469" s="112"/>
      <c r="H469" s="111"/>
      <c r="I469" s="111"/>
      <c r="J469" s="111"/>
      <c r="K469" s="111"/>
      <c r="L469" s="111"/>
      <c r="M469" s="111"/>
      <c r="N469" s="112"/>
      <c r="U469" s="112"/>
    </row>
    <row r="470" spans="1:21" ht="17.25" customHeight="1">
      <c r="A470" s="112"/>
      <c r="B470" s="111"/>
      <c r="C470" s="111"/>
      <c r="D470" s="111"/>
      <c r="E470" s="111"/>
      <c r="F470" s="111"/>
      <c r="G470" s="112"/>
      <c r="H470" s="111"/>
      <c r="I470" s="111"/>
      <c r="J470" s="111"/>
      <c r="K470" s="111"/>
      <c r="L470" s="111"/>
      <c r="M470" s="111"/>
      <c r="N470" s="112"/>
      <c r="U470" s="112"/>
    </row>
    <row r="471" spans="1:21" ht="17.25" customHeight="1">
      <c r="A471" s="112"/>
      <c r="B471" s="111"/>
      <c r="C471" s="111"/>
      <c r="D471" s="111"/>
      <c r="E471" s="111"/>
      <c r="F471" s="111"/>
      <c r="G471" s="112"/>
      <c r="H471" s="111"/>
      <c r="I471" s="111"/>
      <c r="J471" s="111"/>
      <c r="K471" s="111"/>
      <c r="L471" s="111"/>
      <c r="M471" s="111"/>
      <c r="N471" s="112"/>
      <c r="U471" s="112"/>
    </row>
    <row r="472" spans="1:21" ht="17.25" customHeight="1">
      <c r="A472" s="112"/>
      <c r="B472" s="111"/>
      <c r="C472" s="111"/>
      <c r="D472" s="111"/>
      <c r="E472" s="111"/>
      <c r="F472" s="111"/>
      <c r="G472" s="112"/>
      <c r="H472" s="111"/>
      <c r="I472" s="111"/>
      <c r="J472" s="111"/>
      <c r="K472" s="111"/>
      <c r="L472" s="111"/>
      <c r="M472" s="111"/>
      <c r="N472" s="112"/>
      <c r="U472" s="112"/>
    </row>
    <row r="473" spans="1:21" ht="17.25" customHeight="1">
      <c r="A473" s="112"/>
      <c r="B473" s="111"/>
      <c r="C473" s="111"/>
      <c r="D473" s="111"/>
      <c r="E473" s="111"/>
      <c r="F473" s="111"/>
      <c r="G473" s="112"/>
      <c r="H473" s="111"/>
      <c r="I473" s="111"/>
      <c r="J473" s="111"/>
      <c r="K473" s="111"/>
      <c r="L473" s="111"/>
      <c r="M473" s="111"/>
      <c r="N473" s="112"/>
      <c r="U473" s="112"/>
    </row>
    <row r="474" spans="1:21" ht="17.25" customHeight="1">
      <c r="A474" s="112"/>
      <c r="B474" s="111"/>
      <c r="C474" s="111"/>
      <c r="D474" s="111"/>
      <c r="E474" s="111"/>
      <c r="F474" s="111"/>
      <c r="G474" s="112"/>
      <c r="H474" s="111"/>
      <c r="I474" s="111"/>
      <c r="J474" s="111"/>
      <c r="K474" s="111"/>
      <c r="L474" s="111"/>
      <c r="M474" s="111"/>
      <c r="N474" s="112"/>
      <c r="U474" s="112"/>
    </row>
    <row r="475" spans="1:21" ht="17.25" customHeight="1">
      <c r="A475" s="112"/>
      <c r="B475" s="111"/>
      <c r="C475" s="111"/>
      <c r="D475" s="111"/>
      <c r="E475" s="111"/>
      <c r="F475" s="111"/>
      <c r="G475" s="112"/>
      <c r="H475" s="111"/>
      <c r="I475" s="111"/>
      <c r="J475" s="111"/>
      <c r="K475" s="111"/>
      <c r="L475" s="111"/>
      <c r="M475" s="111"/>
      <c r="N475" s="112"/>
      <c r="U475" s="112"/>
    </row>
    <row r="476" spans="1:21" ht="17.25" customHeight="1">
      <c r="A476" s="112"/>
      <c r="B476" s="111"/>
      <c r="C476" s="111"/>
      <c r="D476" s="111"/>
      <c r="E476" s="111"/>
      <c r="F476" s="111"/>
      <c r="G476" s="112"/>
      <c r="H476" s="111"/>
      <c r="I476" s="111"/>
      <c r="J476" s="111"/>
      <c r="K476" s="111"/>
      <c r="L476" s="111"/>
      <c r="M476" s="111"/>
      <c r="N476" s="112"/>
      <c r="U476" s="112"/>
    </row>
    <row r="477" spans="1:21" ht="17.25" customHeight="1">
      <c r="A477" s="112"/>
      <c r="B477" s="111"/>
      <c r="C477" s="111"/>
      <c r="D477" s="111"/>
      <c r="E477" s="111"/>
      <c r="F477" s="111"/>
      <c r="G477" s="112"/>
      <c r="H477" s="111"/>
      <c r="I477" s="111"/>
      <c r="J477" s="111"/>
      <c r="K477" s="111"/>
      <c r="L477" s="111"/>
      <c r="M477" s="111"/>
      <c r="N477" s="112"/>
      <c r="U477" s="112"/>
    </row>
    <row r="478" spans="1:21" ht="17.25" customHeight="1">
      <c r="A478" s="112"/>
      <c r="B478" s="111"/>
      <c r="C478" s="111"/>
      <c r="D478" s="111"/>
      <c r="E478" s="111"/>
      <c r="F478" s="111"/>
      <c r="G478" s="112"/>
      <c r="H478" s="111"/>
      <c r="I478" s="111"/>
      <c r="J478" s="111"/>
      <c r="K478" s="111"/>
      <c r="L478" s="111"/>
      <c r="M478" s="111"/>
      <c r="N478" s="112"/>
      <c r="U478" s="112"/>
    </row>
    <row r="479" spans="1:21" ht="17.25" customHeight="1">
      <c r="A479" s="112"/>
      <c r="B479" s="111"/>
      <c r="C479" s="111"/>
      <c r="D479" s="111"/>
      <c r="E479" s="111"/>
      <c r="F479" s="111"/>
      <c r="G479" s="112"/>
      <c r="H479" s="111"/>
      <c r="I479" s="111"/>
      <c r="J479" s="111"/>
      <c r="K479" s="111"/>
      <c r="L479" s="111"/>
      <c r="M479" s="111"/>
      <c r="N479" s="112"/>
      <c r="U479" s="112"/>
    </row>
    <row r="480" spans="1:21" ht="17.25" customHeight="1">
      <c r="A480" s="112"/>
      <c r="B480" s="111"/>
      <c r="C480" s="111"/>
      <c r="D480" s="111"/>
      <c r="E480" s="111"/>
      <c r="F480" s="111"/>
      <c r="G480" s="112"/>
      <c r="H480" s="111"/>
      <c r="I480" s="111"/>
      <c r="J480" s="111"/>
      <c r="K480" s="111"/>
      <c r="L480" s="111"/>
      <c r="M480" s="111"/>
      <c r="N480" s="112"/>
      <c r="U480" s="112"/>
    </row>
    <row r="481" spans="1:21" ht="17.25" customHeight="1">
      <c r="A481" s="112"/>
      <c r="B481" s="111"/>
      <c r="C481" s="111"/>
      <c r="D481" s="111"/>
      <c r="E481" s="111"/>
      <c r="F481" s="111"/>
      <c r="G481" s="112"/>
      <c r="H481" s="111"/>
      <c r="I481" s="111"/>
      <c r="J481" s="111"/>
      <c r="K481" s="111"/>
      <c r="L481" s="111"/>
      <c r="M481" s="111"/>
      <c r="N481" s="112"/>
      <c r="U481" s="112"/>
    </row>
    <row r="482" spans="1:21" ht="17.25" customHeight="1">
      <c r="A482" s="112"/>
      <c r="B482" s="111"/>
      <c r="C482" s="111"/>
      <c r="D482" s="111"/>
      <c r="E482" s="111"/>
      <c r="F482" s="111"/>
      <c r="G482" s="112"/>
      <c r="H482" s="111"/>
      <c r="I482" s="111"/>
      <c r="J482" s="111"/>
      <c r="K482" s="111"/>
      <c r="L482" s="111"/>
      <c r="M482" s="111"/>
      <c r="N482" s="112"/>
      <c r="U482" s="112"/>
    </row>
    <row r="483" spans="1:21" ht="17.25" customHeight="1">
      <c r="A483" s="112"/>
      <c r="B483" s="111"/>
      <c r="C483" s="111"/>
      <c r="D483" s="111"/>
      <c r="E483" s="111"/>
      <c r="F483" s="111"/>
      <c r="G483" s="112"/>
      <c r="H483" s="111"/>
      <c r="I483" s="111"/>
      <c r="J483" s="111"/>
      <c r="K483" s="111"/>
      <c r="L483" s="111"/>
      <c r="M483" s="111"/>
      <c r="N483" s="112"/>
      <c r="U483" s="112"/>
    </row>
    <row r="484" spans="1:21" ht="17.25" customHeight="1">
      <c r="A484" s="112"/>
      <c r="B484" s="111"/>
      <c r="C484" s="111"/>
      <c r="D484" s="111"/>
      <c r="E484" s="111"/>
      <c r="F484" s="111"/>
      <c r="G484" s="112"/>
      <c r="H484" s="111"/>
      <c r="I484" s="111"/>
      <c r="J484" s="111"/>
      <c r="K484" s="111"/>
      <c r="L484" s="111"/>
      <c r="M484" s="111"/>
      <c r="N484" s="112"/>
      <c r="U484" s="112"/>
    </row>
    <row r="485" spans="1:21" ht="17.25" customHeight="1">
      <c r="A485" s="112"/>
      <c r="B485" s="111"/>
      <c r="C485" s="111"/>
      <c r="D485" s="111"/>
      <c r="E485" s="111"/>
      <c r="F485" s="111"/>
      <c r="G485" s="112"/>
      <c r="H485" s="111"/>
      <c r="I485" s="111"/>
      <c r="J485" s="111"/>
      <c r="K485" s="111"/>
      <c r="L485" s="111"/>
      <c r="M485" s="111"/>
      <c r="N485" s="112"/>
      <c r="U485" s="112"/>
    </row>
    <row r="486" spans="1:21" ht="17.25" customHeight="1">
      <c r="A486" s="112"/>
      <c r="B486" s="111"/>
      <c r="C486" s="111"/>
      <c r="D486" s="111"/>
      <c r="E486" s="111"/>
      <c r="F486" s="111"/>
      <c r="G486" s="112"/>
      <c r="H486" s="111"/>
      <c r="I486" s="111"/>
      <c r="J486" s="111"/>
      <c r="K486" s="111"/>
      <c r="L486" s="111"/>
      <c r="M486" s="111"/>
      <c r="N486" s="112"/>
      <c r="U486" s="112"/>
    </row>
    <row r="487" spans="1:21" ht="17.25" customHeight="1">
      <c r="A487" s="112"/>
      <c r="B487" s="111"/>
      <c r="C487" s="111"/>
      <c r="D487" s="111"/>
      <c r="E487" s="111"/>
      <c r="F487" s="111"/>
      <c r="G487" s="112"/>
      <c r="H487" s="111"/>
      <c r="I487" s="111"/>
      <c r="J487" s="111"/>
      <c r="K487" s="111"/>
      <c r="L487" s="111"/>
      <c r="M487" s="111"/>
      <c r="N487" s="112"/>
      <c r="U487" s="112"/>
    </row>
    <row r="488" spans="1:21" ht="17.25" customHeight="1">
      <c r="A488" s="112"/>
      <c r="B488" s="111"/>
      <c r="C488" s="111"/>
      <c r="D488" s="111"/>
      <c r="E488" s="111"/>
      <c r="F488" s="111"/>
      <c r="G488" s="112"/>
      <c r="H488" s="111"/>
      <c r="I488" s="111"/>
      <c r="J488" s="111"/>
      <c r="K488" s="111"/>
      <c r="L488" s="111"/>
      <c r="M488" s="111"/>
      <c r="N488" s="112"/>
      <c r="U488" s="112"/>
    </row>
    <row r="489" spans="1:21" ht="17.25" customHeight="1">
      <c r="A489" s="112"/>
      <c r="B489" s="111"/>
      <c r="C489" s="111"/>
      <c r="D489" s="111"/>
      <c r="E489" s="111"/>
      <c r="F489" s="111"/>
      <c r="G489" s="112"/>
      <c r="H489" s="111"/>
      <c r="I489" s="111"/>
      <c r="J489" s="111"/>
      <c r="K489" s="111"/>
      <c r="L489" s="111"/>
      <c r="M489" s="111"/>
      <c r="N489" s="112"/>
      <c r="U489" s="112"/>
    </row>
    <row r="490" spans="1:21" ht="17.25" customHeight="1">
      <c r="A490" s="112"/>
      <c r="B490" s="111"/>
      <c r="C490" s="111"/>
      <c r="D490" s="111"/>
      <c r="E490" s="111"/>
      <c r="F490" s="111"/>
      <c r="G490" s="112"/>
      <c r="H490" s="111"/>
      <c r="I490" s="111"/>
      <c r="J490" s="111"/>
      <c r="K490" s="111"/>
      <c r="L490" s="111"/>
      <c r="M490" s="111"/>
      <c r="N490" s="112"/>
      <c r="U490" s="112"/>
    </row>
    <row r="491" spans="1:21" ht="17.25" customHeight="1">
      <c r="A491" s="112"/>
      <c r="B491" s="111"/>
      <c r="C491" s="111"/>
      <c r="D491" s="111"/>
      <c r="E491" s="111"/>
      <c r="F491" s="111"/>
      <c r="G491" s="112"/>
      <c r="H491" s="111"/>
      <c r="I491" s="111"/>
      <c r="J491" s="111"/>
      <c r="K491" s="111"/>
      <c r="L491" s="111"/>
      <c r="M491" s="111"/>
      <c r="N491" s="112"/>
      <c r="U491" s="112"/>
    </row>
    <row r="492" spans="1:21" ht="17.25" customHeight="1">
      <c r="A492" s="112"/>
      <c r="B492" s="111"/>
      <c r="C492" s="111"/>
      <c r="D492" s="111"/>
      <c r="E492" s="111"/>
      <c r="F492" s="111"/>
      <c r="G492" s="112"/>
      <c r="H492" s="111"/>
      <c r="I492" s="111"/>
      <c r="J492" s="111"/>
      <c r="K492" s="111"/>
      <c r="L492" s="111"/>
      <c r="M492" s="111"/>
      <c r="N492" s="112"/>
      <c r="U492" s="112"/>
    </row>
    <row r="493" spans="1:21" ht="17.25" customHeight="1">
      <c r="A493" s="112"/>
      <c r="B493" s="111"/>
      <c r="C493" s="111"/>
      <c r="D493" s="111"/>
      <c r="E493" s="111"/>
      <c r="F493" s="111"/>
      <c r="G493" s="112"/>
      <c r="H493" s="111"/>
      <c r="I493" s="111"/>
      <c r="J493" s="111"/>
      <c r="K493" s="111"/>
      <c r="L493" s="111"/>
      <c r="M493" s="111"/>
      <c r="N493" s="112"/>
      <c r="U493" s="112"/>
    </row>
    <row r="494" spans="1:21" ht="17.25" customHeight="1">
      <c r="A494" s="112"/>
      <c r="B494" s="111"/>
      <c r="C494" s="111"/>
      <c r="D494" s="111"/>
      <c r="E494" s="111"/>
      <c r="F494" s="111"/>
      <c r="G494" s="112"/>
      <c r="H494" s="111"/>
      <c r="I494" s="111"/>
      <c r="J494" s="111"/>
      <c r="K494" s="111"/>
      <c r="L494" s="111"/>
      <c r="M494" s="111"/>
      <c r="N494" s="112"/>
      <c r="U494" s="112"/>
    </row>
    <row r="495" spans="1:21" ht="17.25" customHeight="1">
      <c r="A495" s="112"/>
      <c r="B495" s="111"/>
      <c r="C495" s="111"/>
      <c r="D495" s="111"/>
      <c r="E495" s="111"/>
      <c r="F495" s="111"/>
      <c r="G495" s="112"/>
      <c r="H495" s="111"/>
      <c r="I495" s="111"/>
      <c r="J495" s="111"/>
      <c r="K495" s="111"/>
      <c r="L495" s="111"/>
      <c r="M495" s="111"/>
      <c r="N495" s="112"/>
      <c r="U495" s="112"/>
    </row>
    <row r="496" spans="1:21" ht="17.25" customHeight="1">
      <c r="A496" s="112"/>
      <c r="B496" s="111"/>
      <c r="C496" s="111"/>
      <c r="D496" s="111"/>
      <c r="E496" s="111"/>
      <c r="F496" s="111"/>
      <c r="G496" s="112"/>
      <c r="H496" s="111"/>
      <c r="I496" s="111"/>
      <c r="J496" s="111"/>
      <c r="K496" s="111"/>
      <c r="L496" s="111"/>
      <c r="M496" s="111"/>
      <c r="N496" s="112"/>
      <c r="U496" s="112"/>
    </row>
    <row r="497" spans="1:21" ht="17.25" customHeight="1">
      <c r="A497" s="112"/>
      <c r="B497" s="111"/>
      <c r="C497" s="111"/>
      <c r="D497" s="111"/>
      <c r="E497" s="111"/>
      <c r="F497" s="111"/>
      <c r="G497" s="112"/>
      <c r="H497" s="111"/>
      <c r="I497" s="111"/>
      <c r="J497" s="111"/>
      <c r="K497" s="111"/>
      <c r="L497" s="111"/>
      <c r="M497" s="111"/>
      <c r="N497" s="112"/>
      <c r="U497" s="112"/>
    </row>
    <row r="498" spans="1:21" ht="17.25" customHeight="1">
      <c r="A498" s="112"/>
      <c r="B498" s="111"/>
      <c r="C498" s="111"/>
      <c r="D498" s="111"/>
      <c r="E498" s="111"/>
      <c r="F498" s="111"/>
      <c r="G498" s="112"/>
      <c r="H498" s="111"/>
      <c r="I498" s="111"/>
      <c r="J498" s="111"/>
      <c r="K498" s="111"/>
      <c r="L498" s="111"/>
      <c r="M498" s="111"/>
      <c r="N498" s="112"/>
      <c r="U498" s="112"/>
    </row>
    <row r="499" spans="1:21" ht="17.25" customHeight="1">
      <c r="A499" s="112"/>
      <c r="B499" s="111"/>
      <c r="C499" s="111"/>
      <c r="D499" s="111"/>
      <c r="E499" s="111"/>
      <c r="F499" s="111"/>
      <c r="G499" s="112"/>
      <c r="H499" s="111"/>
      <c r="I499" s="111"/>
      <c r="J499" s="111"/>
      <c r="K499" s="111"/>
      <c r="L499" s="111"/>
      <c r="M499" s="111"/>
      <c r="N499" s="112"/>
      <c r="U499" s="112"/>
    </row>
    <row r="500" spans="1:21" ht="17.25" customHeight="1">
      <c r="A500" s="112"/>
      <c r="B500" s="111"/>
      <c r="C500" s="111"/>
      <c r="D500" s="111"/>
      <c r="E500" s="111"/>
      <c r="F500" s="111"/>
      <c r="G500" s="112"/>
      <c r="H500" s="111"/>
      <c r="I500" s="111"/>
      <c r="J500" s="111"/>
      <c r="K500" s="111"/>
      <c r="L500" s="111"/>
      <c r="M500" s="111"/>
      <c r="N500" s="112"/>
      <c r="U500" s="112"/>
    </row>
    <row r="501" spans="1:21" ht="17.25" customHeight="1">
      <c r="A501" s="112"/>
      <c r="B501" s="111"/>
      <c r="C501" s="111"/>
      <c r="D501" s="111"/>
      <c r="E501" s="111"/>
      <c r="F501" s="111"/>
      <c r="G501" s="112"/>
      <c r="H501" s="111"/>
      <c r="I501" s="111"/>
      <c r="J501" s="111"/>
      <c r="K501" s="111"/>
      <c r="L501" s="111"/>
      <c r="M501" s="111"/>
      <c r="N501" s="112"/>
      <c r="U501" s="112"/>
    </row>
    <row r="502" spans="1:21" ht="17.25" customHeight="1">
      <c r="A502" s="112"/>
      <c r="B502" s="111"/>
      <c r="C502" s="111"/>
      <c r="D502" s="111"/>
      <c r="E502" s="111"/>
      <c r="F502" s="111"/>
      <c r="G502" s="112"/>
      <c r="H502" s="111"/>
      <c r="I502" s="111"/>
      <c r="J502" s="111"/>
      <c r="K502" s="111"/>
      <c r="L502" s="111"/>
      <c r="M502" s="111"/>
      <c r="N502" s="112"/>
      <c r="U502" s="112"/>
    </row>
    <row r="503" spans="1:21" ht="17.25" customHeight="1">
      <c r="A503" s="112"/>
      <c r="B503" s="111"/>
      <c r="C503" s="111"/>
      <c r="D503" s="111"/>
      <c r="E503" s="111"/>
      <c r="F503" s="111"/>
      <c r="G503" s="112"/>
      <c r="H503" s="111"/>
      <c r="I503" s="111"/>
      <c r="J503" s="111"/>
      <c r="K503" s="111"/>
      <c r="L503" s="111"/>
      <c r="M503" s="111"/>
      <c r="N503" s="112"/>
      <c r="U503" s="112"/>
    </row>
    <row r="504" spans="1:21" ht="17.25" customHeight="1">
      <c r="A504" s="112"/>
      <c r="B504" s="111"/>
      <c r="C504" s="111"/>
      <c r="D504" s="111"/>
      <c r="E504" s="111"/>
      <c r="F504" s="111"/>
      <c r="G504" s="112"/>
      <c r="H504" s="111"/>
      <c r="I504" s="111"/>
      <c r="J504" s="111"/>
      <c r="K504" s="111"/>
      <c r="L504" s="111"/>
      <c r="M504" s="111"/>
      <c r="N504" s="112"/>
      <c r="U504" s="112"/>
    </row>
    <row r="505" spans="1:21" ht="17.25" customHeight="1">
      <c r="A505" s="112"/>
      <c r="B505" s="111"/>
      <c r="C505" s="111"/>
      <c r="D505" s="111"/>
      <c r="E505" s="111"/>
      <c r="F505" s="111"/>
      <c r="G505" s="112"/>
      <c r="H505" s="111"/>
      <c r="I505" s="111"/>
      <c r="J505" s="111"/>
      <c r="K505" s="111"/>
      <c r="L505" s="111"/>
      <c r="M505" s="111"/>
      <c r="N505" s="112"/>
      <c r="U505" s="112"/>
    </row>
    <row r="506" spans="1:21" ht="17.25" customHeight="1">
      <c r="A506" s="112"/>
      <c r="B506" s="111"/>
      <c r="C506" s="111"/>
      <c r="D506" s="111"/>
      <c r="E506" s="111"/>
      <c r="F506" s="111"/>
      <c r="G506" s="112"/>
      <c r="H506" s="111"/>
      <c r="I506" s="111"/>
      <c r="J506" s="111"/>
      <c r="K506" s="111"/>
      <c r="L506" s="111"/>
      <c r="M506" s="111"/>
      <c r="N506" s="112"/>
      <c r="U506" s="112"/>
    </row>
    <row r="507" spans="1:21" ht="17.25" customHeight="1">
      <c r="A507" s="112"/>
      <c r="B507" s="111"/>
      <c r="C507" s="111"/>
      <c r="D507" s="111"/>
      <c r="E507" s="111"/>
      <c r="F507" s="111"/>
      <c r="G507" s="112"/>
      <c r="H507" s="111"/>
      <c r="I507" s="111"/>
      <c r="J507" s="111"/>
      <c r="K507" s="111"/>
      <c r="L507" s="111"/>
      <c r="M507" s="111"/>
      <c r="N507" s="112"/>
      <c r="U507" s="112"/>
    </row>
    <row r="508" spans="1:21" ht="17.25" customHeight="1">
      <c r="A508" s="112"/>
      <c r="B508" s="111"/>
      <c r="C508" s="111"/>
      <c r="D508" s="111"/>
      <c r="E508" s="111"/>
      <c r="F508" s="111"/>
      <c r="G508" s="112"/>
      <c r="H508" s="111"/>
      <c r="I508" s="111"/>
      <c r="J508" s="111"/>
      <c r="K508" s="111"/>
      <c r="L508" s="111"/>
      <c r="M508" s="111"/>
      <c r="N508" s="112"/>
      <c r="U508" s="112"/>
    </row>
    <row r="509" spans="1:21" ht="17.25" customHeight="1">
      <c r="A509" s="112"/>
      <c r="B509" s="111"/>
      <c r="C509" s="111"/>
      <c r="D509" s="111"/>
      <c r="E509" s="111"/>
      <c r="F509" s="111"/>
      <c r="G509" s="112"/>
      <c r="H509" s="111"/>
      <c r="I509" s="111"/>
      <c r="J509" s="111"/>
      <c r="K509" s="111"/>
      <c r="L509" s="111"/>
      <c r="M509" s="111"/>
      <c r="N509" s="112"/>
      <c r="U509" s="112"/>
    </row>
    <row r="510" spans="1:21" ht="17.25" customHeight="1">
      <c r="A510" s="112"/>
      <c r="B510" s="111"/>
      <c r="C510" s="111"/>
      <c r="D510" s="111"/>
      <c r="E510" s="111"/>
      <c r="F510" s="111"/>
      <c r="G510" s="112"/>
      <c r="H510" s="111"/>
      <c r="I510" s="111"/>
      <c r="J510" s="111"/>
      <c r="K510" s="111"/>
      <c r="L510" s="111"/>
      <c r="M510" s="111"/>
      <c r="N510" s="112"/>
      <c r="U510" s="112"/>
    </row>
    <row r="511" spans="1:21" ht="17.25" customHeight="1">
      <c r="A511" s="112"/>
      <c r="B511" s="111"/>
      <c r="C511" s="111"/>
      <c r="D511" s="111"/>
      <c r="E511" s="111"/>
      <c r="F511" s="111"/>
      <c r="G511" s="112"/>
      <c r="H511" s="111"/>
      <c r="I511" s="111"/>
      <c r="J511" s="111"/>
      <c r="K511" s="111"/>
      <c r="L511" s="111"/>
      <c r="M511" s="111"/>
      <c r="N511" s="112"/>
      <c r="U511" s="112"/>
    </row>
    <row r="512" spans="1:21" ht="17.25" customHeight="1">
      <c r="A512" s="112"/>
      <c r="B512" s="111"/>
      <c r="C512" s="111"/>
      <c r="D512" s="111"/>
      <c r="E512" s="111"/>
      <c r="F512" s="111"/>
      <c r="G512" s="112"/>
      <c r="H512" s="111"/>
      <c r="I512" s="111"/>
      <c r="J512" s="111"/>
      <c r="K512" s="111"/>
      <c r="L512" s="111"/>
      <c r="M512" s="111"/>
      <c r="N512" s="112"/>
      <c r="U512" s="112"/>
    </row>
    <row r="513" spans="1:21" ht="17.25" customHeight="1">
      <c r="A513" s="112"/>
      <c r="B513" s="111"/>
      <c r="C513" s="111"/>
      <c r="D513" s="111"/>
      <c r="E513" s="111"/>
      <c r="F513" s="111"/>
      <c r="G513" s="112"/>
      <c r="H513" s="111"/>
      <c r="I513" s="111"/>
      <c r="J513" s="111"/>
      <c r="K513" s="111"/>
      <c r="L513" s="111"/>
      <c r="M513" s="111"/>
      <c r="N513" s="112"/>
      <c r="U513" s="112"/>
    </row>
    <row r="514" spans="1:21" ht="17.25" customHeight="1">
      <c r="A514" s="112"/>
      <c r="B514" s="111"/>
      <c r="C514" s="111"/>
      <c r="D514" s="111"/>
      <c r="E514" s="111"/>
      <c r="F514" s="111"/>
      <c r="G514" s="112"/>
      <c r="H514" s="111"/>
      <c r="I514" s="111"/>
      <c r="J514" s="111"/>
      <c r="K514" s="111"/>
      <c r="L514" s="111"/>
      <c r="M514" s="111"/>
      <c r="N514" s="112"/>
      <c r="U514" s="112"/>
    </row>
    <row r="515" spans="1:21" ht="17.25" customHeight="1">
      <c r="A515" s="112"/>
      <c r="B515" s="111"/>
      <c r="C515" s="111"/>
      <c r="D515" s="111"/>
      <c r="E515" s="111"/>
      <c r="F515" s="111"/>
      <c r="G515" s="112"/>
      <c r="H515" s="111"/>
      <c r="I515" s="111"/>
      <c r="J515" s="111"/>
      <c r="K515" s="111"/>
      <c r="L515" s="111"/>
      <c r="M515" s="111"/>
      <c r="N515" s="112"/>
      <c r="U515" s="112"/>
    </row>
    <row r="516" spans="1:21" ht="17.25" customHeight="1">
      <c r="A516" s="112"/>
      <c r="B516" s="111"/>
      <c r="C516" s="111"/>
      <c r="D516" s="111"/>
      <c r="E516" s="111"/>
      <c r="F516" s="111"/>
      <c r="G516" s="112"/>
      <c r="H516" s="111"/>
      <c r="I516" s="111"/>
      <c r="J516" s="111"/>
      <c r="K516" s="111"/>
      <c r="L516" s="111"/>
      <c r="M516" s="111"/>
      <c r="N516" s="112"/>
      <c r="U516" s="112"/>
    </row>
    <row r="517" spans="1:21" ht="17.25" customHeight="1">
      <c r="A517" s="112"/>
      <c r="B517" s="111"/>
      <c r="C517" s="111"/>
      <c r="D517" s="111"/>
      <c r="E517" s="111"/>
      <c r="F517" s="111"/>
      <c r="G517" s="112"/>
      <c r="H517" s="111"/>
      <c r="I517" s="111"/>
      <c r="J517" s="111"/>
      <c r="K517" s="111"/>
      <c r="L517" s="111"/>
      <c r="M517" s="111"/>
      <c r="N517" s="112"/>
      <c r="U517" s="112"/>
    </row>
    <row r="518" spans="1:21" ht="17.25" customHeight="1">
      <c r="A518" s="112"/>
      <c r="B518" s="111"/>
      <c r="C518" s="111"/>
      <c r="D518" s="111"/>
      <c r="E518" s="111"/>
      <c r="F518" s="111"/>
      <c r="G518" s="112"/>
      <c r="H518" s="111"/>
      <c r="I518" s="111"/>
      <c r="J518" s="111"/>
      <c r="K518" s="111"/>
      <c r="L518" s="111"/>
      <c r="M518" s="111"/>
      <c r="N518" s="112"/>
      <c r="U518" s="112"/>
    </row>
    <row r="519" spans="1:21" ht="17.25" customHeight="1">
      <c r="A519" s="112"/>
      <c r="B519" s="111"/>
      <c r="C519" s="111"/>
      <c r="D519" s="111"/>
      <c r="E519" s="111"/>
      <c r="F519" s="111"/>
      <c r="G519" s="112"/>
      <c r="H519" s="111"/>
      <c r="I519" s="111"/>
      <c r="J519" s="111"/>
      <c r="K519" s="111"/>
      <c r="L519" s="111"/>
      <c r="M519" s="111"/>
      <c r="N519" s="112"/>
      <c r="U519" s="112"/>
    </row>
    <row r="520" spans="1:21" ht="17.25" customHeight="1">
      <c r="A520" s="112"/>
      <c r="B520" s="111"/>
      <c r="C520" s="111"/>
      <c r="D520" s="111"/>
      <c r="E520" s="111"/>
      <c r="F520" s="111"/>
      <c r="G520" s="112"/>
      <c r="H520" s="111"/>
      <c r="I520" s="111"/>
      <c r="J520" s="111"/>
      <c r="K520" s="111"/>
      <c r="L520" s="111"/>
      <c r="M520" s="111"/>
      <c r="N520" s="112"/>
      <c r="U520" s="112"/>
    </row>
    <row r="521" spans="1:21" ht="17.25" customHeight="1">
      <c r="A521" s="112"/>
      <c r="B521" s="111"/>
      <c r="C521" s="111"/>
      <c r="D521" s="111"/>
      <c r="E521" s="111"/>
      <c r="F521" s="111"/>
      <c r="G521" s="112"/>
      <c r="H521" s="111"/>
      <c r="I521" s="111"/>
      <c r="J521" s="111"/>
      <c r="K521" s="111"/>
      <c r="L521" s="111"/>
      <c r="M521" s="111"/>
      <c r="N521" s="112"/>
      <c r="U521" s="112"/>
    </row>
    <row r="522" spans="1:21" ht="17.25" customHeight="1">
      <c r="A522" s="112"/>
      <c r="B522" s="111"/>
      <c r="C522" s="111"/>
      <c r="D522" s="111"/>
      <c r="E522" s="111"/>
      <c r="F522" s="111"/>
      <c r="G522" s="112"/>
      <c r="H522" s="111"/>
      <c r="I522" s="111"/>
      <c r="J522" s="111"/>
      <c r="K522" s="111"/>
      <c r="L522" s="111"/>
      <c r="M522" s="111"/>
      <c r="N522" s="112"/>
      <c r="U522" s="112"/>
    </row>
    <row r="523" spans="1:21" ht="17.25" customHeight="1">
      <c r="A523" s="112"/>
      <c r="B523" s="111"/>
      <c r="C523" s="111"/>
      <c r="D523" s="111"/>
      <c r="E523" s="111"/>
      <c r="F523" s="111"/>
      <c r="G523" s="112"/>
      <c r="H523" s="111"/>
      <c r="I523" s="111"/>
      <c r="J523" s="111"/>
      <c r="K523" s="111"/>
      <c r="L523" s="111"/>
      <c r="M523" s="111"/>
      <c r="N523" s="112"/>
      <c r="U523" s="112"/>
    </row>
    <row r="524" spans="1:21" ht="17.25" customHeight="1">
      <c r="A524" s="112"/>
      <c r="B524" s="111"/>
      <c r="C524" s="111"/>
      <c r="D524" s="111"/>
      <c r="E524" s="111"/>
      <c r="F524" s="111"/>
      <c r="G524" s="112"/>
      <c r="H524" s="111"/>
      <c r="I524" s="111"/>
      <c r="J524" s="111"/>
      <c r="K524" s="111"/>
      <c r="L524" s="111"/>
      <c r="M524" s="111"/>
      <c r="N524" s="112"/>
      <c r="U524" s="112"/>
    </row>
    <row r="525" spans="1:21" ht="17.25" customHeight="1">
      <c r="A525" s="112"/>
      <c r="B525" s="111"/>
      <c r="C525" s="111"/>
      <c r="D525" s="111"/>
      <c r="E525" s="111"/>
      <c r="F525" s="111"/>
      <c r="G525" s="112"/>
      <c r="H525" s="111"/>
      <c r="I525" s="111"/>
      <c r="J525" s="111"/>
      <c r="K525" s="111"/>
      <c r="L525" s="111"/>
      <c r="M525" s="111"/>
      <c r="N525" s="112"/>
      <c r="U525" s="112"/>
    </row>
    <row r="526" spans="1:21" ht="17.25" customHeight="1">
      <c r="A526" s="112"/>
      <c r="B526" s="111"/>
      <c r="C526" s="111"/>
      <c r="D526" s="111"/>
      <c r="E526" s="111"/>
      <c r="F526" s="111"/>
      <c r="G526" s="112"/>
      <c r="H526" s="111"/>
      <c r="I526" s="111"/>
      <c r="J526" s="111"/>
      <c r="K526" s="111"/>
      <c r="L526" s="111"/>
      <c r="M526" s="111"/>
      <c r="N526" s="112"/>
      <c r="U526" s="112"/>
    </row>
    <row r="527" spans="1:21" ht="17.25" customHeight="1">
      <c r="A527" s="112"/>
      <c r="B527" s="111"/>
      <c r="C527" s="111"/>
      <c r="D527" s="111"/>
      <c r="E527" s="111"/>
      <c r="F527" s="111"/>
      <c r="G527" s="112"/>
      <c r="H527" s="111"/>
      <c r="I527" s="111"/>
      <c r="J527" s="111"/>
      <c r="K527" s="111"/>
      <c r="L527" s="111"/>
      <c r="M527" s="111"/>
      <c r="N527" s="112"/>
      <c r="U527" s="112"/>
    </row>
    <row r="528" spans="1:21" ht="17.25" customHeight="1">
      <c r="A528" s="112"/>
      <c r="B528" s="111"/>
      <c r="C528" s="111"/>
      <c r="D528" s="111"/>
      <c r="E528" s="111"/>
      <c r="F528" s="111"/>
      <c r="G528" s="112"/>
      <c r="H528" s="111"/>
      <c r="I528" s="111"/>
      <c r="J528" s="111"/>
      <c r="K528" s="111"/>
      <c r="L528" s="111"/>
      <c r="M528" s="111"/>
      <c r="N528" s="112"/>
      <c r="U528" s="112"/>
    </row>
    <row r="529" spans="1:21" ht="17.25" customHeight="1">
      <c r="A529" s="112"/>
      <c r="B529" s="111"/>
      <c r="C529" s="111"/>
      <c r="D529" s="111"/>
      <c r="E529" s="111"/>
      <c r="F529" s="111"/>
      <c r="G529" s="112"/>
      <c r="H529" s="111"/>
      <c r="I529" s="111"/>
      <c r="J529" s="111"/>
      <c r="K529" s="111"/>
      <c r="L529" s="111"/>
      <c r="M529" s="111"/>
      <c r="N529" s="112"/>
      <c r="U529" s="112"/>
    </row>
    <row r="530" spans="1:21" ht="17.25" customHeight="1">
      <c r="A530" s="112"/>
      <c r="B530" s="111"/>
      <c r="C530" s="111"/>
      <c r="D530" s="111"/>
      <c r="E530" s="111"/>
      <c r="F530" s="111"/>
      <c r="G530" s="112"/>
      <c r="H530" s="111"/>
      <c r="I530" s="111"/>
      <c r="J530" s="111"/>
      <c r="K530" s="111"/>
      <c r="L530" s="111"/>
      <c r="M530" s="111"/>
      <c r="N530" s="112"/>
      <c r="U530" s="112"/>
    </row>
    <row r="531" spans="1:21" ht="17.25" customHeight="1">
      <c r="A531" s="112"/>
      <c r="B531" s="111"/>
      <c r="C531" s="111"/>
      <c r="D531" s="111"/>
      <c r="E531" s="111"/>
      <c r="F531" s="111"/>
      <c r="G531" s="112"/>
      <c r="H531" s="111"/>
      <c r="I531" s="111"/>
      <c r="J531" s="111"/>
      <c r="K531" s="111"/>
      <c r="L531" s="111"/>
      <c r="M531" s="111"/>
      <c r="N531" s="112"/>
      <c r="U531" s="112"/>
    </row>
    <row r="532" spans="1:21" ht="17.25" customHeight="1">
      <c r="A532" s="112"/>
      <c r="B532" s="111"/>
      <c r="C532" s="111"/>
      <c r="D532" s="111"/>
      <c r="E532" s="111"/>
      <c r="F532" s="111"/>
      <c r="G532" s="112"/>
      <c r="H532" s="111"/>
      <c r="I532" s="111"/>
      <c r="J532" s="111"/>
      <c r="K532" s="111"/>
      <c r="L532" s="111"/>
      <c r="M532" s="111"/>
      <c r="N532" s="112"/>
      <c r="U532" s="112"/>
    </row>
    <row r="533" spans="1:21" ht="17.25" customHeight="1">
      <c r="A533" s="112"/>
      <c r="B533" s="111"/>
      <c r="C533" s="111"/>
      <c r="D533" s="111"/>
      <c r="E533" s="111"/>
      <c r="F533" s="111"/>
      <c r="G533" s="112"/>
      <c r="H533" s="111"/>
      <c r="I533" s="111"/>
      <c r="J533" s="111"/>
      <c r="K533" s="111"/>
      <c r="L533" s="111"/>
      <c r="M533" s="111"/>
      <c r="N533" s="112"/>
      <c r="U533" s="112"/>
    </row>
    <row r="534" spans="1:21" ht="17.25" customHeight="1">
      <c r="A534" s="112"/>
      <c r="B534" s="111"/>
      <c r="C534" s="111"/>
      <c r="D534" s="111"/>
      <c r="E534" s="111"/>
      <c r="F534" s="111"/>
      <c r="G534" s="112"/>
      <c r="H534" s="111"/>
      <c r="I534" s="111"/>
      <c r="J534" s="111"/>
      <c r="K534" s="111"/>
      <c r="L534" s="111"/>
      <c r="M534" s="111"/>
      <c r="N534" s="112"/>
      <c r="U534" s="112"/>
    </row>
    <row r="535" spans="1:21" ht="17.25" customHeight="1">
      <c r="A535" s="112"/>
      <c r="B535" s="111"/>
      <c r="C535" s="111"/>
      <c r="D535" s="111"/>
      <c r="E535" s="111"/>
      <c r="F535" s="111"/>
      <c r="G535" s="112"/>
      <c r="H535" s="111"/>
      <c r="I535" s="111"/>
      <c r="J535" s="111"/>
      <c r="K535" s="111"/>
      <c r="L535" s="111"/>
      <c r="M535" s="111"/>
      <c r="N535" s="112"/>
      <c r="U535" s="112"/>
    </row>
    <row r="536" spans="1:21" ht="17.25" customHeight="1">
      <c r="A536" s="112"/>
      <c r="B536" s="111"/>
      <c r="C536" s="111"/>
      <c r="D536" s="111"/>
      <c r="E536" s="111"/>
      <c r="F536" s="111"/>
      <c r="G536" s="112"/>
      <c r="H536" s="111"/>
      <c r="I536" s="111"/>
      <c r="J536" s="111"/>
      <c r="K536" s="111"/>
      <c r="L536" s="111"/>
      <c r="M536" s="111"/>
      <c r="N536" s="112"/>
      <c r="U536" s="112"/>
    </row>
    <row r="537" spans="1:21" ht="17.25" customHeight="1">
      <c r="A537" s="112"/>
      <c r="B537" s="111"/>
      <c r="C537" s="111"/>
      <c r="D537" s="111"/>
      <c r="E537" s="111"/>
      <c r="F537" s="111"/>
      <c r="G537" s="112"/>
      <c r="H537" s="111"/>
      <c r="I537" s="111"/>
      <c r="J537" s="111"/>
      <c r="K537" s="111"/>
      <c r="L537" s="111"/>
      <c r="M537" s="111"/>
      <c r="N537" s="112"/>
      <c r="U537" s="112"/>
    </row>
    <row r="538" spans="1:21" ht="17.25" customHeight="1">
      <c r="A538" s="112"/>
      <c r="B538" s="111"/>
      <c r="C538" s="111"/>
      <c r="D538" s="111"/>
      <c r="E538" s="111"/>
      <c r="F538" s="111"/>
      <c r="G538" s="112"/>
      <c r="H538" s="111"/>
      <c r="I538" s="111"/>
      <c r="J538" s="111"/>
      <c r="K538" s="111"/>
      <c r="L538" s="111"/>
      <c r="M538" s="111"/>
      <c r="N538" s="112"/>
      <c r="U538" s="112"/>
    </row>
    <row r="539" spans="1:21" ht="17.25" customHeight="1">
      <c r="A539" s="112"/>
      <c r="B539" s="111"/>
      <c r="C539" s="111"/>
      <c r="D539" s="111"/>
      <c r="E539" s="111"/>
      <c r="F539" s="111"/>
      <c r="G539" s="112"/>
      <c r="H539" s="111"/>
      <c r="I539" s="111"/>
      <c r="J539" s="111"/>
      <c r="K539" s="111"/>
      <c r="L539" s="111"/>
      <c r="M539" s="111"/>
      <c r="N539" s="112"/>
      <c r="U539" s="112"/>
    </row>
    <row r="540" spans="1:21" ht="17.25" customHeight="1">
      <c r="A540" s="112"/>
      <c r="B540" s="111"/>
      <c r="C540" s="111"/>
      <c r="D540" s="111"/>
      <c r="E540" s="111"/>
      <c r="F540" s="111"/>
      <c r="G540" s="112"/>
      <c r="H540" s="111"/>
      <c r="I540" s="111"/>
      <c r="J540" s="111"/>
      <c r="K540" s="111"/>
      <c r="L540" s="111"/>
      <c r="M540" s="111"/>
      <c r="N540" s="112"/>
      <c r="U540" s="112"/>
    </row>
    <row r="541" spans="1:21" ht="17.25" customHeight="1">
      <c r="A541" s="112"/>
      <c r="B541" s="111"/>
      <c r="C541" s="111"/>
      <c r="D541" s="111"/>
      <c r="E541" s="111"/>
      <c r="F541" s="111"/>
      <c r="G541" s="112"/>
      <c r="H541" s="111"/>
      <c r="I541" s="111"/>
      <c r="J541" s="111"/>
      <c r="K541" s="111"/>
      <c r="L541" s="111"/>
      <c r="M541" s="111"/>
      <c r="N541" s="112"/>
      <c r="U541" s="112"/>
    </row>
    <row r="542" spans="1:21" ht="17.25" customHeight="1">
      <c r="A542" s="112"/>
      <c r="B542" s="111"/>
      <c r="C542" s="111"/>
      <c r="D542" s="111"/>
      <c r="E542" s="111"/>
      <c r="F542" s="111"/>
      <c r="G542" s="112"/>
      <c r="H542" s="111"/>
      <c r="I542" s="111"/>
      <c r="J542" s="111"/>
      <c r="K542" s="111"/>
      <c r="L542" s="111"/>
      <c r="M542" s="111"/>
      <c r="N542" s="112"/>
      <c r="U542" s="112"/>
    </row>
    <row r="543" spans="1:21" ht="17.25" customHeight="1">
      <c r="A543" s="112"/>
      <c r="B543" s="111"/>
      <c r="C543" s="111"/>
      <c r="D543" s="111"/>
      <c r="E543" s="111"/>
      <c r="F543" s="111"/>
      <c r="G543" s="112"/>
      <c r="H543" s="111"/>
      <c r="I543" s="111"/>
      <c r="J543" s="111"/>
      <c r="K543" s="111"/>
      <c r="L543" s="111"/>
      <c r="M543" s="111"/>
      <c r="N543" s="112"/>
      <c r="U543" s="112"/>
    </row>
    <row r="544" spans="1:21" ht="17.25" customHeight="1">
      <c r="A544" s="112"/>
      <c r="B544" s="111"/>
      <c r="C544" s="111"/>
      <c r="D544" s="111"/>
      <c r="E544" s="111"/>
      <c r="F544" s="111"/>
      <c r="G544" s="112"/>
      <c r="H544" s="111"/>
      <c r="I544" s="111"/>
      <c r="J544" s="111"/>
      <c r="K544" s="111"/>
      <c r="L544" s="111"/>
      <c r="M544" s="111"/>
      <c r="N544" s="112"/>
      <c r="U544" s="112"/>
    </row>
    <row r="545" spans="1:21" ht="17.25" customHeight="1">
      <c r="A545" s="112"/>
      <c r="B545" s="111"/>
      <c r="C545" s="111"/>
      <c r="D545" s="111"/>
      <c r="E545" s="111"/>
      <c r="F545" s="111"/>
      <c r="G545" s="112"/>
      <c r="H545" s="111"/>
      <c r="I545" s="111"/>
      <c r="J545" s="111"/>
      <c r="K545" s="111"/>
      <c r="L545" s="111"/>
      <c r="M545" s="111"/>
      <c r="N545" s="112"/>
      <c r="U545" s="112"/>
    </row>
    <row r="546" spans="1:21" ht="17.25" customHeight="1">
      <c r="A546" s="112"/>
      <c r="B546" s="111"/>
      <c r="C546" s="111"/>
      <c r="D546" s="111"/>
      <c r="E546" s="111"/>
      <c r="F546" s="111"/>
      <c r="G546" s="112"/>
      <c r="H546" s="111"/>
      <c r="I546" s="111"/>
      <c r="J546" s="111"/>
      <c r="K546" s="111"/>
      <c r="L546" s="111"/>
      <c r="M546" s="111"/>
      <c r="N546" s="112"/>
      <c r="U546" s="112"/>
    </row>
    <row r="547" spans="1:21" ht="17.25" customHeight="1">
      <c r="A547" s="112"/>
      <c r="B547" s="111"/>
      <c r="C547" s="111"/>
      <c r="D547" s="111"/>
      <c r="E547" s="111"/>
      <c r="F547" s="111"/>
      <c r="G547" s="112"/>
      <c r="H547" s="111"/>
      <c r="I547" s="111"/>
      <c r="J547" s="111"/>
      <c r="K547" s="111"/>
      <c r="L547" s="111"/>
      <c r="M547" s="111"/>
      <c r="N547" s="112"/>
      <c r="U547" s="112"/>
    </row>
    <row r="548" spans="1:21" ht="17.25" customHeight="1">
      <c r="A548" s="112"/>
      <c r="B548" s="111"/>
      <c r="C548" s="111"/>
      <c r="D548" s="111"/>
      <c r="E548" s="111"/>
      <c r="F548" s="111"/>
      <c r="G548" s="112"/>
      <c r="H548" s="111"/>
      <c r="I548" s="111"/>
      <c r="J548" s="111"/>
      <c r="K548" s="111"/>
      <c r="L548" s="111"/>
      <c r="M548" s="111"/>
      <c r="N548" s="112"/>
      <c r="U548" s="112"/>
    </row>
    <row r="549" spans="1:21" ht="17.25" customHeight="1">
      <c r="A549" s="112"/>
      <c r="B549" s="111"/>
      <c r="C549" s="111"/>
      <c r="D549" s="111"/>
      <c r="E549" s="111"/>
      <c r="F549" s="111"/>
      <c r="G549" s="112"/>
      <c r="H549" s="111"/>
      <c r="I549" s="111"/>
      <c r="J549" s="111"/>
      <c r="K549" s="111"/>
      <c r="L549" s="111"/>
      <c r="M549" s="111"/>
      <c r="N549" s="112"/>
      <c r="U549" s="112"/>
    </row>
    <row r="550" spans="1:21" ht="17.25" customHeight="1">
      <c r="A550" s="112"/>
      <c r="B550" s="111"/>
      <c r="C550" s="111"/>
      <c r="D550" s="111"/>
      <c r="E550" s="111"/>
      <c r="F550" s="111"/>
      <c r="G550" s="112"/>
      <c r="H550" s="111"/>
      <c r="I550" s="111"/>
      <c r="J550" s="111"/>
      <c r="K550" s="111"/>
      <c r="L550" s="111"/>
      <c r="M550" s="111"/>
      <c r="N550" s="112"/>
      <c r="U550" s="112"/>
    </row>
    <row r="551" spans="1:21" ht="17.25" customHeight="1">
      <c r="A551" s="112"/>
      <c r="B551" s="111"/>
      <c r="C551" s="111"/>
      <c r="D551" s="111"/>
      <c r="E551" s="111"/>
      <c r="F551" s="111"/>
      <c r="G551" s="112"/>
      <c r="H551" s="111"/>
      <c r="I551" s="111"/>
      <c r="J551" s="111"/>
      <c r="K551" s="111"/>
      <c r="L551" s="111"/>
      <c r="M551" s="111"/>
      <c r="N551" s="112"/>
      <c r="U551" s="112"/>
    </row>
    <row r="552" spans="1:21" ht="17.25" customHeight="1">
      <c r="A552" s="112"/>
      <c r="B552" s="111"/>
      <c r="C552" s="111"/>
      <c r="D552" s="111"/>
      <c r="E552" s="111"/>
      <c r="F552" s="111"/>
      <c r="G552" s="112"/>
      <c r="H552" s="111"/>
      <c r="I552" s="111"/>
      <c r="J552" s="111"/>
      <c r="K552" s="111"/>
      <c r="L552" s="111"/>
      <c r="M552" s="111"/>
      <c r="N552" s="112"/>
      <c r="U552" s="112"/>
    </row>
    <row r="553" spans="1:21" ht="17.25" customHeight="1">
      <c r="A553" s="112"/>
      <c r="B553" s="111"/>
      <c r="C553" s="111"/>
      <c r="D553" s="111"/>
      <c r="E553" s="111"/>
      <c r="F553" s="111"/>
      <c r="G553" s="112"/>
      <c r="H553" s="111"/>
      <c r="I553" s="111"/>
      <c r="J553" s="111"/>
      <c r="K553" s="111"/>
      <c r="L553" s="111"/>
      <c r="M553" s="111"/>
      <c r="N553" s="112"/>
      <c r="U553" s="112"/>
    </row>
    <row r="554" spans="1:21" ht="17.25" customHeight="1">
      <c r="A554" s="112"/>
      <c r="B554" s="111"/>
      <c r="C554" s="111"/>
      <c r="D554" s="111"/>
      <c r="E554" s="111"/>
      <c r="F554" s="111"/>
      <c r="G554" s="112"/>
      <c r="H554" s="111"/>
      <c r="I554" s="111"/>
      <c r="J554" s="111"/>
      <c r="K554" s="111"/>
      <c r="L554" s="111"/>
      <c r="M554" s="111"/>
      <c r="N554" s="112"/>
      <c r="U554" s="112"/>
    </row>
    <row r="555" spans="1:21" ht="17.25" customHeight="1">
      <c r="A555" s="112"/>
      <c r="B555" s="111"/>
      <c r="C555" s="111"/>
      <c r="D555" s="111"/>
      <c r="E555" s="111"/>
      <c r="F555" s="111"/>
      <c r="G555" s="112"/>
      <c r="H555" s="111"/>
      <c r="I555" s="111"/>
      <c r="J555" s="111"/>
      <c r="K555" s="111"/>
      <c r="L555" s="111"/>
      <c r="M555" s="111"/>
      <c r="N555" s="112"/>
      <c r="U555" s="112"/>
    </row>
    <row r="556" spans="1:21" ht="17.25" customHeight="1">
      <c r="A556" s="112"/>
      <c r="B556" s="111"/>
      <c r="C556" s="111"/>
      <c r="D556" s="111"/>
      <c r="E556" s="111"/>
      <c r="F556" s="111"/>
      <c r="G556" s="112"/>
      <c r="H556" s="111"/>
      <c r="I556" s="111"/>
      <c r="J556" s="111"/>
      <c r="K556" s="111"/>
      <c r="L556" s="111"/>
      <c r="M556" s="111"/>
      <c r="N556" s="112"/>
      <c r="U556" s="112"/>
    </row>
    <row r="557" spans="1:21" ht="17.25" customHeight="1">
      <c r="A557" s="112"/>
      <c r="B557" s="111"/>
      <c r="C557" s="111"/>
      <c r="D557" s="111"/>
      <c r="E557" s="111"/>
      <c r="F557" s="111"/>
      <c r="G557" s="112"/>
      <c r="H557" s="111"/>
      <c r="I557" s="111"/>
      <c r="J557" s="111"/>
      <c r="K557" s="111"/>
      <c r="L557" s="111"/>
      <c r="M557" s="111"/>
      <c r="N557" s="112"/>
      <c r="U557" s="112"/>
    </row>
    <row r="558" spans="1:21" ht="17.25" customHeight="1">
      <c r="A558" s="112"/>
      <c r="B558" s="111"/>
      <c r="C558" s="111"/>
      <c r="D558" s="111"/>
      <c r="E558" s="111"/>
      <c r="F558" s="111"/>
      <c r="G558" s="112"/>
      <c r="H558" s="111"/>
      <c r="I558" s="111"/>
      <c r="J558" s="111"/>
      <c r="K558" s="111"/>
      <c r="L558" s="111"/>
      <c r="M558" s="111"/>
      <c r="N558" s="112"/>
      <c r="U558" s="112"/>
    </row>
    <row r="559" spans="1:21" ht="17.25" customHeight="1">
      <c r="A559" s="112"/>
      <c r="B559" s="111"/>
      <c r="C559" s="111"/>
      <c r="D559" s="111"/>
      <c r="E559" s="111"/>
      <c r="F559" s="111"/>
      <c r="G559" s="112"/>
      <c r="H559" s="111"/>
      <c r="I559" s="111"/>
      <c r="J559" s="111"/>
      <c r="K559" s="111"/>
      <c r="L559" s="111"/>
      <c r="M559" s="111"/>
      <c r="N559" s="112"/>
      <c r="U559" s="112"/>
    </row>
    <row r="560" spans="1:21" ht="17.25" customHeight="1">
      <c r="A560" s="112"/>
      <c r="B560" s="111"/>
      <c r="C560" s="111"/>
      <c r="D560" s="111"/>
      <c r="E560" s="111"/>
      <c r="F560" s="111"/>
      <c r="G560" s="112"/>
      <c r="H560" s="111"/>
      <c r="I560" s="111"/>
      <c r="J560" s="111"/>
      <c r="K560" s="111"/>
      <c r="L560" s="111"/>
      <c r="M560" s="111"/>
      <c r="N560" s="112"/>
      <c r="U560" s="112"/>
    </row>
    <row r="561" spans="1:21" ht="17.25" customHeight="1">
      <c r="A561" s="112"/>
      <c r="B561" s="111"/>
      <c r="C561" s="111"/>
      <c r="D561" s="111"/>
      <c r="E561" s="111"/>
      <c r="F561" s="111"/>
      <c r="G561" s="112"/>
      <c r="H561" s="111"/>
      <c r="I561" s="111"/>
      <c r="J561" s="111"/>
      <c r="K561" s="111"/>
      <c r="L561" s="111"/>
      <c r="M561" s="111"/>
      <c r="N561" s="112"/>
      <c r="U561" s="112"/>
    </row>
    <row r="562" spans="1:21" ht="17.25" customHeight="1">
      <c r="A562" s="112"/>
      <c r="B562" s="111"/>
      <c r="C562" s="111"/>
      <c r="D562" s="111"/>
      <c r="E562" s="111"/>
      <c r="F562" s="111"/>
      <c r="G562" s="112"/>
      <c r="H562" s="111"/>
      <c r="I562" s="111"/>
      <c r="J562" s="111"/>
      <c r="K562" s="111"/>
      <c r="L562" s="111"/>
      <c r="M562" s="111"/>
      <c r="N562" s="112"/>
      <c r="U562" s="112"/>
    </row>
    <row r="563" spans="1:21" ht="17.25" customHeight="1">
      <c r="A563" s="112"/>
      <c r="B563" s="111"/>
      <c r="C563" s="111"/>
      <c r="D563" s="111"/>
      <c r="E563" s="111"/>
      <c r="F563" s="111"/>
      <c r="G563" s="112"/>
      <c r="H563" s="111"/>
      <c r="I563" s="111"/>
      <c r="J563" s="111"/>
      <c r="K563" s="111"/>
      <c r="L563" s="111"/>
      <c r="M563" s="111"/>
      <c r="N563" s="112"/>
      <c r="U563" s="112"/>
    </row>
    <row r="564" spans="1:21" ht="17.25" customHeight="1">
      <c r="A564" s="112"/>
      <c r="B564" s="111"/>
      <c r="C564" s="111"/>
      <c r="D564" s="111"/>
      <c r="E564" s="111"/>
      <c r="F564" s="111"/>
      <c r="G564" s="112"/>
      <c r="H564" s="111"/>
      <c r="I564" s="111"/>
      <c r="J564" s="111"/>
      <c r="K564" s="111"/>
      <c r="L564" s="111"/>
      <c r="M564" s="111"/>
      <c r="N564" s="112"/>
      <c r="U564" s="112"/>
    </row>
    <row r="565" spans="1:21" ht="17.25" customHeight="1">
      <c r="A565" s="112"/>
      <c r="B565" s="111"/>
      <c r="C565" s="111"/>
      <c r="D565" s="111"/>
      <c r="E565" s="111"/>
      <c r="F565" s="111"/>
      <c r="G565" s="112"/>
      <c r="H565" s="111"/>
      <c r="I565" s="111"/>
      <c r="J565" s="111"/>
      <c r="K565" s="111"/>
      <c r="L565" s="111"/>
      <c r="M565" s="111"/>
      <c r="N565" s="112"/>
      <c r="U565" s="112"/>
    </row>
    <row r="566" spans="1:21" ht="17.25" customHeight="1">
      <c r="A566" s="112"/>
      <c r="B566" s="111"/>
      <c r="C566" s="111"/>
      <c r="D566" s="111"/>
      <c r="E566" s="111"/>
      <c r="F566" s="111"/>
      <c r="G566" s="112"/>
      <c r="H566" s="111"/>
      <c r="I566" s="111"/>
      <c r="J566" s="111"/>
      <c r="K566" s="111"/>
      <c r="L566" s="111"/>
      <c r="M566" s="111"/>
      <c r="N566" s="112"/>
      <c r="U566" s="112"/>
    </row>
    <row r="567" spans="1:21" ht="17.25" customHeight="1">
      <c r="A567" s="112"/>
      <c r="B567" s="111"/>
      <c r="C567" s="111"/>
      <c r="D567" s="111"/>
      <c r="E567" s="111"/>
      <c r="F567" s="111"/>
      <c r="G567" s="112"/>
      <c r="H567" s="111"/>
      <c r="I567" s="111"/>
      <c r="J567" s="111"/>
      <c r="K567" s="111"/>
      <c r="L567" s="111"/>
      <c r="M567" s="111"/>
      <c r="N567" s="112"/>
      <c r="U567" s="112"/>
    </row>
    <row r="568" spans="1:21" ht="17.25" customHeight="1">
      <c r="A568" s="112"/>
      <c r="B568" s="111"/>
      <c r="C568" s="111"/>
      <c r="D568" s="111"/>
      <c r="E568" s="111"/>
      <c r="F568" s="111"/>
      <c r="G568" s="112"/>
      <c r="H568" s="111"/>
      <c r="I568" s="111"/>
      <c r="J568" s="111"/>
      <c r="K568" s="111"/>
      <c r="L568" s="111"/>
      <c r="M568" s="111"/>
      <c r="N568" s="112"/>
      <c r="U568" s="112"/>
    </row>
    <row r="569" spans="1:21" ht="17.25" customHeight="1">
      <c r="A569" s="112"/>
      <c r="B569" s="111"/>
      <c r="C569" s="111"/>
      <c r="D569" s="111"/>
      <c r="E569" s="111"/>
      <c r="F569" s="111"/>
      <c r="G569" s="112"/>
      <c r="H569" s="111"/>
      <c r="I569" s="111"/>
      <c r="J569" s="111"/>
      <c r="K569" s="111"/>
      <c r="L569" s="111"/>
      <c r="M569" s="111"/>
      <c r="N569" s="112"/>
      <c r="U569" s="112"/>
    </row>
    <row r="570" spans="1:21" ht="17.25" customHeight="1">
      <c r="A570" s="112"/>
      <c r="B570" s="111"/>
      <c r="C570" s="111"/>
      <c r="D570" s="111"/>
      <c r="E570" s="111"/>
      <c r="F570" s="111"/>
      <c r="G570" s="112"/>
      <c r="H570" s="111"/>
      <c r="I570" s="111"/>
      <c r="J570" s="111"/>
      <c r="K570" s="111"/>
      <c r="L570" s="111"/>
      <c r="M570" s="111"/>
      <c r="N570" s="112"/>
      <c r="U570" s="112"/>
    </row>
    <row r="571" spans="1:21" ht="17.25" customHeight="1">
      <c r="A571" s="112"/>
      <c r="B571" s="111"/>
      <c r="C571" s="111"/>
      <c r="D571" s="111"/>
      <c r="E571" s="111"/>
      <c r="F571" s="111"/>
      <c r="G571" s="112"/>
      <c r="H571" s="111"/>
      <c r="I571" s="111"/>
      <c r="J571" s="111"/>
      <c r="K571" s="111"/>
      <c r="L571" s="111"/>
      <c r="M571" s="111"/>
      <c r="N571" s="112"/>
      <c r="U571" s="112"/>
    </row>
    <row r="572" spans="1:21" ht="17.25" customHeight="1">
      <c r="A572" s="112"/>
      <c r="B572" s="111"/>
      <c r="C572" s="111"/>
      <c r="D572" s="111"/>
      <c r="E572" s="111"/>
      <c r="F572" s="111"/>
      <c r="G572" s="112"/>
      <c r="H572" s="111"/>
      <c r="I572" s="111"/>
      <c r="J572" s="111"/>
      <c r="K572" s="111"/>
      <c r="L572" s="111"/>
      <c r="M572" s="111"/>
      <c r="N572" s="112"/>
      <c r="U572" s="112"/>
    </row>
    <row r="573" spans="1:21" ht="17.25" customHeight="1">
      <c r="A573" s="112"/>
      <c r="B573" s="111"/>
      <c r="C573" s="111"/>
      <c r="D573" s="111"/>
      <c r="E573" s="111"/>
      <c r="F573" s="111"/>
      <c r="G573" s="112"/>
      <c r="H573" s="111"/>
      <c r="I573" s="111"/>
      <c r="J573" s="111"/>
      <c r="K573" s="111"/>
      <c r="L573" s="111"/>
      <c r="M573" s="111"/>
      <c r="N573" s="112"/>
      <c r="U573" s="112"/>
    </row>
    <row r="574" spans="1:21" ht="17.25" customHeight="1">
      <c r="A574" s="112"/>
      <c r="B574" s="111"/>
      <c r="C574" s="111"/>
      <c r="D574" s="111"/>
      <c r="E574" s="111"/>
      <c r="F574" s="111"/>
      <c r="G574" s="112"/>
      <c r="H574" s="111"/>
      <c r="I574" s="111"/>
      <c r="J574" s="111"/>
      <c r="K574" s="111"/>
      <c r="L574" s="111"/>
      <c r="M574" s="111"/>
      <c r="N574" s="112"/>
      <c r="U574" s="112"/>
    </row>
    <row r="575" spans="1:21" ht="17.25" customHeight="1">
      <c r="A575" s="112"/>
      <c r="B575" s="111"/>
      <c r="C575" s="111"/>
      <c r="D575" s="111"/>
      <c r="E575" s="111"/>
      <c r="F575" s="111"/>
      <c r="G575" s="112"/>
      <c r="H575" s="111"/>
      <c r="I575" s="111"/>
      <c r="J575" s="111"/>
      <c r="K575" s="111"/>
      <c r="L575" s="111"/>
      <c r="M575" s="111"/>
      <c r="N575" s="112"/>
      <c r="U575" s="112"/>
    </row>
    <row r="576" spans="1:21" ht="17.25" customHeight="1">
      <c r="A576" s="112"/>
      <c r="B576" s="111"/>
      <c r="C576" s="111"/>
      <c r="D576" s="111"/>
      <c r="E576" s="111"/>
      <c r="F576" s="111"/>
      <c r="G576" s="112"/>
      <c r="H576" s="111"/>
      <c r="I576" s="111"/>
      <c r="J576" s="111"/>
      <c r="K576" s="111"/>
      <c r="L576" s="111"/>
      <c r="M576" s="111"/>
      <c r="N576" s="112"/>
      <c r="U576" s="112"/>
    </row>
    <row r="577" spans="1:21" ht="17.25" customHeight="1">
      <c r="A577" s="112"/>
      <c r="B577" s="111"/>
      <c r="C577" s="111"/>
      <c r="D577" s="111"/>
      <c r="E577" s="111"/>
      <c r="F577" s="111"/>
      <c r="G577" s="112"/>
      <c r="H577" s="111"/>
      <c r="I577" s="111"/>
      <c r="J577" s="111"/>
      <c r="K577" s="111"/>
      <c r="L577" s="111"/>
      <c r="M577" s="111"/>
      <c r="N577" s="112"/>
      <c r="U577" s="112"/>
    </row>
    <row r="578" spans="1:21" ht="17.25" customHeight="1">
      <c r="A578" s="112"/>
      <c r="B578" s="111"/>
      <c r="C578" s="111"/>
      <c r="D578" s="111"/>
      <c r="E578" s="111"/>
      <c r="F578" s="111"/>
      <c r="G578" s="112"/>
      <c r="H578" s="111"/>
      <c r="I578" s="111"/>
      <c r="J578" s="111"/>
      <c r="K578" s="111"/>
      <c r="L578" s="111"/>
      <c r="M578" s="111"/>
      <c r="N578" s="112"/>
      <c r="U578" s="112"/>
    </row>
    <row r="579" spans="1:21" ht="17.25" customHeight="1">
      <c r="A579" s="112"/>
      <c r="B579" s="111"/>
      <c r="C579" s="111"/>
      <c r="D579" s="111"/>
      <c r="E579" s="111"/>
      <c r="F579" s="111"/>
      <c r="G579" s="112"/>
      <c r="H579" s="111"/>
      <c r="I579" s="111"/>
      <c r="J579" s="111"/>
      <c r="K579" s="111"/>
      <c r="L579" s="111"/>
      <c r="M579" s="111"/>
      <c r="N579" s="112"/>
      <c r="U579" s="112"/>
    </row>
    <row r="580" spans="1:21" ht="17.25" customHeight="1">
      <c r="A580" s="112"/>
      <c r="B580" s="111"/>
      <c r="C580" s="111"/>
      <c r="D580" s="111"/>
      <c r="E580" s="111"/>
      <c r="F580" s="111"/>
      <c r="G580" s="112"/>
      <c r="H580" s="111"/>
      <c r="I580" s="111"/>
      <c r="J580" s="111"/>
      <c r="K580" s="111"/>
      <c r="L580" s="111"/>
      <c r="M580" s="111"/>
      <c r="N580" s="112"/>
      <c r="U580" s="112"/>
    </row>
    <row r="581" spans="1:21" ht="17.25" customHeight="1">
      <c r="A581" s="112"/>
      <c r="B581" s="111"/>
      <c r="C581" s="111"/>
      <c r="D581" s="111"/>
      <c r="E581" s="111"/>
      <c r="F581" s="111"/>
      <c r="G581" s="112"/>
      <c r="H581" s="111"/>
      <c r="I581" s="111"/>
      <c r="J581" s="111"/>
      <c r="K581" s="111"/>
      <c r="L581" s="111"/>
      <c r="M581" s="111"/>
      <c r="N581" s="112"/>
      <c r="U581" s="112"/>
    </row>
    <row r="582" spans="1:21" ht="17.25" customHeight="1">
      <c r="A582" s="112"/>
      <c r="B582" s="111"/>
      <c r="C582" s="111"/>
      <c r="D582" s="111"/>
      <c r="E582" s="111"/>
      <c r="F582" s="111"/>
      <c r="G582" s="112"/>
      <c r="H582" s="111"/>
      <c r="I582" s="111"/>
      <c r="J582" s="111"/>
      <c r="K582" s="111"/>
      <c r="L582" s="111"/>
      <c r="M582" s="111"/>
      <c r="N582" s="112"/>
      <c r="U582" s="112"/>
    </row>
    <row r="583" spans="1:21" ht="17.25" customHeight="1">
      <c r="A583" s="112"/>
      <c r="B583" s="111"/>
      <c r="C583" s="111"/>
      <c r="D583" s="111"/>
      <c r="E583" s="111"/>
      <c r="F583" s="111"/>
      <c r="G583" s="112"/>
      <c r="H583" s="111"/>
      <c r="I583" s="111"/>
      <c r="J583" s="111"/>
      <c r="K583" s="111"/>
      <c r="L583" s="111"/>
      <c r="M583" s="111"/>
      <c r="N583" s="112"/>
      <c r="U583" s="112"/>
    </row>
    <row r="584" spans="1:21" ht="17.25" customHeight="1">
      <c r="A584" s="112"/>
      <c r="B584" s="111"/>
      <c r="C584" s="111"/>
      <c r="D584" s="111"/>
      <c r="E584" s="111"/>
      <c r="F584" s="111"/>
      <c r="G584" s="112"/>
      <c r="H584" s="111"/>
      <c r="I584" s="111"/>
      <c r="J584" s="111"/>
      <c r="K584" s="111"/>
      <c r="L584" s="111"/>
      <c r="M584" s="111"/>
      <c r="N584" s="112"/>
      <c r="U584" s="112"/>
    </row>
    <row r="585" spans="1:21" ht="17.25" customHeight="1">
      <c r="A585" s="112"/>
      <c r="B585" s="111"/>
      <c r="C585" s="111"/>
      <c r="D585" s="111"/>
      <c r="E585" s="111"/>
      <c r="F585" s="111"/>
      <c r="G585" s="112"/>
      <c r="H585" s="111"/>
      <c r="I585" s="111"/>
      <c r="J585" s="111"/>
      <c r="K585" s="111"/>
      <c r="L585" s="111"/>
      <c r="M585" s="111"/>
      <c r="N585" s="112"/>
      <c r="U585" s="112"/>
    </row>
    <row r="586" spans="1:21" ht="17.25" customHeight="1">
      <c r="A586" s="112"/>
      <c r="B586" s="111"/>
      <c r="C586" s="111"/>
      <c r="D586" s="111"/>
      <c r="E586" s="111"/>
      <c r="F586" s="111"/>
      <c r="G586" s="112"/>
      <c r="H586" s="111"/>
      <c r="I586" s="111"/>
      <c r="J586" s="111"/>
      <c r="K586" s="111"/>
      <c r="L586" s="111"/>
      <c r="M586" s="111"/>
      <c r="N586" s="112"/>
      <c r="U586" s="112"/>
    </row>
    <row r="587" spans="1:21" ht="17.25" customHeight="1">
      <c r="A587" s="112"/>
      <c r="B587" s="111"/>
      <c r="C587" s="111"/>
      <c r="D587" s="111"/>
      <c r="E587" s="111"/>
      <c r="F587" s="111"/>
      <c r="G587" s="112"/>
      <c r="H587" s="111"/>
      <c r="I587" s="111"/>
      <c r="J587" s="111"/>
      <c r="K587" s="111"/>
      <c r="L587" s="111"/>
      <c r="M587" s="111"/>
      <c r="N587" s="112"/>
      <c r="U587" s="112"/>
    </row>
    <row r="588" spans="1:21" ht="17.25" customHeight="1">
      <c r="A588" s="112"/>
      <c r="B588" s="111"/>
      <c r="C588" s="111"/>
      <c r="D588" s="111"/>
      <c r="E588" s="111"/>
      <c r="F588" s="111"/>
      <c r="G588" s="112"/>
      <c r="H588" s="111"/>
      <c r="I588" s="111"/>
      <c r="J588" s="111"/>
      <c r="K588" s="111"/>
      <c r="L588" s="111"/>
      <c r="M588" s="111"/>
      <c r="N588" s="112"/>
      <c r="U588" s="112"/>
    </row>
    <row r="589" spans="1:21" ht="17.25" customHeight="1">
      <c r="A589" s="112"/>
      <c r="B589" s="111"/>
      <c r="C589" s="111"/>
      <c r="D589" s="111"/>
      <c r="E589" s="111"/>
      <c r="F589" s="111"/>
      <c r="G589" s="112"/>
      <c r="H589" s="111"/>
      <c r="I589" s="111"/>
      <c r="J589" s="111"/>
      <c r="K589" s="111"/>
      <c r="L589" s="111"/>
      <c r="M589" s="111"/>
      <c r="N589" s="112"/>
      <c r="U589" s="112"/>
    </row>
    <row r="590" spans="1:21" ht="17.25" customHeight="1">
      <c r="A590" s="112"/>
      <c r="B590" s="111"/>
      <c r="C590" s="111"/>
      <c r="D590" s="111"/>
      <c r="E590" s="111"/>
      <c r="F590" s="111"/>
      <c r="G590" s="112"/>
      <c r="H590" s="111"/>
      <c r="I590" s="111"/>
      <c r="J590" s="111"/>
      <c r="K590" s="111"/>
      <c r="L590" s="111"/>
      <c r="M590" s="111"/>
      <c r="N590" s="112"/>
      <c r="U590" s="112"/>
    </row>
    <row r="591" spans="1:21" ht="17.25" customHeight="1">
      <c r="A591" s="112"/>
      <c r="B591" s="111"/>
      <c r="C591" s="111"/>
      <c r="D591" s="111"/>
      <c r="E591" s="111"/>
      <c r="F591" s="111"/>
      <c r="G591" s="112"/>
      <c r="H591" s="111"/>
      <c r="I591" s="111"/>
      <c r="J591" s="111"/>
      <c r="K591" s="111"/>
      <c r="L591" s="111"/>
      <c r="M591" s="111"/>
      <c r="N591" s="112"/>
      <c r="U591" s="112"/>
    </row>
    <row r="592" spans="1:21" ht="17.25" customHeight="1">
      <c r="A592" s="112"/>
      <c r="B592" s="111"/>
      <c r="C592" s="111"/>
      <c r="D592" s="111"/>
      <c r="E592" s="111"/>
      <c r="F592" s="111"/>
      <c r="G592" s="112"/>
      <c r="H592" s="111"/>
      <c r="I592" s="111"/>
      <c r="J592" s="111"/>
      <c r="K592" s="111"/>
      <c r="L592" s="111"/>
      <c r="M592" s="111"/>
      <c r="N592" s="112"/>
      <c r="U592" s="112"/>
    </row>
    <row r="593" spans="1:21" ht="17.25" customHeight="1">
      <c r="A593" s="112"/>
      <c r="B593" s="111"/>
      <c r="C593" s="111"/>
      <c r="D593" s="111"/>
      <c r="E593" s="111"/>
      <c r="F593" s="111"/>
      <c r="G593" s="112"/>
      <c r="H593" s="111"/>
      <c r="I593" s="111"/>
      <c r="J593" s="111"/>
      <c r="K593" s="111"/>
      <c r="L593" s="111"/>
      <c r="M593" s="111"/>
      <c r="N593" s="112"/>
      <c r="U593" s="112"/>
    </row>
    <row r="594" spans="1:21" ht="17.25" customHeight="1">
      <c r="A594" s="112"/>
      <c r="B594" s="111"/>
      <c r="C594" s="111"/>
      <c r="D594" s="111"/>
      <c r="E594" s="111"/>
      <c r="F594" s="111"/>
      <c r="G594" s="112"/>
      <c r="H594" s="111"/>
      <c r="I594" s="111"/>
      <c r="J594" s="111"/>
      <c r="K594" s="111"/>
      <c r="L594" s="111"/>
      <c r="M594" s="111"/>
      <c r="N594" s="112"/>
      <c r="U594" s="112"/>
    </row>
    <row r="595" spans="1:21" ht="17.25" customHeight="1">
      <c r="A595" s="112"/>
      <c r="B595" s="111"/>
      <c r="C595" s="111"/>
      <c r="D595" s="111"/>
      <c r="E595" s="111"/>
      <c r="F595" s="111"/>
      <c r="G595" s="112"/>
      <c r="H595" s="111"/>
      <c r="I595" s="111"/>
      <c r="J595" s="111"/>
      <c r="K595" s="111"/>
      <c r="L595" s="111"/>
      <c r="M595" s="111"/>
      <c r="N595" s="112"/>
      <c r="U595" s="112"/>
    </row>
    <row r="596" spans="1:21" ht="17.25" customHeight="1">
      <c r="A596" s="112"/>
      <c r="B596" s="111"/>
      <c r="C596" s="111"/>
      <c r="D596" s="111"/>
      <c r="E596" s="111"/>
      <c r="F596" s="111"/>
      <c r="G596" s="112"/>
      <c r="H596" s="111"/>
      <c r="I596" s="111"/>
      <c r="J596" s="111"/>
      <c r="K596" s="111"/>
      <c r="L596" s="111"/>
      <c r="M596" s="111"/>
      <c r="N596" s="112"/>
      <c r="U596" s="112"/>
    </row>
    <row r="597" spans="1:21" ht="17.25" customHeight="1">
      <c r="A597" s="112"/>
      <c r="B597" s="111"/>
      <c r="C597" s="111"/>
      <c r="D597" s="111"/>
      <c r="E597" s="111"/>
      <c r="F597" s="111"/>
      <c r="G597" s="112"/>
      <c r="H597" s="111"/>
      <c r="I597" s="111"/>
      <c r="J597" s="111"/>
      <c r="K597" s="111"/>
      <c r="L597" s="111"/>
      <c r="M597" s="111"/>
      <c r="N597" s="112"/>
      <c r="U597" s="112"/>
    </row>
    <row r="598" spans="1:21" ht="17.25" customHeight="1">
      <c r="A598" s="112"/>
      <c r="B598" s="111"/>
      <c r="C598" s="111"/>
      <c r="D598" s="111"/>
      <c r="E598" s="111"/>
      <c r="F598" s="111"/>
      <c r="G598" s="112"/>
      <c r="H598" s="111"/>
      <c r="I598" s="111"/>
      <c r="J598" s="111"/>
      <c r="K598" s="111"/>
      <c r="L598" s="111"/>
      <c r="M598" s="111"/>
      <c r="N598" s="112"/>
      <c r="U598" s="112"/>
    </row>
    <row r="599" spans="1:21" ht="17.25" customHeight="1">
      <c r="A599" s="112"/>
      <c r="B599" s="111"/>
      <c r="C599" s="111"/>
      <c r="D599" s="111"/>
      <c r="E599" s="111"/>
      <c r="F599" s="111"/>
      <c r="G599" s="112"/>
      <c r="H599" s="111"/>
      <c r="I599" s="111"/>
      <c r="J599" s="111"/>
      <c r="K599" s="111"/>
      <c r="L599" s="111"/>
      <c r="M599" s="111"/>
      <c r="N599" s="112"/>
      <c r="U599" s="112"/>
    </row>
    <row r="600" spans="1:21" ht="17.25" customHeight="1">
      <c r="A600" s="112"/>
      <c r="B600" s="111"/>
      <c r="C600" s="111"/>
      <c r="D600" s="111"/>
      <c r="E600" s="111"/>
      <c r="F600" s="111"/>
      <c r="G600" s="112"/>
      <c r="H600" s="111"/>
      <c r="I600" s="111"/>
      <c r="J600" s="111"/>
      <c r="K600" s="111"/>
      <c r="L600" s="111"/>
      <c r="M600" s="111"/>
      <c r="N600" s="112"/>
      <c r="U600" s="112"/>
    </row>
    <row r="601" spans="1:21" ht="17.25" customHeight="1">
      <c r="A601" s="112"/>
      <c r="B601" s="111"/>
      <c r="C601" s="111"/>
      <c r="D601" s="111"/>
      <c r="E601" s="111"/>
      <c r="F601" s="111"/>
      <c r="G601" s="112"/>
      <c r="H601" s="111"/>
      <c r="I601" s="111"/>
      <c r="J601" s="111"/>
      <c r="K601" s="111"/>
      <c r="L601" s="111"/>
      <c r="M601" s="111"/>
      <c r="N601" s="112"/>
      <c r="U601" s="112"/>
    </row>
    <row r="602" spans="1:21" ht="17.25" customHeight="1">
      <c r="A602" s="112"/>
      <c r="B602" s="111"/>
      <c r="C602" s="111"/>
      <c r="D602" s="111"/>
      <c r="E602" s="111"/>
      <c r="F602" s="111"/>
      <c r="G602" s="112"/>
      <c r="H602" s="111"/>
      <c r="I602" s="111"/>
      <c r="J602" s="111"/>
      <c r="K602" s="111"/>
      <c r="L602" s="111"/>
      <c r="M602" s="111"/>
      <c r="N602" s="112"/>
      <c r="U602" s="112"/>
    </row>
    <row r="603" spans="1:21" ht="17.25" customHeight="1">
      <c r="A603" s="112"/>
      <c r="B603" s="111"/>
      <c r="C603" s="111"/>
      <c r="D603" s="111"/>
      <c r="E603" s="111"/>
      <c r="F603" s="111"/>
      <c r="G603" s="112"/>
      <c r="H603" s="111"/>
      <c r="I603" s="111"/>
      <c r="J603" s="111"/>
      <c r="K603" s="111"/>
      <c r="L603" s="111"/>
      <c r="M603" s="111"/>
      <c r="N603" s="112"/>
      <c r="U603" s="112"/>
    </row>
    <row r="604" spans="1:21" ht="17.25" customHeight="1">
      <c r="A604" s="112"/>
      <c r="B604" s="111"/>
      <c r="C604" s="111"/>
      <c r="D604" s="111"/>
      <c r="E604" s="111"/>
      <c r="F604" s="111"/>
      <c r="G604" s="112"/>
      <c r="H604" s="111"/>
      <c r="I604" s="111"/>
      <c r="J604" s="111"/>
      <c r="K604" s="111"/>
      <c r="L604" s="111"/>
      <c r="M604" s="111"/>
      <c r="N604" s="112"/>
      <c r="U604" s="112"/>
    </row>
    <row r="605" spans="1:21" ht="17.25" customHeight="1">
      <c r="A605" s="112"/>
      <c r="B605" s="111"/>
      <c r="C605" s="111"/>
      <c r="D605" s="111"/>
      <c r="E605" s="111"/>
      <c r="F605" s="111"/>
      <c r="G605" s="112"/>
      <c r="H605" s="111"/>
      <c r="I605" s="111"/>
      <c r="J605" s="111"/>
      <c r="K605" s="111"/>
      <c r="L605" s="111"/>
      <c r="M605" s="111"/>
      <c r="N605" s="112"/>
      <c r="U605" s="112"/>
    </row>
    <row r="606" spans="1:21" ht="17.25" customHeight="1">
      <c r="A606" s="112"/>
      <c r="B606" s="111"/>
      <c r="C606" s="111"/>
      <c r="D606" s="111"/>
      <c r="E606" s="111"/>
      <c r="F606" s="111"/>
      <c r="G606" s="112"/>
      <c r="H606" s="111"/>
      <c r="I606" s="111"/>
      <c r="J606" s="111"/>
      <c r="K606" s="111"/>
      <c r="L606" s="111"/>
      <c r="M606" s="111"/>
      <c r="N606" s="112"/>
      <c r="U606" s="112"/>
    </row>
    <row r="607" spans="1:21" ht="17.25" customHeight="1">
      <c r="A607" s="112"/>
      <c r="B607" s="111"/>
      <c r="C607" s="111"/>
      <c r="D607" s="111"/>
      <c r="E607" s="111"/>
      <c r="F607" s="111"/>
      <c r="G607" s="112"/>
      <c r="H607" s="111"/>
      <c r="I607" s="111"/>
      <c r="J607" s="111"/>
      <c r="K607" s="111"/>
      <c r="L607" s="111"/>
      <c r="M607" s="111"/>
      <c r="N607" s="112"/>
      <c r="U607" s="112"/>
    </row>
    <row r="608" spans="1:21" ht="17.25" customHeight="1">
      <c r="A608" s="112"/>
      <c r="B608" s="111"/>
      <c r="C608" s="111"/>
      <c r="D608" s="111"/>
      <c r="E608" s="111"/>
      <c r="F608" s="111"/>
      <c r="G608" s="112"/>
      <c r="H608" s="111"/>
      <c r="I608" s="111"/>
      <c r="J608" s="111"/>
      <c r="K608" s="111"/>
      <c r="L608" s="111"/>
      <c r="M608" s="111"/>
      <c r="N608" s="112"/>
      <c r="U608" s="112"/>
    </row>
    <row r="609" spans="1:21" ht="17.25" customHeight="1">
      <c r="A609" s="112"/>
      <c r="B609" s="111"/>
      <c r="C609" s="111"/>
      <c r="D609" s="111"/>
      <c r="E609" s="111"/>
      <c r="F609" s="111"/>
      <c r="G609" s="112"/>
      <c r="H609" s="111"/>
      <c r="I609" s="111"/>
      <c r="J609" s="111"/>
      <c r="K609" s="111"/>
      <c r="L609" s="111"/>
      <c r="M609" s="111"/>
      <c r="N609" s="112"/>
      <c r="U609" s="112"/>
    </row>
    <row r="610" spans="1:21" ht="17.25" customHeight="1">
      <c r="A610" s="112"/>
      <c r="B610" s="111"/>
      <c r="C610" s="111"/>
      <c r="D610" s="111"/>
      <c r="E610" s="111"/>
      <c r="F610" s="111"/>
      <c r="G610" s="112"/>
      <c r="H610" s="111"/>
      <c r="I610" s="111"/>
      <c r="J610" s="111"/>
      <c r="K610" s="111"/>
      <c r="L610" s="111"/>
      <c r="M610" s="111"/>
      <c r="N610" s="112"/>
      <c r="U610" s="112"/>
    </row>
    <row r="611" spans="1:21" ht="17.25" customHeight="1">
      <c r="A611" s="112"/>
      <c r="B611" s="111"/>
      <c r="C611" s="111"/>
      <c r="D611" s="111"/>
      <c r="E611" s="111"/>
      <c r="F611" s="111"/>
      <c r="G611" s="112"/>
      <c r="H611" s="111"/>
      <c r="I611" s="111"/>
      <c r="J611" s="111"/>
      <c r="K611" s="111"/>
      <c r="L611" s="111"/>
      <c r="M611" s="111"/>
      <c r="N611" s="112"/>
      <c r="U611" s="112"/>
    </row>
    <row r="612" spans="1:21" ht="17.25" customHeight="1">
      <c r="A612" s="112"/>
      <c r="B612" s="111"/>
      <c r="C612" s="111"/>
      <c r="D612" s="111"/>
      <c r="E612" s="111"/>
      <c r="F612" s="111"/>
      <c r="G612" s="112"/>
      <c r="H612" s="111"/>
      <c r="I612" s="111"/>
      <c r="J612" s="111"/>
      <c r="K612" s="111"/>
      <c r="L612" s="111"/>
      <c r="M612" s="111"/>
      <c r="N612" s="112"/>
      <c r="U612" s="112"/>
    </row>
    <row r="613" spans="1:21" ht="17.25" customHeight="1">
      <c r="A613" s="112"/>
      <c r="B613" s="111"/>
      <c r="C613" s="111"/>
      <c r="D613" s="111"/>
      <c r="E613" s="111"/>
      <c r="F613" s="111"/>
      <c r="G613" s="112"/>
      <c r="H613" s="111"/>
      <c r="I613" s="111"/>
      <c r="J613" s="111"/>
      <c r="K613" s="111"/>
      <c r="L613" s="111"/>
      <c r="M613" s="111"/>
      <c r="N613" s="112"/>
      <c r="U613" s="112"/>
    </row>
    <row r="614" spans="1:21" ht="17.25" customHeight="1">
      <c r="A614" s="112"/>
      <c r="B614" s="111"/>
      <c r="C614" s="111"/>
      <c r="D614" s="111"/>
      <c r="E614" s="111"/>
      <c r="F614" s="111"/>
      <c r="G614" s="112"/>
      <c r="H614" s="111"/>
      <c r="I614" s="111"/>
      <c r="J614" s="111"/>
      <c r="K614" s="111"/>
      <c r="L614" s="111"/>
      <c r="M614" s="111"/>
      <c r="N614" s="112"/>
      <c r="U614" s="112"/>
    </row>
    <row r="615" spans="1:21" ht="17.25" customHeight="1">
      <c r="A615" s="112"/>
      <c r="B615" s="111"/>
      <c r="C615" s="111"/>
      <c r="D615" s="111"/>
      <c r="E615" s="111"/>
      <c r="F615" s="111"/>
      <c r="G615" s="112"/>
      <c r="H615" s="111"/>
      <c r="I615" s="111"/>
      <c r="J615" s="111"/>
      <c r="K615" s="111"/>
      <c r="L615" s="111"/>
      <c r="M615" s="111"/>
      <c r="N615" s="112"/>
      <c r="U615" s="112"/>
    </row>
    <row r="616" spans="1:21" ht="17.25" customHeight="1">
      <c r="A616" s="112"/>
      <c r="B616" s="111"/>
      <c r="C616" s="111"/>
      <c r="D616" s="111"/>
      <c r="E616" s="111"/>
      <c r="F616" s="111"/>
      <c r="G616" s="112"/>
      <c r="H616" s="111"/>
      <c r="I616" s="111"/>
      <c r="J616" s="111"/>
      <c r="K616" s="111"/>
      <c r="L616" s="111"/>
      <c r="M616" s="111"/>
      <c r="N616" s="112"/>
      <c r="U616" s="112"/>
    </row>
    <row r="617" spans="1:21" ht="17.25" customHeight="1">
      <c r="A617" s="112"/>
      <c r="B617" s="111"/>
      <c r="C617" s="111"/>
      <c r="D617" s="111"/>
      <c r="E617" s="111"/>
      <c r="F617" s="111"/>
      <c r="G617" s="112"/>
      <c r="H617" s="111"/>
      <c r="I617" s="111"/>
      <c r="J617" s="111"/>
      <c r="K617" s="111"/>
      <c r="L617" s="111"/>
      <c r="M617" s="111"/>
      <c r="N617" s="112"/>
      <c r="U617" s="112"/>
    </row>
    <row r="618" spans="1:21" ht="17.25" customHeight="1">
      <c r="A618" s="112"/>
      <c r="B618" s="111"/>
      <c r="C618" s="111"/>
      <c r="D618" s="111"/>
      <c r="E618" s="111"/>
      <c r="F618" s="111"/>
      <c r="G618" s="112"/>
      <c r="H618" s="111"/>
      <c r="I618" s="111"/>
      <c r="J618" s="111"/>
      <c r="K618" s="111"/>
      <c r="L618" s="111"/>
      <c r="M618" s="111"/>
      <c r="N618" s="112"/>
      <c r="U618" s="112"/>
    </row>
    <row r="619" spans="1:21" ht="17.25" customHeight="1">
      <c r="A619" s="112"/>
      <c r="B619" s="111"/>
      <c r="C619" s="111"/>
      <c r="D619" s="111"/>
      <c r="E619" s="111"/>
      <c r="F619" s="111"/>
      <c r="G619" s="112"/>
      <c r="H619" s="111"/>
      <c r="I619" s="111"/>
      <c r="J619" s="111"/>
      <c r="K619" s="111"/>
      <c r="L619" s="111"/>
      <c r="M619" s="111"/>
      <c r="N619" s="112"/>
      <c r="U619" s="112"/>
    </row>
    <row r="620" spans="1:21" ht="17.25" customHeight="1">
      <c r="A620" s="112"/>
      <c r="B620" s="111"/>
      <c r="C620" s="111"/>
      <c r="D620" s="111"/>
      <c r="E620" s="111"/>
      <c r="F620" s="111"/>
      <c r="G620" s="112"/>
      <c r="H620" s="111"/>
      <c r="I620" s="111"/>
      <c r="J620" s="111"/>
      <c r="K620" s="111"/>
      <c r="L620" s="111"/>
      <c r="M620" s="111"/>
      <c r="N620" s="112"/>
      <c r="U620" s="112"/>
    </row>
    <row r="621" spans="1:21" ht="17.25" customHeight="1">
      <c r="A621" s="112"/>
      <c r="B621" s="111"/>
      <c r="C621" s="111"/>
      <c r="D621" s="111"/>
      <c r="E621" s="111"/>
      <c r="F621" s="111"/>
      <c r="G621" s="112"/>
      <c r="H621" s="111"/>
      <c r="I621" s="111"/>
      <c r="J621" s="111"/>
      <c r="K621" s="111"/>
      <c r="L621" s="111"/>
      <c r="M621" s="111"/>
      <c r="N621" s="112"/>
      <c r="U621" s="112"/>
    </row>
    <row r="622" spans="1:21" ht="17.25" customHeight="1">
      <c r="A622" s="112"/>
      <c r="B622" s="111"/>
      <c r="C622" s="111"/>
      <c r="D622" s="111"/>
      <c r="E622" s="111"/>
      <c r="F622" s="111"/>
      <c r="G622" s="112"/>
      <c r="H622" s="111"/>
      <c r="I622" s="111"/>
      <c r="J622" s="111"/>
      <c r="K622" s="111"/>
      <c r="L622" s="111"/>
      <c r="M622" s="111"/>
      <c r="N622" s="112"/>
      <c r="U622" s="112"/>
    </row>
    <row r="623" spans="1:21" ht="17.25" customHeight="1">
      <c r="A623" s="112"/>
      <c r="B623" s="111"/>
      <c r="C623" s="111"/>
      <c r="D623" s="111"/>
      <c r="E623" s="111"/>
      <c r="F623" s="111"/>
      <c r="G623" s="112"/>
      <c r="H623" s="111"/>
      <c r="I623" s="111"/>
      <c r="J623" s="111"/>
      <c r="K623" s="111"/>
      <c r="L623" s="111"/>
      <c r="M623" s="111"/>
      <c r="N623" s="112"/>
      <c r="U623" s="112"/>
    </row>
    <row r="624" spans="1:21" ht="17.25" customHeight="1">
      <c r="A624" s="112"/>
      <c r="B624" s="111"/>
      <c r="C624" s="111"/>
      <c r="D624" s="111"/>
      <c r="E624" s="111"/>
      <c r="F624" s="111"/>
      <c r="G624" s="112"/>
      <c r="H624" s="111"/>
      <c r="I624" s="111"/>
      <c r="J624" s="111"/>
      <c r="K624" s="111"/>
      <c r="L624" s="111"/>
      <c r="M624" s="111"/>
      <c r="N624" s="112"/>
      <c r="U624" s="112"/>
    </row>
    <row r="625" spans="1:21" ht="17.25" customHeight="1">
      <c r="A625" s="112"/>
      <c r="B625" s="111"/>
      <c r="C625" s="111"/>
      <c r="D625" s="111"/>
      <c r="E625" s="111"/>
      <c r="F625" s="111"/>
      <c r="G625" s="112"/>
      <c r="H625" s="111"/>
      <c r="I625" s="111"/>
      <c r="J625" s="111"/>
      <c r="K625" s="111"/>
      <c r="L625" s="111"/>
      <c r="M625" s="111"/>
      <c r="N625" s="112"/>
      <c r="U625" s="112"/>
    </row>
    <row r="626" spans="1:21" ht="17.25" customHeight="1">
      <c r="A626" s="112"/>
      <c r="B626" s="111"/>
      <c r="C626" s="111"/>
      <c r="D626" s="111"/>
      <c r="E626" s="111"/>
      <c r="F626" s="111"/>
      <c r="G626" s="112"/>
      <c r="H626" s="111"/>
      <c r="I626" s="111"/>
      <c r="J626" s="111"/>
      <c r="K626" s="111"/>
      <c r="L626" s="111"/>
      <c r="M626" s="111"/>
      <c r="N626" s="112"/>
      <c r="U626" s="112"/>
    </row>
    <row r="627" spans="1:21" ht="17.25" customHeight="1">
      <c r="A627" s="112"/>
      <c r="B627" s="111"/>
      <c r="C627" s="111"/>
      <c r="D627" s="111"/>
      <c r="E627" s="111"/>
      <c r="F627" s="111"/>
      <c r="G627" s="112"/>
      <c r="H627" s="111"/>
      <c r="I627" s="111"/>
      <c r="J627" s="111"/>
      <c r="K627" s="111"/>
      <c r="L627" s="111"/>
      <c r="M627" s="111"/>
      <c r="N627" s="112"/>
      <c r="U627" s="112"/>
    </row>
    <row r="628" spans="1:21" ht="17.25" customHeight="1">
      <c r="A628" s="112"/>
      <c r="B628" s="111"/>
      <c r="C628" s="111"/>
      <c r="D628" s="111"/>
      <c r="E628" s="111"/>
      <c r="F628" s="111"/>
      <c r="G628" s="112"/>
      <c r="H628" s="111"/>
      <c r="I628" s="111"/>
      <c r="J628" s="111"/>
      <c r="K628" s="111"/>
      <c r="L628" s="111"/>
      <c r="M628" s="111"/>
      <c r="N628" s="112"/>
      <c r="U628" s="112"/>
    </row>
    <row r="629" spans="1:21" ht="17.25" customHeight="1">
      <c r="A629" s="112"/>
      <c r="B629" s="111"/>
      <c r="C629" s="111"/>
      <c r="D629" s="111"/>
      <c r="E629" s="111"/>
      <c r="F629" s="111"/>
      <c r="G629" s="112"/>
      <c r="H629" s="111"/>
      <c r="I629" s="111"/>
      <c r="J629" s="111"/>
      <c r="K629" s="111"/>
      <c r="L629" s="111"/>
      <c r="M629" s="111"/>
      <c r="N629" s="112"/>
      <c r="U629" s="112"/>
    </row>
    <row r="630" spans="1:21" ht="17.25" customHeight="1">
      <c r="A630" s="112"/>
      <c r="B630" s="111"/>
      <c r="C630" s="111"/>
      <c r="D630" s="111"/>
      <c r="E630" s="111"/>
      <c r="F630" s="111"/>
      <c r="G630" s="112"/>
      <c r="H630" s="111"/>
      <c r="I630" s="111"/>
      <c r="J630" s="111"/>
      <c r="K630" s="111"/>
      <c r="L630" s="111"/>
      <c r="M630" s="111"/>
      <c r="N630" s="112"/>
      <c r="U630" s="112"/>
    </row>
    <row r="631" spans="1:21" ht="17.25" customHeight="1">
      <c r="A631" s="112"/>
      <c r="B631" s="111"/>
      <c r="C631" s="111"/>
      <c r="D631" s="111"/>
      <c r="E631" s="111"/>
      <c r="F631" s="111"/>
      <c r="G631" s="112"/>
      <c r="H631" s="111"/>
      <c r="I631" s="111"/>
      <c r="J631" s="111"/>
      <c r="K631" s="111"/>
      <c r="L631" s="111"/>
      <c r="M631" s="111"/>
      <c r="N631" s="112"/>
      <c r="U631" s="112"/>
    </row>
    <row r="632" spans="1:21" ht="17.25" customHeight="1">
      <c r="A632" s="112"/>
      <c r="B632" s="111"/>
      <c r="C632" s="111"/>
      <c r="D632" s="111"/>
      <c r="E632" s="111"/>
      <c r="F632" s="111"/>
      <c r="G632" s="112"/>
      <c r="H632" s="111"/>
      <c r="I632" s="111"/>
      <c r="J632" s="111"/>
      <c r="K632" s="111"/>
      <c r="L632" s="111"/>
      <c r="M632" s="111"/>
      <c r="N632" s="112"/>
      <c r="U632" s="112"/>
    </row>
    <row r="633" spans="1:21" ht="17.25" customHeight="1">
      <c r="A633" s="112"/>
      <c r="B633" s="111"/>
      <c r="C633" s="111"/>
      <c r="D633" s="111"/>
      <c r="E633" s="111"/>
      <c r="F633" s="111"/>
      <c r="G633" s="112"/>
      <c r="H633" s="111"/>
      <c r="I633" s="111"/>
      <c r="J633" s="111"/>
      <c r="K633" s="111"/>
      <c r="L633" s="111"/>
      <c r="M633" s="111"/>
      <c r="N633" s="112"/>
      <c r="U633" s="112"/>
    </row>
    <row r="634" spans="1:21" ht="17.25" customHeight="1">
      <c r="A634" s="112"/>
      <c r="B634" s="111"/>
      <c r="C634" s="111"/>
      <c r="D634" s="111"/>
      <c r="E634" s="111"/>
      <c r="F634" s="111"/>
      <c r="G634" s="112"/>
      <c r="H634" s="111"/>
      <c r="I634" s="111"/>
      <c r="J634" s="111"/>
      <c r="K634" s="111"/>
      <c r="L634" s="111"/>
      <c r="M634" s="111"/>
      <c r="N634" s="112"/>
      <c r="U634" s="112"/>
    </row>
    <row r="635" spans="1:21" ht="17.25" customHeight="1">
      <c r="A635" s="112"/>
      <c r="B635" s="111"/>
      <c r="C635" s="111"/>
      <c r="D635" s="111"/>
      <c r="E635" s="111"/>
      <c r="F635" s="111"/>
      <c r="G635" s="112"/>
      <c r="H635" s="111"/>
      <c r="I635" s="111"/>
      <c r="J635" s="111"/>
      <c r="K635" s="111"/>
      <c r="L635" s="111"/>
      <c r="M635" s="111"/>
      <c r="N635" s="112"/>
      <c r="U635" s="112"/>
    </row>
    <row r="636" spans="1:21" ht="17.25" customHeight="1">
      <c r="A636" s="112"/>
      <c r="B636" s="111"/>
      <c r="C636" s="111"/>
      <c r="D636" s="111"/>
      <c r="E636" s="111"/>
      <c r="F636" s="111"/>
      <c r="G636" s="112"/>
      <c r="H636" s="111"/>
      <c r="I636" s="111"/>
      <c r="J636" s="111"/>
      <c r="K636" s="111"/>
      <c r="L636" s="111"/>
      <c r="M636" s="111"/>
      <c r="N636" s="112"/>
      <c r="U636" s="112"/>
    </row>
    <row r="637" spans="1:21" ht="17.25" customHeight="1">
      <c r="A637" s="112"/>
      <c r="B637" s="111"/>
      <c r="C637" s="111"/>
      <c r="D637" s="111"/>
      <c r="E637" s="111"/>
      <c r="F637" s="111"/>
      <c r="G637" s="112"/>
      <c r="H637" s="111"/>
      <c r="I637" s="111"/>
      <c r="J637" s="111"/>
      <c r="K637" s="111"/>
      <c r="L637" s="111"/>
      <c r="M637" s="111"/>
      <c r="N637" s="112"/>
      <c r="U637" s="112"/>
    </row>
    <row r="638" spans="1:21" ht="17.25" customHeight="1">
      <c r="A638" s="112"/>
      <c r="B638" s="111"/>
      <c r="C638" s="111"/>
      <c r="D638" s="111"/>
      <c r="E638" s="111"/>
      <c r="F638" s="111"/>
      <c r="G638" s="112"/>
      <c r="H638" s="111"/>
      <c r="I638" s="111"/>
      <c r="J638" s="111"/>
      <c r="K638" s="111"/>
      <c r="L638" s="111"/>
      <c r="M638" s="111"/>
      <c r="N638" s="112"/>
      <c r="U638" s="112"/>
    </row>
    <row r="639" spans="1:21" ht="17.25" customHeight="1">
      <c r="A639" s="112"/>
      <c r="B639" s="111"/>
      <c r="C639" s="111"/>
      <c r="D639" s="111"/>
      <c r="E639" s="111"/>
      <c r="F639" s="111"/>
      <c r="G639" s="112"/>
      <c r="H639" s="111"/>
      <c r="I639" s="111"/>
      <c r="J639" s="111"/>
      <c r="K639" s="111"/>
      <c r="L639" s="111"/>
      <c r="M639" s="111"/>
      <c r="N639" s="112"/>
      <c r="U639" s="112"/>
    </row>
    <row r="640" spans="1:21" ht="17.25" customHeight="1">
      <c r="A640" s="112"/>
      <c r="B640" s="111"/>
      <c r="C640" s="111"/>
      <c r="D640" s="111"/>
      <c r="E640" s="111"/>
      <c r="F640" s="111"/>
      <c r="G640" s="112"/>
      <c r="H640" s="111"/>
      <c r="I640" s="111"/>
      <c r="J640" s="111"/>
      <c r="K640" s="111"/>
      <c r="L640" s="111"/>
      <c r="M640" s="111"/>
      <c r="N640" s="112"/>
      <c r="U640" s="112"/>
    </row>
    <row r="641" spans="1:21" ht="17.25" customHeight="1">
      <c r="A641" s="112"/>
      <c r="B641" s="111"/>
      <c r="C641" s="111"/>
      <c r="D641" s="111"/>
      <c r="E641" s="111"/>
      <c r="F641" s="111"/>
      <c r="G641" s="112"/>
      <c r="H641" s="111"/>
      <c r="I641" s="111"/>
      <c r="J641" s="111"/>
      <c r="K641" s="111"/>
      <c r="L641" s="111"/>
      <c r="M641" s="111"/>
      <c r="N641" s="112"/>
      <c r="U641" s="112"/>
    </row>
    <row r="642" spans="1:21" ht="17.25" customHeight="1">
      <c r="A642" s="112"/>
      <c r="B642" s="111"/>
      <c r="C642" s="111"/>
      <c r="D642" s="111"/>
      <c r="E642" s="111"/>
      <c r="F642" s="111"/>
      <c r="G642" s="112"/>
      <c r="H642" s="111"/>
      <c r="I642" s="111"/>
      <c r="J642" s="111"/>
      <c r="K642" s="111"/>
      <c r="L642" s="111"/>
      <c r="M642" s="111"/>
      <c r="N642" s="112"/>
      <c r="U642" s="112"/>
    </row>
    <row r="643" spans="1:21" ht="17.25" customHeight="1">
      <c r="A643" s="112"/>
      <c r="B643" s="111"/>
      <c r="C643" s="111"/>
      <c r="D643" s="111"/>
      <c r="E643" s="111"/>
      <c r="F643" s="111"/>
      <c r="G643" s="112"/>
      <c r="H643" s="111"/>
      <c r="I643" s="111"/>
      <c r="J643" s="111"/>
      <c r="K643" s="111"/>
      <c r="L643" s="111"/>
      <c r="M643" s="111"/>
      <c r="N643" s="112"/>
      <c r="U643" s="112"/>
    </row>
    <row r="644" spans="1:21" ht="17.25" customHeight="1">
      <c r="A644" s="112"/>
      <c r="B644" s="111"/>
      <c r="C644" s="111"/>
      <c r="D644" s="111"/>
      <c r="E644" s="111"/>
      <c r="F644" s="111"/>
      <c r="G644" s="112"/>
      <c r="H644" s="111"/>
      <c r="I644" s="111"/>
      <c r="J644" s="111"/>
      <c r="K644" s="111"/>
      <c r="L644" s="111"/>
      <c r="M644" s="111"/>
      <c r="N644" s="112"/>
      <c r="U644" s="112"/>
    </row>
    <row r="645" spans="1:21" ht="17.25" customHeight="1">
      <c r="A645" s="112"/>
      <c r="B645" s="111"/>
      <c r="C645" s="111"/>
      <c r="D645" s="111"/>
      <c r="E645" s="111"/>
      <c r="F645" s="111"/>
      <c r="G645" s="112"/>
      <c r="H645" s="111"/>
      <c r="I645" s="111"/>
      <c r="J645" s="111"/>
      <c r="K645" s="111"/>
      <c r="L645" s="111"/>
      <c r="M645" s="111"/>
      <c r="N645" s="112"/>
      <c r="U645" s="112"/>
    </row>
    <row r="646" spans="1:21" ht="17.25" customHeight="1">
      <c r="A646" s="112"/>
      <c r="B646" s="111"/>
      <c r="C646" s="111"/>
      <c r="D646" s="111"/>
      <c r="E646" s="111"/>
      <c r="F646" s="111"/>
      <c r="G646" s="112"/>
      <c r="H646" s="111"/>
      <c r="I646" s="111"/>
      <c r="J646" s="111"/>
      <c r="K646" s="111"/>
      <c r="L646" s="111"/>
      <c r="M646" s="111"/>
      <c r="N646" s="112"/>
      <c r="U646" s="112"/>
    </row>
    <row r="647" spans="1:21" ht="17.25" customHeight="1">
      <c r="A647" s="112"/>
      <c r="B647" s="111"/>
      <c r="C647" s="111"/>
      <c r="D647" s="111"/>
      <c r="E647" s="111"/>
      <c r="F647" s="111"/>
      <c r="G647" s="112"/>
      <c r="H647" s="111"/>
      <c r="I647" s="111"/>
      <c r="J647" s="111"/>
      <c r="K647" s="111"/>
      <c r="L647" s="111"/>
      <c r="M647" s="111"/>
      <c r="N647" s="112"/>
      <c r="U647" s="112"/>
    </row>
    <row r="648" spans="1:21" ht="17.25" customHeight="1">
      <c r="A648" s="112"/>
      <c r="B648" s="111"/>
      <c r="C648" s="111"/>
      <c r="D648" s="111"/>
      <c r="E648" s="111"/>
      <c r="F648" s="111"/>
      <c r="G648" s="112"/>
      <c r="H648" s="111"/>
      <c r="I648" s="111"/>
      <c r="J648" s="111"/>
      <c r="K648" s="111"/>
      <c r="L648" s="111"/>
      <c r="M648" s="111"/>
      <c r="N648" s="112"/>
      <c r="U648" s="112"/>
    </row>
    <row r="649" spans="1:21" ht="17.25" customHeight="1">
      <c r="A649" s="112"/>
      <c r="B649" s="111"/>
      <c r="C649" s="111"/>
      <c r="D649" s="111"/>
      <c r="E649" s="111"/>
      <c r="F649" s="111"/>
      <c r="G649" s="112"/>
      <c r="H649" s="111"/>
      <c r="I649" s="111"/>
      <c r="J649" s="111"/>
      <c r="K649" s="111"/>
      <c r="L649" s="111"/>
      <c r="M649" s="111"/>
      <c r="N649" s="112"/>
      <c r="U649" s="112"/>
    </row>
    <row r="650" spans="1:21" ht="17.25" customHeight="1">
      <c r="A650" s="112"/>
      <c r="B650" s="111"/>
      <c r="C650" s="111"/>
      <c r="D650" s="111"/>
      <c r="E650" s="111"/>
      <c r="F650" s="111"/>
      <c r="G650" s="112"/>
      <c r="H650" s="111"/>
      <c r="I650" s="111"/>
      <c r="J650" s="111"/>
      <c r="K650" s="111"/>
      <c r="L650" s="111"/>
      <c r="M650" s="111"/>
      <c r="N650" s="112"/>
      <c r="U650" s="112"/>
    </row>
    <row r="651" spans="1:21" ht="17.25" customHeight="1">
      <c r="A651" s="112"/>
      <c r="B651" s="111"/>
      <c r="C651" s="111"/>
      <c r="D651" s="111"/>
      <c r="E651" s="111"/>
      <c r="F651" s="111"/>
      <c r="G651" s="112"/>
      <c r="H651" s="111"/>
      <c r="I651" s="111"/>
      <c r="J651" s="111"/>
      <c r="K651" s="111"/>
      <c r="L651" s="111"/>
      <c r="M651" s="111"/>
      <c r="N651" s="112"/>
      <c r="U651" s="112"/>
    </row>
    <row r="652" spans="1:21" ht="17.25" customHeight="1">
      <c r="A652" s="112"/>
      <c r="B652" s="111"/>
      <c r="C652" s="111"/>
      <c r="D652" s="111"/>
      <c r="E652" s="111"/>
      <c r="F652" s="111"/>
      <c r="G652" s="112"/>
      <c r="H652" s="111"/>
      <c r="I652" s="111"/>
      <c r="J652" s="111"/>
      <c r="K652" s="111"/>
      <c r="L652" s="111"/>
      <c r="M652" s="111"/>
      <c r="N652" s="112"/>
      <c r="U652" s="112"/>
    </row>
    <row r="653" spans="1:21" ht="17.25" customHeight="1">
      <c r="A653" s="112"/>
      <c r="B653" s="111"/>
      <c r="C653" s="111"/>
      <c r="D653" s="111"/>
      <c r="E653" s="111"/>
      <c r="F653" s="111"/>
      <c r="G653" s="112"/>
      <c r="H653" s="111"/>
      <c r="I653" s="111"/>
      <c r="J653" s="111"/>
      <c r="K653" s="111"/>
      <c r="L653" s="111"/>
      <c r="M653" s="111"/>
      <c r="N653" s="112"/>
      <c r="U653" s="112"/>
    </row>
    <row r="654" spans="1:21" ht="17.25" customHeight="1">
      <c r="A654" s="112"/>
      <c r="B654" s="111"/>
      <c r="C654" s="111"/>
      <c r="D654" s="111"/>
      <c r="E654" s="111"/>
      <c r="F654" s="111"/>
      <c r="G654" s="112"/>
      <c r="H654" s="111"/>
      <c r="I654" s="111"/>
      <c r="J654" s="111"/>
      <c r="K654" s="111"/>
      <c r="L654" s="111"/>
      <c r="M654" s="111"/>
      <c r="N654" s="112"/>
      <c r="U654" s="112"/>
    </row>
    <row r="655" spans="1:21" ht="17.25" customHeight="1">
      <c r="A655" s="112"/>
      <c r="B655" s="111"/>
      <c r="C655" s="111"/>
      <c r="D655" s="111"/>
      <c r="E655" s="111"/>
      <c r="F655" s="111"/>
      <c r="G655" s="112"/>
      <c r="H655" s="111"/>
      <c r="I655" s="111"/>
      <c r="J655" s="111"/>
      <c r="K655" s="111"/>
      <c r="L655" s="111"/>
      <c r="M655" s="111"/>
      <c r="N655" s="112"/>
      <c r="U655" s="112"/>
    </row>
    <row r="656" spans="1:21" ht="17.25" customHeight="1">
      <c r="A656" s="112"/>
      <c r="B656" s="111"/>
      <c r="C656" s="111"/>
      <c r="D656" s="111"/>
      <c r="E656" s="111"/>
      <c r="F656" s="111"/>
      <c r="G656" s="112"/>
      <c r="H656" s="111"/>
      <c r="I656" s="111"/>
      <c r="J656" s="111"/>
      <c r="K656" s="111"/>
      <c r="L656" s="111"/>
      <c r="M656" s="111"/>
      <c r="N656" s="112"/>
      <c r="U656" s="112"/>
    </row>
    <row r="657" spans="1:21" ht="17.25" customHeight="1">
      <c r="A657" s="112"/>
      <c r="B657" s="111"/>
      <c r="C657" s="111"/>
      <c r="D657" s="111"/>
      <c r="E657" s="111"/>
      <c r="F657" s="111"/>
      <c r="G657" s="112"/>
      <c r="H657" s="111"/>
      <c r="I657" s="111"/>
      <c r="J657" s="111"/>
      <c r="K657" s="111"/>
      <c r="L657" s="111"/>
      <c r="M657" s="111"/>
      <c r="N657" s="112"/>
      <c r="U657" s="112"/>
    </row>
    <row r="658" spans="1:21" ht="17.25" customHeight="1">
      <c r="A658" s="112"/>
      <c r="B658" s="111"/>
      <c r="C658" s="111"/>
      <c r="D658" s="111"/>
      <c r="E658" s="111"/>
      <c r="F658" s="111"/>
      <c r="G658" s="112"/>
      <c r="H658" s="111"/>
      <c r="I658" s="111"/>
      <c r="J658" s="111"/>
      <c r="K658" s="111"/>
      <c r="L658" s="111"/>
      <c r="M658" s="111"/>
      <c r="N658" s="112"/>
      <c r="U658" s="112"/>
    </row>
    <row r="659" spans="1:21" ht="17.25" customHeight="1">
      <c r="A659" s="112"/>
      <c r="B659" s="111"/>
      <c r="C659" s="111"/>
      <c r="D659" s="111"/>
      <c r="E659" s="111"/>
      <c r="F659" s="111"/>
      <c r="G659" s="112"/>
      <c r="H659" s="111"/>
      <c r="I659" s="111"/>
      <c r="J659" s="111"/>
      <c r="K659" s="111"/>
      <c r="L659" s="111"/>
      <c r="M659" s="111"/>
      <c r="N659" s="112"/>
      <c r="U659" s="112"/>
    </row>
    <row r="660" spans="1:21" ht="17.25" customHeight="1">
      <c r="A660" s="112"/>
      <c r="B660" s="111"/>
      <c r="C660" s="111"/>
      <c r="D660" s="111"/>
      <c r="E660" s="111"/>
      <c r="F660" s="111"/>
      <c r="G660" s="112"/>
      <c r="H660" s="111"/>
      <c r="I660" s="111"/>
      <c r="J660" s="111"/>
      <c r="K660" s="111"/>
      <c r="L660" s="111"/>
      <c r="M660" s="111"/>
      <c r="N660" s="112"/>
      <c r="U660" s="112"/>
    </row>
    <row r="661" spans="1:21" ht="17.25" customHeight="1">
      <c r="A661" s="112"/>
      <c r="B661" s="111"/>
      <c r="C661" s="111"/>
      <c r="D661" s="111"/>
      <c r="E661" s="111"/>
      <c r="F661" s="111"/>
      <c r="G661" s="112"/>
      <c r="H661" s="111"/>
      <c r="I661" s="111"/>
      <c r="J661" s="111"/>
      <c r="K661" s="111"/>
      <c r="L661" s="111"/>
      <c r="M661" s="111"/>
      <c r="N661" s="112"/>
      <c r="U661" s="112"/>
    </row>
    <row r="662" spans="1:21" ht="17.25" customHeight="1">
      <c r="A662" s="112"/>
      <c r="B662" s="111"/>
      <c r="C662" s="111"/>
      <c r="D662" s="111"/>
      <c r="E662" s="111"/>
      <c r="F662" s="111"/>
      <c r="G662" s="112"/>
      <c r="H662" s="111"/>
      <c r="I662" s="111"/>
      <c r="J662" s="111"/>
      <c r="K662" s="111"/>
      <c r="L662" s="111"/>
      <c r="M662" s="111"/>
      <c r="N662" s="112"/>
      <c r="U662" s="112"/>
    </row>
    <row r="663" spans="1:21" ht="17.25" customHeight="1">
      <c r="A663" s="112"/>
      <c r="B663" s="111"/>
      <c r="C663" s="111"/>
      <c r="D663" s="111"/>
      <c r="E663" s="111"/>
      <c r="F663" s="111"/>
      <c r="G663" s="112"/>
      <c r="H663" s="111"/>
      <c r="I663" s="111"/>
      <c r="J663" s="111"/>
      <c r="K663" s="111"/>
      <c r="L663" s="111"/>
      <c r="M663" s="111"/>
      <c r="N663" s="112"/>
      <c r="U663" s="112"/>
    </row>
    <row r="664" spans="1:21" ht="17.25" customHeight="1">
      <c r="A664" s="112"/>
      <c r="B664" s="111"/>
      <c r="C664" s="111"/>
      <c r="D664" s="111"/>
      <c r="E664" s="111"/>
      <c r="F664" s="111"/>
      <c r="G664" s="112"/>
      <c r="H664" s="111"/>
      <c r="I664" s="111"/>
      <c r="J664" s="111"/>
      <c r="K664" s="111"/>
      <c r="L664" s="111"/>
      <c r="M664" s="111"/>
      <c r="N664" s="112"/>
      <c r="U664" s="112"/>
    </row>
    <row r="665" spans="1:21" ht="17.25" customHeight="1">
      <c r="A665" s="112"/>
      <c r="B665" s="111"/>
      <c r="C665" s="111"/>
      <c r="D665" s="111"/>
      <c r="E665" s="111"/>
      <c r="F665" s="111"/>
      <c r="G665" s="112"/>
      <c r="H665" s="111"/>
      <c r="I665" s="111"/>
      <c r="J665" s="111"/>
      <c r="K665" s="111"/>
      <c r="L665" s="111"/>
      <c r="M665" s="111"/>
      <c r="N665" s="112"/>
      <c r="U665" s="112"/>
    </row>
    <row r="666" spans="1:21" ht="17.25" customHeight="1">
      <c r="A666" s="112"/>
      <c r="B666" s="111"/>
      <c r="C666" s="111"/>
      <c r="D666" s="111"/>
      <c r="E666" s="111"/>
      <c r="F666" s="111"/>
      <c r="G666" s="112"/>
      <c r="H666" s="111"/>
      <c r="I666" s="111"/>
      <c r="J666" s="111"/>
      <c r="K666" s="111"/>
      <c r="L666" s="111"/>
      <c r="M666" s="111"/>
      <c r="N666" s="112"/>
      <c r="U666" s="112"/>
    </row>
    <row r="667" spans="1:21" ht="17.25" customHeight="1">
      <c r="A667" s="112"/>
      <c r="B667" s="111"/>
      <c r="C667" s="111"/>
      <c r="D667" s="111"/>
      <c r="E667" s="111"/>
      <c r="F667" s="111"/>
      <c r="G667" s="112"/>
      <c r="H667" s="111"/>
      <c r="I667" s="111"/>
      <c r="J667" s="111"/>
      <c r="K667" s="111"/>
      <c r="L667" s="111"/>
      <c r="M667" s="111"/>
      <c r="N667" s="112"/>
      <c r="U667" s="112"/>
    </row>
    <row r="668" spans="1:21" ht="17.25" customHeight="1">
      <c r="A668" s="112"/>
      <c r="B668" s="111"/>
      <c r="C668" s="111"/>
      <c r="D668" s="111"/>
      <c r="E668" s="111"/>
      <c r="F668" s="111"/>
      <c r="G668" s="112"/>
      <c r="H668" s="111"/>
      <c r="I668" s="111"/>
      <c r="J668" s="111"/>
      <c r="K668" s="111"/>
      <c r="L668" s="111"/>
      <c r="M668" s="111"/>
      <c r="N668" s="112"/>
      <c r="U668" s="112"/>
    </row>
    <row r="669" spans="1:21" ht="17.25" customHeight="1">
      <c r="A669" s="112"/>
      <c r="B669" s="111"/>
      <c r="C669" s="111"/>
      <c r="D669" s="111"/>
      <c r="E669" s="111"/>
      <c r="F669" s="111"/>
      <c r="G669" s="112"/>
      <c r="H669" s="111"/>
      <c r="I669" s="111"/>
      <c r="J669" s="111"/>
      <c r="K669" s="111"/>
      <c r="L669" s="111"/>
      <c r="M669" s="111"/>
      <c r="N669" s="112"/>
      <c r="U669" s="112"/>
    </row>
    <row r="670" spans="1:21" ht="17.25" customHeight="1">
      <c r="A670" s="112"/>
      <c r="B670" s="111"/>
      <c r="C670" s="111"/>
      <c r="D670" s="111"/>
      <c r="E670" s="111"/>
      <c r="F670" s="111"/>
      <c r="G670" s="112"/>
      <c r="H670" s="111"/>
      <c r="I670" s="111"/>
      <c r="J670" s="111"/>
      <c r="K670" s="111"/>
      <c r="L670" s="111"/>
      <c r="M670" s="111"/>
      <c r="N670" s="112"/>
      <c r="U670" s="112"/>
    </row>
    <row r="671" spans="1:21" ht="17.25" customHeight="1">
      <c r="A671" s="112"/>
      <c r="B671" s="111"/>
      <c r="C671" s="111"/>
      <c r="D671" s="111"/>
      <c r="E671" s="111"/>
      <c r="F671" s="111"/>
      <c r="G671" s="112"/>
      <c r="H671" s="111"/>
      <c r="I671" s="111"/>
      <c r="J671" s="111"/>
      <c r="K671" s="111"/>
      <c r="L671" s="111"/>
      <c r="M671" s="111"/>
      <c r="N671" s="112"/>
      <c r="U671" s="112"/>
    </row>
    <row r="672" spans="1:21" ht="17.25" customHeight="1">
      <c r="A672" s="112"/>
      <c r="B672" s="111"/>
      <c r="C672" s="111"/>
      <c r="D672" s="111"/>
      <c r="E672" s="111"/>
      <c r="F672" s="111"/>
      <c r="G672" s="112"/>
      <c r="H672" s="111"/>
      <c r="I672" s="111"/>
      <c r="J672" s="111"/>
      <c r="K672" s="111"/>
      <c r="L672" s="111"/>
      <c r="M672" s="111"/>
      <c r="N672" s="112"/>
      <c r="U672" s="112"/>
    </row>
    <row r="673" spans="1:21" ht="17.25" customHeight="1">
      <c r="A673" s="112"/>
      <c r="B673" s="111"/>
      <c r="C673" s="111"/>
      <c r="D673" s="111"/>
      <c r="E673" s="111"/>
      <c r="F673" s="111"/>
      <c r="G673" s="112"/>
      <c r="H673" s="111"/>
      <c r="I673" s="111"/>
      <c r="J673" s="111"/>
      <c r="K673" s="111"/>
      <c r="L673" s="111"/>
      <c r="M673" s="111"/>
      <c r="N673" s="112"/>
      <c r="U673" s="112"/>
    </row>
    <row r="674" spans="1:21" ht="17.25" customHeight="1">
      <c r="A674" s="112"/>
      <c r="B674" s="111"/>
      <c r="C674" s="111"/>
      <c r="D674" s="111"/>
      <c r="E674" s="111"/>
      <c r="F674" s="111"/>
      <c r="G674" s="112"/>
      <c r="H674" s="111"/>
      <c r="I674" s="111"/>
      <c r="J674" s="111"/>
      <c r="K674" s="111"/>
      <c r="L674" s="111"/>
      <c r="M674" s="111"/>
      <c r="N674" s="112"/>
      <c r="U674" s="112"/>
    </row>
    <row r="675" spans="1:21" ht="17.25" customHeight="1">
      <c r="A675" s="112"/>
      <c r="B675" s="111"/>
      <c r="C675" s="111"/>
      <c r="D675" s="111"/>
      <c r="E675" s="111"/>
      <c r="F675" s="111"/>
      <c r="G675" s="112"/>
      <c r="H675" s="111"/>
      <c r="I675" s="111"/>
      <c r="J675" s="111"/>
      <c r="K675" s="111"/>
      <c r="L675" s="111"/>
      <c r="M675" s="111"/>
      <c r="N675" s="112"/>
      <c r="U675" s="112"/>
    </row>
    <row r="676" spans="1:21" ht="17.25" customHeight="1">
      <c r="A676" s="112"/>
      <c r="B676" s="111"/>
      <c r="C676" s="111"/>
      <c r="D676" s="111"/>
      <c r="E676" s="111"/>
      <c r="F676" s="111"/>
      <c r="G676" s="112"/>
      <c r="H676" s="111"/>
      <c r="I676" s="111"/>
      <c r="J676" s="111"/>
      <c r="K676" s="111"/>
      <c r="L676" s="111"/>
      <c r="M676" s="111"/>
      <c r="N676" s="112"/>
      <c r="U676" s="112"/>
    </row>
    <row r="677" spans="1:21" ht="17.25" customHeight="1">
      <c r="A677" s="112"/>
      <c r="B677" s="111"/>
      <c r="C677" s="111"/>
      <c r="D677" s="111"/>
      <c r="E677" s="111"/>
      <c r="F677" s="111"/>
      <c r="G677" s="112"/>
      <c r="H677" s="111"/>
      <c r="I677" s="111"/>
      <c r="J677" s="111"/>
      <c r="K677" s="111"/>
      <c r="L677" s="111"/>
      <c r="M677" s="111"/>
      <c r="N677" s="112"/>
      <c r="U677" s="112"/>
    </row>
    <row r="678" spans="1:21" ht="17.25" customHeight="1">
      <c r="A678" s="112"/>
      <c r="B678" s="111"/>
      <c r="C678" s="111"/>
      <c r="D678" s="111"/>
      <c r="E678" s="111"/>
      <c r="F678" s="111"/>
      <c r="G678" s="112"/>
      <c r="H678" s="111"/>
      <c r="I678" s="111"/>
      <c r="J678" s="111"/>
      <c r="K678" s="111"/>
      <c r="L678" s="111"/>
      <c r="M678" s="111"/>
      <c r="N678" s="112"/>
      <c r="U678" s="112"/>
    </row>
    <row r="679" spans="1:21" ht="17.25" customHeight="1">
      <c r="A679" s="112"/>
      <c r="B679" s="111"/>
      <c r="C679" s="111"/>
      <c r="D679" s="111"/>
      <c r="E679" s="111"/>
      <c r="F679" s="111"/>
      <c r="G679" s="112"/>
      <c r="H679" s="111"/>
      <c r="I679" s="111"/>
      <c r="J679" s="111"/>
      <c r="K679" s="111"/>
      <c r="L679" s="111"/>
      <c r="M679" s="111"/>
      <c r="N679" s="112"/>
      <c r="U679" s="112"/>
    </row>
    <row r="680" spans="1:21" ht="17.25" customHeight="1">
      <c r="A680" s="112"/>
      <c r="B680" s="111"/>
      <c r="C680" s="111"/>
      <c r="D680" s="111"/>
      <c r="E680" s="111"/>
      <c r="F680" s="111"/>
      <c r="G680" s="112"/>
      <c r="H680" s="111"/>
      <c r="I680" s="111"/>
      <c r="J680" s="111"/>
      <c r="K680" s="111"/>
      <c r="L680" s="111"/>
      <c r="M680" s="111"/>
      <c r="N680" s="112"/>
      <c r="U680" s="112"/>
    </row>
    <row r="681" spans="1:21" ht="17.25" customHeight="1">
      <c r="A681" s="112"/>
      <c r="B681" s="111"/>
      <c r="C681" s="111"/>
      <c r="D681" s="111"/>
      <c r="E681" s="111"/>
      <c r="F681" s="111"/>
      <c r="G681" s="112"/>
      <c r="H681" s="111"/>
      <c r="I681" s="111"/>
      <c r="J681" s="111"/>
      <c r="K681" s="111"/>
      <c r="L681" s="111"/>
      <c r="M681" s="111"/>
      <c r="N681" s="112"/>
      <c r="U681" s="112"/>
    </row>
    <row r="682" spans="1:21" ht="17.25" customHeight="1">
      <c r="A682" s="112"/>
      <c r="B682" s="111"/>
      <c r="C682" s="111"/>
      <c r="D682" s="111"/>
      <c r="E682" s="111"/>
      <c r="F682" s="111"/>
      <c r="G682" s="112"/>
      <c r="H682" s="111"/>
      <c r="I682" s="111"/>
      <c r="J682" s="111"/>
      <c r="K682" s="111"/>
      <c r="L682" s="111"/>
      <c r="M682" s="111"/>
      <c r="N682" s="112"/>
      <c r="U682" s="112"/>
    </row>
    <row r="683" spans="1:21" ht="17.25" customHeight="1">
      <c r="A683" s="112"/>
      <c r="B683" s="111"/>
      <c r="C683" s="111"/>
      <c r="D683" s="111"/>
      <c r="E683" s="111"/>
      <c r="F683" s="111"/>
      <c r="G683" s="112"/>
      <c r="H683" s="111"/>
      <c r="I683" s="111"/>
      <c r="J683" s="111"/>
      <c r="K683" s="111"/>
      <c r="L683" s="111"/>
      <c r="M683" s="111"/>
      <c r="N683" s="112"/>
      <c r="U683" s="112"/>
    </row>
    <row r="684" spans="1:21" ht="17.25" customHeight="1">
      <c r="A684" s="112"/>
      <c r="B684" s="111"/>
      <c r="C684" s="111"/>
      <c r="D684" s="111"/>
      <c r="E684" s="111"/>
      <c r="F684" s="111"/>
      <c r="G684" s="112"/>
      <c r="H684" s="111"/>
      <c r="I684" s="111"/>
      <c r="J684" s="111"/>
      <c r="K684" s="111"/>
      <c r="L684" s="111"/>
      <c r="M684" s="111"/>
      <c r="N684" s="112"/>
      <c r="U684" s="112"/>
    </row>
    <row r="685" spans="1:21" ht="17.25" customHeight="1">
      <c r="A685" s="112"/>
      <c r="B685" s="111"/>
      <c r="C685" s="111"/>
      <c r="D685" s="111"/>
      <c r="E685" s="111"/>
      <c r="F685" s="111"/>
      <c r="G685" s="112"/>
      <c r="H685" s="111"/>
      <c r="I685" s="111"/>
      <c r="J685" s="111"/>
      <c r="K685" s="111"/>
      <c r="L685" s="111"/>
      <c r="M685" s="111"/>
      <c r="N685" s="112"/>
      <c r="U685" s="112"/>
    </row>
    <row r="686" spans="1:21" ht="17.25" customHeight="1">
      <c r="A686" s="112"/>
      <c r="B686" s="111"/>
      <c r="C686" s="111"/>
      <c r="D686" s="111"/>
      <c r="E686" s="111"/>
      <c r="F686" s="111"/>
      <c r="G686" s="112"/>
      <c r="H686" s="111"/>
      <c r="I686" s="111"/>
      <c r="J686" s="111"/>
      <c r="K686" s="111"/>
      <c r="L686" s="111"/>
      <c r="M686" s="111"/>
      <c r="N686" s="112"/>
      <c r="U686" s="112"/>
    </row>
    <row r="687" spans="1:21" ht="17.25" customHeight="1">
      <c r="A687" s="112"/>
      <c r="B687" s="111"/>
      <c r="C687" s="111"/>
      <c r="D687" s="111"/>
      <c r="E687" s="111"/>
      <c r="F687" s="111"/>
      <c r="G687" s="112"/>
      <c r="H687" s="111"/>
      <c r="I687" s="111"/>
      <c r="J687" s="111"/>
      <c r="K687" s="111"/>
      <c r="L687" s="111"/>
      <c r="M687" s="111"/>
      <c r="N687" s="112"/>
      <c r="U687" s="112"/>
    </row>
    <row r="688" spans="1:21" ht="17.25" customHeight="1">
      <c r="A688" s="112"/>
      <c r="B688" s="111"/>
      <c r="C688" s="111"/>
      <c r="D688" s="111"/>
      <c r="E688" s="111"/>
      <c r="F688" s="111"/>
      <c r="G688" s="112"/>
      <c r="H688" s="111"/>
      <c r="I688" s="111"/>
      <c r="J688" s="111"/>
      <c r="K688" s="111"/>
      <c r="L688" s="111"/>
      <c r="M688" s="111"/>
      <c r="N688" s="112"/>
      <c r="U688" s="112"/>
    </row>
    <row r="689" spans="1:21" ht="17.25" customHeight="1">
      <c r="A689" s="112"/>
      <c r="B689" s="111"/>
      <c r="C689" s="111"/>
      <c r="D689" s="111"/>
      <c r="E689" s="111"/>
      <c r="F689" s="111"/>
      <c r="G689" s="112"/>
      <c r="H689" s="111"/>
      <c r="I689" s="111"/>
      <c r="J689" s="111"/>
      <c r="K689" s="111"/>
      <c r="L689" s="111"/>
      <c r="M689" s="111"/>
      <c r="N689" s="112"/>
      <c r="U689" s="112"/>
    </row>
    <row r="690" spans="1:21" ht="17.25" customHeight="1">
      <c r="A690" s="112"/>
      <c r="B690" s="111"/>
      <c r="C690" s="111"/>
      <c r="D690" s="111"/>
      <c r="E690" s="111"/>
      <c r="F690" s="111"/>
      <c r="G690" s="112"/>
      <c r="H690" s="111"/>
      <c r="I690" s="111"/>
      <c r="J690" s="111"/>
      <c r="K690" s="111"/>
      <c r="L690" s="111"/>
      <c r="M690" s="111"/>
      <c r="N690" s="112"/>
      <c r="U690" s="112"/>
    </row>
    <row r="691" spans="1:21" ht="17.25" customHeight="1">
      <c r="A691" s="112"/>
      <c r="B691" s="111"/>
      <c r="C691" s="111"/>
      <c r="D691" s="111"/>
      <c r="E691" s="111"/>
      <c r="F691" s="111"/>
      <c r="G691" s="112"/>
      <c r="H691" s="111"/>
      <c r="I691" s="111"/>
      <c r="J691" s="111"/>
      <c r="K691" s="111"/>
      <c r="L691" s="111"/>
      <c r="M691" s="111"/>
      <c r="N691" s="112"/>
      <c r="U691" s="112"/>
    </row>
    <row r="692" spans="1:21" ht="17.25" customHeight="1">
      <c r="A692" s="112"/>
      <c r="B692" s="111"/>
      <c r="C692" s="111"/>
      <c r="D692" s="111"/>
      <c r="E692" s="111"/>
      <c r="F692" s="111"/>
      <c r="G692" s="112"/>
      <c r="H692" s="111"/>
      <c r="I692" s="111"/>
      <c r="J692" s="111"/>
      <c r="K692" s="111"/>
      <c r="L692" s="111"/>
      <c r="M692" s="111"/>
      <c r="N692" s="112"/>
      <c r="U692" s="112"/>
    </row>
    <row r="693" spans="1:21" ht="17.25" customHeight="1">
      <c r="A693" s="112"/>
      <c r="B693" s="111"/>
      <c r="C693" s="111"/>
      <c r="D693" s="111"/>
      <c r="E693" s="111"/>
      <c r="F693" s="111"/>
      <c r="G693" s="112"/>
      <c r="H693" s="111"/>
      <c r="I693" s="111"/>
      <c r="J693" s="111"/>
      <c r="K693" s="111"/>
      <c r="L693" s="111"/>
      <c r="M693" s="111"/>
      <c r="N693" s="112"/>
      <c r="U693" s="112"/>
    </row>
    <row r="694" spans="1:21" ht="17.25" customHeight="1">
      <c r="A694" s="112"/>
      <c r="B694" s="111"/>
      <c r="C694" s="111"/>
      <c r="D694" s="111"/>
      <c r="E694" s="111"/>
      <c r="F694" s="111"/>
      <c r="G694" s="112"/>
      <c r="H694" s="111"/>
      <c r="I694" s="111"/>
      <c r="J694" s="111"/>
      <c r="K694" s="111"/>
      <c r="L694" s="111"/>
      <c r="M694" s="111"/>
      <c r="N694" s="112"/>
      <c r="U694" s="112"/>
    </row>
    <row r="695" spans="1:21" ht="17.25" customHeight="1">
      <c r="A695" s="112"/>
      <c r="B695" s="111"/>
      <c r="C695" s="111"/>
      <c r="D695" s="111"/>
      <c r="E695" s="111"/>
      <c r="F695" s="111"/>
      <c r="G695" s="112"/>
      <c r="H695" s="111"/>
      <c r="I695" s="111"/>
      <c r="J695" s="111"/>
      <c r="K695" s="111"/>
      <c r="L695" s="111"/>
      <c r="M695" s="111"/>
      <c r="N695" s="112"/>
      <c r="U695" s="112"/>
    </row>
    <row r="696" spans="1:21" ht="17.25" customHeight="1">
      <c r="A696" s="112"/>
      <c r="B696" s="111"/>
      <c r="C696" s="111"/>
      <c r="D696" s="111"/>
      <c r="E696" s="111"/>
      <c r="F696" s="111"/>
      <c r="G696" s="112"/>
      <c r="H696" s="111"/>
      <c r="I696" s="111"/>
      <c r="J696" s="111"/>
      <c r="K696" s="111"/>
      <c r="L696" s="111"/>
      <c r="M696" s="111"/>
      <c r="N696" s="112"/>
      <c r="U696" s="112"/>
    </row>
    <row r="697" spans="1:21" ht="17.25" customHeight="1">
      <c r="A697" s="112"/>
      <c r="B697" s="111"/>
      <c r="C697" s="111"/>
      <c r="D697" s="111"/>
      <c r="E697" s="111"/>
      <c r="F697" s="111"/>
      <c r="G697" s="112"/>
      <c r="H697" s="111"/>
      <c r="I697" s="111"/>
      <c r="J697" s="111"/>
      <c r="K697" s="111"/>
      <c r="L697" s="111"/>
      <c r="M697" s="111"/>
      <c r="N697" s="112"/>
      <c r="U697" s="112"/>
    </row>
    <row r="698" spans="1:21" ht="17.25" customHeight="1">
      <c r="A698" s="112"/>
      <c r="B698" s="111"/>
      <c r="C698" s="111"/>
      <c r="D698" s="111"/>
      <c r="E698" s="111"/>
      <c r="F698" s="111"/>
      <c r="G698" s="112"/>
      <c r="H698" s="111"/>
      <c r="I698" s="111"/>
      <c r="J698" s="111"/>
      <c r="K698" s="111"/>
      <c r="L698" s="111"/>
      <c r="M698" s="111"/>
      <c r="N698" s="112"/>
      <c r="U698" s="112"/>
    </row>
    <row r="699" spans="1:21" ht="17.25" customHeight="1">
      <c r="A699" s="112"/>
      <c r="B699" s="111"/>
      <c r="C699" s="111"/>
      <c r="D699" s="111"/>
      <c r="E699" s="111"/>
      <c r="F699" s="111"/>
      <c r="G699" s="112"/>
      <c r="H699" s="111"/>
      <c r="I699" s="111"/>
      <c r="J699" s="111"/>
      <c r="K699" s="111"/>
      <c r="L699" s="111"/>
      <c r="M699" s="111"/>
      <c r="N699" s="112"/>
      <c r="U699" s="112"/>
    </row>
    <row r="700" spans="1:21" ht="17.25" customHeight="1">
      <c r="A700" s="112"/>
      <c r="B700" s="111"/>
      <c r="C700" s="111"/>
      <c r="D700" s="111"/>
      <c r="E700" s="111"/>
      <c r="F700" s="111"/>
      <c r="G700" s="112"/>
      <c r="H700" s="111"/>
      <c r="I700" s="111"/>
      <c r="J700" s="111"/>
      <c r="K700" s="111"/>
      <c r="L700" s="111"/>
      <c r="M700" s="111"/>
      <c r="N700" s="112"/>
      <c r="U700" s="112"/>
    </row>
    <row r="701" spans="1:21" ht="17.25" customHeight="1">
      <c r="A701" s="112"/>
      <c r="B701" s="111"/>
      <c r="C701" s="111"/>
      <c r="D701" s="111"/>
      <c r="E701" s="111"/>
      <c r="F701" s="111"/>
      <c r="G701" s="112"/>
      <c r="H701" s="111"/>
      <c r="I701" s="111"/>
      <c r="J701" s="111"/>
      <c r="K701" s="111"/>
      <c r="L701" s="111"/>
      <c r="M701" s="111"/>
      <c r="N701" s="112"/>
      <c r="U701" s="112"/>
    </row>
    <row r="702" spans="1:21" ht="17.25" customHeight="1">
      <c r="A702" s="112"/>
      <c r="B702" s="111"/>
      <c r="C702" s="111"/>
      <c r="D702" s="111"/>
      <c r="E702" s="111"/>
      <c r="F702" s="111"/>
      <c r="G702" s="112"/>
      <c r="H702" s="111"/>
      <c r="I702" s="111"/>
      <c r="J702" s="111"/>
      <c r="K702" s="111"/>
      <c r="L702" s="111"/>
      <c r="M702" s="111"/>
      <c r="N702" s="112"/>
      <c r="U702" s="112"/>
    </row>
    <row r="703" spans="1:21" ht="17.25" customHeight="1">
      <c r="A703" s="112"/>
      <c r="B703" s="111"/>
      <c r="C703" s="111"/>
      <c r="D703" s="111"/>
      <c r="E703" s="111"/>
      <c r="F703" s="111"/>
      <c r="G703" s="112"/>
      <c r="H703" s="111"/>
      <c r="I703" s="111"/>
      <c r="J703" s="111"/>
      <c r="K703" s="111"/>
      <c r="L703" s="111"/>
      <c r="M703" s="111"/>
      <c r="N703" s="112"/>
      <c r="U703" s="112"/>
    </row>
    <row r="704" spans="1:21" ht="17.25" customHeight="1">
      <c r="A704" s="112"/>
      <c r="B704" s="111"/>
      <c r="C704" s="111"/>
      <c r="D704" s="111"/>
      <c r="E704" s="111"/>
      <c r="F704" s="111"/>
      <c r="G704" s="112"/>
      <c r="H704" s="111"/>
      <c r="I704" s="111"/>
      <c r="J704" s="111"/>
      <c r="K704" s="111"/>
      <c r="L704" s="111"/>
      <c r="M704" s="111"/>
      <c r="N704" s="112"/>
      <c r="U704" s="112"/>
    </row>
    <row r="705" spans="1:21" ht="17.25" customHeight="1">
      <c r="A705" s="112"/>
      <c r="B705" s="111"/>
      <c r="C705" s="111"/>
      <c r="D705" s="111"/>
      <c r="E705" s="111"/>
      <c r="F705" s="111"/>
      <c r="G705" s="112"/>
      <c r="H705" s="111"/>
      <c r="I705" s="111"/>
      <c r="J705" s="111"/>
      <c r="K705" s="111"/>
      <c r="L705" s="111"/>
      <c r="M705" s="111"/>
      <c r="N705" s="112"/>
      <c r="U705" s="112"/>
    </row>
    <row r="706" spans="1:21" ht="17.25" customHeight="1">
      <c r="A706" s="112"/>
      <c r="B706" s="111"/>
      <c r="C706" s="111"/>
      <c r="D706" s="111"/>
      <c r="E706" s="111"/>
      <c r="F706" s="111"/>
      <c r="G706" s="112"/>
      <c r="H706" s="111"/>
      <c r="I706" s="111"/>
      <c r="J706" s="111"/>
      <c r="K706" s="111"/>
      <c r="L706" s="111"/>
      <c r="M706" s="111"/>
      <c r="N706" s="112"/>
      <c r="U706" s="112"/>
    </row>
    <row r="707" spans="1:21" ht="17.25" customHeight="1">
      <c r="A707" s="112"/>
      <c r="B707" s="111"/>
      <c r="C707" s="111"/>
      <c r="D707" s="111"/>
      <c r="E707" s="111"/>
      <c r="F707" s="111"/>
      <c r="G707" s="112"/>
      <c r="H707" s="111"/>
      <c r="I707" s="111"/>
      <c r="J707" s="111"/>
      <c r="K707" s="111"/>
      <c r="L707" s="111"/>
      <c r="M707" s="111"/>
      <c r="N707" s="112"/>
      <c r="U707" s="112"/>
    </row>
    <row r="708" spans="1:21" ht="17.25" customHeight="1">
      <c r="A708" s="112"/>
      <c r="B708" s="111"/>
      <c r="C708" s="111"/>
      <c r="D708" s="111"/>
      <c r="E708" s="111"/>
      <c r="F708" s="111"/>
      <c r="G708" s="112"/>
      <c r="H708" s="111"/>
      <c r="I708" s="111"/>
      <c r="J708" s="111"/>
      <c r="K708" s="111"/>
      <c r="L708" s="111"/>
      <c r="M708" s="111"/>
      <c r="N708" s="112"/>
      <c r="U708" s="112"/>
    </row>
    <row r="709" spans="1:21" ht="17.25" customHeight="1">
      <c r="A709" s="112"/>
      <c r="B709" s="111"/>
      <c r="C709" s="111"/>
      <c r="D709" s="111"/>
      <c r="E709" s="111"/>
      <c r="F709" s="111"/>
      <c r="G709" s="112"/>
      <c r="H709" s="111"/>
      <c r="I709" s="111"/>
      <c r="J709" s="111"/>
      <c r="K709" s="111"/>
      <c r="L709" s="111"/>
      <c r="M709" s="111"/>
      <c r="N709" s="112"/>
      <c r="U709" s="112"/>
    </row>
    <row r="710" spans="1:21" ht="17.25" customHeight="1">
      <c r="A710" s="112"/>
      <c r="B710" s="111"/>
      <c r="C710" s="111"/>
      <c r="D710" s="111"/>
      <c r="E710" s="111"/>
      <c r="F710" s="111"/>
      <c r="G710" s="112"/>
      <c r="H710" s="111"/>
      <c r="I710" s="111"/>
      <c r="J710" s="111"/>
      <c r="K710" s="111"/>
      <c r="L710" s="111"/>
      <c r="M710" s="111"/>
      <c r="N710" s="112"/>
      <c r="U710" s="112"/>
    </row>
    <row r="711" spans="1:21" ht="17.25" customHeight="1">
      <c r="A711" s="112"/>
      <c r="B711" s="111"/>
      <c r="C711" s="111"/>
      <c r="D711" s="111"/>
      <c r="E711" s="111"/>
      <c r="F711" s="111"/>
      <c r="G711" s="112"/>
      <c r="H711" s="111"/>
      <c r="I711" s="111"/>
      <c r="J711" s="111"/>
      <c r="K711" s="111"/>
      <c r="L711" s="111"/>
      <c r="M711" s="111"/>
      <c r="N711" s="112"/>
      <c r="U711" s="112"/>
    </row>
    <row r="712" spans="1:21" ht="17.25" customHeight="1">
      <c r="A712" s="112"/>
      <c r="B712" s="111"/>
      <c r="C712" s="111"/>
      <c r="D712" s="111"/>
      <c r="E712" s="111"/>
      <c r="F712" s="111"/>
      <c r="G712" s="112"/>
      <c r="H712" s="111"/>
      <c r="I712" s="111"/>
      <c r="J712" s="111"/>
      <c r="K712" s="111"/>
      <c r="L712" s="111"/>
      <c r="M712" s="111"/>
      <c r="N712" s="112"/>
      <c r="U712" s="112"/>
    </row>
    <row r="713" spans="1:21" ht="17.25" customHeight="1">
      <c r="A713" s="112"/>
      <c r="B713" s="111"/>
      <c r="C713" s="111"/>
      <c r="D713" s="111"/>
      <c r="E713" s="111"/>
      <c r="F713" s="111"/>
      <c r="G713" s="112"/>
      <c r="H713" s="111"/>
      <c r="I713" s="111"/>
      <c r="J713" s="111"/>
      <c r="K713" s="111"/>
      <c r="L713" s="111"/>
      <c r="M713" s="111"/>
      <c r="N713" s="112"/>
      <c r="U713" s="112"/>
    </row>
    <row r="714" spans="1:21" ht="17.25" customHeight="1">
      <c r="A714" s="112"/>
      <c r="B714" s="111"/>
      <c r="C714" s="111"/>
      <c r="D714" s="111"/>
      <c r="E714" s="111"/>
      <c r="F714" s="111"/>
      <c r="G714" s="112"/>
      <c r="H714" s="111"/>
      <c r="I714" s="111"/>
      <c r="J714" s="111"/>
      <c r="K714" s="111"/>
      <c r="L714" s="111"/>
      <c r="M714" s="111"/>
      <c r="N714" s="112"/>
      <c r="U714" s="112"/>
    </row>
    <row r="715" spans="1:21" ht="17.25" customHeight="1">
      <c r="A715" s="112"/>
      <c r="B715" s="111"/>
      <c r="C715" s="111"/>
      <c r="D715" s="111"/>
      <c r="E715" s="111"/>
      <c r="F715" s="111"/>
      <c r="G715" s="112"/>
      <c r="H715" s="111"/>
      <c r="I715" s="111"/>
      <c r="J715" s="111"/>
      <c r="K715" s="111"/>
      <c r="L715" s="111"/>
      <c r="M715" s="111"/>
      <c r="N715" s="112"/>
      <c r="U715" s="112"/>
    </row>
    <row r="716" spans="1:21" ht="17.25" customHeight="1">
      <c r="A716" s="112"/>
      <c r="B716" s="111"/>
      <c r="C716" s="111"/>
      <c r="D716" s="111"/>
      <c r="E716" s="111"/>
      <c r="F716" s="111"/>
      <c r="G716" s="112"/>
      <c r="H716" s="111"/>
      <c r="I716" s="111"/>
      <c r="J716" s="111"/>
      <c r="K716" s="111"/>
      <c r="L716" s="111"/>
      <c r="M716" s="111"/>
      <c r="N716" s="112"/>
      <c r="U716" s="112"/>
    </row>
    <row r="717" spans="1:21" ht="17.25" customHeight="1">
      <c r="A717" s="112"/>
      <c r="B717" s="111"/>
      <c r="C717" s="111"/>
      <c r="D717" s="111"/>
      <c r="E717" s="111"/>
      <c r="F717" s="111"/>
      <c r="G717" s="112"/>
      <c r="H717" s="111"/>
      <c r="I717" s="111"/>
      <c r="J717" s="111"/>
      <c r="K717" s="111"/>
      <c r="L717" s="111"/>
      <c r="M717" s="111"/>
      <c r="N717" s="112"/>
      <c r="U717" s="112"/>
    </row>
    <row r="718" spans="1:21" ht="17.25" customHeight="1">
      <c r="A718" s="112"/>
      <c r="B718" s="111"/>
      <c r="C718" s="111"/>
      <c r="D718" s="111"/>
      <c r="E718" s="111"/>
      <c r="F718" s="111"/>
      <c r="G718" s="112"/>
      <c r="H718" s="111"/>
      <c r="I718" s="111"/>
      <c r="J718" s="111"/>
      <c r="K718" s="111"/>
      <c r="L718" s="111"/>
      <c r="M718" s="111"/>
      <c r="N718" s="112"/>
      <c r="U718" s="112"/>
    </row>
    <row r="719" spans="1:21" ht="17.25" customHeight="1">
      <c r="A719" s="112"/>
      <c r="B719" s="111"/>
      <c r="C719" s="111"/>
      <c r="D719" s="111"/>
      <c r="E719" s="111"/>
      <c r="F719" s="111"/>
      <c r="G719" s="112"/>
      <c r="H719" s="111"/>
      <c r="I719" s="111"/>
      <c r="J719" s="111"/>
      <c r="K719" s="111"/>
      <c r="L719" s="111"/>
      <c r="M719" s="111"/>
      <c r="N719" s="112"/>
      <c r="U719" s="112"/>
    </row>
    <row r="720" spans="1:21" ht="17.25" customHeight="1">
      <c r="A720" s="112"/>
      <c r="B720" s="111"/>
      <c r="C720" s="111"/>
      <c r="D720" s="111"/>
      <c r="E720" s="111"/>
      <c r="F720" s="111"/>
      <c r="G720" s="112"/>
      <c r="H720" s="111"/>
      <c r="I720" s="111"/>
      <c r="J720" s="111"/>
      <c r="K720" s="111"/>
      <c r="L720" s="111"/>
      <c r="M720" s="111"/>
      <c r="N720" s="112"/>
      <c r="U720" s="112"/>
    </row>
    <row r="721" spans="1:21" ht="17.25" customHeight="1">
      <c r="A721" s="112"/>
      <c r="B721" s="111"/>
      <c r="C721" s="111"/>
      <c r="D721" s="111"/>
      <c r="E721" s="111"/>
      <c r="F721" s="111"/>
      <c r="G721" s="112"/>
      <c r="H721" s="111"/>
      <c r="I721" s="111"/>
      <c r="J721" s="111"/>
      <c r="K721" s="111"/>
      <c r="L721" s="111"/>
      <c r="M721" s="111"/>
      <c r="N721" s="112"/>
      <c r="U721" s="112"/>
    </row>
    <row r="722" spans="1:21" ht="17.25" customHeight="1">
      <c r="A722" s="112"/>
      <c r="B722" s="111"/>
      <c r="C722" s="111"/>
      <c r="D722" s="111"/>
      <c r="E722" s="111"/>
      <c r="F722" s="111"/>
      <c r="G722" s="112"/>
      <c r="H722" s="111"/>
      <c r="I722" s="111"/>
      <c r="J722" s="111"/>
      <c r="K722" s="111"/>
      <c r="L722" s="111"/>
      <c r="M722" s="111"/>
      <c r="N722" s="112"/>
      <c r="U722" s="112"/>
    </row>
    <row r="723" spans="1:21" ht="17.25" customHeight="1">
      <c r="A723" s="112"/>
      <c r="B723" s="111"/>
      <c r="C723" s="111"/>
      <c r="D723" s="111"/>
      <c r="E723" s="111"/>
      <c r="F723" s="111"/>
      <c r="G723" s="112"/>
      <c r="H723" s="111"/>
      <c r="I723" s="111"/>
      <c r="J723" s="111"/>
      <c r="K723" s="111"/>
      <c r="L723" s="111"/>
      <c r="M723" s="111"/>
      <c r="N723" s="112"/>
      <c r="U723" s="112"/>
    </row>
    <row r="724" spans="1:21" ht="17.25" customHeight="1">
      <c r="A724" s="112"/>
      <c r="B724" s="111"/>
      <c r="C724" s="111"/>
      <c r="D724" s="111"/>
      <c r="E724" s="111"/>
      <c r="F724" s="111"/>
      <c r="G724" s="112"/>
      <c r="H724" s="111"/>
      <c r="I724" s="111"/>
      <c r="J724" s="111"/>
      <c r="K724" s="111"/>
      <c r="L724" s="111"/>
      <c r="M724" s="111"/>
      <c r="N724" s="112"/>
      <c r="U724" s="112"/>
    </row>
    <row r="725" spans="1:21" ht="17.25" customHeight="1">
      <c r="A725" s="112"/>
      <c r="B725" s="111"/>
      <c r="C725" s="111"/>
      <c r="D725" s="111"/>
      <c r="E725" s="111"/>
      <c r="F725" s="111"/>
      <c r="G725" s="112"/>
      <c r="H725" s="111"/>
      <c r="I725" s="111"/>
      <c r="J725" s="111"/>
      <c r="K725" s="111"/>
      <c r="L725" s="111"/>
      <c r="M725" s="111"/>
      <c r="N725" s="112"/>
      <c r="U725" s="112"/>
    </row>
    <row r="726" spans="1:21" ht="17.25" customHeight="1">
      <c r="A726" s="112"/>
      <c r="B726" s="111"/>
      <c r="C726" s="111"/>
      <c r="D726" s="111"/>
      <c r="E726" s="111"/>
      <c r="F726" s="111"/>
      <c r="G726" s="112"/>
      <c r="H726" s="111"/>
      <c r="I726" s="111"/>
      <c r="J726" s="111"/>
      <c r="K726" s="111"/>
      <c r="L726" s="111"/>
      <c r="M726" s="111"/>
      <c r="N726" s="112"/>
      <c r="U726" s="112"/>
    </row>
    <row r="727" spans="1:21" ht="17.25" customHeight="1">
      <c r="A727" s="112"/>
      <c r="B727" s="111"/>
      <c r="C727" s="111"/>
      <c r="D727" s="111"/>
      <c r="E727" s="111"/>
      <c r="F727" s="111"/>
      <c r="G727" s="112"/>
      <c r="H727" s="111"/>
      <c r="I727" s="111"/>
      <c r="J727" s="111"/>
      <c r="K727" s="111"/>
      <c r="L727" s="111"/>
      <c r="M727" s="111"/>
      <c r="N727" s="112"/>
      <c r="U727" s="112"/>
    </row>
    <row r="728" spans="1:21" ht="17.25" customHeight="1">
      <c r="A728" s="112"/>
      <c r="B728" s="111"/>
      <c r="C728" s="111"/>
      <c r="D728" s="111"/>
      <c r="E728" s="111"/>
      <c r="F728" s="111"/>
      <c r="G728" s="112"/>
      <c r="H728" s="111"/>
      <c r="I728" s="111"/>
      <c r="J728" s="111"/>
      <c r="K728" s="111"/>
      <c r="L728" s="111"/>
      <c r="M728" s="111"/>
      <c r="N728" s="112"/>
      <c r="U728" s="112"/>
    </row>
    <row r="729" spans="1:21" ht="17.25" customHeight="1">
      <c r="A729" s="112"/>
      <c r="B729" s="111"/>
      <c r="C729" s="111"/>
      <c r="D729" s="111"/>
      <c r="E729" s="111"/>
      <c r="F729" s="111"/>
      <c r="G729" s="112"/>
      <c r="H729" s="111"/>
      <c r="I729" s="111"/>
      <c r="J729" s="111"/>
      <c r="K729" s="111"/>
      <c r="L729" s="111"/>
      <c r="M729" s="111"/>
      <c r="N729" s="112"/>
      <c r="U729" s="112"/>
    </row>
    <row r="730" spans="1:21" ht="17.25" customHeight="1">
      <c r="A730" s="112"/>
      <c r="B730" s="111"/>
      <c r="C730" s="111"/>
      <c r="D730" s="111"/>
      <c r="E730" s="111"/>
      <c r="F730" s="111"/>
      <c r="G730" s="112"/>
      <c r="H730" s="111"/>
      <c r="I730" s="111"/>
      <c r="J730" s="111"/>
      <c r="K730" s="111"/>
      <c r="L730" s="111"/>
      <c r="M730" s="111"/>
      <c r="N730" s="112"/>
      <c r="U730" s="112"/>
    </row>
    <row r="731" spans="1:21" ht="17.25" customHeight="1">
      <c r="A731" s="112"/>
      <c r="B731" s="111"/>
      <c r="C731" s="111"/>
      <c r="D731" s="111"/>
      <c r="E731" s="111"/>
      <c r="F731" s="111"/>
      <c r="G731" s="112"/>
      <c r="H731" s="111"/>
      <c r="I731" s="111"/>
      <c r="J731" s="111"/>
      <c r="K731" s="111"/>
      <c r="L731" s="111"/>
      <c r="M731" s="111"/>
      <c r="N731" s="112"/>
      <c r="U731" s="112"/>
    </row>
    <row r="732" spans="1:21" ht="17.25" customHeight="1">
      <c r="A732" s="112"/>
      <c r="B732" s="111"/>
      <c r="C732" s="111"/>
      <c r="D732" s="111"/>
      <c r="E732" s="111"/>
      <c r="F732" s="111"/>
      <c r="G732" s="112"/>
      <c r="H732" s="111"/>
      <c r="I732" s="111"/>
      <c r="J732" s="111"/>
      <c r="K732" s="111"/>
      <c r="L732" s="111"/>
      <c r="M732" s="111"/>
      <c r="N732" s="112"/>
      <c r="U732" s="112"/>
    </row>
    <row r="733" spans="1:21" ht="17.25" customHeight="1">
      <c r="A733" s="112"/>
      <c r="B733" s="111"/>
      <c r="C733" s="111"/>
      <c r="D733" s="111"/>
      <c r="E733" s="111"/>
      <c r="F733" s="111"/>
      <c r="G733" s="112"/>
      <c r="H733" s="111"/>
      <c r="I733" s="111"/>
      <c r="J733" s="111"/>
      <c r="K733" s="111"/>
      <c r="L733" s="111"/>
      <c r="M733" s="111"/>
      <c r="N733" s="112"/>
      <c r="U733" s="112"/>
    </row>
    <row r="734" spans="1:21" ht="17.25" customHeight="1">
      <c r="A734" s="112"/>
      <c r="B734" s="111"/>
      <c r="C734" s="111"/>
      <c r="D734" s="111"/>
      <c r="E734" s="111"/>
      <c r="F734" s="111"/>
      <c r="G734" s="112"/>
      <c r="H734" s="111"/>
      <c r="I734" s="111"/>
      <c r="J734" s="111"/>
      <c r="K734" s="111"/>
      <c r="L734" s="111"/>
      <c r="M734" s="111"/>
      <c r="N734" s="112"/>
      <c r="U734" s="112"/>
    </row>
    <row r="735" spans="1:21" ht="17.25" customHeight="1">
      <c r="A735" s="112"/>
      <c r="B735" s="111"/>
      <c r="C735" s="111"/>
      <c r="D735" s="111"/>
      <c r="E735" s="111"/>
      <c r="F735" s="111"/>
      <c r="G735" s="112"/>
      <c r="H735" s="111"/>
      <c r="I735" s="111"/>
      <c r="J735" s="111"/>
      <c r="K735" s="111"/>
      <c r="L735" s="111"/>
      <c r="M735" s="111"/>
      <c r="N735" s="112"/>
      <c r="U735" s="112"/>
    </row>
    <row r="736" spans="1:21" ht="17.25" customHeight="1">
      <c r="A736" s="112"/>
      <c r="B736" s="111"/>
      <c r="C736" s="111"/>
      <c r="D736" s="111"/>
      <c r="E736" s="111"/>
      <c r="F736" s="111"/>
      <c r="G736" s="112"/>
      <c r="H736" s="111"/>
      <c r="I736" s="111"/>
      <c r="J736" s="111"/>
      <c r="K736" s="111"/>
      <c r="L736" s="111"/>
      <c r="M736" s="111"/>
      <c r="N736" s="112"/>
      <c r="U736" s="112"/>
    </row>
    <row r="737" spans="1:21" ht="17.25" customHeight="1">
      <c r="A737" s="112"/>
      <c r="B737" s="111"/>
      <c r="C737" s="111"/>
      <c r="D737" s="111"/>
      <c r="E737" s="111"/>
      <c r="F737" s="111"/>
      <c r="G737" s="112"/>
      <c r="H737" s="111"/>
      <c r="I737" s="111"/>
      <c r="J737" s="111"/>
      <c r="K737" s="111"/>
      <c r="L737" s="111"/>
      <c r="M737" s="111"/>
      <c r="N737" s="112"/>
      <c r="U737" s="112"/>
    </row>
    <row r="738" spans="1:21" ht="17.25" customHeight="1">
      <c r="A738" s="112"/>
      <c r="B738" s="111"/>
      <c r="C738" s="111"/>
      <c r="D738" s="111"/>
      <c r="E738" s="111"/>
      <c r="F738" s="111"/>
      <c r="G738" s="112"/>
      <c r="H738" s="111"/>
      <c r="I738" s="111"/>
      <c r="J738" s="111"/>
      <c r="K738" s="111"/>
      <c r="L738" s="111"/>
      <c r="M738" s="111"/>
      <c r="N738" s="112"/>
      <c r="U738" s="112"/>
    </row>
    <row r="739" spans="1:21" ht="17.25" customHeight="1">
      <c r="A739" s="112"/>
      <c r="B739" s="111"/>
      <c r="C739" s="111"/>
      <c r="D739" s="111"/>
      <c r="E739" s="111"/>
      <c r="F739" s="111"/>
      <c r="G739" s="112"/>
      <c r="H739" s="111"/>
      <c r="I739" s="111"/>
      <c r="J739" s="111"/>
      <c r="K739" s="111"/>
      <c r="L739" s="111"/>
      <c r="M739" s="111"/>
      <c r="N739" s="112"/>
      <c r="U739" s="112"/>
    </row>
    <row r="740" spans="1:21" ht="17.25" customHeight="1">
      <c r="A740" s="112"/>
      <c r="B740" s="111"/>
      <c r="C740" s="111"/>
      <c r="D740" s="111"/>
      <c r="E740" s="111"/>
      <c r="F740" s="111"/>
      <c r="G740" s="112"/>
      <c r="H740" s="111"/>
      <c r="I740" s="111"/>
      <c r="J740" s="111"/>
      <c r="K740" s="111"/>
      <c r="L740" s="111"/>
      <c r="M740" s="111"/>
      <c r="N740" s="112"/>
      <c r="U740" s="112"/>
    </row>
    <row r="741" spans="1:21" ht="17.25" customHeight="1">
      <c r="A741" s="112"/>
      <c r="B741" s="111"/>
      <c r="C741" s="111"/>
      <c r="D741" s="111"/>
      <c r="E741" s="111"/>
      <c r="F741" s="111"/>
      <c r="G741" s="112"/>
      <c r="H741" s="111"/>
      <c r="I741" s="111"/>
      <c r="J741" s="111"/>
      <c r="K741" s="111"/>
      <c r="L741" s="111"/>
      <c r="M741" s="111"/>
      <c r="N741" s="112"/>
      <c r="U741" s="112"/>
    </row>
    <row r="742" spans="1:21" ht="17.25" customHeight="1">
      <c r="A742" s="112"/>
      <c r="B742" s="111"/>
      <c r="C742" s="111"/>
      <c r="D742" s="111"/>
      <c r="E742" s="111"/>
      <c r="F742" s="111"/>
      <c r="G742" s="112"/>
      <c r="H742" s="111"/>
      <c r="I742" s="111"/>
      <c r="J742" s="111"/>
      <c r="K742" s="111"/>
      <c r="L742" s="111"/>
      <c r="M742" s="111"/>
      <c r="N742" s="112"/>
      <c r="U742" s="112"/>
    </row>
    <row r="743" spans="1:21" ht="17.25" customHeight="1">
      <c r="A743" s="112"/>
      <c r="B743" s="111"/>
      <c r="C743" s="111"/>
      <c r="D743" s="111"/>
      <c r="E743" s="111"/>
      <c r="F743" s="111"/>
      <c r="G743" s="112"/>
      <c r="H743" s="111"/>
      <c r="I743" s="111"/>
      <c r="J743" s="111"/>
      <c r="K743" s="111"/>
      <c r="L743" s="111"/>
      <c r="M743" s="111"/>
      <c r="N743" s="112"/>
      <c r="U743" s="112"/>
    </row>
    <row r="744" spans="1:21" ht="17.25" customHeight="1">
      <c r="A744" s="112"/>
      <c r="B744" s="111"/>
      <c r="C744" s="111"/>
      <c r="D744" s="111"/>
      <c r="E744" s="111"/>
      <c r="F744" s="111"/>
      <c r="G744" s="112"/>
      <c r="H744" s="111"/>
      <c r="I744" s="111"/>
      <c r="J744" s="111"/>
      <c r="K744" s="111"/>
      <c r="L744" s="111"/>
      <c r="M744" s="111"/>
      <c r="N744" s="112"/>
      <c r="U744" s="112"/>
    </row>
    <row r="745" spans="1:21" ht="17.25" customHeight="1">
      <c r="A745" s="112"/>
      <c r="B745" s="111"/>
      <c r="C745" s="111"/>
      <c r="D745" s="111"/>
      <c r="E745" s="111"/>
      <c r="F745" s="111"/>
      <c r="G745" s="112"/>
      <c r="H745" s="111"/>
      <c r="I745" s="111"/>
      <c r="J745" s="111"/>
      <c r="K745" s="111"/>
      <c r="L745" s="111"/>
      <c r="M745" s="111"/>
      <c r="N745" s="112"/>
      <c r="U745" s="112"/>
    </row>
    <row r="746" spans="1:21" ht="17.25" customHeight="1">
      <c r="A746" s="112"/>
      <c r="B746" s="111"/>
      <c r="C746" s="111"/>
      <c r="D746" s="111"/>
      <c r="E746" s="111"/>
      <c r="F746" s="111"/>
      <c r="G746" s="112"/>
      <c r="H746" s="111"/>
      <c r="I746" s="111"/>
      <c r="J746" s="111"/>
      <c r="K746" s="111"/>
      <c r="L746" s="111"/>
      <c r="M746" s="111"/>
      <c r="N746" s="112"/>
      <c r="U746" s="112"/>
    </row>
    <row r="747" spans="1:21" ht="17.25" customHeight="1">
      <c r="A747" s="112"/>
      <c r="B747" s="111"/>
      <c r="C747" s="111"/>
      <c r="D747" s="111"/>
      <c r="E747" s="111"/>
      <c r="F747" s="111"/>
      <c r="G747" s="112"/>
      <c r="H747" s="111"/>
      <c r="I747" s="111"/>
      <c r="J747" s="111"/>
      <c r="K747" s="111"/>
      <c r="L747" s="111"/>
      <c r="M747" s="111"/>
      <c r="N747" s="112"/>
      <c r="U747" s="112"/>
    </row>
    <row r="748" spans="1:21" ht="17.25" customHeight="1">
      <c r="A748" s="112"/>
      <c r="B748" s="111"/>
      <c r="C748" s="111"/>
      <c r="D748" s="111"/>
      <c r="E748" s="111"/>
      <c r="F748" s="111"/>
      <c r="G748" s="112"/>
      <c r="H748" s="111"/>
      <c r="I748" s="111"/>
      <c r="J748" s="111"/>
      <c r="K748" s="111"/>
      <c r="L748" s="111"/>
      <c r="M748" s="111"/>
      <c r="N748" s="112"/>
      <c r="U748" s="112"/>
    </row>
    <row r="749" spans="1:21" ht="17.25" customHeight="1">
      <c r="A749" s="112"/>
      <c r="B749" s="111"/>
      <c r="C749" s="111"/>
      <c r="D749" s="111"/>
      <c r="E749" s="111"/>
      <c r="F749" s="111"/>
      <c r="G749" s="112"/>
      <c r="H749" s="111"/>
      <c r="I749" s="111"/>
      <c r="J749" s="111"/>
      <c r="K749" s="111"/>
      <c r="L749" s="111"/>
      <c r="M749" s="111"/>
      <c r="N749" s="112"/>
      <c r="U749" s="112"/>
    </row>
    <row r="750" spans="1:21" ht="17.25" customHeight="1">
      <c r="A750" s="112"/>
      <c r="B750" s="111"/>
      <c r="C750" s="111"/>
      <c r="D750" s="111"/>
      <c r="E750" s="111"/>
      <c r="F750" s="111"/>
      <c r="G750" s="112"/>
      <c r="H750" s="111"/>
      <c r="I750" s="111"/>
      <c r="J750" s="111"/>
      <c r="K750" s="111"/>
      <c r="L750" s="111"/>
      <c r="M750" s="111"/>
      <c r="N750" s="112"/>
      <c r="U750" s="112"/>
    </row>
    <row r="751" spans="1:21" ht="17.25" customHeight="1">
      <c r="A751" s="112"/>
      <c r="B751" s="111"/>
      <c r="C751" s="111"/>
      <c r="D751" s="111"/>
      <c r="E751" s="111"/>
      <c r="F751" s="111"/>
      <c r="G751" s="112"/>
      <c r="H751" s="111"/>
      <c r="I751" s="111"/>
      <c r="J751" s="111"/>
      <c r="K751" s="111"/>
      <c r="L751" s="111"/>
      <c r="M751" s="111"/>
      <c r="N751" s="112"/>
      <c r="U751" s="112"/>
    </row>
    <row r="752" spans="1:21" ht="17.25" customHeight="1">
      <c r="A752" s="112"/>
      <c r="B752" s="111"/>
      <c r="C752" s="111"/>
      <c r="D752" s="111"/>
      <c r="E752" s="111"/>
      <c r="F752" s="111"/>
      <c r="G752" s="112"/>
      <c r="H752" s="111"/>
      <c r="I752" s="111"/>
      <c r="J752" s="111"/>
      <c r="K752" s="111"/>
      <c r="L752" s="111"/>
      <c r="M752" s="111"/>
      <c r="N752" s="112"/>
      <c r="U752" s="112"/>
    </row>
    <row r="753" spans="1:21" ht="17.25" customHeight="1">
      <c r="A753" s="112"/>
      <c r="B753" s="111"/>
      <c r="C753" s="111"/>
      <c r="D753" s="111"/>
      <c r="E753" s="111"/>
      <c r="F753" s="111"/>
      <c r="G753" s="112"/>
      <c r="H753" s="111"/>
      <c r="I753" s="111"/>
      <c r="J753" s="111"/>
      <c r="K753" s="111"/>
      <c r="L753" s="111"/>
      <c r="M753" s="111"/>
      <c r="N753" s="112"/>
      <c r="U753" s="112"/>
    </row>
    <row r="754" spans="1:21" ht="17.25" customHeight="1">
      <c r="A754" s="112"/>
      <c r="B754" s="111"/>
      <c r="C754" s="111"/>
      <c r="D754" s="111"/>
      <c r="E754" s="111"/>
      <c r="F754" s="111"/>
      <c r="G754" s="112"/>
      <c r="H754" s="111"/>
      <c r="I754" s="111"/>
      <c r="J754" s="111"/>
      <c r="K754" s="111"/>
      <c r="L754" s="111"/>
      <c r="M754" s="111"/>
      <c r="N754" s="112"/>
      <c r="U754" s="112"/>
    </row>
    <row r="755" spans="1:21" ht="17.25" customHeight="1">
      <c r="A755" s="112"/>
      <c r="B755" s="111"/>
      <c r="C755" s="111"/>
      <c r="D755" s="111"/>
      <c r="E755" s="111"/>
      <c r="F755" s="111"/>
      <c r="G755" s="112"/>
      <c r="H755" s="111"/>
      <c r="I755" s="111"/>
      <c r="J755" s="111"/>
      <c r="K755" s="111"/>
      <c r="L755" s="111"/>
      <c r="M755" s="111"/>
      <c r="N755" s="112"/>
      <c r="U755" s="112"/>
    </row>
    <row r="756" spans="1:21" ht="17.25" customHeight="1">
      <c r="A756" s="112"/>
      <c r="B756" s="111"/>
      <c r="C756" s="111"/>
      <c r="D756" s="111"/>
      <c r="E756" s="111"/>
      <c r="F756" s="111"/>
      <c r="G756" s="112"/>
      <c r="H756" s="111"/>
      <c r="I756" s="111"/>
      <c r="J756" s="111"/>
      <c r="K756" s="111"/>
      <c r="L756" s="111"/>
      <c r="M756" s="111"/>
      <c r="N756" s="112"/>
      <c r="U756" s="112"/>
    </row>
    <row r="757" spans="1:21" ht="17.25" customHeight="1">
      <c r="A757" s="112"/>
      <c r="B757" s="111"/>
      <c r="C757" s="111"/>
      <c r="D757" s="111"/>
      <c r="E757" s="111"/>
      <c r="F757" s="111"/>
      <c r="G757" s="112"/>
      <c r="H757" s="111"/>
      <c r="I757" s="111"/>
      <c r="J757" s="111"/>
      <c r="K757" s="111"/>
      <c r="L757" s="111"/>
      <c r="M757" s="111"/>
      <c r="N757" s="112"/>
      <c r="U757" s="112"/>
    </row>
    <row r="758" spans="1:21" ht="17.25" customHeight="1">
      <c r="A758" s="112"/>
      <c r="B758" s="111"/>
      <c r="C758" s="111"/>
      <c r="D758" s="111"/>
      <c r="E758" s="111"/>
      <c r="F758" s="111"/>
      <c r="G758" s="112"/>
      <c r="H758" s="111"/>
      <c r="I758" s="111"/>
      <c r="J758" s="111"/>
      <c r="K758" s="111"/>
      <c r="L758" s="111"/>
      <c r="M758" s="111"/>
      <c r="N758" s="112"/>
      <c r="U758" s="112"/>
    </row>
    <row r="759" spans="1:21" ht="17.25" customHeight="1">
      <c r="A759" s="112"/>
      <c r="B759" s="111"/>
      <c r="C759" s="111"/>
      <c r="D759" s="111"/>
      <c r="E759" s="111"/>
      <c r="F759" s="111"/>
      <c r="G759" s="112"/>
      <c r="H759" s="111"/>
      <c r="I759" s="111"/>
      <c r="J759" s="111"/>
      <c r="K759" s="111"/>
      <c r="L759" s="111"/>
      <c r="M759" s="111"/>
      <c r="N759" s="112"/>
      <c r="U759" s="112"/>
    </row>
    <row r="760" spans="1:21" ht="17.25" customHeight="1">
      <c r="A760" s="112"/>
      <c r="B760" s="111"/>
      <c r="C760" s="111"/>
      <c r="D760" s="111"/>
      <c r="E760" s="111"/>
      <c r="F760" s="111"/>
      <c r="G760" s="112"/>
      <c r="H760" s="111"/>
      <c r="I760" s="111"/>
      <c r="J760" s="111"/>
      <c r="K760" s="111"/>
      <c r="L760" s="111"/>
      <c r="M760" s="111"/>
      <c r="N760" s="112"/>
      <c r="U760" s="112"/>
    </row>
    <row r="761" spans="1:21" ht="17.25" customHeight="1">
      <c r="A761" s="112"/>
      <c r="B761" s="111"/>
      <c r="C761" s="111"/>
      <c r="D761" s="111"/>
      <c r="E761" s="111"/>
      <c r="F761" s="111"/>
      <c r="G761" s="112"/>
      <c r="H761" s="111"/>
      <c r="I761" s="111"/>
      <c r="J761" s="111"/>
      <c r="K761" s="111"/>
      <c r="L761" s="111"/>
      <c r="M761" s="111"/>
      <c r="N761" s="112"/>
      <c r="U761" s="112"/>
    </row>
    <row r="762" spans="1:21" ht="17.25" customHeight="1">
      <c r="A762" s="112"/>
      <c r="B762" s="111"/>
      <c r="C762" s="111"/>
      <c r="D762" s="111"/>
      <c r="E762" s="111"/>
      <c r="F762" s="111"/>
      <c r="G762" s="112"/>
      <c r="H762" s="111"/>
      <c r="I762" s="111"/>
      <c r="J762" s="111"/>
      <c r="K762" s="111"/>
      <c r="L762" s="111"/>
      <c r="M762" s="111"/>
      <c r="N762" s="112"/>
      <c r="U762" s="112"/>
    </row>
    <row r="763" spans="1:21" ht="17.25" customHeight="1">
      <c r="A763" s="112"/>
      <c r="B763" s="111"/>
      <c r="C763" s="111"/>
      <c r="D763" s="111"/>
      <c r="E763" s="111"/>
      <c r="F763" s="111"/>
      <c r="G763" s="112"/>
      <c r="H763" s="111"/>
      <c r="I763" s="111"/>
      <c r="J763" s="111"/>
      <c r="K763" s="111"/>
      <c r="L763" s="111"/>
      <c r="M763" s="111"/>
      <c r="N763" s="112"/>
      <c r="U763" s="112"/>
    </row>
    <row r="764" spans="1:21" ht="17.25" customHeight="1">
      <c r="A764" s="112"/>
      <c r="B764" s="111"/>
      <c r="C764" s="111"/>
      <c r="D764" s="111"/>
      <c r="E764" s="111"/>
      <c r="F764" s="111"/>
      <c r="G764" s="112"/>
      <c r="H764" s="111"/>
      <c r="I764" s="111"/>
      <c r="J764" s="111"/>
      <c r="K764" s="111"/>
      <c r="L764" s="111"/>
      <c r="M764" s="111"/>
      <c r="N764" s="112"/>
      <c r="U764" s="112"/>
    </row>
    <row r="765" spans="1:21" ht="17.25" customHeight="1">
      <c r="A765" s="112"/>
      <c r="B765" s="111"/>
      <c r="C765" s="111"/>
      <c r="D765" s="111"/>
      <c r="E765" s="111"/>
      <c r="F765" s="111"/>
      <c r="G765" s="112"/>
      <c r="H765" s="111"/>
      <c r="I765" s="111"/>
      <c r="J765" s="111"/>
      <c r="K765" s="111"/>
      <c r="L765" s="111"/>
      <c r="M765" s="111"/>
      <c r="N765" s="112"/>
      <c r="U765" s="112"/>
    </row>
    <row r="766" spans="1:21" ht="17.25" customHeight="1">
      <c r="A766" s="112"/>
      <c r="B766" s="111"/>
      <c r="C766" s="111"/>
      <c r="D766" s="111"/>
      <c r="E766" s="111"/>
      <c r="F766" s="111"/>
      <c r="G766" s="112"/>
      <c r="H766" s="111"/>
      <c r="I766" s="111"/>
      <c r="J766" s="111"/>
      <c r="K766" s="111"/>
      <c r="L766" s="111"/>
      <c r="M766" s="111"/>
      <c r="N766" s="112"/>
      <c r="U766" s="112"/>
    </row>
    <row r="767" spans="1:21" ht="17.25" customHeight="1">
      <c r="A767" s="112"/>
      <c r="B767" s="111"/>
      <c r="C767" s="111"/>
      <c r="D767" s="111"/>
      <c r="E767" s="111"/>
      <c r="F767" s="111"/>
      <c r="G767" s="112"/>
      <c r="H767" s="111"/>
      <c r="I767" s="111"/>
      <c r="J767" s="111"/>
      <c r="K767" s="111"/>
      <c r="L767" s="111"/>
      <c r="M767" s="111"/>
      <c r="N767" s="112"/>
      <c r="U767" s="112"/>
    </row>
    <row r="768" spans="1:21" ht="17.25" customHeight="1">
      <c r="A768" s="112"/>
      <c r="B768" s="111"/>
      <c r="C768" s="111"/>
      <c r="D768" s="111"/>
      <c r="E768" s="111"/>
      <c r="F768" s="111"/>
      <c r="G768" s="112"/>
      <c r="H768" s="111"/>
      <c r="I768" s="111"/>
      <c r="J768" s="111"/>
      <c r="K768" s="111"/>
      <c r="L768" s="111"/>
      <c r="M768" s="111"/>
      <c r="N768" s="112"/>
      <c r="U768" s="112"/>
    </row>
    <row r="769" spans="1:21" ht="17.25" customHeight="1">
      <c r="A769" s="112"/>
      <c r="B769" s="111"/>
      <c r="C769" s="111"/>
      <c r="D769" s="111"/>
      <c r="E769" s="111"/>
      <c r="F769" s="111"/>
      <c r="G769" s="112"/>
      <c r="H769" s="111"/>
      <c r="I769" s="111"/>
      <c r="J769" s="111"/>
      <c r="K769" s="111"/>
      <c r="L769" s="111"/>
      <c r="M769" s="111"/>
      <c r="N769" s="112"/>
      <c r="U769" s="112"/>
    </row>
    <row r="770" spans="1:21" ht="17.25" customHeight="1">
      <c r="A770" s="112"/>
      <c r="B770" s="111"/>
      <c r="C770" s="111"/>
      <c r="D770" s="111"/>
      <c r="E770" s="111"/>
      <c r="F770" s="111"/>
      <c r="G770" s="112"/>
      <c r="H770" s="111"/>
      <c r="I770" s="111"/>
      <c r="J770" s="111"/>
      <c r="K770" s="111"/>
      <c r="L770" s="111"/>
      <c r="M770" s="111"/>
      <c r="N770" s="112"/>
      <c r="U770" s="112"/>
    </row>
    <row r="771" spans="1:21" ht="17.25" customHeight="1">
      <c r="A771" s="112"/>
      <c r="B771" s="111"/>
      <c r="C771" s="111"/>
      <c r="D771" s="111"/>
      <c r="E771" s="111"/>
      <c r="F771" s="111"/>
      <c r="G771" s="112"/>
      <c r="H771" s="111"/>
      <c r="I771" s="111"/>
      <c r="J771" s="111"/>
      <c r="K771" s="111"/>
      <c r="L771" s="111"/>
      <c r="M771" s="111"/>
      <c r="N771" s="112"/>
      <c r="U771" s="112"/>
    </row>
    <row r="772" spans="1:21" ht="17.25" customHeight="1">
      <c r="A772" s="112"/>
      <c r="B772" s="111"/>
      <c r="C772" s="111"/>
      <c r="D772" s="111"/>
      <c r="E772" s="111"/>
      <c r="F772" s="111"/>
      <c r="G772" s="112"/>
      <c r="H772" s="111"/>
      <c r="I772" s="111"/>
      <c r="J772" s="111"/>
      <c r="K772" s="111"/>
      <c r="L772" s="111"/>
      <c r="M772" s="111"/>
      <c r="N772" s="112"/>
      <c r="U772" s="112"/>
    </row>
    <row r="773" spans="1:21" ht="17.25" customHeight="1">
      <c r="A773" s="112"/>
      <c r="B773" s="111"/>
      <c r="C773" s="111"/>
      <c r="D773" s="111"/>
      <c r="E773" s="111"/>
      <c r="F773" s="111"/>
      <c r="G773" s="112"/>
      <c r="H773" s="111"/>
      <c r="I773" s="111"/>
      <c r="J773" s="111"/>
      <c r="K773" s="111"/>
      <c r="L773" s="111"/>
      <c r="M773" s="111"/>
      <c r="N773" s="112"/>
      <c r="U773" s="112"/>
    </row>
    <row r="774" spans="1:21" ht="17.25" customHeight="1">
      <c r="A774" s="112"/>
      <c r="B774" s="111"/>
      <c r="C774" s="111"/>
      <c r="D774" s="111"/>
      <c r="E774" s="111"/>
      <c r="F774" s="111"/>
      <c r="G774" s="112"/>
      <c r="H774" s="111"/>
      <c r="I774" s="111"/>
      <c r="J774" s="111"/>
      <c r="K774" s="111"/>
      <c r="L774" s="111"/>
      <c r="M774" s="111"/>
      <c r="N774" s="112"/>
      <c r="U774" s="112"/>
    </row>
    <row r="775" spans="1:21" ht="17.25" customHeight="1">
      <c r="A775" s="112"/>
      <c r="B775" s="111"/>
      <c r="C775" s="111"/>
      <c r="D775" s="111"/>
      <c r="E775" s="111"/>
      <c r="F775" s="111"/>
      <c r="G775" s="112"/>
      <c r="H775" s="111"/>
      <c r="I775" s="111"/>
      <c r="J775" s="111"/>
      <c r="K775" s="111"/>
      <c r="L775" s="111"/>
      <c r="M775" s="111"/>
      <c r="N775" s="112"/>
      <c r="U775" s="112"/>
    </row>
    <row r="776" spans="1:21" ht="17.25" customHeight="1">
      <c r="A776" s="112"/>
      <c r="B776" s="111"/>
      <c r="C776" s="111"/>
      <c r="D776" s="111"/>
      <c r="E776" s="111"/>
      <c r="F776" s="111"/>
      <c r="G776" s="112"/>
      <c r="H776" s="111"/>
      <c r="I776" s="111"/>
      <c r="J776" s="111"/>
      <c r="K776" s="111"/>
      <c r="L776" s="111"/>
      <c r="M776" s="111"/>
      <c r="N776" s="112"/>
      <c r="U776" s="112"/>
    </row>
    <row r="777" spans="1:21" ht="17.25" customHeight="1">
      <c r="A777" s="112"/>
      <c r="B777" s="111"/>
      <c r="C777" s="111"/>
      <c r="D777" s="111"/>
      <c r="E777" s="111"/>
      <c r="F777" s="111"/>
      <c r="G777" s="112"/>
      <c r="H777" s="111"/>
      <c r="I777" s="111"/>
      <c r="J777" s="111"/>
      <c r="K777" s="111"/>
      <c r="L777" s="111"/>
      <c r="M777" s="111"/>
      <c r="N777" s="112"/>
      <c r="U777" s="112"/>
    </row>
    <row r="778" spans="1:21" ht="17.25" customHeight="1">
      <c r="A778" s="112"/>
      <c r="B778" s="111"/>
      <c r="C778" s="111"/>
      <c r="D778" s="111"/>
      <c r="E778" s="111"/>
      <c r="F778" s="111"/>
      <c r="G778" s="112"/>
      <c r="H778" s="111"/>
      <c r="I778" s="111"/>
      <c r="J778" s="111"/>
      <c r="K778" s="111"/>
      <c r="L778" s="111"/>
      <c r="M778" s="111"/>
      <c r="N778" s="112"/>
      <c r="U778" s="112"/>
    </row>
    <row r="779" spans="1:21" ht="17.25" customHeight="1">
      <c r="A779" s="112"/>
      <c r="B779" s="111"/>
      <c r="C779" s="111"/>
      <c r="D779" s="111"/>
      <c r="E779" s="111"/>
      <c r="F779" s="111"/>
      <c r="G779" s="112"/>
      <c r="H779" s="111"/>
      <c r="I779" s="111"/>
      <c r="J779" s="111"/>
      <c r="K779" s="111"/>
      <c r="L779" s="111"/>
      <c r="M779" s="111"/>
      <c r="N779" s="112"/>
      <c r="U779" s="112"/>
    </row>
    <row r="780" spans="1:21" ht="17.25" customHeight="1">
      <c r="A780" s="112"/>
      <c r="B780" s="111"/>
      <c r="C780" s="111"/>
      <c r="D780" s="111"/>
      <c r="E780" s="111"/>
      <c r="F780" s="111"/>
      <c r="G780" s="112"/>
      <c r="H780" s="111"/>
      <c r="I780" s="111"/>
      <c r="J780" s="111"/>
      <c r="K780" s="111"/>
      <c r="L780" s="111"/>
      <c r="M780" s="111"/>
      <c r="N780" s="112"/>
      <c r="U780" s="112"/>
    </row>
    <row r="781" spans="1:21" ht="17.25" customHeight="1">
      <c r="A781" s="112"/>
      <c r="B781" s="111"/>
      <c r="C781" s="111"/>
      <c r="D781" s="111"/>
      <c r="E781" s="111"/>
      <c r="F781" s="111"/>
      <c r="G781" s="112"/>
      <c r="H781" s="111"/>
      <c r="I781" s="111"/>
      <c r="J781" s="111"/>
      <c r="K781" s="111"/>
      <c r="L781" s="111"/>
      <c r="M781" s="111"/>
      <c r="N781" s="112"/>
      <c r="U781" s="112"/>
    </row>
    <row r="782" spans="1:21" ht="17.25" customHeight="1">
      <c r="A782" s="112"/>
      <c r="B782" s="111"/>
      <c r="C782" s="111"/>
      <c r="D782" s="111"/>
      <c r="E782" s="111"/>
      <c r="F782" s="111"/>
      <c r="G782" s="112"/>
      <c r="H782" s="111"/>
      <c r="I782" s="111"/>
      <c r="J782" s="111"/>
      <c r="K782" s="111"/>
      <c r="L782" s="111"/>
      <c r="M782" s="111"/>
      <c r="N782" s="112"/>
      <c r="U782" s="112"/>
    </row>
    <row r="783" spans="1:21" ht="17.25" customHeight="1">
      <c r="A783" s="112"/>
      <c r="B783" s="111"/>
      <c r="C783" s="111"/>
      <c r="D783" s="111"/>
      <c r="E783" s="111"/>
      <c r="F783" s="111"/>
      <c r="G783" s="112"/>
      <c r="H783" s="111"/>
      <c r="I783" s="111"/>
      <c r="J783" s="111"/>
      <c r="K783" s="111"/>
      <c r="L783" s="111"/>
      <c r="M783" s="111"/>
      <c r="N783" s="112"/>
      <c r="U783" s="112"/>
    </row>
    <row r="784" spans="1:21" ht="17.25" customHeight="1">
      <c r="A784" s="112"/>
      <c r="B784" s="111"/>
      <c r="C784" s="111"/>
      <c r="D784" s="111"/>
      <c r="E784" s="111"/>
      <c r="F784" s="111"/>
      <c r="G784" s="112"/>
      <c r="H784" s="111"/>
      <c r="I784" s="111"/>
      <c r="J784" s="111"/>
      <c r="K784" s="111"/>
      <c r="L784" s="111"/>
      <c r="M784" s="111"/>
      <c r="N784" s="112"/>
      <c r="U784" s="112"/>
    </row>
    <row r="785" spans="1:21" ht="17.25" customHeight="1">
      <c r="A785" s="112"/>
      <c r="B785" s="111"/>
      <c r="C785" s="111"/>
      <c r="D785" s="111"/>
      <c r="E785" s="111"/>
      <c r="F785" s="111"/>
      <c r="G785" s="112"/>
      <c r="H785" s="111"/>
      <c r="I785" s="111"/>
      <c r="J785" s="111"/>
      <c r="K785" s="111"/>
      <c r="L785" s="111"/>
      <c r="M785" s="111"/>
      <c r="N785" s="112"/>
      <c r="U785" s="112"/>
    </row>
    <row r="786" spans="1:21" ht="17.25" customHeight="1">
      <c r="A786" s="112"/>
      <c r="B786" s="111"/>
      <c r="C786" s="111"/>
      <c r="D786" s="111"/>
      <c r="E786" s="111"/>
      <c r="F786" s="111"/>
      <c r="G786" s="112"/>
      <c r="H786" s="111"/>
      <c r="I786" s="111"/>
      <c r="J786" s="111"/>
      <c r="K786" s="111"/>
      <c r="L786" s="111"/>
      <c r="M786" s="111"/>
      <c r="N786" s="112"/>
      <c r="U786" s="112"/>
    </row>
    <row r="787" spans="1:21" ht="17.25" customHeight="1">
      <c r="A787" s="112"/>
      <c r="B787" s="111"/>
      <c r="C787" s="111"/>
      <c r="D787" s="111"/>
      <c r="E787" s="111"/>
      <c r="F787" s="111"/>
      <c r="G787" s="112"/>
      <c r="H787" s="111"/>
      <c r="I787" s="111"/>
      <c r="J787" s="111"/>
      <c r="K787" s="111"/>
      <c r="L787" s="111"/>
      <c r="M787" s="111"/>
      <c r="N787" s="112"/>
      <c r="U787" s="112"/>
    </row>
    <row r="788" spans="1:21" ht="17.25" customHeight="1">
      <c r="A788" s="112"/>
      <c r="B788" s="111"/>
      <c r="C788" s="111"/>
      <c r="D788" s="111"/>
      <c r="E788" s="111"/>
      <c r="F788" s="111"/>
      <c r="G788" s="112"/>
      <c r="H788" s="111"/>
      <c r="I788" s="111"/>
      <c r="J788" s="111"/>
      <c r="K788" s="111"/>
      <c r="L788" s="111"/>
      <c r="M788" s="111"/>
      <c r="N788" s="112"/>
      <c r="U788" s="112"/>
    </row>
    <row r="789" spans="1:21" ht="17.25" customHeight="1">
      <c r="A789" s="112"/>
      <c r="B789" s="111"/>
      <c r="C789" s="111"/>
      <c r="D789" s="111"/>
      <c r="E789" s="111"/>
      <c r="F789" s="111"/>
      <c r="G789" s="112"/>
      <c r="H789" s="111"/>
      <c r="I789" s="111"/>
      <c r="J789" s="111"/>
      <c r="K789" s="111"/>
      <c r="L789" s="111"/>
      <c r="M789" s="111"/>
      <c r="N789" s="112"/>
      <c r="U789" s="112"/>
    </row>
    <row r="790" spans="1:21" ht="17.25" customHeight="1">
      <c r="A790" s="112"/>
      <c r="B790" s="111"/>
      <c r="C790" s="111"/>
      <c r="D790" s="111"/>
      <c r="E790" s="111"/>
      <c r="F790" s="111"/>
      <c r="G790" s="112"/>
      <c r="H790" s="111"/>
      <c r="I790" s="111"/>
      <c r="J790" s="111"/>
      <c r="K790" s="111"/>
      <c r="L790" s="111"/>
      <c r="M790" s="111"/>
      <c r="N790" s="112"/>
      <c r="U790" s="112"/>
    </row>
    <row r="791" spans="1:21" ht="17.25" customHeight="1">
      <c r="A791" s="112"/>
      <c r="B791" s="111"/>
      <c r="C791" s="111"/>
      <c r="D791" s="111"/>
      <c r="E791" s="111"/>
      <c r="F791" s="111"/>
      <c r="G791" s="112"/>
      <c r="H791" s="111"/>
      <c r="I791" s="111"/>
      <c r="J791" s="111"/>
      <c r="K791" s="111"/>
      <c r="L791" s="111"/>
      <c r="M791" s="111"/>
      <c r="N791" s="112"/>
      <c r="U791" s="112"/>
    </row>
    <row r="792" spans="1:21" ht="17.25" customHeight="1">
      <c r="A792" s="112"/>
      <c r="B792" s="111"/>
      <c r="C792" s="111"/>
      <c r="D792" s="111"/>
      <c r="E792" s="111"/>
      <c r="F792" s="111"/>
      <c r="G792" s="112"/>
      <c r="H792" s="111"/>
      <c r="I792" s="111"/>
      <c r="J792" s="111"/>
      <c r="K792" s="111"/>
      <c r="L792" s="111"/>
      <c r="M792" s="111"/>
      <c r="N792" s="112"/>
      <c r="U792" s="112"/>
    </row>
    <row r="793" spans="1:21" ht="17.25" customHeight="1">
      <c r="A793" s="112"/>
      <c r="B793" s="111"/>
      <c r="C793" s="111"/>
      <c r="D793" s="111"/>
      <c r="E793" s="111"/>
      <c r="F793" s="111"/>
      <c r="G793" s="112"/>
      <c r="H793" s="111"/>
      <c r="I793" s="111"/>
      <c r="J793" s="111"/>
      <c r="K793" s="111"/>
      <c r="L793" s="111"/>
      <c r="M793" s="111"/>
      <c r="N793" s="112"/>
      <c r="U793" s="112"/>
    </row>
    <row r="794" spans="1:21" ht="17.25" customHeight="1">
      <c r="A794" s="112"/>
      <c r="B794" s="111"/>
      <c r="C794" s="111"/>
      <c r="D794" s="111"/>
      <c r="E794" s="111"/>
      <c r="F794" s="111"/>
      <c r="G794" s="112"/>
      <c r="H794" s="111"/>
      <c r="I794" s="111"/>
      <c r="J794" s="111"/>
      <c r="K794" s="111"/>
      <c r="L794" s="111"/>
      <c r="M794" s="111"/>
      <c r="N794" s="112"/>
      <c r="U794" s="112"/>
    </row>
    <row r="795" spans="1:21" ht="17.25" customHeight="1">
      <c r="A795" s="112"/>
      <c r="B795" s="111"/>
      <c r="C795" s="111"/>
      <c r="D795" s="111"/>
      <c r="E795" s="111"/>
      <c r="F795" s="111"/>
      <c r="G795" s="112"/>
      <c r="H795" s="111"/>
      <c r="I795" s="111"/>
      <c r="J795" s="111"/>
      <c r="K795" s="111"/>
      <c r="L795" s="111"/>
      <c r="M795" s="111"/>
      <c r="N795" s="112"/>
      <c r="U795" s="112"/>
    </row>
    <row r="796" spans="1:21" ht="17.25" customHeight="1">
      <c r="A796" s="112"/>
      <c r="B796" s="111"/>
      <c r="C796" s="111"/>
      <c r="D796" s="111"/>
      <c r="E796" s="111"/>
      <c r="F796" s="111"/>
      <c r="G796" s="112"/>
      <c r="H796" s="111"/>
      <c r="I796" s="111"/>
      <c r="J796" s="111"/>
      <c r="K796" s="111"/>
      <c r="L796" s="111"/>
      <c r="M796" s="111"/>
      <c r="N796" s="112"/>
      <c r="U796" s="112"/>
    </row>
    <row r="797" spans="1:21" ht="17.25" customHeight="1">
      <c r="A797" s="112"/>
      <c r="B797" s="111"/>
      <c r="C797" s="111"/>
      <c r="D797" s="111"/>
      <c r="E797" s="111"/>
      <c r="F797" s="111"/>
      <c r="G797" s="112"/>
      <c r="H797" s="111"/>
      <c r="I797" s="111"/>
      <c r="J797" s="111"/>
      <c r="K797" s="111"/>
      <c r="L797" s="111"/>
      <c r="M797" s="111"/>
      <c r="N797" s="112"/>
      <c r="U797" s="112"/>
    </row>
    <row r="798" spans="1:21" ht="17.25" customHeight="1">
      <c r="A798" s="112"/>
      <c r="B798" s="111"/>
      <c r="C798" s="111"/>
      <c r="D798" s="111"/>
      <c r="E798" s="111"/>
      <c r="F798" s="111"/>
      <c r="G798" s="112"/>
      <c r="H798" s="111"/>
      <c r="I798" s="111"/>
      <c r="J798" s="111"/>
      <c r="K798" s="111"/>
      <c r="L798" s="111"/>
      <c r="M798" s="111"/>
      <c r="N798" s="112"/>
      <c r="U798" s="112"/>
    </row>
    <row r="799" spans="1:21" ht="17.25" customHeight="1">
      <c r="A799" s="112"/>
      <c r="B799" s="111"/>
      <c r="C799" s="111"/>
      <c r="D799" s="111"/>
      <c r="E799" s="111"/>
      <c r="F799" s="111"/>
      <c r="G799" s="112"/>
      <c r="H799" s="111"/>
      <c r="I799" s="111"/>
      <c r="J799" s="111"/>
      <c r="K799" s="111"/>
      <c r="L799" s="111"/>
      <c r="M799" s="111"/>
      <c r="N799" s="112"/>
      <c r="U799" s="112"/>
    </row>
    <row r="800" spans="1:21" ht="17.25" customHeight="1">
      <c r="A800" s="112"/>
      <c r="B800" s="111"/>
      <c r="C800" s="111"/>
      <c r="D800" s="111"/>
      <c r="E800" s="111"/>
      <c r="F800" s="111"/>
      <c r="G800" s="112"/>
      <c r="H800" s="111"/>
      <c r="I800" s="111"/>
      <c r="J800" s="111"/>
      <c r="K800" s="111"/>
      <c r="L800" s="111"/>
      <c r="M800" s="111"/>
      <c r="N800" s="112"/>
      <c r="U800" s="112"/>
    </row>
    <row r="801" spans="1:21" ht="17.25" customHeight="1">
      <c r="A801" s="112"/>
      <c r="B801" s="111"/>
      <c r="C801" s="111"/>
      <c r="D801" s="111"/>
      <c r="E801" s="111"/>
      <c r="F801" s="111"/>
      <c r="G801" s="112"/>
      <c r="H801" s="111"/>
      <c r="I801" s="111"/>
      <c r="J801" s="111"/>
      <c r="K801" s="111"/>
      <c r="L801" s="111"/>
      <c r="M801" s="111"/>
      <c r="N801" s="112"/>
      <c r="U801" s="112"/>
    </row>
    <row r="802" spans="1:21" ht="17.25" customHeight="1">
      <c r="A802" s="112"/>
      <c r="B802" s="111"/>
      <c r="C802" s="111"/>
      <c r="D802" s="111"/>
      <c r="E802" s="111"/>
      <c r="F802" s="111"/>
      <c r="G802" s="112"/>
      <c r="H802" s="111"/>
      <c r="I802" s="111"/>
      <c r="J802" s="111"/>
      <c r="K802" s="111"/>
      <c r="L802" s="111"/>
      <c r="M802" s="111"/>
      <c r="N802" s="112"/>
      <c r="U802" s="112"/>
    </row>
    <row r="803" spans="1:21" ht="17.25" customHeight="1">
      <c r="A803" s="112"/>
      <c r="B803" s="111"/>
      <c r="C803" s="111"/>
      <c r="D803" s="111"/>
      <c r="E803" s="111"/>
      <c r="F803" s="111"/>
      <c r="G803" s="112"/>
      <c r="H803" s="111"/>
      <c r="I803" s="111"/>
      <c r="J803" s="111"/>
      <c r="K803" s="111"/>
      <c r="L803" s="111"/>
      <c r="M803" s="111"/>
      <c r="N803" s="112"/>
      <c r="U803" s="112"/>
    </row>
    <row r="804" spans="1:21" ht="17.25" customHeight="1">
      <c r="A804" s="112"/>
      <c r="B804" s="111"/>
      <c r="C804" s="111"/>
      <c r="D804" s="111"/>
      <c r="E804" s="111"/>
      <c r="F804" s="111"/>
      <c r="G804" s="112"/>
      <c r="H804" s="111"/>
      <c r="I804" s="111"/>
      <c r="J804" s="111"/>
      <c r="K804" s="111"/>
      <c r="L804" s="111"/>
      <c r="M804" s="111"/>
      <c r="N804" s="112"/>
      <c r="U804" s="112"/>
    </row>
    <row r="805" spans="1:21" ht="17.25" customHeight="1">
      <c r="A805" s="112"/>
      <c r="B805" s="111"/>
      <c r="C805" s="111"/>
      <c r="D805" s="111"/>
      <c r="E805" s="111"/>
      <c r="F805" s="111"/>
      <c r="G805" s="112"/>
      <c r="H805" s="111"/>
      <c r="I805" s="111"/>
      <c r="J805" s="111"/>
      <c r="K805" s="111"/>
      <c r="L805" s="111"/>
      <c r="M805" s="111"/>
      <c r="N805" s="112"/>
      <c r="U805" s="112"/>
    </row>
    <row r="806" spans="1:21" ht="17.25" customHeight="1">
      <c r="A806" s="112"/>
      <c r="B806" s="111"/>
      <c r="C806" s="111"/>
      <c r="D806" s="111"/>
      <c r="E806" s="111"/>
      <c r="F806" s="111"/>
      <c r="G806" s="112"/>
      <c r="H806" s="111"/>
      <c r="I806" s="111"/>
      <c r="J806" s="111"/>
      <c r="K806" s="111"/>
      <c r="L806" s="111"/>
      <c r="M806" s="111"/>
      <c r="N806" s="112"/>
      <c r="U806" s="112"/>
    </row>
    <row r="807" spans="1:21" ht="17.25" customHeight="1">
      <c r="A807" s="112"/>
      <c r="B807" s="111"/>
      <c r="C807" s="111"/>
      <c r="D807" s="111"/>
      <c r="E807" s="111"/>
      <c r="F807" s="111"/>
      <c r="G807" s="112"/>
      <c r="H807" s="111"/>
      <c r="I807" s="111"/>
      <c r="J807" s="111"/>
      <c r="K807" s="111"/>
      <c r="L807" s="111"/>
      <c r="M807" s="111"/>
      <c r="N807" s="112"/>
      <c r="U807" s="112"/>
    </row>
    <row r="808" spans="1:21" ht="17.25" customHeight="1">
      <c r="A808" s="112"/>
      <c r="B808" s="111"/>
      <c r="C808" s="111"/>
      <c r="D808" s="111"/>
      <c r="E808" s="111"/>
      <c r="F808" s="111"/>
      <c r="G808" s="112"/>
      <c r="H808" s="111"/>
      <c r="I808" s="111"/>
      <c r="J808" s="111"/>
      <c r="K808" s="111"/>
      <c r="L808" s="111"/>
      <c r="M808" s="111"/>
      <c r="N808" s="112"/>
      <c r="U808" s="112"/>
    </row>
    <row r="809" spans="1:21" ht="17.25" customHeight="1">
      <c r="A809" s="112"/>
      <c r="B809" s="111"/>
      <c r="C809" s="111"/>
      <c r="D809" s="111"/>
      <c r="E809" s="111"/>
      <c r="F809" s="111"/>
      <c r="G809" s="112"/>
      <c r="H809" s="111"/>
      <c r="I809" s="111"/>
      <c r="J809" s="111"/>
      <c r="K809" s="111"/>
      <c r="L809" s="111"/>
      <c r="M809" s="111"/>
      <c r="N809" s="112"/>
      <c r="U809" s="112"/>
    </row>
    <row r="810" spans="1:21" ht="17.25" customHeight="1">
      <c r="A810" s="112"/>
      <c r="B810" s="111"/>
      <c r="C810" s="111"/>
      <c r="D810" s="111"/>
      <c r="E810" s="111"/>
      <c r="F810" s="111"/>
      <c r="G810" s="112"/>
      <c r="H810" s="111"/>
      <c r="I810" s="111"/>
      <c r="J810" s="111"/>
      <c r="K810" s="111"/>
      <c r="L810" s="111"/>
      <c r="M810" s="111"/>
      <c r="N810" s="112"/>
      <c r="U810" s="112"/>
    </row>
    <row r="811" spans="1:21" ht="17.25" customHeight="1">
      <c r="A811" s="112"/>
      <c r="B811" s="111"/>
      <c r="C811" s="111"/>
      <c r="D811" s="111"/>
      <c r="E811" s="111"/>
      <c r="F811" s="111"/>
      <c r="G811" s="112"/>
      <c r="H811" s="111"/>
      <c r="I811" s="111"/>
      <c r="J811" s="111"/>
      <c r="K811" s="111"/>
      <c r="L811" s="111"/>
      <c r="M811" s="111"/>
      <c r="N811" s="112"/>
      <c r="U811" s="112"/>
    </row>
    <row r="812" spans="1:21" ht="17.25" customHeight="1">
      <c r="A812" s="112"/>
      <c r="B812" s="111"/>
      <c r="C812" s="111"/>
      <c r="D812" s="111"/>
      <c r="E812" s="111"/>
      <c r="F812" s="111"/>
      <c r="G812" s="112"/>
      <c r="H812" s="111"/>
      <c r="I812" s="111"/>
      <c r="J812" s="111"/>
      <c r="K812" s="111"/>
      <c r="L812" s="111"/>
      <c r="M812" s="111"/>
      <c r="N812" s="112"/>
      <c r="U812" s="112"/>
    </row>
    <row r="813" spans="1:21" ht="17.25" customHeight="1">
      <c r="A813" s="112"/>
      <c r="B813" s="111"/>
      <c r="C813" s="111"/>
      <c r="D813" s="111"/>
      <c r="E813" s="111"/>
      <c r="F813" s="111"/>
      <c r="G813" s="112"/>
      <c r="H813" s="111"/>
      <c r="I813" s="111"/>
      <c r="J813" s="111"/>
      <c r="K813" s="111"/>
      <c r="L813" s="111"/>
      <c r="M813" s="111"/>
      <c r="N813" s="112"/>
      <c r="U813" s="112"/>
    </row>
    <row r="814" spans="1:21" ht="17.25" customHeight="1">
      <c r="A814" s="112"/>
      <c r="B814" s="111"/>
      <c r="C814" s="111"/>
      <c r="D814" s="111"/>
      <c r="E814" s="111"/>
      <c r="F814" s="111"/>
      <c r="G814" s="112"/>
      <c r="H814" s="111"/>
      <c r="I814" s="111"/>
      <c r="J814" s="111"/>
      <c r="K814" s="111"/>
      <c r="L814" s="111"/>
      <c r="M814" s="111"/>
      <c r="N814" s="112"/>
      <c r="U814" s="112"/>
    </row>
    <row r="815" spans="1:21" ht="17.25" customHeight="1">
      <c r="A815" s="112"/>
      <c r="B815" s="111"/>
      <c r="C815" s="111"/>
      <c r="D815" s="111"/>
      <c r="E815" s="111"/>
      <c r="F815" s="111"/>
      <c r="G815" s="112"/>
      <c r="H815" s="111"/>
      <c r="I815" s="111"/>
      <c r="J815" s="111"/>
      <c r="K815" s="111"/>
      <c r="L815" s="111"/>
      <c r="M815" s="111"/>
      <c r="N815" s="112"/>
      <c r="U815" s="112"/>
    </row>
    <row r="816" spans="1:21" ht="17.25" customHeight="1">
      <c r="A816" s="112"/>
      <c r="B816" s="111"/>
      <c r="C816" s="111"/>
      <c r="D816" s="111"/>
      <c r="E816" s="111"/>
      <c r="F816" s="111"/>
      <c r="G816" s="112"/>
      <c r="H816" s="111"/>
      <c r="I816" s="111"/>
      <c r="J816" s="111"/>
      <c r="K816" s="111"/>
      <c r="L816" s="111"/>
      <c r="M816" s="111"/>
      <c r="N816" s="112"/>
      <c r="U816" s="112"/>
    </row>
    <row r="817" spans="1:21" ht="17.25" customHeight="1">
      <c r="A817" s="112"/>
      <c r="B817" s="111"/>
      <c r="C817" s="111"/>
      <c r="D817" s="111"/>
      <c r="E817" s="111"/>
      <c r="F817" s="111"/>
      <c r="G817" s="112"/>
      <c r="H817" s="111"/>
      <c r="I817" s="111"/>
      <c r="J817" s="111"/>
      <c r="K817" s="111"/>
      <c r="L817" s="111"/>
      <c r="M817" s="111"/>
      <c r="N817" s="112"/>
      <c r="U817" s="112"/>
    </row>
    <row r="818" spans="1:21" ht="17.25" customHeight="1">
      <c r="A818" s="112"/>
      <c r="B818" s="111"/>
      <c r="C818" s="111"/>
      <c r="D818" s="111"/>
      <c r="E818" s="111"/>
      <c r="F818" s="111"/>
      <c r="G818" s="112"/>
      <c r="H818" s="111"/>
      <c r="I818" s="111"/>
      <c r="J818" s="111"/>
      <c r="K818" s="111"/>
      <c r="L818" s="111"/>
      <c r="M818" s="111"/>
      <c r="N818" s="112"/>
      <c r="U818" s="112"/>
    </row>
    <row r="819" spans="1:21" ht="17.25" customHeight="1">
      <c r="A819" s="112"/>
      <c r="B819" s="111"/>
      <c r="C819" s="111"/>
      <c r="D819" s="111"/>
      <c r="E819" s="111"/>
      <c r="F819" s="111"/>
      <c r="G819" s="112"/>
      <c r="H819" s="111"/>
      <c r="I819" s="111"/>
      <c r="J819" s="111"/>
      <c r="K819" s="111"/>
      <c r="L819" s="111"/>
      <c r="M819" s="111"/>
      <c r="N819" s="112"/>
      <c r="U819" s="112"/>
    </row>
    <row r="820" spans="1:21" ht="17.25" customHeight="1">
      <c r="A820" s="112"/>
      <c r="B820" s="111"/>
      <c r="C820" s="111"/>
      <c r="D820" s="111"/>
      <c r="E820" s="111"/>
      <c r="F820" s="111"/>
      <c r="G820" s="112"/>
      <c r="H820" s="111"/>
      <c r="I820" s="111"/>
      <c r="J820" s="111"/>
      <c r="K820" s="111"/>
      <c r="L820" s="111"/>
      <c r="M820" s="111"/>
      <c r="N820" s="112"/>
      <c r="U820" s="112"/>
    </row>
    <row r="821" spans="1:21" ht="17.25" customHeight="1">
      <c r="A821" s="112"/>
      <c r="B821" s="111"/>
      <c r="C821" s="111"/>
      <c r="D821" s="111"/>
      <c r="E821" s="111"/>
      <c r="F821" s="111"/>
      <c r="G821" s="112"/>
      <c r="H821" s="111"/>
      <c r="I821" s="111"/>
      <c r="J821" s="111"/>
      <c r="K821" s="111"/>
      <c r="L821" s="111"/>
      <c r="M821" s="111"/>
      <c r="N821" s="112"/>
      <c r="U821" s="112"/>
    </row>
    <row r="822" spans="1:21" ht="17.25" customHeight="1">
      <c r="A822" s="112"/>
      <c r="B822" s="111"/>
      <c r="C822" s="111"/>
      <c r="D822" s="111"/>
      <c r="E822" s="111"/>
      <c r="F822" s="111"/>
      <c r="G822" s="112"/>
      <c r="H822" s="111"/>
      <c r="I822" s="111"/>
      <c r="J822" s="111"/>
      <c r="K822" s="111"/>
      <c r="L822" s="111"/>
      <c r="M822" s="111"/>
      <c r="N822" s="112"/>
      <c r="U822" s="112"/>
    </row>
    <row r="823" spans="1:21" ht="17.25" customHeight="1">
      <c r="A823" s="112"/>
      <c r="B823" s="111"/>
      <c r="C823" s="111"/>
      <c r="D823" s="111"/>
      <c r="E823" s="111"/>
      <c r="F823" s="111"/>
      <c r="G823" s="112"/>
      <c r="H823" s="111"/>
      <c r="I823" s="111"/>
      <c r="J823" s="111"/>
      <c r="K823" s="111"/>
      <c r="L823" s="111"/>
      <c r="M823" s="111"/>
      <c r="N823" s="112"/>
      <c r="U823" s="112"/>
    </row>
    <row r="824" spans="1:21" ht="17.25" customHeight="1">
      <c r="A824" s="112"/>
      <c r="B824" s="111"/>
      <c r="C824" s="111"/>
      <c r="D824" s="111"/>
      <c r="E824" s="111"/>
      <c r="F824" s="111"/>
      <c r="G824" s="112"/>
      <c r="H824" s="111"/>
      <c r="I824" s="111"/>
      <c r="J824" s="111"/>
      <c r="K824" s="111"/>
      <c r="L824" s="111"/>
      <c r="M824" s="111"/>
      <c r="N824" s="112"/>
      <c r="U824" s="112"/>
    </row>
    <row r="825" spans="1:21" ht="17.25" customHeight="1">
      <c r="A825" s="112"/>
      <c r="B825" s="111"/>
      <c r="C825" s="111"/>
      <c r="D825" s="111"/>
      <c r="E825" s="111"/>
      <c r="F825" s="111"/>
      <c r="G825" s="112"/>
      <c r="H825" s="111"/>
      <c r="I825" s="111"/>
      <c r="J825" s="111"/>
      <c r="K825" s="111"/>
      <c r="L825" s="111"/>
      <c r="M825" s="111"/>
      <c r="N825" s="112"/>
      <c r="U825" s="112"/>
    </row>
    <row r="826" spans="1:21" ht="17.25" customHeight="1">
      <c r="A826" s="112"/>
      <c r="B826" s="111"/>
      <c r="C826" s="111"/>
      <c r="D826" s="111"/>
      <c r="E826" s="111"/>
      <c r="F826" s="111"/>
      <c r="G826" s="112"/>
      <c r="H826" s="111"/>
      <c r="I826" s="111"/>
      <c r="J826" s="111"/>
      <c r="K826" s="111"/>
      <c r="L826" s="111"/>
      <c r="M826" s="111"/>
      <c r="N826" s="112"/>
      <c r="U826" s="112"/>
    </row>
    <row r="827" spans="1:21" ht="17.25" customHeight="1">
      <c r="A827" s="112"/>
      <c r="B827" s="111"/>
      <c r="C827" s="111"/>
      <c r="D827" s="111"/>
      <c r="E827" s="111"/>
      <c r="F827" s="111"/>
      <c r="G827" s="112"/>
      <c r="H827" s="111"/>
      <c r="I827" s="111"/>
      <c r="J827" s="111"/>
      <c r="K827" s="111"/>
      <c r="L827" s="111"/>
      <c r="M827" s="111"/>
      <c r="N827" s="112"/>
      <c r="U827" s="112"/>
    </row>
    <row r="828" spans="1:21" ht="17.25" customHeight="1">
      <c r="A828" s="112"/>
      <c r="B828" s="111"/>
      <c r="C828" s="111"/>
      <c r="D828" s="111"/>
      <c r="E828" s="111"/>
      <c r="F828" s="111"/>
      <c r="G828" s="112"/>
      <c r="H828" s="111"/>
      <c r="I828" s="111"/>
      <c r="J828" s="111"/>
      <c r="K828" s="111"/>
      <c r="L828" s="111"/>
      <c r="M828" s="111"/>
      <c r="N828" s="112"/>
      <c r="U828" s="112"/>
    </row>
    <row r="829" spans="1:21" ht="17.25" customHeight="1">
      <c r="A829" s="112"/>
      <c r="B829" s="111"/>
      <c r="C829" s="111"/>
      <c r="D829" s="111"/>
      <c r="E829" s="111"/>
      <c r="F829" s="111"/>
      <c r="G829" s="112"/>
      <c r="H829" s="111"/>
      <c r="I829" s="111"/>
      <c r="J829" s="111"/>
      <c r="K829" s="111"/>
      <c r="L829" s="111"/>
      <c r="M829" s="111"/>
      <c r="N829" s="112"/>
      <c r="U829" s="112"/>
    </row>
    <row r="830" spans="1:21" ht="17.25" customHeight="1">
      <c r="A830" s="112"/>
      <c r="B830" s="111"/>
      <c r="C830" s="111"/>
      <c r="D830" s="111"/>
      <c r="E830" s="111"/>
      <c r="F830" s="111"/>
      <c r="G830" s="112"/>
      <c r="H830" s="111"/>
      <c r="I830" s="111"/>
      <c r="J830" s="111"/>
      <c r="K830" s="111"/>
      <c r="L830" s="111"/>
      <c r="M830" s="111"/>
      <c r="N830" s="112"/>
      <c r="U830" s="112"/>
    </row>
    <row r="831" spans="1:21" ht="17.25" customHeight="1">
      <c r="A831" s="112"/>
      <c r="B831" s="111"/>
      <c r="C831" s="111"/>
      <c r="D831" s="111"/>
      <c r="E831" s="111"/>
      <c r="F831" s="111"/>
      <c r="G831" s="112"/>
      <c r="H831" s="111"/>
      <c r="I831" s="111"/>
      <c r="J831" s="111"/>
      <c r="K831" s="111"/>
      <c r="L831" s="111"/>
      <c r="M831" s="111"/>
      <c r="N831" s="112"/>
      <c r="U831" s="112"/>
    </row>
    <row r="832" spans="1:21" ht="17.25" customHeight="1">
      <c r="A832" s="112"/>
      <c r="B832" s="111"/>
      <c r="C832" s="111"/>
      <c r="D832" s="111"/>
      <c r="E832" s="111"/>
      <c r="F832" s="111"/>
      <c r="G832" s="112"/>
      <c r="H832" s="111"/>
      <c r="I832" s="111"/>
      <c r="J832" s="111"/>
      <c r="K832" s="111"/>
      <c r="L832" s="111"/>
      <c r="M832" s="111"/>
      <c r="N832" s="112"/>
      <c r="U832" s="112"/>
    </row>
    <row r="833" spans="1:21" ht="17.25" customHeight="1">
      <c r="A833" s="112"/>
      <c r="B833" s="111"/>
      <c r="C833" s="111"/>
      <c r="D833" s="111"/>
      <c r="E833" s="111"/>
      <c r="F833" s="111"/>
      <c r="G833" s="112"/>
      <c r="H833" s="111"/>
      <c r="I833" s="111"/>
      <c r="J833" s="111"/>
      <c r="K833" s="111"/>
      <c r="L833" s="111"/>
      <c r="M833" s="111"/>
      <c r="N833" s="112"/>
      <c r="U833" s="112"/>
    </row>
    <row r="834" spans="1:21" ht="17.25" customHeight="1">
      <c r="A834" s="112"/>
      <c r="B834" s="111"/>
      <c r="C834" s="111"/>
      <c r="D834" s="111"/>
      <c r="E834" s="111"/>
      <c r="F834" s="111"/>
      <c r="G834" s="112"/>
      <c r="H834" s="111"/>
      <c r="I834" s="111"/>
      <c r="J834" s="111"/>
      <c r="K834" s="111"/>
      <c r="L834" s="111"/>
      <c r="M834" s="111"/>
      <c r="N834" s="112"/>
      <c r="U834" s="112"/>
    </row>
    <row r="835" spans="1:21" ht="17.25" customHeight="1">
      <c r="A835" s="112"/>
      <c r="B835" s="111"/>
      <c r="C835" s="111"/>
      <c r="D835" s="111"/>
      <c r="E835" s="111"/>
      <c r="F835" s="111"/>
      <c r="G835" s="112"/>
      <c r="H835" s="111"/>
      <c r="I835" s="111"/>
      <c r="J835" s="111"/>
      <c r="K835" s="111"/>
      <c r="L835" s="111"/>
      <c r="M835" s="111"/>
      <c r="N835" s="112"/>
      <c r="U835" s="112"/>
    </row>
    <row r="836" spans="1:21" ht="17.25" customHeight="1">
      <c r="A836" s="112"/>
      <c r="B836" s="111"/>
      <c r="C836" s="111"/>
      <c r="D836" s="111"/>
      <c r="E836" s="111"/>
      <c r="F836" s="111"/>
      <c r="G836" s="112"/>
      <c r="H836" s="111"/>
      <c r="I836" s="111"/>
      <c r="J836" s="111"/>
      <c r="K836" s="111"/>
      <c r="L836" s="111"/>
      <c r="M836" s="111"/>
      <c r="N836" s="112"/>
      <c r="U836" s="112"/>
    </row>
    <row r="837" spans="1:21" ht="17.25" customHeight="1">
      <c r="A837" s="112"/>
      <c r="B837" s="111"/>
      <c r="C837" s="111"/>
      <c r="D837" s="111"/>
      <c r="E837" s="111"/>
      <c r="F837" s="111"/>
      <c r="G837" s="112"/>
      <c r="H837" s="111"/>
      <c r="I837" s="111"/>
      <c r="J837" s="111"/>
      <c r="K837" s="111"/>
      <c r="L837" s="111"/>
      <c r="M837" s="111"/>
      <c r="N837" s="112"/>
      <c r="U837" s="112"/>
    </row>
    <row r="838" spans="1:21" ht="17.25" customHeight="1">
      <c r="A838" s="112"/>
      <c r="B838" s="111"/>
      <c r="C838" s="111"/>
      <c r="D838" s="111"/>
      <c r="E838" s="111"/>
      <c r="F838" s="111"/>
      <c r="G838" s="112"/>
      <c r="H838" s="111"/>
      <c r="I838" s="111"/>
      <c r="J838" s="111"/>
      <c r="K838" s="111"/>
      <c r="L838" s="111"/>
      <c r="M838" s="111"/>
      <c r="N838" s="112"/>
      <c r="U838" s="112"/>
    </row>
    <row r="839" spans="1:21" ht="17.25" customHeight="1">
      <c r="A839" s="112"/>
      <c r="B839" s="111"/>
      <c r="C839" s="111"/>
      <c r="D839" s="111"/>
      <c r="E839" s="111"/>
      <c r="F839" s="111"/>
      <c r="G839" s="112"/>
      <c r="H839" s="111"/>
      <c r="I839" s="111"/>
      <c r="J839" s="111"/>
      <c r="K839" s="111"/>
      <c r="L839" s="111"/>
      <c r="M839" s="111"/>
      <c r="N839" s="112"/>
      <c r="U839" s="112"/>
    </row>
    <row r="840" spans="1:21" ht="17.25" customHeight="1">
      <c r="A840" s="112"/>
      <c r="B840" s="111"/>
      <c r="C840" s="111"/>
      <c r="D840" s="111"/>
      <c r="E840" s="111"/>
      <c r="F840" s="111"/>
      <c r="G840" s="112"/>
      <c r="H840" s="111"/>
      <c r="I840" s="111"/>
      <c r="J840" s="111"/>
      <c r="K840" s="111"/>
      <c r="L840" s="111"/>
      <c r="M840" s="111"/>
      <c r="N840" s="112"/>
      <c r="U840" s="112"/>
    </row>
    <row r="841" spans="1:21" ht="17.25" customHeight="1">
      <c r="A841" s="112"/>
      <c r="B841" s="111"/>
      <c r="C841" s="111"/>
      <c r="D841" s="111"/>
      <c r="E841" s="111"/>
      <c r="F841" s="111"/>
      <c r="G841" s="112"/>
      <c r="H841" s="111"/>
      <c r="I841" s="111"/>
      <c r="J841" s="111"/>
      <c r="K841" s="111"/>
      <c r="L841" s="111"/>
      <c r="M841" s="111"/>
      <c r="N841" s="112"/>
      <c r="U841" s="112"/>
    </row>
    <row r="842" spans="1:21" ht="17.25" customHeight="1">
      <c r="A842" s="112"/>
      <c r="B842" s="111"/>
      <c r="C842" s="111"/>
      <c r="D842" s="111"/>
      <c r="E842" s="111"/>
      <c r="F842" s="111"/>
      <c r="G842" s="112"/>
      <c r="H842" s="111"/>
      <c r="I842" s="111"/>
      <c r="J842" s="111"/>
      <c r="K842" s="111"/>
      <c r="L842" s="111"/>
      <c r="M842" s="111"/>
      <c r="N842" s="112"/>
      <c r="U842" s="112"/>
    </row>
    <row r="843" spans="1:21" ht="17.25" customHeight="1">
      <c r="A843" s="112"/>
      <c r="B843" s="111"/>
      <c r="C843" s="111"/>
      <c r="D843" s="111"/>
      <c r="E843" s="111"/>
      <c r="F843" s="111"/>
      <c r="G843" s="112"/>
      <c r="H843" s="111"/>
      <c r="I843" s="111"/>
      <c r="J843" s="111"/>
      <c r="K843" s="111"/>
      <c r="L843" s="111"/>
      <c r="M843" s="111"/>
      <c r="N843" s="112"/>
      <c r="U843" s="112"/>
    </row>
    <row r="844" spans="1:21" ht="17.25" customHeight="1">
      <c r="A844" s="112"/>
      <c r="B844" s="111"/>
      <c r="C844" s="111"/>
      <c r="D844" s="111"/>
      <c r="E844" s="111"/>
      <c r="F844" s="111"/>
      <c r="G844" s="112"/>
      <c r="H844" s="111"/>
      <c r="I844" s="111"/>
      <c r="J844" s="111"/>
      <c r="K844" s="111"/>
      <c r="L844" s="111"/>
      <c r="M844" s="111"/>
      <c r="N844" s="112"/>
      <c r="U844" s="112"/>
    </row>
    <row r="845" spans="1:21" ht="17.25" customHeight="1">
      <c r="A845" s="112"/>
      <c r="B845" s="111"/>
      <c r="C845" s="111"/>
      <c r="D845" s="111"/>
      <c r="E845" s="111"/>
      <c r="F845" s="111"/>
      <c r="G845" s="112"/>
      <c r="H845" s="111"/>
      <c r="I845" s="111"/>
      <c r="J845" s="111"/>
      <c r="K845" s="111"/>
      <c r="L845" s="111"/>
      <c r="M845" s="111"/>
      <c r="N845" s="112"/>
      <c r="U845" s="112"/>
    </row>
    <row r="846" spans="1:21" ht="17.25" customHeight="1">
      <c r="A846" s="112"/>
      <c r="B846" s="111"/>
      <c r="C846" s="111"/>
      <c r="D846" s="111"/>
      <c r="E846" s="111"/>
      <c r="F846" s="111"/>
      <c r="G846" s="112"/>
      <c r="H846" s="111"/>
      <c r="I846" s="111"/>
      <c r="J846" s="111"/>
      <c r="K846" s="111"/>
      <c r="L846" s="111"/>
      <c r="M846" s="111"/>
      <c r="N846" s="112"/>
      <c r="U846" s="112"/>
    </row>
    <row r="847" spans="1:21" ht="17.25" customHeight="1">
      <c r="A847" s="112"/>
      <c r="B847" s="111"/>
      <c r="C847" s="111"/>
      <c r="D847" s="111"/>
      <c r="E847" s="111"/>
      <c r="F847" s="111"/>
      <c r="G847" s="112"/>
      <c r="H847" s="111"/>
      <c r="I847" s="111"/>
      <c r="J847" s="111"/>
      <c r="K847" s="111"/>
      <c r="L847" s="111"/>
      <c r="M847" s="111"/>
      <c r="N847" s="112"/>
      <c r="U847" s="112"/>
    </row>
    <row r="848" spans="1:21" ht="17.25" customHeight="1">
      <c r="A848" s="112"/>
      <c r="B848" s="111"/>
      <c r="C848" s="111"/>
      <c r="D848" s="111"/>
      <c r="E848" s="111"/>
      <c r="F848" s="111"/>
      <c r="G848" s="112"/>
      <c r="H848" s="111"/>
      <c r="I848" s="111"/>
      <c r="J848" s="111"/>
      <c r="K848" s="111"/>
      <c r="L848" s="111"/>
      <c r="M848" s="111"/>
      <c r="N848" s="112"/>
      <c r="U848" s="112"/>
    </row>
    <row r="849" spans="1:21" ht="17.25" customHeight="1">
      <c r="A849" s="112"/>
      <c r="B849" s="111"/>
      <c r="C849" s="111"/>
      <c r="D849" s="111"/>
      <c r="E849" s="111"/>
      <c r="F849" s="111"/>
      <c r="G849" s="112"/>
      <c r="H849" s="111"/>
      <c r="I849" s="111"/>
      <c r="J849" s="111"/>
      <c r="K849" s="111"/>
      <c r="L849" s="111"/>
      <c r="M849" s="111"/>
      <c r="N849" s="112"/>
      <c r="U849" s="112"/>
    </row>
    <row r="850" spans="1:21" ht="17.25" customHeight="1">
      <c r="A850" s="112"/>
      <c r="B850" s="111"/>
      <c r="C850" s="111"/>
      <c r="D850" s="111"/>
      <c r="E850" s="111"/>
      <c r="F850" s="111"/>
      <c r="G850" s="112"/>
      <c r="H850" s="111"/>
      <c r="I850" s="111"/>
      <c r="J850" s="111"/>
      <c r="K850" s="111"/>
      <c r="L850" s="111"/>
      <c r="M850" s="111"/>
      <c r="N850" s="112"/>
      <c r="U850" s="112"/>
    </row>
    <row r="851" spans="1:21" ht="17.25" customHeight="1">
      <c r="A851" s="112"/>
      <c r="B851" s="111"/>
      <c r="C851" s="111"/>
      <c r="D851" s="111"/>
      <c r="E851" s="111"/>
      <c r="F851" s="111"/>
      <c r="G851" s="112"/>
      <c r="H851" s="111"/>
      <c r="I851" s="111"/>
      <c r="J851" s="111"/>
      <c r="K851" s="111"/>
      <c r="L851" s="111"/>
      <c r="M851" s="111"/>
      <c r="N851" s="112"/>
      <c r="U851" s="112"/>
    </row>
    <row r="852" spans="1:21" ht="17.25" customHeight="1">
      <c r="A852" s="112"/>
      <c r="B852" s="111"/>
      <c r="C852" s="111"/>
      <c r="D852" s="111"/>
      <c r="E852" s="111"/>
      <c r="F852" s="111"/>
      <c r="G852" s="112"/>
      <c r="H852" s="111"/>
      <c r="I852" s="111"/>
      <c r="J852" s="111"/>
      <c r="K852" s="111"/>
      <c r="L852" s="111"/>
      <c r="M852" s="111"/>
      <c r="N852" s="112"/>
      <c r="U852" s="112"/>
    </row>
    <row r="853" spans="1:21" ht="17.25" customHeight="1">
      <c r="A853" s="112"/>
      <c r="B853" s="111"/>
      <c r="C853" s="111"/>
      <c r="D853" s="111"/>
      <c r="E853" s="111"/>
      <c r="F853" s="111"/>
      <c r="G853" s="112"/>
      <c r="H853" s="111"/>
      <c r="I853" s="111"/>
      <c r="J853" s="111"/>
      <c r="K853" s="111"/>
      <c r="L853" s="111"/>
      <c r="M853" s="111"/>
      <c r="N853" s="112"/>
      <c r="U853" s="112"/>
    </row>
    <row r="854" spans="1:21" ht="17.25" customHeight="1">
      <c r="A854" s="112"/>
      <c r="B854" s="111"/>
      <c r="C854" s="111"/>
      <c r="D854" s="111"/>
      <c r="E854" s="111"/>
      <c r="F854" s="111"/>
      <c r="G854" s="112"/>
      <c r="H854" s="111"/>
      <c r="I854" s="111"/>
      <c r="J854" s="111"/>
      <c r="K854" s="111"/>
      <c r="L854" s="111"/>
      <c r="M854" s="111"/>
      <c r="N854" s="112"/>
      <c r="U854" s="112"/>
    </row>
    <row r="855" spans="1:21" ht="17.25" customHeight="1">
      <c r="A855" s="112"/>
      <c r="B855" s="111"/>
      <c r="C855" s="111"/>
      <c r="D855" s="111"/>
      <c r="E855" s="111"/>
      <c r="F855" s="111"/>
      <c r="G855" s="112"/>
      <c r="H855" s="111"/>
      <c r="I855" s="111"/>
      <c r="J855" s="111"/>
      <c r="K855" s="111"/>
      <c r="L855" s="111"/>
      <c r="M855" s="111"/>
      <c r="N855" s="112"/>
      <c r="U855" s="112"/>
    </row>
    <row r="856" spans="1:21" ht="17.25" customHeight="1">
      <c r="A856" s="112"/>
      <c r="B856" s="111"/>
      <c r="C856" s="111"/>
      <c r="D856" s="111"/>
      <c r="E856" s="111"/>
      <c r="F856" s="111"/>
      <c r="G856" s="112"/>
      <c r="H856" s="111"/>
      <c r="I856" s="111"/>
      <c r="J856" s="111"/>
      <c r="K856" s="111"/>
      <c r="L856" s="111"/>
      <c r="M856" s="111"/>
      <c r="N856" s="112"/>
      <c r="U856" s="112"/>
    </row>
    <row r="857" spans="1:21" ht="17.25" customHeight="1">
      <c r="A857" s="112"/>
      <c r="B857" s="111"/>
      <c r="C857" s="111"/>
      <c r="D857" s="111"/>
      <c r="E857" s="111"/>
      <c r="F857" s="111"/>
      <c r="G857" s="112"/>
      <c r="H857" s="111"/>
      <c r="I857" s="111"/>
      <c r="J857" s="111"/>
      <c r="K857" s="111"/>
      <c r="L857" s="111"/>
      <c r="M857" s="111"/>
      <c r="N857" s="112"/>
      <c r="U857" s="112"/>
    </row>
    <row r="858" spans="1:21" ht="17.25" customHeight="1">
      <c r="A858" s="112"/>
      <c r="B858" s="111"/>
      <c r="C858" s="111"/>
      <c r="D858" s="111"/>
      <c r="E858" s="111"/>
      <c r="F858" s="111"/>
      <c r="G858" s="112"/>
      <c r="H858" s="111"/>
      <c r="I858" s="111"/>
      <c r="J858" s="111"/>
      <c r="K858" s="111"/>
      <c r="L858" s="111"/>
      <c r="M858" s="111"/>
      <c r="N858" s="112"/>
      <c r="U858" s="112"/>
    </row>
    <row r="859" spans="1:21" ht="17.25" customHeight="1">
      <c r="A859" s="112"/>
      <c r="B859" s="111"/>
      <c r="C859" s="111"/>
      <c r="D859" s="111"/>
      <c r="E859" s="111"/>
      <c r="F859" s="111"/>
      <c r="G859" s="112"/>
      <c r="H859" s="111"/>
      <c r="I859" s="111"/>
      <c r="J859" s="111"/>
      <c r="K859" s="111"/>
      <c r="L859" s="111"/>
      <c r="M859" s="111"/>
      <c r="N859" s="112"/>
      <c r="U859" s="112"/>
    </row>
    <row r="860" spans="1:21" ht="17.25" customHeight="1">
      <c r="A860" s="112"/>
      <c r="B860" s="111"/>
      <c r="C860" s="111"/>
      <c r="D860" s="111"/>
      <c r="E860" s="111"/>
      <c r="F860" s="111"/>
      <c r="G860" s="112"/>
      <c r="H860" s="111"/>
      <c r="I860" s="111"/>
      <c r="J860" s="111"/>
      <c r="K860" s="111"/>
      <c r="L860" s="111"/>
      <c r="M860" s="111"/>
      <c r="N860" s="112"/>
      <c r="U860" s="112"/>
    </row>
    <row r="861" spans="1:21" ht="17.25" customHeight="1">
      <c r="A861" s="112"/>
      <c r="B861" s="111"/>
      <c r="C861" s="111"/>
      <c r="D861" s="111"/>
      <c r="E861" s="111"/>
      <c r="F861" s="111"/>
      <c r="G861" s="112"/>
      <c r="H861" s="111"/>
      <c r="I861" s="111"/>
      <c r="J861" s="111"/>
      <c r="K861" s="111"/>
      <c r="L861" s="111"/>
      <c r="M861" s="111"/>
      <c r="N861" s="112"/>
      <c r="U861" s="112"/>
    </row>
    <row r="862" spans="1:21" ht="17.25" customHeight="1">
      <c r="A862" s="112"/>
      <c r="B862" s="111"/>
      <c r="C862" s="111"/>
      <c r="D862" s="111"/>
      <c r="E862" s="111"/>
      <c r="F862" s="111"/>
      <c r="G862" s="112"/>
      <c r="H862" s="111"/>
      <c r="I862" s="111"/>
      <c r="J862" s="111"/>
      <c r="K862" s="111"/>
      <c r="L862" s="111"/>
      <c r="M862" s="111"/>
      <c r="N862" s="112"/>
      <c r="U862" s="112"/>
    </row>
    <row r="863" spans="1:21" ht="17.25" customHeight="1">
      <c r="A863" s="112"/>
      <c r="B863" s="111"/>
      <c r="C863" s="111"/>
      <c r="D863" s="111"/>
      <c r="E863" s="111"/>
      <c r="F863" s="111"/>
      <c r="G863" s="112"/>
      <c r="H863" s="111"/>
      <c r="I863" s="111"/>
      <c r="J863" s="111"/>
      <c r="K863" s="111"/>
      <c r="L863" s="111"/>
      <c r="M863" s="111"/>
      <c r="N863" s="112"/>
      <c r="U863" s="112"/>
    </row>
    <row r="864" spans="1:21" ht="17.25" customHeight="1">
      <c r="A864" s="112"/>
      <c r="B864" s="111"/>
      <c r="C864" s="111"/>
      <c r="D864" s="111"/>
      <c r="E864" s="111"/>
      <c r="F864" s="111"/>
      <c r="G864" s="112"/>
      <c r="H864" s="111"/>
      <c r="I864" s="111"/>
      <c r="J864" s="111"/>
      <c r="K864" s="111"/>
      <c r="L864" s="111"/>
      <c r="M864" s="111"/>
      <c r="N864" s="112"/>
      <c r="U864" s="112"/>
    </row>
    <row r="865" spans="1:21" ht="17.25" customHeight="1">
      <c r="A865" s="112"/>
      <c r="B865" s="111"/>
      <c r="C865" s="111"/>
      <c r="D865" s="111"/>
      <c r="E865" s="111"/>
      <c r="F865" s="111"/>
      <c r="G865" s="112"/>
      <c r="H865" s="111"/>
      <c r="I865" s="111"/>
      <c r="J865" s="111"/>
      <c r="K865" s="111"/>
      <c r="L865" s="111"/>
      <c r="M865" s="111"/>
      <c r="N865" s="112"/>
      <c r="U865" s="112"/>
    </row>
    <row r="866" spans="1:21" ht="17.25" customHeight="1">
      <c r="A866" s="112"/>
      <c r="B866" s="111"/>
      <c r="C866" s="111"/>
      <c r="D866" s="111"/>
      <c r="E866" s="111"/>
      <c r="F866" s="111"/>
      <c r="G866" s="112"/>
      <c r="H866" s="111"/>
      <c r="I866" s="111"/>
      <c r="J866" s="111"/>
      <c r="K866" s="111"/>
      <c r="L866" s="111"/>
      <c r="M866" s="111"/>
      <c r="N866" s="112"/>
      <c r="U866" s="112"/>
    </row>
    <row r="867" spans="1:21" ht="17.25" customHeight="1">
      <c r="A867" s="112"/>
      <c r="B867" s="111"/>
      <c r="C867" s="111"/>
      <c r="D867" s="111"/>
      <c r="E867" s="111"/>
      <c r="F867" s="111"/>
      <c r="G867" s="112"/>
      <c r="H867" s="111"/>
      <c r="I867" s="111"/>
      <c r="J867" s="111"/>
      <c r="K867" s="111"/>
      <c r="L867" s="111"/>
      <c r="M867" s="111"/>
      <c r="N867" s="112"/>
      <c r="U867" s="112"/>
    </row>
    <row r="868" spans="1:21" ht="17.25" customHeight="1">
      <c r="A868" s="112"/>
      <c r="B868" s="111"/>
      <c r="C868" s="111"/>
      <c r="D868" s="111"/>
      <c r="E868" s="111"/>
      <c r="F868" s="111"/>
      <c r="G868" s="112"/>
      <c r="H868" s="111"/>
      <c r="I868" s="111"/>
      <c r="J868" s="111"/>
      <c r="K868" s="111"/>
      <c r="L868" s="111"/>
      <c r="M868" s="111"/>
      <c r="N868" s="112"/>
      <c r="U868" s="112"/>
    </row>
    <row r="869" spans="1:21" ht="17.25" customHeight="1">
      <c r="A869" s="112"/>
      <c r="B869" s="111"/>
      <c r="C869" s="111"/>
      <c r="D869" s="111"/>
      <c r="E869" s="111"/>
      <c r="F869" s="111"/>
      <c r="G869" s="112"/>
      <c r="H869" s="111"/>
      <c r="I869" s="111"/>
      <c r="J869" s="111"/>
      <c r="K869" s="111"/>
      <c r="L869" s="111"/>
      <c r="M869" s="111"/>
      <c r="N869" s="112"/>
      <c r="U869" s="112"/>
    </row>
    <row r="870" spans="1:21" ht="17.25" customHeight="1">
      <c r="A870" s="112"/>
      <c r="B870" s="111"/>
      <c r="C870" s="111"/>
      <c r="D870" s="111"/>
      <c r="E870" s="111"/>
      <c r="F870" s="111"/>
      <c r="G870" s="112"/>
      <c r="H870" s="111"/>
      <c r="I870" s="111"/>
      <c r="J870" s="111"/>
      <c r="K870" s="111"/>
      <c r="L870" s="111"/>
      <c r="M870" s="111"/>
      <c r="N870" s="112"/>
      <c r="U870" s="112"/>
    </row>
    <row r="871" spans="1:21" ht="17.25" customHeight="1">
      <c r="A871" s="112"/>
      <c r="B871" s="111"/>
      <c r="C871" s="111"/>
      <c r="D871" s="111"/>
      <c r="E871" s="111"/>
      <c r="F871" s="111"/>
      <c r="G871" s="112"/>
      <c r="H871" s="111"/>
      <c r="I871" s="111"/>
      <c r="J871" s="111"/>
      <c r="K871" s="111"/>
      <c r="L871" s="111"/>
      <c r="M871" s="111"/>
      <c r="N871" s="112"/>
      <c r="U871" s="112"/>
    </row>
    <row r="872" spans="1:21" ht="17.25" customHeight="1">
      <c r="A872" s="112"/>
      <c r="B872" s="111"/>
      <c r="C872" s="111"/>
      <c r="D872" s="111"/>
      <c r="E872" s="111"/>
      <c r="F872" s="111"/>
      <c r="G872" s="112"/>
      <c r="H872" s="111"/>
      <c r="I872" s="111"/>
      <c r="J872" s="111"/>
      <c r="K872" s="111"/>
      <c r="L872" s="111"/>
      <c r="M872" s="111"/>
      <c r="N872" s="112"/>
      <c r="U872" s="112"/>
    </row>
    <row r="873" spans="1:21" ht="17.25" customHeight="1">
      <c r="A873" s="112"/>
      <c r="B873" s="111"/>
      <c r="C873" s="111"/>
      <c r="D873" s="111"/>
      <c r="E873" s="111"/>
      <c r="F873" s="111"/>
      <c r="G873" s="112"/>
      <c r="H873" s="111"/>
      <c r="I873" s="111"/>
      <c r="J873" s="111"/>
      <c r="K873" s="111"/>
      <c r="L873" s="111"/>
      <c r="M873" s="111"/>
      <c r="N873" s="112"/>
      <c r="U873" s="112"/>
    </row>
    <row r="874" spans="1:21" ht="17.25" customHeight="1">
      <c r="A874" s="112"/>
      <c r="B874" s="111"/>
      <c r="C874" s="111"/>
      <c r="D874" s="111"/>
      <c r="E874" s="111"/>
      <c r="F874" s="111"/>
      <c r="G874" s="112"/>
      <c r="H874" s="111"/>
      <c r="I874" s="111"/>
      <c r="J874" s="111"/>
      <c r="K874" s="111"/>
      <c r="L874" s="111"/>
      <c r="M874" s="111"/>
      <c r="N874" s="112"/>
      <c r="U874" s="112"/>
    </row>
    <row r="875" spans="1:21" ht="17.25" customHeight="1">
      <c r="A875" s="112"/>
      <c r="B875" s="111"/>
      <c r="C875" s="111"/>
      <c r="D875" s="111"/>
      <c r="E875" s="111"/>
      <c r="F875" s="111"/>
      <c r="G875" s="112"/>
      <c r="H875" s="111"/>
      <c r="I875" s="111"/>
      <c r="J875" s="111"/>
      <c r="K875" s="111"/>
      <c r="L875" s="111"/>
      <c r="M875" s="111"/>
      <c r="N875" s="112"/>
      <c r="U875" s="112"/>
    </row>
    <row r="876" spans="1:21" ht="17.25" customHeight="1">
      <c r="A876" s="112"/>
      <c r="B876" s="111"/>
      <c r="C876" s="111"/>
      <c r="D876" s="111"/>
      <c r="E876" s="111"/>
      <c r="F876" s="111"/>
      <c r="G876" s="112"/>
      <c r="H876" s="111"/>
      <c r="I876" s="111"/>
      <c r="J876" s="111"/>
      <c r="K876" s="111"/>
      <c r="L876" s="111"/>
      <c r="M876" s="111"/>
      <c r="N876" s="112"/>
      <c r="U876" s="112"/>
    </row>
    <row r="877" spans="1:21" ht="17.25" customHeight="1">
      <c r="A877" s="112"/>
      <c r="B877" s="111"/>
      <c r="C877" s="111"/>
      <c r="D877" s="111"/>
      <c r="E877" s="111"/>
      <c r="F877" s="111"/>
      <c r="G877" s="112"/>
      <c r="H877" s="111"/>
      <c r="I877" s="111"/>
      <c r="J877" s="111"/>
      <c r="K877" s="111"/>
      <c r="L877" s="111"/>
      <c r="M877" s="111"/>
      <c r="N877" s="112"/>
      <c r="U877" s="112"/>
    </row>
    <row r="878" spans="1:21" ht="17.25" customHeight="1">
      <c r="A878" s="112"/>
      <c r="B878" s="111"/>
      <c r="C878" s="111"/>
      <c r="D878" s="111"/>
      <c r="E878" s="111"/>
      <c r="F878" s="111"/>
      <c r="G878" s="112"/>
      <c r="H878" s="111"/>
      <c r="I878" s="111"/>
      <c r="J878" s="111"/>
      <c r="K878" s="111"/>
      <c r="L878" s="111"/>
      <c r="M878" s="111"/>
      <c r="N878" s="112"/>
      <c r="U878" s="112"/>
    </row>
    <row r="879" spans="1:21" ht="17.25" customHeight="1">
      <c r="A879" s="112"/>
      <c r="B879" s="111"/>
      <c r="C879" s="111"/>
      <c r="D879" s="111"/>
      <c r="E879" s="111"/>
      <c r="F879" s="111"/>
      <c r="G879" s="112"/>
      <c r="H879" s="111"/>
      <c r="I879" s="111"/>
      <c r="J879" s="111"/>
      <c r="K879" s="111"/>
      <c r="L879" s="111"/>
      <c r="M879" s="111"/>
      <c r="N879" s="112"/>
      <c r="U879" s="112"/>
    </row>
    <row r="880" spans="1:21" ht="17.25" customHeight="1">
      <c r="A880" s="112"/>
      <c r="B880" s="111"/>
      <c r="C880" s="111"/>
      <c r="D880" s="111"/>
      <c r="E880" s="111"/>
      <c r="F880" s="111"/>
      <c r="G880" s="112"/>
      <c r="H880" s="111"/>
      <c r="I880" s="111"/>
      <c r="J880" s="111"/>
      <c r="K880" s="111"/>
      <c r="L880" s="111"/>
      <c r="M880" s="111"/>
      <c r="N880" s="112"/>
      <c r="U880" s="112"/>
    </row>
    <row r="881" spans="1:21" ht="17.25" customHeight="1">
      <c r="A881" s="112"/>
      <c r="B881" s="111"/>
      <c r="C881" s="111"/>
      <c r="D881" s="111"/>
      <c r="E881" s="111"/>
      <c r="F881" s="111"/>
      <c r="G881" s="112"/>
      <c r="H881" s="111"/>
      <c r="I881" s="111"/>
      <c r="J881" s="111"/>
      <c r="K881" s="111"/>
      <c r="L881" s="111"/>
      <c r="M881" s="111"/>
      <c r="N881" s="112"/>
      <c r="U881" s="112"/>
    </row>
    <row r="882" spans="1:21" ht="17.25" customHeight="1">
      <c r="A882" s="112"/>
      <c r="B882" s="111"/>
      <c r="C882" s="111"/>
      <c r="D882" s="111"/>
      <c r="E882" s="111"/>
      <c r="F882" s="111"/>
      <c r="G882" s="112"/>
      <c r="H882" s="111"/>
      <c r="I882" s="111"/>
      <c r="J882" s="111"/>
      <c r="K882" s="111"/>
      <c r="L882" s="111"/>
      <c r="M882" s="111"/>
      <c r="N882" s="112"/>
      <c r="U882" s="112"/>
    </row>
    <row r="883" spans="1:21" ht="17.25" customHeight="1">
      <c r="A883" s="112"/>
      <c r="B883" s="111"/>
      <c r="C883" s="111"/>
      <c r="D883" s="111"/>
      <c r="E883" s="111"/>
      <c r="F883" s="111"/>
      <c r="G883" s="112"/>
      <c r="H883" s="111"/>
      <c r="I883" s="111"/>
      <c r="J883" s="111"/>
      <c r="K883" s="111"/>
      <c r="L883" s="111"/>
      <c r="M883" s="111"/>
      <c r="N883" s="112"/>
      <c r="U883" s="112"/>
    </row>
    <row r="884" spans="1:21" ht="17.25" customHeight="1">
      <c r="A884" s="112"/>
      <c r="B884" s="111"/>
      <c r="C884" s="111"/>
      <c r="D884" s="111"/>
      <c r="E884" s="111"/>
      <c r="F884" s="111"/>
      <c r="G884" s="112"/>
      <c r="H884" s="111"/>
      <c r="I884" s="111"/>
      <c r="J884" s="111"/>
      <c r="K884" s="111"/>
      <c r="L884" s="111"/>
      <c r="M884" s="111"/>
      <c r="N884" s="112"/>
      <c r="U884" s="112"/>
    </row>
    <row r="885" spans="1:21" ht="17.25" customHeight="1">
      <c r="A885" s="112"/>
      <c r="B885" s="111"/>
      <c r="C885" s="111"/>
      <c r="D885" s="111"/>
      <c r="E885" s="111"/>
      <c r="F885" s="111"/>
      <c r="G885" s="112"/>
      <c r="H885" s="111"/>
      <c r="I885" s="111"/>
      <c r="J885" s="111"/>
      <c r="K885" s="111"/>
      <c r="L885" s="111"/>
      <c r="M885" s="111"/>
      <c r="N885" s="112"/>
      <c r="U885" s="112"/>
    </row>
    <row r="886" spans="1:21" ht="17.25" customHeight="1">
      <c r="A886" s="112"/>
      <c r="B886" s="111"/>
      <c r="C886" s="111"/>
      <c r="D886" s="111"/>
      <c r="E886" s="111"/>
      <c r="F886" s="111"/>
      <c r="G886" s="112"/>
      <c r="H886" s="111"/>
      <c r="I886" s="111"/>
      <c r="J886" s="111"/>
      <c r="K886" s="111"/>
      <c r="L886" s="111"/>
      <c r="M886" s="111"/>
      <c r="N886" s="112"/>
      <c r="U886" s="112"/>
    </row>
    <row r="887" spans="1:21" ht="17.25" customHeight="1">
      <c r="A887" s="112"/>
      <c r="B887" s="111"/>
      <c r="C887" s="111"/>
      <c r="D887" s="111"/>
      <c r="E887" s="111"/>
      <c r="F887" s="111"/>
      <c r="G887" s="112"/>
      <c r="H887" s="111"/>
      <c r="I887" s="111"/>
      <c r="J887" s="111"/>
      <c r="K887" s="111"/>
      <c r="L887" s="111"/>
      <c r="M887" s="111"/>
      <c r="N887" s="112"/>
      <c r="U887" s="112"/>
    </row>
    <row r="888" spans="1:21" ht="17.25" customHeight="1">
      <c r="A888" s="112"/>
      <c r="B888" s="111"/>
      <c r="C888" s="111"/>
      <c r="D888" s="111"/>
      <c r="E888" s="111"/>
      <c r="F888" s="111"/>
      <c r="G888" s="112"/>
      <c r="H888" s="111"/>
      <c r="I888" s="111"/>
      <c r="J888" s="111"/>
      <c r="K888" s="111"/>
      <c r="L888" s="111"/>
      <c r="M888" s="111"/>
      <c r="N888" s="112"/>
      <c r="U888" s="112"/>
    </row>
    <row r="889" spans="1:21" ht="17.25" customHeight="1">
      <c r="A889" s="112"/>
      <c r="B889" s="111"/>
      <c r="C889" s="111"/>
      <c r="D889" s="111"/>
      <c r="E889" s="111"/>
      <c r="F889" s="111"/>
      <c r="G889" s="112"/>
      <c r="H889" s="111"/>
      <c r="I889" s="111"/>
      <c r="J889" s="111"/>
      <c r="K889" s="111"/>
      <c r="L889" s="111"/>
      <c r="M889" s="111"/>
      <c r="N889" s="112"/>
      <c r="U889" s="112"/>
    </row>
    <row r="890" spans="1:21" ht="17.25" customHeight="1">
      <c r="A890" s="112"/>
      <c r="B890" s="111"/>
      <c r="C890" s="111"/>
      <c r="D890" s="111"/>
      <c r="E890" s="111"/>
      <c r="F890" s="111"/>
      <c r="G890" s="112"/>
      <c r="H890" s="111"/>
      <c r="I890" s="111"/>
      <c r="J890" s="111"/>
      <c r="K890" s="111"/>
      <c r="L890" s="111"/>
      <c r="M890" s="111"/>
      <c r="N890" s="112"/>
      <c r="U890" s="112"/>
    </row>
    <row r="891" spans="1:21" ht="17.25" customHeight="1">
      <c r="A891" s="112"/>
      <c r="B891" s="111"/>
      <c r="C891" s="111"/>
      <c r="D891" s="111"/>
      <c r="E891" s="111"/>
      <c r="F891" s="111"/>
      <c r="G891" s="112"/>
      <c r="H891" s="111"/>
      <c r="I891" s="111"/>
      <c r="J891" s="111"/>
      <c r="K891" s="111"/>
      <c r="L891" s="111"/>
      <c r="M891" s="111"/>
      <c r="N891" s="112"/>
      <c r="U891" s="112"/>
    </row>
    <row r="892" spans="1:21" ht="17.25" customHeight="1">
      <c r="A892" s="112"/>
      <c r="B892" s="111"/>
      <c r="C892" s="111"/>
      <c r="D892" s="111"/>
      <c r="E892" s="111"/>
      <c r="F892" s="111"/>
      <c r="G892" s="112"/>
      <c r="H892" s="111"/>
      <c r="I892" s="111"/>
      <c r="J892" s="111"/>
      <c r="K892" s="111"/>
      <c r="L892" s="111"/>
      <c r="M892" s="111"/>
      <c r="N892" s="112"/>
      <c r="U892" s="112"/>
    </row>
    <row r="893" spans="1:21" ht="17.25" customHeight="1">
      <c r="A893" s="112"/>
      <c r="B893" s="111"/>
      <c r="C893" s="111"/>
      <c r="D893" s="111"/>
      <c r="E893" s="111"/>
      <c r="F893" s="111"/>
      <c r="G893" s="112"/>
      <c r="H893" s="111"/>
      <c r="I893" s="111"/>
      <c r="J893" s="111"/>
      <c r="K893" s="111"/>
      <c r="L893" s="111"/>
      <c r="M893" s="111"/>
      <c r="N893" s="112"/>
      <c r="U893" s="112"/>
    </row>
    <row r="894" spans="1:21" ht="17.25" customHeight="1">
      <c r="A894" s="112"/>
      <c r="B894" s="111"/>
      <c r="C894" s="111"/>
      <c r="D894" s="111"/>
      <c r="E894" s="111"/>
      <c r="F894" s="111"/>
      <c r="G894" s="112"/>
      <c r="H894" s="111"/>
      <c r="I894" s="111"/>
      <c r="J894" s="111"/>
      <c r="K894" s="111"/>
      <c r="L894" s="111"/>
      <c r="M894" s="111"/>
      <c r="N894" s="112"/>
      <c r="U894" s="112"/>
    </row>
    <row r="895" spans="1:21" ht="17.25" customHeight="1">
      <c r="A895" s="112"/>
      <c r="B895" s="111"/>
      <c r="C895" s="111"/>
      <c r="D895" s="111"/>
      <c r="E895" s="111"/>
      <c r="F895" s="111"/>
      <c r="G895" s="112"/>
      <c r="H895" s="111"/>
      <c r="I895" s="111"/>
      <c r="J895" s="111"/>
      <c r="K895" s="111"/>
      <c r="L895" s="111"/>
      <c r="M895" s="111"/>
      <c r="N895" s="112"/>
      <c r="U895" s="112"/>
    </row>
    <row r="896" spans="1:21" ht="17.25" customHeight="1">
      <c r="A896" s="112"/>
      <c r="B896" s="111"/>
      <c r="C896" s="111"/>
      <c r="D896" s="111"/>
      <c r="E896" s="111"/>
      <c r="F896" s="111"/>
      <c r="G896" s="112"/>
      <c r="H896" s="111"/>
      <c r="I896" s="111"/>
      <c r="J896" s="111"/>
      <c r="K896" s="111"/>
      <c r="L896" s="111"/>
      <c r="M896" s="111"/>
      <c r="N896" s="112"/>
      <c r="U896" s="112"/>
    </row>
    <row r="897" spans="1:21" ht="17.25" customHeight="1">
      <c r="A897" s="112"/>
      <c r="B897" s="111"/>
      <c r="C897" s="111"/>
      <c r="D897" s="111"/>
      <c r="E897" s="111"/>
      <c r="F897" s="111"/>
      <c r="G897" s="112"/>
      <c r="H897" s="111"/>
      <c r="I897" s="111"/>
      <c r="J897" s="111"/>
      <c r="K897" s="111"/>
      <c r="L897" s="111"/>
      <c r="M897" s="111"/>
      <c r="N897" s="112"/>
      <c r="U897" s="112"/>
    </row>
    <row r="898" spans="1:21" ht="17.25" customHeight="1">
      <c r="A898" s="112"/>
      <c r="B898" s="111"/>
      <c r="C898" s="111"/>
      <c r="D898" s="111"/>
      <c r="E898" s="111"/>
      <c r="F898" s="111"/>
      <c r="G898" s="112"/>
      <c r="H898" s="111"/>
      <c r="I898" s="111"/>
      <c r="J898" s="111"/>
      <c r="K898" s="111"/>
      <c r="L898" s="111"/>
      <c r="M898" s="111"/>
      <c r="N898" s="112"/>
      <c r="U898" s="112"/>
    </row>
    <row r="899" spans="1:21" ht="17.25" customHeight="1">
      <c r="A899" s="112"/>
      <c r="B899" s="111"/>
      <c r="C899" s="111"/>
      <c r="D899" s="111"/>
      <c r="E899" s="111"/>
      <c r="F899" s="111"/>
      <c r="G899" s="112"/>
      <c r="H899" s="111"/>
      <c r="I899" s="111"/>
      <c r="J899" s="111"/>
      <c r="K899" s="111"/>
      <c r="L899" s="111"/>
      <c r="M899" s="111"/>
      <c r="N899" s="112"/>
      <c r="U899" s="112"/>
    </row>
    <row r="900" spans="1:21" ht="17.25" customHeight="1">
      <c r="A900" s="112"/>
      <c r="B900" s="111"/>
      <c r="C900" s="111"/>
      <c r="D900" s="111"/>
      <c r="E900" s="111"/>
      <c r="F900" s="111"/>
      <c r="G900" s="112"/>
      <c r="H900" s="111"/>
      <c r="I900" s="111"/>
      <c r="J900" s="111"/>
      <c r="K900" s="111"/>
      <c r="L900" s="111"/>
      <c r="M900" s="111"/>
      <c r="N900" s="112"/>
      <c r="U900" s="112"/>
    </row>
    <row r="901" spans="1:21" ht="17.25" customHeight="1">
      <c r="A901" s="112"/>
      <c r="B901" s="111"/>
      <c r="C901" s="111"/>
      <c r="D901" s="111"/>
      <c r="E901" s="111"/>
      <c r="F901" s="111"/>
      <c r="G901" s="112"/>
      <c r="H901" s="111"/>
      <c r="I901" s="111"/>
      <c r="J901" s="111"/>
      <c r="K901" s="111"/>
      <c r="L901" s="111"/>
      <c r="M901" s="111"/>
      <c r="N901" s="112"/>
      <c r="U901" s="112"/>
    </row>
    <row r="902" spans="1:21" ht="17.25" customHeight="1">
      <c r="A902" s="112"/>
      <c r="B902" s="111"/>
      <c r="C902" s="111"/>
      <c r="D902" s="111"/>
      <c r="E902" s="111"/>
      <c r="F902" s="111"/>
      <c r="G902" s="112"/>
      <c r="H902" s="111"/>
      <c r="I902" s="111"/>
      <c r="J902" s="111"/>
      <c r="K902" s="111"/>
      <c r="L902" s="111"/>
      <c r="M902" s="111"/>
      <c r="N902" s="112"/>
      <c r="U902" s="112"/>
    </row>
    <row r="903" spans="1:21" ht="17.25" customHeight="1">
      <c r="A903" s="112"/>
      <c r="B903" s="111"/>
      <c r="C903" s="111"/>
      <c r="D903" s="111"/>
      <c r="E903" s="111"/>
      <c r="F903" s="111"/>
      <c r="G903" s="112"/>
      <c r="H903" s="111"/>
      <c r="I903" s="111"/>
      <c r="J903" s="111"/>
      <c r="K903" s="111"/>
      <c r="L903" s="111"/>
      <c r="M903" s="111"/>
      <c r="N903" s="112"/>
      <c r="U903" s="112"/>
    </row>
    <row r="904" spans="1:21" ht="17.25" customHeight="1">
      <c r="A904" s="112"/>
      <c r="B904" s="111"/>
      <c r="C904" s="111"/>
      <c r="D904" s="111"/>
      <c r="E904" s="111"/>
      <c r="F904" s="111"/>
      <c r="G904" s="112"/>
      <c r="H904" s="111"/>
      <c r="I904" s="111"/>
      <c r="J904" s="111"/>
      <c r="K904" s="111"/>
      <c r="L904" s="111"/>
      <c r="M904" s="111"/>
      <c r="N904" s="112"/>
      <c r="U904" s="112"/>
    </row>
    <row r="905" spans="1:21" ht="17.25" customHeight="1">
      <c r="A905" s="112"/>
      <c r="B905" s="111"/>
      <c r="C905" s="111"/>
      <c r="D905" s="111"/>
      <c r="E905" s="111"/>
      <c r="F905" s="111"/>
      <c r="G905" s="112"/>
      <c r="H905" s="111"/>
      <c r="I905" s="111"/>
      <c r="J905" s="111"/>
      <c r="K905" s="111"/>
      <c r="L905" s="111"/>
      <c r="M905" s="111"/>
      <c r="N905" s="112"/>
      <c r="U905" s="112"/>
    </row>
    <row r="906" spans="1:21" ht="17.25" customHeight="1">
      <c r="A906" s="112"/>
      <c r="B906" s="111"/>
      <c r="C906" s="111"/>
      <c r="D906" s="111"/>
      <c r="E906" s="111"/>
      <c r="F906" s="111"/>
      <c r="G906" s="112"/>
      <c r="H906" s="111"/>
      <c r="I906" s="111"/>
      <c r="J906" s="111"/>
      <c r="K906" s="111"/>
      <c r="L906" s="111"/>
      <c r="M906" s="111"/>
      <c r="N906" s="112"/>
      <c r="U906" s="112"/>
    </row>
    <row r="907" spans="1:21" ht="17.25" customHeight="1">
      <c r="A907" s="112"/>
      <c r="B907" s="111"/>
      <c r="C907" s="111"/>
      <c r="D907" s="111"/>
      <c r="E907" s="111"/>
      <c r="F907" s="111"/>
      <c r="G907" s="112"/>
      <c r="H907" s="111"/>
      <c r="I907" s="111"/>
      <c r="J907" s="111"/>
      <c r="K907" s="111"/>
      <c r="L907" s="111"/>
      <c r="M907" s="111"/>
      <c r="N907" s="112"/>
      <c r="U907" s="112"/>
    </row>
    <row r="908" spans="1:21" ht="17.25" customHeight="1">
      <c r="A908" s="112"/>
      <c r="B908" s="111"/>
      <c r="C908" s="111"/>
      <c r="D908" s="111"/>
      <c r="E908" s="111"/>
      <c r="F908" s="111"/>
      <c r="G908" s="112"/>
      <c r="H908" s="111"/>
      <c r="I908" s="111"/>
      <c r="J908" s="111"/>
      <c r="K908" s="111"/>
      <c r="L908" s="111"/>
      <c r="M908" s="111"/>
      <c r="N908" s="112"/>
      <c r="U908" s="112"/>
    </row>
    <row r="909" spans="1:21" ht="17.25" customHeight="1">
      <c r="A909" s="112"/>
      <c r="B909" s="111"/>
      <c r="C909" s="111"/>
      <c r="D909" s="111"/>
      <c r="E909" s="111"/>
      <c r="F909" s="111"/>
      <c r="G909" s="112"/>
      <c r="H909" s="111"/>
      <c r="I909" s="111"/>
      <c r="J909" s="111"/>
      <c r="K909" s="111"/>
      <c r="L909" s="111"/>
      <c r="M909" s="111"/>
      <c r="N909" s="112"/>
      <c r="U909" s="112"/>
    </row>
    <row r="910" spans="1:21" ht="17.25" customHeight="1">
      <c r="A910" s="112"/>
      <c r="B910" s="111"/>
      <c r="C910" s="111"/>
      <c r="D910" s="111"/>
      <c r="E910" s="111"/>
      <c r="F910" s="111"/>
      <c r="G910" s="112"/>
      <c r="H910" s="111"/>
      <c r="I910" s="111"/>
      <c r="J910" s="111"/>
      <c r="K910" s="111"/>
      <c r="L910" s="111"/>
      <c r="M910" s="111"/>
      <c r="N910" s="112"/>
      <c r="U910" s="112"/>
    </row>
    <row r="911" spans="1:21" ht="17.25" customHeight="1">
      <c r="A911" s="112"/>
      <c r="B911" s="111"/>
      <c r="C911" s="111"/>
      <c r="D911" s="111"/>
      <c r="E911" s="111"/>
      <c r="F911" s="111"/>
      <c r="G911" s="112"/>
      <c r="H911" s="111"/>
      <c r="I911" s="111"/>
      <c r="J911" s="111"/>
      <c r="K911" s="111"/>
      <c r="L911" s="111"/>
      <c r="M911" s="111"/>
      <c r="N911" s="112"/>
      <c r="U911" s="112"/>
    </row>
    <row r="912" spans="1:21" ht="17.25" customHeight="1">
      <c r="A912" s="112"/>
      <c r="B912" s="111"/>
      <c r="C912" s="111"/>
      <c r="D912" s="111"/>
      <c r="E912" s="111"/>
      <c r="F912" s="111"/>
      <c r="G912" s="112"/>
      <c r="H912" s="111"/>
      <c r="I912" s="111"/>
      <c r="J912" s="111"/>
      <c r="K912" s="111"/>
      <c r="L912" s="111"/>
      <c r="M912" s="111"/>
      <c r="N912" s="112"/>
      <c r="U912" s="112"/>
    </row>
    <row r="913" spans="1:21" ht="17.25" customHeight="1">
      <c r="A913" s="112"/>
      <c r="B913" s="111"/>
      <c r="C913" s="111"/>
      <c r="D913" s="111"/>
      <c r="E913" s="111"/>
      <c r="F913" s="111"/>
      <c r="G913" s="112"/>
      <c r="H913" s="111"/>
      <c r="I913" s="111"/>
      <c r="J913" s="111"/>
      <c r="K913" s="111"/>
      <c r="L913" s="111"/>
      <c r="M913" s="111"/>
      <c r="N913" s="112"/>
      <c r="U913" s="112"/>
    </row>
    <row r="914" spans="1:21" ht="17.25" customHeight="1">
      <c r="A914" s="112"/>
      <c r="B914" s="111"/>
      <c r="C914" s="111"/>
      <c r="D914" s="111"/>
      <c r="E914" s="111"/>
      <c r="F914" s="111"/>
      <c r="G914" s="112"/>
      <c r="H914" s="111"/>
      <c r="I914" s="111"/>
      <c r="J914" s="111"/>
      <c r="K914" s="111"/>
      <c r="L914" s="111"/>
      <c r="M914" s="111"/>
      <c r="N914" s="112"/>
      <c r="U914" s="112"/>
    </row>
    <row r="915" spans="1:21" ht="17.25" customHeight="1">
      <c r="A915" s="112"/>
      <c r="B915" s="111"/>
      <c r="C915" s="111"/>
      <c r="D915" s="111"/>
      <c r="E915" s="111"/>
      <c r="F915" s="111"/>
      <c r="G915" s="112"/>
      <c r="H915" s="111"/>
      <c r="I915" s="111"/>
      <c r="J915" s="111"/>
      <c r="K915" s="111"/>
      <c r="L915" s="111"/>
      <c r="M915" s="111"/>
      <c r="N915" s="112"/>
      <c r="U915" s="112"/>
    </row>
    <row r="916" spans="1:21" ht="17.25" customHeight="1">
      <c r="A916" s="112"/>
      <c r="B916" s="111"/>
      <c r="C916" s="111"/>
      <c r="D916" s="111"/>
      <c r="E916" s="111"/>
      <c r="F916" s="111"/>
      <c r="G916" s="112"/>
      <c r="H916" s="111"/>
      <c r="I916" s="111"/>
      <c r="J916" s="111"/>
      <c r="K916" s="111"/>
      <c r="L916" s="111"/>
      <c r="M916" s="111"/>
      <c r="N916" s="112"/>
      <c r="U916" s="112"/>
    </row>
    <row r="917" spans="1:21" ht="17.25" customHeight="1">
      <c r="A917" s="112"/>
      <c r="B917" s="111"/>
      <c r="C917" s="111"/>
      <c r="D917" s="111"/>
      <c r="E917" s="111"/>
      <c r="F917" s="111"/>
      <c r="G917" s="112"/>
      <c r="H917" s="111"/>
      <c r="I917" s="111"/>
      <c r="J917" s="111"/>
      <c r="K917" s="111"/>
      <c r="L917" s="111"/>
      <c r="M917" s="111"/>
      <c r="N917" s="112"/>
      <c r="U917" s="112"/>
    </row>
    <row r="918" spans="1:21" ht="17.25" customHeight="1">
      <c r="A918" s="112"/>
      <c r="B918" s="111"/>
      <c r="C918" s="111"/>
      <c r="D918" s="111"/>
      <c r="E918" s="111"/>
      <c r="F918" s="111"/>
      <c r="G918" s="112"/>
      <c r="H918" s="111"/>
      <c r="I918" s="111"/>
      <c r="J918" s="111"/>
      <c r="K918" s="111"/>
      <c r="L918" s="111"/>
      <c r="M918" s="111"/>
      <c r="N918" s="112"/>
      <c r="U918" s="112"/>
    </row>
    <row r="919" spans="1:21" ht="17.25" customHeight="1">
      <c r="A919" s="112"/>
      <c r="B919" s="111"/>
      <c r="C919" s="111"/>
      <c r="D919" s="111"/>
      <c r="E919" s="111"/>
      <c r="F919" s="111"/>
      <c r="G919" s="112"/>
      <c r="H919" s="111"/>
      <c r="I919" s="111"/>
      <c r="J919" s="111"/>
      <c r="K919" s="111"/>
      <c r="L919" s="111"/>
      <c r="M919" s="111"/>
      <c r="N919" s="112"/>
      <c r="U919" s="112"/>
    </row>
    <row r="920" spans="1:21" ht="17.25" customHeight="1">
      <c r="A920" s="112"/>
      <c r="B920" s="111"/>
      <c r="C920" s="111"/>
      <c r="D920" s="111"/>
      <c r="E920" s="111"/>
      <c r="F920" s="111"/>
      <c r="G920" s="112"/>
      <c r="H920" s="111"/>
      <c r="I920" s="111"/>
      <c r="J920" s="111"/>
      <c r="K920" s="111"/>
      <c r="L920" s="111"/>
      <c r="M920" s="111"/>
      <c r="N920" s="112"/>
      <c r="U920" s="112"/>
    </row>
    <row r="921" spans="1:21" ht="17.25" customHeight="1">
      <c r="A921" s="112"/>
      <c r="B921" s="111"/>
      <c r="C921" s="111"/>
      <c r="D921" s="111"/>
      <c r="E921" s="111"/>
      <c r="F921" s="111"/>
      <c r="G921" s="112"/>
      <c r="H921" s="111"/>
      <c r="I921" s="111"/>
      <c r="J921" s="111"/>
      <c r="K921" s="111"/>
      <c r="L921" s="111"/>
      <c r="M921" s="111"/>
      <c r="N921" s="112"/>
      <c r="U921" s="112"/>
    </row>
    <row r="922" spans="1:21" ht="17.25" customHeight="1">
      <c r="A922" s="112"/>
      <c r="B922" s="111"/>
      <c r="C922" s="111"/>
      <c r="D922" s="111"/>
      <c r="E922" s="111"/>
      <c r="F922" s="111"/>
      <c r="G922" s="112"/>
      <c r="H922" s="111"/>
      <c r="I922" s="111"/>
      <c r="J922" s="111"/>
      <c r="K922" s="111"/>
      <c r="L922" s="111"/>
      <c r="M922" s="111"/>
      <c r="N922" s="112"/>
      <c r="U922" s="112"/>
    </row>
    <row r="923" spans="1:21" ht="17.25" customHeight="1">
      <c r="A923" s="112"/>
      <c r="B923" s="111"/>
      <c r="C923" s="111"/>
      <c r="D923" s="111"/>
      <c r="E923" s="111"/>
      <c r="F923" s="111"/>
      <c r="G923" s="112"/>
      <c r="H923" s="111"/>
      <c r="I923" s="111"/>
      <c r="J923" s="111"/>
      <c r="K923" s="111"/>
      <c r="L923" s="111"/>
      <c r="M923" s="111"/>
      <c r="N923" s="112"/>
      <c r="U923" s="112"/>
    </row>
    <row r="924" spans="1:21" ht="17.25" customHeight="1">
      <c r="A924" s="112"/>
      <c r="B924" s="111"/>
      <c r="C924" s="111"/>
      <c r="D924" s="111"/>
      <c r="E924" s="111"/>
      <c r="F924" s="111"/>
      <c r="G924" s="112"/>
      <c r="H924" s="111"/>
      <c r="I924" s="111"/>
      <c r="J924" s="111"/>
      <c r="K924" s="111"/>
      <c r="L924" s="111"/>
      <c r="M924" s="111"/>
      <c r="N924" s="112"/>
      <c r="U924" s="112"/>
    </row>
    <row r="925" spans="1:21" ht="17.25" customHeight="1">
      <c r="A925" s="112"/>
      <c r="B925" s="111"/>
      <c r="C925" s="111"/>
      <c r="D925" s="111"/>
      <c r="E925" s="111"/>
      <c r="F925" s="111"/>
      <c r="G925" s="112"/>
      <c r="H925" s="111"/>
      <c r="I925" s="111"/>
      <c r="J925" s="111"/>
      <c r="K925" s="111"/>
      <c r="L925" s="111"/>
      <c r="M925" s="111"/>
      <c r="N925" s="112"/>
      <c r="U925" s="112"/>
    </row>
    <row r="926" spans="1:21" ht="17.25" customHeight="1">
      <c r="A926" s="112"/>
      <c r="B926" s="111"/>
      <c r="C926" s="111"/>
      <c r="D926" s="111"/>
      <c r="E926" s="111"/>
      <c r="F926" s="111"/>
      <c r="G926" s="112"/>
      <c r="H926" s="111"/>
      <c r="I926" s="111"/>
      <c r="J926" s="111"/>
      <c r="K926" s="111"/>
      <c r="L926" s="111"/>
      <c r="M926" s="111"/>
      <c r="N926" s="112"/>
      <c r="U926" s="112"/>
    </row>
    <row r="927" spans="1:21" ht="17.25" customHeight="1">
      <c r="A927" s="112"/>
      <c r="B927" s="111"/>
      <c r="C927" s="111"/>
      <c r="D927" s="111"/>
      <c r="E927" s="111"/>
      <c r="F927" s="111"/>
      <c r="G927" s="112"/>
      <c r="H927" s="111"/>
      <c r="I927" s="111"/>
      <c r="J927" s="111"/>
      <c r="K927" s="111"/>
      <c r="L927" s="111"/>
      <c r="M927" s="111"/>
      <c r="N927" s="112"/>
      <c r="U927" s="112"/>
    </row>
    <row r="928" spans="1:21" ht="17.25" customHeight="1">
      <c r="A928" s="112"/>
      <c r="B928" s="111"/>
      <c r="C928" s="111"/>
      <c r="D928" s="111"/>
      <c r="E928" s="111"/>
      <c r="F928" s="111"/>
      <c r="G928" s="112"/>
      <c r="H928" s="111"/>
      <c r="I928" s="111"/>
      <c r="J928" s="111"/>
      <c r="K928" s="111"/>
      <c r="L928" s="111"/>
      <c r="M928" s="111"/>
      <c r="N928" s="112"/>
      <c r="U928" s="112"/>
    </row>
    <row r="929" spans="1:21" ht="17.25" customHeight="1">
      <c r="A929" s="112"/>
      <c r="B929" s="111"/>
      <c r="C929" s="111"/>
      <c r="D929" s="111"/>
      <c r="E929" s="111"/>
      <c r="F929" s="111"/>
      <c r="G929" s="112"/>
      <c r="H929" s="111"/>
      <c r="I929" s="111"/>
      <c r="J929" s="111"/>
      <c r="K929" s="111"/>
      <c r="L929" s="111"/>
      <c r="M929" s="111"/>
      <c r="N929" s="112"/>
      <c r="U929" s="112"/>
    </row>
    <row r="930" spans="1:21" ht="17.25" customHeight="1">
      <c r="A930" s="112"/>
      <c r="B930" s="111"/>
      <c r="C930" s="111"/>
      <c r="D930" s="111"/>
      <c r="E930" s="111"/>
      <c r="F930" s="111"/>
      <c r="G930" s="112"/>
      <c r="H930" s="111"/>
      <c r="I930" s="111"/>
      <c r="J930" s="111"/>
      <c r="K930" s="111"/>
      <c r="L930" s="111"/>
      <c r="M930" s="111"/>
      <c r="N930" s="112"/>
      <c r="U930" s="112"/>
    </row>
    <row r="931" spans="1:21" ht="17.25" customHeight="1">
      <c r="A931" s="112"/>
      <c r="B931" s="111"/>
      <c r="C931" s="111"/>
      <c r="D931" s="111"/>
      <c r="E931" s="111"/>
      <c r="F931" s="111"/>
      <c r="G931" s="112"/>
      <c r="H931" s="111"/>
      <c r="I931" s="111"/>
      <c r="J931" s="111"/>
      <c r="K931" s="111"/>
      <c r="L931" s="111"/>
      <c r="M931" s="111"/>
      <c r="N931" s="112"/>
      <c r="U931" s="112"/>
    </row>
    <row r="932" spans="1:21" ht="17.25" customHeight="1">
      <c r="A932" s="112"/>
      <c r="B932" s="111"/>
      <c r="C932" s="111"/>
      <c r="D932" s="111"/>
      <c r="E932" s="111"/>
      <c r="F932" s="111"/>
      <c r="G932" s="112"/>
      <c r="H932" s="111"/>
      <c r="I932" s="111"/>
      <c r="J932" s="111"/>
      <c r="K932" s="111"/>
      <c r="L932" s="111"/>
      <c r="M932" s="111"/>
      <c r="N932" s="112"/>
      <c r="U932" s="112"/>
    </row>
    <row r="933" spans="1:21" ht="17.25" customHeight="1">
      <c r="A933" s="112"/>
      <c r="B933" s="111"/>
      <c r="C933" s="111"/>
      <c r="D933" s="111"/>
      <c r="E933" s="111"/>
      <c r="F933" s="111"/>
      <c r="G933" s="112"/>
      <c r="H933" s="111"/>
      <c r="I933" s="111"/>
      <c r="J933" s="111"/>
      <c r="K933" s="111"/>
      <c r="L933" s="111"/>
      <c r="M933" s="111"/>
      <c r="N933" s="112"/>
      <c r="U933" s="112"/>
    </row>
    <row r="934" spans="1:21" ht="17.25" customHeight="1">
      <c r="A934" s="112"/>
      <c r="B934" s="111"/>
      <c r="C934" s="111"/>
      <c r="D934" s="111"/>
      <c r="E934" s="111"/>
      <c r="F934" s="111"/>
      <c r="G934" s="112"/>
      <c r="H934" s="111"/>
      <c r="I934" s="111"/>
      <c r="J934" s="111"/>
      <c r="K934" s="111"/>
      <c r="L934" s="111"/>
      <c r="M934" s="111"/>
      <c r="N934" s="112"/>
      <c r="U934" s="112"/>
    </row>
    <row r="935" spans="1:21" ht="17.25" customHeight="1">
      <c r="A935" s="112"/>
      <c r="B935" s="111"/>
      <c r="C935" s="111"/>
      <c r="D935" s="111"/>
      <c r="E935" s="111"/>
      <c r="F935" s="111"/>
      <c r="G935" s="112"/>
      <c r="H935" s="111"/>
      <c r="I935" s="111"/>
      <c r="J935" s="111"/>
      <c r="K935" s="111"/>
      <c r="L935" s="111"/>
      <c r="M935" s="111"/>
      <c r="N935" s="112"/>
      <c r="U935" s="112"/>
    </row>
    <row r="936" spans="1:21" ht="17.25" customHeight="1">
      <c r="A936" s="112"/>
      <c r="B936" s="111"/>
      <c r="C936" s="111"/>
      <c r="D936" s="111"/>
      <c r="E936" s="111"/>
      <c r="F936" s="111"/>
      <c r="G936" s="112"/>
      <c r="H936" s="111"/>
      <c r="I936" s="111"/>
      <c r="J936" s="111"/>
      <c r="K936" s="111"/>
      <c r="L936" s="111"/>
      <c r="M936" s="111"/>
      <c r="N936" s="112"/>
      <c r="U936" s="112"/>
    </row>
    <row r="937" spans="1:21" ht="17.25" customHeight="1">
      <c r="A937" s="112"/>
      <c r="B937" s="111"/>
      <c r="C937" s="111"/>
      <c r="D937" s="111"/>
      <c r="E937" s="111"/>
      <c r="F937" s="111"/>
      <c r="G937" s="112"/>
      <c r="H937" s="111"/>
      <c r="I937" s="111"/>
      <c r="J937" s="111"/>
      <c r="K937" s="111"/>
      <c r="L937" s="111"/>
      <c r="M937" s="111"/>
      <c r="N937" s="112"/>
      <c r="U937" s="112"/>
    </row>
    <row r="938" spans="1:21" ht="17.25" customHeight="1">
      <c r="A938" s="112"/>
      <c r="B938" s="111"/>
      <c r="C938" s="111"/>
      <c r="D938" s="111"/>
      <c r="E938" s="111"/>
      <c r="F938" s="111"/>
      <c r="G938" s="112"/>
      <c r="H938" s="111"/>
      <c r="I938" s="111"/>
      <c r="J938" s="111"/>
      <c r="K938" s="111"/>
      <c r="L938" s="111"/>
      <c r="M938" s="111"/>
      <c r="N938" s="112"/>
      <c r="U938" s="112"/>
    </row>
    <row r="939" spans="1:21" ht="17.25" customHeight="1">
      <c r="A939" s="112"/>
      <c r="B939" s="111"/>
      <c r="C939" s="111"/>
      <c r="D939" s="111"/>
      <c r="E939" s="111"/>
      <c r="F939" s="111"/>
      <c r="G939" s="112"/>
      <c r="H939" s="111"/>
      <c r="I939" s="111"/>
      <c r="J939" s="111"/>
      <c r="K939" s="111"/>
      <c r="L939" s="111"/>
      <c r="M939" s="111"/>
      <c r="N939" s="112"/>
      <c r="U939" s="112"/>
    </row>
    <row r="940" spans="1:21" ht="17.25" customHeight="1">
      <c r="A940" s="112"/>
      <c r="B940" s="111"/>
      <c r="C940" s="111"/>
      <c r="D940" s="111"/>
      <c r="E940" s="111"/>
      <c r="F940" s="111"/>
      <c r="G940" s="112"/>
      <c r="H940" s="111"/>
      <c r="I940" s="111"/>
      <c r="J940" s="111"/>
      <c r="K940" s="111"/>
      <c r="L940" s="111"/>
      <c r="M940" s="111"/>
      <c r="N940" s="112"/>
      <c r="U940" s="112"/>
    </row>
    <row r="941" spans="1:21" ht="17.25" customHeight="1">
      <c r="A941" s="112"/>
      <c r="B941" s="111"/>
      <c r="C941" s="111"/>
      <c r="D941" s="111"/>
      <c r="E941" s="111"/>
      <c r="F941" s="111"/>
      <c r="G941" s="112"/>
      <c r="H941" s="111"/>
      <c r="I941" s="111"/>
      <c r="J941" s="111"/>
      <c r="K941" s="111"/>
      <c r="L941" s="111"/>
      <c r="M941" s="111"/>
      <c r="N941" s="112"/>
      <c r="U941" s="112"/>
    </row>
    <row r="942" spans="1:21" ht="17.25" customHeight="1">
      <c r="A942" s="112"/>
      <c r="B942" s="111"/>
      <c r="C942" s="111"/>
      <c r="D942" s="111"/>
      <c r="E942" s="111"/>
      <c r="F942" s="111"/>
      <c r="G942" s="112"/>
      <c r="H942" s="111"/>
      <c r="I942" s="111"/>
      <c r="J942" s="111"/>
      <c r="K942" s="111"/>
      <c r="L942" s="111"/>
      <c r="M942" s="111"/>
      <c r="N942" s="112"/>
      <c r="U942" s="112"/>
    </row>
    <row r="943" spans="1:21" ht="17.25" customHeight="1">
      <c r="A943" s="112"/>
      <c r="B943" s="111"/>
      <c r="C943" s="111"/>
      <c r="D943" s="111"/>
      <c r="E943" s="111"/>
      <c r="F943" s="111"/>
      <c r="G943" s="112"/>
      <c r="H943" s="111"/>
      <c r="I943" s="111"/>
      <c r="J943" s="111"/>
      <c r="K943" s="111"/>
      <c r="L943" s="111"/>
      <c r="M943" s="111"/>
      <c r="N943" s="112"/>
      <c r="U943" s="112"/>
    </row>
    <row r="944" spans="1:21" ht="17.25" customHeight="1">
      <c r="A944" s="112"/>
      <c r="B944" s="111"/>
      <c r="C944" s="111"/>
      <c r="D944" s="111"/>
      <c r="E944" s="111"/>
      <c r="F944" s="111"/>
      <c r="G944" s="112"/>
      <c r="H944" s="111"/>
      <c r="I944" s="111"/>
      <c r="J944" s="111"/>
      <c r="K944" s="111"/>
      <c r="L944" s="111"/>
      <c r="M944" s="111"/>
      <c r="N944" s="112"/>
      <c r="U944" s="112"/>
    </row>
    <row r="945" spans="1:21" ht="17.25" customHeight="1">
      <c r="A945" s="112"/>
      <c r="B945" s="111"/>
      <c r="C945" s="111"/>
      <c r="D945" s="111"/>
      <c r="E945" s="111"/>
      <c r="F945" s="111"/>
      <c r="G945" s="112"/>
      <c r="H945" s="111"/>
      <c r="I945" s="111"/>
      <c r="J945" s="111"/>
      <c r="K945" s="111"/>
      <c r="L945" s="111"/>
      <c r="M945" s="111"/>
      <c r="N945" s="112"/>
      <c r="U945" s="112"/>
    </row>
    <row r="946" spans="1:21" ht="17.25" customHeight="1">
      <c r="A946" s="112"/>
      <c r="B946" s="111"/>
      <c r="C946" s="111"/>
      <c r="D946" s="111"/>
      <c r="E946" s="111"/>
      <c r="F946" s="111"/>
      <c r="G946" s="112"/>
      <c r="H946" s="111"/>
      <c r="I946" s="111"/>
      <c r="J946" s="111"/>
      <c r="K946" s="111"/>
      <c r="L946" s="111"/>
      <c r="M946" s="111"/>
      <c r="N946" s="112"/>
      <c r="U946" s="112"/>
    </row>
    <row r="947" spans="1:21" ht="17.25" customHeight="1">
      <c r="A947" s="112"/>
      <c r="B947" s="111"/>
      <c r="C947" s="111"/>
      <c r="D947" s="111"/>
      <c r="E947" s="111"/>
      <c r="F947" s="111"/>
      <c r="G947" s="112"/>
      <c r="H947" s="111"/>
      <c r="I947" s="111"/>
      <c r="J947" s="111"/>
      <c r="K947" s="111"/>
      <c r="L947" s="111"/>
      <c r="M947" s="111"/>
      <c r="N947" s="112"/>
      <c r="U947" s="112"/>
    </row>
    <row r="948" spans="1:21" ht="17.25" customHeight="1">
      <c r="A948" s="112"/>
      <c r="B948" s="111"/>
      <c r="C948" s="111"/>
      <c r="D948" s="111"/>
      <c r="E948" s="111"/>
      <c r="F948" s="111"/>
      <c r="G948" s="112"/>
      <c r="H948" s="111"/>
      <c r="I948" s="111"/>
      <c r="J948" s="111"/>
      <c r="K948" s="111"/>
      <c r="L948" s="111"/>
      <c r="M948" s="111"/>
      <c r="N948" s="112"/>
      <c r="U948" s="112"/>
    </row>
    <row r="949" spans="1:21" ht="17.25" customHeight="1">
      <c r="A949" s="112"/>
      <c r="B949" s="111"/>
      <c r="C949" s="111"/>
      <c r="D949" s="111"/>
      <c r="E949" s="111"/>
      <c r="F949" s="111"/>
      <c r="G949" s="112"/>
      <c r="H949" s="111"/>
      <c r="I949" s="111"/>
      <c r="J949" s="111"/>
      <c r="K949" s="111"/>
      <c r="L949" s="111"/>
      <c r="M949" s="111"/>
      <c r="N949" s="112"/>
      <c r="U949" s="112"/>
    </row>
    <row r="950" spans="1:21" ht="17.25" customHeight="1">
      <c r="A950" s="112"/>
      <c r="B950" s="111"/>
      <c r="C950" s="111"/>
      <c r="D950" s="111"/>
      <c r="E950" s="111"/>
      <c r="F950" s="111"/>
      <c r="G950" s="112"/>
      <c r="H950" s="111"/>
      <c r="I950" s="111"/>
      <c r="J950" s="111"/>
      <c r="K950" s="111"/>
      <c r="L950" s="111"/>
      <c r="M950" s="111"/>
      <c r="N950" s="112"/>
      <c r="U950" s="112"/>
    </row>
    <row r="951" spans="1:21" ht="17.25" customHeight="1">
      <c r="A951" s="112"/>
      <c r="B951" s="111"/>
      <c r="C951" s="111"/>
      <c r="D951" s="111"/>
      <c r="E951" s="111"/>
      <c r="F951" s="111"/>
      <c r="G951" s="112"/>
      <c r="H951" s="111"/>
      <c r="I951" s="111"/>
      <c r="J951" s="111"/>
      <c r="K951" s="111"/>
      <c r="L951" s="111"/>
      <c r="M951" s="111"/>
      <c r="N951" s="112"/>
      <c r="U951" s="112"/>
    </row>
    <row r="952" spans="1:21" ht="17.25" customHeight="1">
      <c r="A952" s="112"/>
      <c r="B952" s="111"/>
      <c r="C952" s="111"/>
      <c r="D952" s="111"/>
      <c r="E952" s="111"/>
      <c r="F952" s="111"/>
      <c r="G952" s="112"/>
      <c r="H952" s="111"/>
      <c r="I952" s="111"/>
      <c r="J952" s="111"/>
      <c r="K952" s="111"/>
      <c r="L952" s="111"/>
      <c r="M952" s="111"/>
      <c r="N952" s="112"/>
      <c r="U952" s="112"/>
    </row>
    <row r="953" spans="1:21" ht="17.25" customHeight="1">
      <c r="A953" s="112"/>
      <c r="B953" s="111"/>
      <c r="C953" s="111"/>
      <c r="D953" s="111"/>
      <c r="E953" s="111"/>
      <c r="F953" s="111"/>
      <c r="G953" s="112"/>
      <c r="H953" s="111"/>
      <c r="I953" s="111"/>
      <c r="J953" s="111"/>
      <c r="K953" s="111"/>
      <c r="L953" s="111"/>
      <c r="M953" s="111"/>
      <c r="N953" s="112"/>
      <c r="U953" s="112"/>
    </row>
    <row r="954" spans="1:21" ht="17.25" customHeight="1">
      <c r="A954" s="112"/>
      <c r="B954" s="111"/>
      <c r="C954" s="111"/>
      <c r="D954" s="111"/>
      <c r="E954" s="111"/>
      <c r="F954" s="111"/>
      <c r="G954" s="112"/>
      <c r="H954" s="111"/>
      <c r="I954" s="111"/>
      <c r="J954" s="111"/>
      <c r="K954" s="111"/>
      <c r="L954" s="111"/>
      <c r="M954" s="111"/>
      <c r="N954" s="112"/>
      <c r="U954" s="112"/>
    </row>
    <row r="955" spans="1:21" ht="17.25" customHeight="1">
      <c r="A955" s="112"/>
      <c r="B955" s="111"/>
      <c r="C955" s="111"/>
      <c r="D955" s="111"/>
      <c r="E955" s="111"/>
      <c r="F955" s="111"/>
      <c r="G955" s="112"/>
      <c r="H955" s="111"/>
      <c r="I955" s="111"/>
      <c r="J955" s="111"/>
      <c r="K955" s="111"/>
      <c r="L955" s="111"/>
      <c r="M955" s="111"/>
      <c r="N955" s="112"/>
      <c r="U955" s="112"/>
    </row>
    <row r="956" spans="1:21" ht="17.25" customHeight="1">
      <c r="A956" s="112"/>
      <c r="B956" s="111"/>
      <c r="C956" s="111"/>
      <c r="D956" s="111"/>
      <c r="E956" s="111"/>
      <c r="F956" s="111"/>
      <c r="G956" s="112"/>
      <c r="H956" s="111"/>
      <c r="I956" s="111"/>
      <c r="J956" s="111"/>
      <c r="K956" s="111"/>
      <c r="L956" s="111"/>
      <c r="M956" s="111"/>
      <c r="N956" s="112"/>
      <c r="U956" s="112"/>
    </row>
    <row r="957" spans="1:21" ht="17.25" customHeight="1">
      <c r="A957" s="112"/>
      <c r="B957" s="111"/>
      <c r="C957" s="111"/>
      <c r="D957" s="111"/>
      <c r="E957" s="111"/>
      <c r="F957" s="111"/>
      <c r="G957" s="112"/>
      <c r="H957" s="111"/>
      <c r="I957" s="111"/>
      <c r="J957" s="111"/>
      <c r="K957" s="111"/>
      <c r="L957" s="111"/>
      <c r="M957" s="111"/>
      <c r="N957" s="112"/>
      <c r="U957" s="112"/>
    </row>
    <row r="958" spans="1:21" ht="17.25" customHeight="1">
      <c r="A958" s="112"/>
      <c r="B958" s="111"/>
      <c r="C958" s="111"/>
      <c r="D958" s="111"/>
      <c r="E958" s="111"/>
      <c r="F958" s="111"/>
      <c r="G958" s="112"/>
      <c r="H958" s="111"/>
      <c r="I958" s="111"/>
      <c r="J958" s="111"/>
      <c r="K958" s="111"/>
      <c r="L958" s="111"/>
      <c r="M958" s="111"/>
      <c r="N958" s="112"/>
      <c r="U958" s="112"/>
    </row>
    <row r="959" spans="1:21" ht="17.25" customHeight="1">
      <c r="A959" s="112"/>
      <c r="B959" s="111"/>
      <c r="C959" s="111"/>
      <c r="D959" s="111"/>
      <c r="E959" s="111"/>
      <c r="F959" s="111"/>
      <c r="G959" s="112"/>
      <c r="H959" s="111"/>
      <c r="I959" s="111"/>
      <c r="J959" s="111"/>
      <c r="K959" s="111"/>
      <c r="L959" s="111"/>
      <c r="M959" s="111"/>
      <c r="N959" s="112"/>
      <c r="U959" s="112"/>
    </row>
    <row r="960" spans="1:21" ht="17.25" customHeight="1">
      <c r="A960" s="112"/>
      <c r="B960" s="111"/>
      <c r="C960" s="111"/>
      <c r="D960" s="111"/>
      <c r="E960" s="111"/>
      <c r="F960" s="111"/>
      <c r="G960" s="112"/>
      <c r="H960" s="111"/>
      <c r="I960" s="111"/>
      <c r="J960" s="111"/>
      <c r="K960" s="111"/>
      <c r="L960" s="111"/>
      <c r="M960" s="111"/>
      <c r="N960" s="112"/>
      <c r="U960" s="112"/>
    </row>
    <row r="961" spans="1:21" ht="17.25" customHeight="1">
      <c r="A961" s="112"/>
      <c r="B961" s="111"/>
      <c r="C961" s="111"/>
      <c r="D961" s="111"/>
      <c r="E961" s="111"/>
      <c r="F961" s="111"/>
      <c r="G961" s="112"/>
      <c r="H961" s="111"/>
      <c r="I961" s="111"/>
      <c r="J961" s="111"/>
      <c r="K961" s="111"/>
      <c r="L961" s="111"/>
      <c r="M961" s="111"/>
      <c r="N961" s="112"/>
      <c r="U961" s="112"/>
    </row>
    <row r="962" spans="1:21" ht="17.25" customHeight="1">
      <c r="A962" s="112"/>
      <c r="B962" s="111"/>
      <c r="C962" s="111"/>
      <c r="D962" s="111"/>
      <c r="E962" s="111"/>
      <c r="F962" s="111"/>
      <c r="G962" s="112"/>
      <c r="H962" s="111"/>
      <c r="I962" s="111"/>
      <c r="J962" s="111"/>
      <c r="K962" s="111"/>
      <c r="L962" s="111"/>
      <c r="M962" s="111"/>
      <c r="N962" s="112"/>
      <c r="U962" s="112"/>
    </row>
    <row r="963" spans="1:21" ht="17.25" customHeight="1">
      <c r="A963" s="112"/>
      <c r="B963" s="111"/>
      <c r="C963" s="111"/>
      <c r="D963" s="111"/>
      <c r="E963" s="111"/>
      <c r="F963" s="111"/>
      <c r="G963" s="112"/>
      <c r="H963" s="111"/>
      <c r="I963" s="111"/>
      <c r="J963" s="111"/>
      <c r="K963" s="111"/>
      <c r="L963" s="111"/>
      <c r="M963" s="111"/>
      <c r="N963" s="112"/>
      <c r="U963" s="112"/>
    </row>
    <row r="964" spans="1:21" ht="17.25" customHeight="1">
      <c r="A964" s="112"/>
      <c r="B964" s="111"/>
      <c r="C964" s="111"/>
      <c r="D964" s="111"/>
      <c r="E964" s="111"/>
      <c r="F964" s="111"/>
      <c r="G964" s="112"/>
      <c r="H964" s="111"/>
      <c r="I964" s="111"/>
      <c r="J964" s="111"/>
      <c r="K964" s="111"/>
      <c r="L964" s="111"/>
      <c r="M964" s="111"/>
      <c r="N964" s="112"/>
      <c r="U964" s="112"/>
    </row>
    <row r="965" spans="1:21" ht="17.25" customHeight="1">
      <c r="A965" s="112"/>
      <c r="B965" s="111"/>
      <c r="C965" s="111"/>
      <c r="D965" s="111"/>
      <c r="E965" s="111"/>
      <c r="F965" s="111"/>
      <c r="G965" s="112"/>
      <c r="H965" s="111"/>
      <c r="I965" s="111"/>
      <c r="J965" s="111"/>
      <c r="K965" s="111"/>
      <c r="L965" s="111"/>
      <c r="M965" s="111"/>
      <c r="N965" s="112"/>
      <c r="U965" s="112"/>
    </row>
    <row r="966" spans="1:21" ht="17.25" customHeight="1">
      <c r="A966" s="112"/>
      <c r="B966" s="111"/>
      <c r="C966" s="111"/>
      <c r="D966" s="111"/>
      <c r="E966" s="111"/>
      <c r="F966" s="111"/>
      <c r="G966" s="112"/>
      <c r="H966" s="111"/>
      <c r="I966" s="111"/>
      <c r="J966" s="111"/>
      <c r="K966" s="111"/>
      <c r="L966" s="111"/>
      <c r="M966" s="111"/>
      <c r="N966" s="112"/>
      <c r="U966" s="112"/>
    </row>
    <row r="967" spans="1:21" ht="17.25" customHeight="1">
      <c r="A967" s="112"/>
      <c r="B967" s="111"/>
      <c r="C967" s="111"/>
      <c r="D967" s="111"/>
      <c r="E967" s="111"/>
      <c r="F967" s="111"/>
      <c r="G967" s="112"/>
      <c r="H967" s="111"/>
      <c r="I967" s="111"/>
      <c r="J967" s="111"/>
      <c r="K967" s="111"/>
      <c r="L967" s="111"/>
      <c r="M967" s="111"/>
      <c r="N967" s="112"/>
      <c r="U967" s="112"/>
    </row>
    <row r="968" spans="1:21" ht="17.25" customHeight="1">
      <c r="A968" s="112"/>
      <c r="B968" s="111"/>
      <c r="C968" s="111"/>
      <c r="D968" s="111"/>
      <c r="E968" s="111"/>
      <c r="F968" s="111"/>
      <c r="G968" s="112"/>
      <c r="H968" s="111"/>
      <c r="I968" s="111"/>
      <c r="J968" s="111"/>
      <c r="K968" s="111"/>
      <c r="L968" s="111"/>
      <c r="M968" s="111"/>
      <c r="N968" s="112"/>
      <c r="U968" s="112"/>
    </row>
    <row r="969" spans="1:21" ht="17.25" customHeight="1">
      <c r="A969" s="112"/>
      <c r="B969" s="111"/>
      <c r="C969" s="111"/>
      <c r="D969" s="111"/>
      <c r="E969" s="111"/>
      <c r="F969" s="111"/>
      <c r="G969" s="112"/>
      <c r="H969" s="111"/>
      <c r="I969" s="111"/>
      <c r="J969" s="111"/>
      <c r="K969" s="111"/>
      <c r="L969" s="111"/>
      <c r="M969" s="111"/>
      <c r="N969" s="112"/>
      <c r="U969" s="112"/>
    </row>
    <row r="970" spans="1:21" ht="17.25" customHeight="1">
      <c r="A970" s="112"/>
      <c r="B970" s="111"/>
      <c r="C970" s="111"/>
      <c r="D970" s="111"/>
      <c r="E970" s="111"/>
      <c r="F970" s="111"/>
      <c r="G970" s="112"/>
      <c r="H970" s="111"/>
      <c r="I970" s="111"/>
      <c r="J970" s="111"/>
      <c r="K970" s="111"/>
      <c r="L970" s="111"/>
      <c r="M970" s="111"/>
      <c r="N970" s="112"/>
      <c r="U970" s="112"/>
    </row>
    <row r="971" spans="1:21" ht="17.25" customHeight="1">
      <c r="A971" s="112"/>
      <c r="B971" s="111"/>
      <c r="C971" s="111"/>
      <c r="D971" s="111"/>
      <c r="E971" s="111"/>
      <c r="F971" s="111"/>
      <c r="G971" s="112"/>
      <c r="H971" s="111"/>
      <c r="I971" s="111"/>
      <c r="J971" s="111"/>
      <c r="K971" s="111"/>
      <c r="L971" s="111"/>
      <c r="M971" s="111"/>
      <c r="N971" s="112"/>
      <c r="U971" s="112"/>
    </row>
    <row r="972" spans="1:21" ht="17.25" customHeight="1">
      <c r="A972" s="112"/>
      <c r="B972" s="111"/>
      <c r="C972" s="111"/>
      <c r="D972" s="111"/>
      <c r="E972" s="111"/>
      <c r="F972" s="111"/>
      <c r="G972" s="112"/>
      <c r="H972" s="111"/>
      <c r="I972" s="111"/>
      <c r="J972" s="111"/>
      <c r="K972" s="111"/>
      <c r="L972" s="111"/>
      <c r="M972" s="111"/>
      <c r="N972" s="112"/>
      <c r="U972" s="112"/>
    </row>
    <row r="973" spans="1:21" ht="17.25" customHeight="1">
      <c r="A973" s="112"/>
      <c r="B973" s="111"/>
      <c r="C973" s="111"/>
      <c r="D973" s="111"/>
      <c r="E973" s="111"/>
      <c r="F973" s="111"/>
      <c r="G973" s="112"/>
      <c r="H973" s="111"/>
      <c r="I973" s="111"/>
      <c r="J973" s="111"/>
      <c r="K973" s="111"/>
      <c r="L973" s="111"/>
      <c r="M973" s="111"/>
      <c r="N973" s="112"/>
      <c r="U973" s="112"/>
    </row>
    <row r="974" spans="1:21" ht="17.25" customHeight="1">
      <c r="A974" s="112"/>
      <c r="B974" s="111"/>
      <c r="C974" s="111"/>
      <c r="D974" s="111"/>
      <c r="E974" s="111"/>
      <c r="F974" s="111"/>
      <c r="G974" s="112"/>
      <c r="H974" s="111"/>
      <c r="I974" s="111"/>
      <c r="J974" s="111"/>
      <c r="K974" s="111"/>
      <c r="L974" s="111"/>
      <c r="M974" s="111"/>
      <c r="N974" s="112"/>
      <c r="U974" s="112"/>
    </row>
    <row r="975" spans="1:21" ht="17.25" customHeight="1">
      <c r="A975" s="112"/>
      <c r="B975" s="111"/>
      <c r="C975" s="111"/>
      <c r="D975" s="111"/>
      <c r="E975" s="111"/>
      <c r="F975" s="111"/>
      <c r="G975" s="112"/>
      <c r="H975" s="111"/>
      <c r="I975" s="111"/>
      <c r="J975" s="111"/>
      <c r="K975" s="111"/>
      <c r="L975" s="111"/>
      <c r="M975" s="111"/>
      <c r="N975" s="112"/>
      <c r="U975" s="112"/>
    </row>
    <row r="976" spans="1:21" ht="17.25" customHeight="1">
      <c r="A976" s="112"/>
      <c r="B976" s="111"/>
      <c r="C976" s="111"/>
      <c r="D976" s="111"/>
      <c r="E976" s="111"/>
      <c r="F976" s="111"/>
      <c r="G976" s="112"/>
      <c r="H976" s="111"/>
      <c r="I976" s="111"/>
      <c r="J976" s="111"/>
      <c r="K976" s="111"/>
      <c r="L976" s="111"/>
      <c r="M976" s="111"/>
      <c r="N976" s="112"/>
      <c r="U976" s="112"/>
    </row>
    <row r="977" spans="1:21" ht="17.25" customHeight="1">
      <c r="A977" s="112"/>
      <c r="B977" s="111"/>
      <c r="C977" s="111"/>
      <c r="D977" s="111"/>
      <c r="E977" s="111"/>
      <c r="F977" s="111"/>
      <c r="G977" s="112"/>
      <c r="H977" s="111"/>
      <c r="I977" s="111"/>
      <c r="J977" s="111"/>
      <c r="K977" s="111"/>
      <c r="L977" s="111"/>
      <c r="M977" s="111"/>
      <c r="N977" s="112"/>
      <c r="U977" s="112"/>
    </row>
    <row r="978" spans="1:21" ht="17.25" customHeight="1">
      <c r="A978" s="112"/>
      <c r="B978" s="111"/>
      <c r="C978" s="111"/>
      <c r="D978" s="111"/>
      <c r="E978" s="111"/>
      <c r="F978" s="111"/>
      <c r="G978" s="112"/>
      <c r="H978" s="111"/>
      <c r="I978" s="111"/>
      <c r="J978" s="111"/>
      <c r="K978" s="111"/>
      <c r="L978" s="111"/>
      <c r="M978" s="111"/>
      <c r="N978" s="112"/>
      <c r="U978" s="112"/>
    </row>
    <row r="979" spans="1:21" ht="17.25" customHeight="1">
      <c r="A979" s="112"/>
      <c r="B979" s="111"/>
      <c r="C979" s="111"/>
      <c r="D979" s="111"/>
      <c r="E979" s="111"/>
      <c r="F979" s="111"/>
      <c r="G979" s="112"/>
      <c r="H979" s="111"/>
      <c r="I979" s="111"/>
      <c r="J979" s="111"/>
      <c r="K979" s="111"/>
      <c r="L979" s="111"/>
      <c r="M979" s="111"/>
      <c r="N979" s="112"/>
      <c r="U979" s="112"/>
    </row>
    <row r="980" spans="1:21" ht="17.25" customHeight="1">
      <c r="A980" s="112"/>
      <c r="B980" s="111"/>
      <c r="C980" s="111"/>
      <c r="D980" s="111"/>
      <c r="E980" s="111"/>
      <c r="F980" s="111"/>
      <c r="G980" s="112"/>
      <c r="H980" s="111"/>
      <c r="I980" s="111"/>
      <c r="J980" s="111"/>
      <c r="K980" s="111"/>
      <c r="L980" s="111"/>
      <c r="M980" s="111"/>
      <c r="N980" s="112"/>
      <c r="U980" s="112"/>
    </row>
    <row r="981" spans="1:21" ht="17.25" customHeight="1">
      <c r="A981" s="112"/>
      <c r="B981" s="111"/>
      <c r="C981" s="111"/>
      <c r="D981" s="111"/>
      <c r="E981" s="111"/>
      <c r="F981" s="111"/>
      <c r="G981" s="112"/>
      <c r="H981" s="111"/>
      <c r="I981" s="111"/>
      <c r="J981" s="111"/>
      <c r="K981" s="111"/>
      <c r="L981" s="111"/>
      <c r="M981" s="111"/>
      <c r="N981" s="112"/>
      <c r="U981" s="112"/>
    </row>
    <row r="982" spans="1:21" ht="17.25" customHeight="1">
      <c r="A982" s="112"/>
      <c r="B982" s="111"/>
      <c r="C982" s="111"/>
      <c r="D982" s="111"/>
      <c r="E982" s="111"/>
      <c r="F982" s="111"/>
      <c r="G982" s="112"/>
      <c r="H982" s="111"/>
      <c r="I982" s="111"/>
      <c r="J982" s="111"/>
      <c r="K982" s="111"/>
      <c r="L982" s="111"/>
      <c r="M982" s="111"/>
      <c r="N982" s="112"/>
      <c r="U982" s="112"/>
    </row>
    <row r="983" spans="1:21" ht="17.25" customHeight="1">
      <c r="A983" s="112"/>
      <c r="B983" s="111"/>
      <c r="C983" s="111"/>
      <c r="D983" s="111"/>
      <c r="E983" s="111"/>
      <c r="F983" s="111"/>
      <c r="G983" s="112"/>
      <c r="H983" s="111"/>
      <c r="I983" s="111"/>
      <c r="J983" s="111"/>
      <c r="K983" s="111"/>
      <c r="L983" s="111"/>
      <c r="M983" s="111"/>
      <c r="N983" s="112"/>
      <c r="U983" s="112"/>
    </row>
    <row r="984" spans="1:21" ht="17.25" customHeight="1">
      <c r="A984" s="112"/>
      <c r="B984" s="111"/>
      <c r="C984" s="111"/>
      <c r="D984" s="111"/>
      <c r="E984" s="111"/>
      <c r="F984" s="111"/>
      <c r="G984" s="112"/>
      <c r="H984" s="111"/>
      <c r="I984" s="111"/>
      <c r="J984" s="111"/>
      <c r="K984" s="111"/>
      <c r="L984" s="111"/>
      <c r="M984" s="111"/>
      <c r="N984" s="112"/>
      <c r="U984" s="112"/>
    </row>
    <row r="985" spans="1:21" ht="17.25" customHeight="1">
      <c r="A985" s="112"/>
      <c r="B985" s="111"/>
      <c r="C985" s="111"/>
      <c r="D985" s="111"/>
      <c r="E985" s="111"/>
      <c r="F985" s="111"/>
      <c r="G985" s="112"/>
      <c r="H985" s="111"/>
      <c r="I985" s="111"/>
      <c r="J985" s="111"/>
      <c r="K985" s="111"/>
      <c r="L985" s="111"/>
      <c r="M985" s="111"/>
      <c r="N985" s="112"/>
      <c r="U985" s="112"/>
    </row>
    <row r="986" spans="1:21" ht="17.25" customHeight="1">
      <c r="A986" s="112"/>
      <c r="B986" s="111"/>
      <c r="C986" s="111"/>
      <c r="D986" s="111"/>
      <c r="E986" s="111"/>
      <c r="F986" s="111"/>
      <c r="G986" s="112"/>
      <c r="H986" s="111"/>
      <c r="I986" s="111"/>
      <c r="J986" s="111"/>
      <c r="K986" s="111"/>
      <c r="L986" s="111"/>
      <c r="M986" s="111"/>
      <c r="N986" s="112"/>
      <c r="U986" s="112"/>
    </row>
    <row r="987" spans="1:21" ht="17.25" customHeight="1">
      <c r="A987" s="112"/>
      <c r="B987" s="111"/>
      <c r="C987" s="111"/>
      <c r="D987" s="111"/>
      <c r="E987" s="111"/>
      <c r="F987" s="111"/>
      <c r="G987" s="112"/>
      <c r="H987" s="111"/>
      <c r="I987" s="111"/>
      <c r="J987" s="111"/>
      <c r="K987" s="111"/>
      <c r="L987" s="111"/>
      <c r="M987" s="111"/>
      <c r="N987" s="112"/>
      <c r="U987" s="112"/>
    </row>
    <row r="988" spans="1:21" ht="17.25" customHeight="1">
      <c r="A988" s="112"/>
      <c r="B988" s="111"/>
      <c r="C988" s="111"/>
      <c r="D988" s="111"/>
      <c r="E988" s="111"/>
      <c r="F988" s="111"/>
      <c r="G988" s="112"/>
      <c r="H988" s="111"/>
      <c r="I988" s="111"/>
      <c r="J988" s="111"/>
      <c r="K988" s="111"/>
      <c r="L988" s="111"/>
      <c r="M988" s="111"/>
      <c r="N988" s="112"/>
      <c r="U988" s="112"/>
    </row>
    <row r="989" spans="1:21" ht="17.25" customHeight="1">
      <c r="A989" s="112"/>
      <c r="B989" s="111"/>
      <c r="C989" s="111"/>
      <c r="D989" s="111"/>
      <c r="E989" s="111"/>
      <c r="F989" s="111"/>
      <c r="G989" s="112"/>
      <c r="H989" s="111"/>
      <c r="I989" s="111"/>
      <c r="J989" s="111"/>
      <c r="K989" s="111"/>
      <c r="L989" s="111"/>
      <c r="M989" s="111"/>
      <c r="N989" s="112"/>
      <c r="U989" s="112"/>
    </row>
    <row r="990" spans="1:21" ht="17.25" customHeight="1">
      <c r="A990" s="112"/>
      <c r="B990" s="111"/>
      <c r="C990" s="111"/>
      <c r="D990" s="111"/>
      <c r="E990" s="111"/>
      <c r="F990" s="111"/>
      <c r="G990" s="112"/>
      <c r="H990" s="111"/>
      <c r="I990" s="111"/>
      <c r="J990" s="111"/>
      <c r="K990" s="111"/>
      <c r="L990" s="111"/>
      <c r="M990" s="111"/>
      <c r="N990" s="112"/>
      <c r="U990" s="112"/>
    </row>
    <row r="991" spans="1:21" ht="17.25" customHeight="1">
      <c r="A991" s="112"/>
      <c r="B991" s="111"/>
      <c r="C991" s="111"/>
      <c r="D991" s="111"/>
      <c r="E991" s="111"/>
      <c r="F991" s="111"/>
      <c r="G991" s="112"/>
      <c r="H991" s="111"/>
      <c r="I991" s="111"/>
      <c r="J991" s="111"/>
      <c r="K991" s="111"/>
      <c r="L991" s="111"/>
      <c r="M991" s="111"/>
      <c r="N991" s="112"/>
      <c r="U991" s="112"/>
    </row>
    <row r="992" spans="1:21" ht="17.25" customHeight="1">
      <c r="A992" s="112"/>
      <c r="B992" s="111"/>
      <c r="C992" s="111"/>
      <c r="D992" s="111"/>
      <c r="E992" s="111"/>
      <c r="F992" s="111"/>
      <c r="G992" s="112"/>
      <c r="H992" s="111"/>
      <c r="I992" s="111"/>
      <c r="J992" s="111"/>
      <c r="K992" s="111"/>
      <c r="L992" s="111"/>
      <c r="M992" s="111"/>
      <c r="N992" s="112"/>
      <c r="U992" s="112"/>
    </row>
    <row r="993" spans="1:21" ht="17.25" customHeight="1">
      <c r="A993" s="112"/>
      <c r="B993" s="111"/>
      <c r="C993" s="111"/>
      <c r="D993" s="111"/>
      <c r="E993" s="111"/>
      <c r="F993" s="111"/>
      <c r="G993" s="112"/>
      <c r="H993" s="111"/>
      <c r="I993" s="111"/>
      <c r="J993" s="111"/>
      <c r="K993" s="111"/>
      <c r="L993" s="111"/>
      <c r="M993" s="111"/>
      <c r="N993" s="112"/>
      <c r="U993" s="112"/>
    </row>
    <row r="994" spans="1:21" ht="17.25" customHeight="1">
      <c r="A994" s="112"/>
      <c r="B994" s="111"/>
      <c r="C994" s="111"/>
      <c r="D994" s="111"/>
      <c r="E994" s="111"/>
      <c r="F994" s="111"/>
      <c r="G994" s="112"/>
      <c r="H994" s="111"/>
      <c r="I994" s="111"/>
      <c r="J994" s="111"/>
      <c r="K994" s="111"/>
      <c r="L994" s="111"/>
      <c r="M994" s="111"/>
      <c r="N994" s="112"/>
      <c r="U994" s="112"/>
    </row>
    <row r="995" spans="1:21" ht="17.25" customHeight="1">
      <c r="A995" s="112"/>
      <c r="B995" s="111"/>
      <c r="C995" s="111"/>
      <c r="D995" s="111"/>
      <c r="E995" s="111"/>
      <c r="F995" s="111"/>
      <c r="G995" s="112"/>
      <c r="H995" s="111"/>
      <c r="I995" s="111"/>
      <c r="J995" s="111"/>
      <c r="K995" s="111"/>
      <c r="L995" s="111"/>
      <c r="M995" s="111"/>
      <c r="N995" s="112"/>
      <c r="U995" s="112"/>
    </row>
    <row r="996" spans="1:21" ht="17.25" customHeight="1">
      <c r="A996" s="112"/>
      <c r="B996" s="111"/>
      <c r="C996" s="111"/>
      <c r="D996" s="111"/>
      <c r="E996" s="111"/>
      <c r="F996" s="111"/>
      <c r="G996" s="112"/>
      <c r="H996" s="111"/>
      <c r="I996" s="111"/>
      <c r="J996" s="111"/>
      <c r="K996" s="111"/>
      <c r="L996" s="111"/>
      <c r="M996" s="111"/>
      <c r="N996" s="112"/>
      <c r="U996" s="112"/>
    </row>
    <row r="997" spans="1:21" ht="17.25" customHeight="1">
      <c r="A997" s="112"/>
      <c r="B997" s="111"/>
      <c r="C997" s="111"/>
      <c r="D997" s="111"/>
      <c r="E997" s="111"/>
      <c r="F997" s="111"/>
      <c r="G997" s="112"/>
      <c r="H997" s="111"/>
      <c r="I997" s="111"/>
      <c r="J997" s="111"/>
      <c r="K997" s="111"/>
      <c r="L997" s="111"/>
      <c r="M997" s="111"/>
      <c r="N997" s="112"/>
      <c r="U997" s="112"/>
    </row>
    <row r="998" spans="1:21" ht="17.25" customHeight="1">
      <c r="A998" s="112"/>
      <c r="B998" s="111"/>
      <c r="C998" s="111"/>
      <c r="D998" s="111"/>
      <c r="E998" s="111"/>
      <c r="F998" s="111"/>
      <c r="G998" s="112"/>
      <c r="H998" s="111"/>
      <c r="I998" s="111"/>
      <c r="J998" s="111"/>
      <c r="K998" s="111"/>
      <c r="L998" s="111"/>
      <c r="M998" s="111"/>
      <c r="N998" s="112"/>
      <c r="U998" s="112"/>
    </row>
    <row r="999" spans="1:21" ht="17.25" customHeight="1">
      <c r="A999" s="112"/>
      <c r="B999" s="111"/>
      <c r="C999" s="111"/>
      <c r="D999" s="111"/>
      <c r="E999" s="111"/>
      <c r="F999" s="111"/>
      <c r="G999" s="112"/>
      <c r="H999" s="111"/>
      <c r="I999" s="111"/>
      <c r="J999" s="111"/>
      <c r="K999" s="111"/>
      <c r="L999" s="111"/>
      <c r="M999" s="111"/>
      <c r="N999" s="112"/>
      <c r="U999" s="112"/>
    </row>
    <row r="1000" spans="1:21" ht="17.25" customHeight="1">
      <c r="A1000" s="112"/>
      <c r="B1000" s="111"/>
      <c r="C1000" s="111"/>
      <c r="D1000" s="111"/>
      <c r="E1000" s="111"/>
      <c r="F1000" s="111"/>
      <c r="G1000" s="112"/>
      <c r="H1000" s="111"/>
      <c r="I1000" s="111"/>
      <c r="J1000" s="111"/>
      <c r="K1000" s="111"/>
      <c r="L1000" s="111"/>
      <c r="M1000" s="111"/>
      <c r="N1000" s="112"/>
      <c r="U1000" s="112"/>
    </row>
  </sheetData>
  <mergeCells count="4">
    <mergeCell ref="A3:F3"/>
    <mergeCell ref="G3:M3"/>
    <mergeCell ref="N3:T3"/>
    <mergeCell ref="U3:AA3"/>
  </mergeCells>
  <pageMargins left="0.511811024" right="0.511811024" top="0.78740157499999996" bottom="0.78740157499999996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Visão Geral</vt:lpstr>
      <vt:lpstr>Ações</vt:lpstr>
      <vt:lpstr>BDRs</vt:lpstr>
      <vt:lpstr>FIIs</vt:lpstr>
      <vt:lpstr>Patrimônio</vt:lpstr>
      <vt:lpstr>Auxiliar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Romão</dc:creator>
  <cp:lastModifiedBy>Gabriel Romão</cp:lastModifiedBy>
  <dcterms:created xsi:type="dcterms:W3CDTF">2021-12-19T16:28:30Z</dcterms:created>
  <dcterms:modified xsi:type="dcterms:W3CDTF">2022-03-27T12:49:25Z</dcterms:modified>
</cp:coreProperties>
</file>